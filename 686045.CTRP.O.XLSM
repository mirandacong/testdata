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780" yWindow="120" windowWidth="12180" windowHeight="8865" tabRatio="877" firstSheet="1" activeTab="1"/>
  </bookViews>
  <sheets>
    <sheet name="MW-Cache" sheetId="1" state="veryHidden" r:id="rId1"/>
    <sheet name="ImportantDisclosures" sheetId="27" r:id="rId2"/>
    <sheet name="Scenario" sheetId="7" r:id="rId3"/>
    <sheet name="Model" sheetId="8" r:id="rId4"/>
    <sheet name="Valuation" sheetId="4" r:id="rId5"/>
    <sheet name="IndexInformation" sheetId="28" r:id="rId6"/>
    <sheet name="ModPubIndex" sheetId="29" r:id="rId7"/>
  </sheets>
  <definedNames>
    <definedName name="__FDS_HYPERLINK_TOGGLE_STATE__" hidden="1">"ON"</definedName>
    <definedName name="AdditionalInstructions">IndexInformation!$B$42</definedName>
    <definedName name="Address" localSheetId="1">ImportantDisclosures!$A$2:$A$2</definedName>
    <definedName name="ADS_Dil">Model!$347:$347</definedName>
    <definedName name="Amort_Int">Model!$625:$625</definedName>
    <definedName name="Amort_Land">Model!$630:$630</definedName>
    <definedName name="Amort_Total">Model!$741:$741</definedName>
    <definedName name="ANA" localSheetId="6">ModPubIndex!$A$7</definedName>
    <definedName name="Assets_Cash">Model!$525:$525</definedName>
    <definedName name="Assets_Cur">Model!$532:$532</definedName>
    <definedName name="Assets_ShortInv">Model!$527:$527</definedName>
    <definedName name="Authors" localSheetId="1">ImportantDisclosures!$A$7</definedName>
    <definedName name="Authors" localSheetId="5">IndexInformation!$B$18</definedName>
    <definedName name="Base_Case">Scenario!$7:$95</definedName>
    <definedName name="Bear_Case">Scenario!$172:$244</definedName>
    <definedName name="BRO" localSheetId="6">ModPubIndex!$A$1</definedName>
    <definedName name="Bull_Case">Scenario!$97:$170</definedName>
    <definedName name="CAPEX">Model!$616:$616</definedName>
    <definedName name="Cash_BOY">Model!$794:$794</definedName>
    <definedName name="Cash_EOY">Model!$795:$795</definedName>
    <definedName name="Cash_Rest">Model!$526:$526</definedName>
    <definedName name="CF_OP">Model!$761:$761</definedName>
    <definedName name="Change_Cash">Model!$793:$793</definedName>
    <definedName name="Change_WC">Model!$747:$747</definedName>
    <definedName name="COGS_to_Rev">Model!$384:$384</definedName>
    <definedName name="Com_Hotel">Model!$69:$69</definedName>
    <definedName name="Com_Ticket">Model!$136:$136</definedName>
    <definedName name="Com_Ticket_YoY">Model!$137:$137</definedName>
    <definedName name="CopyrightStamp">ImportantDisclosures!$A$27</definedName>
    <definedName name="COS">Model!$308:$308</definedName>
    <definedName name="COU" localSheetId="6">ModPubIndex!$A$5</definedName>
    <definedName name="CQEnd" localSheetId="5">IndexInformation!$B$31</definedName>
    <definedName name="CTRP">Model!$1:$1048576</definedName>
    <definedName name="CTRP_Assump">Scenario!$1:$1048576</definedName>
    <definedName name="Currency" localSheetId="5">IndexInformation!$B$24</definedName>
    <definedName name="CurrentStockPrice" localSheetId="5">IndexInformation!$B$23</definedName>
    <definedName name="CurrQtrEPS" localSheetId="5">IndexInformation!$B$29</definedName>
    <definedName name="CurrYearEPS" localSheetId="5">IndexInformation!$B$11</definedName>
    <definedName name="CurrYearTotalRevenue" localSheetId="5">IndexInformation!$B$10</definedName>
    <definedName name="CurrYearTotalRevenueActual" localSheetId="5">IndexInformation!$B$32</definedName>
    <definedName name="CUSIP" localSheetId="5">IndexInformation!$B$20</definedName>
    <definedName name="CYEnd" localSheetId="5">IndexInformation!$B$30</definedName>
    <definedName name="Date" localSheetId="1">ImportantDisclosures!$A$8</definedName>
    <definedName name="Deleted" localSheetId="5">IndexInformation!$B$27</definedName>
    <definedName name="Dep_Expenses">Model!$617:$617</definedName>
    <definedName name="Description" localSheetId="5">IndexInformation!$B$7</definedName>
    <definedName name="Discipline" localSheetId="5">IndexInformation!$B$3</definedName>
    <definedName name="DISCIPLINE" localSheetId="6">ModPubIndex!$A$12</definedName>
    <definedName name="DisclosuresText">ImportantDisclosures!$A$22</definedName>
    <definedName name="Distribution" localSheetId="5">IndexInformation!$B$26</definedName>
    <definedName name="DistTable" localSheetId="1">ImportantDisclosures!#REF!</definedName>
    <definedName name="DistTablePreamble" localSheetId="1">ImportantDisclosures!#REF!</definedName>
    <definedName name="DOCDAT" localSheetId="6">ModPubIndex!$A$2</definedName>
    <definedName name="DOCTIME" localSheetId="6">ModPubIndex!$A$3</definedName>
    <definedName name="DocType" localSheetId="5">IndexInformation!$B$5</definedName>
    <definedName name="EBITDA">Model!$418:$418</definedName>
    <definedName name="EBITDAM">Model!$356:$356</definedName>
    <definedName name="EBITDAM_NONGP">Model!$373:$373</definedName>
    <definedName name="EMAIL_ALERT" localSheetId="6">ModPubIndex!$A$10</definedName>
    <definedName name="EmailAlert" localSheetId="5">IndexInformation!$B$28</definedName>
    <definedName name="EPADS">Model!$337:$337</definedName>
    <definedName name="EPADS_Dil">Model!$338:$338</definedName>
    <definedName name="EPADS_DIL_NONGP">Model!$370:$370</definedName>
    <definedName name="EPADS_NONGP">Model!$369:$369</definedName>
    <definedName name="EPS">Model!$335:$335</definedName>
    <definedName name="EPS_Dil">Model!$336:$336</definedName>
    <definedName name="EPS_DIL_NONGP">Model!$368:$368</definedName>
    <definedName name="EPS_NONGP">Model!$367:$367</definedName>
    <definedName name="Equ_Aff">Model!$321:$321</definedName>
    <definedName name="Equity">Model!$562:$562</definedName>
    <definedName name="Exp_GA">Model!$312:$312</definedName>
    <definedName name="Exp_RD">Model!$310:$310</definedName>
    <definedName name="Exp_SM">Model!$311:$311</definedName>
    <definedName name="Exp_ToT">Model!$313:$313</definedName>
    <definedName name="FiveYearGrowthRate" localSheetId="5">IndexInformation!$B$16</definedName>
    <definedName name="FollowingYearEPS" localSheetId="5">IndexInformation!$B$15</definedName>
    <definedName name="FollowingYearTotalRevenue" localSheetId="5">IndexInformation!$B$14</definedName>
    <definedName name="FollowingYearTotalRevenueActual" localSheetId="5">IndexInformation!$B$34</definedName>
    <definedName name="FX">Model!$339:$339</definedName>
    <definedName name="GMV_Air">Model!$195:$195</definedName>
    <definedName name="GMV_hotel">Model!$81:$81</definedName>
    <definedName name="GMV_Package">Model!$209:$209</definedName>
    <definedName name="GMV_SS">Model!$260:$260</definedName>
    <definedName name="GMV_Ticket">Model!$9:$9</definedName>
    <definedName name="GMV_Total">Model!$11:$11</definedName>
    <definedName name="GP">Model!$309:$309</definedName>
    <definedName name="GPM">Model!$353:$353</definedName>
    <definedName name="GW">Model!$537:$537</definedName>
    <definedName name="HC_Total">Model!$511:$511</definedName>
    <definedName name="HL" localSheetId="6">ModPubIndex!$A$8</definedName>
    <definedName name="IND" localSheetId="6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Int_Air_GMV">Model!$293:$293</definedName>
    <definedName name="Int_Assets">Model!$621:$621</definedName>
    <definedName name="Int_Exp">Model!$317:$317</definedName>
    <definedName name="Int_hotel_GMV">Model!$287:$287</definedName>
    <definedName name="Int_Inc">Model!$316:$316</definedName>
    <definedName name="Int_overall_GMV">Model!$270:$270</definedName>
    <definedName name="Int_package_GMV">Model!$274:$274</definedName>
    <definedName name="KeepVersions" localSheetId="5">IndexInformation!$B$8</definedName>
    <definedName name="Land">Model!$629:$629</definedName>
    <definedName name="LanguageCode">IndexInformation!$B$38</definedName>
    <definedName name="LastCell" localSheetId="1">ImportantDisclosures!$A$22</definedName>
    <definedName name="Liab_Cur">Model!$550:$550</definedName>
    <definedName name="Liab_Long_Debt">Model!$552:$552</definedName>
    <definedName name="Linking_12">101.516152968872</definedName>
    <definedName name="Linking_18">Valuation!$B$7:$T$20</definedName>
    <definedName name="Linking_23">Valuation!$B$7:$N$20</definedName>
    <definedName name="Linking_5">Valuation!$B$7:$P$20</definedName>
    <definedName name="Linking_9">Valuation!$B$7:$N$27</definedName>
    <definedName name="MacroVersion" localSheetId="5">IndexInformation!$B$1</definedName>
    <definedName name="Min_Int">Model!$323:$323</definedName>
    <definedName name="ModelPrice" localSheetId="1">ImportantDisclosures!$A$14</definedName>
    <definedName name="Multiplier" localSheetId="5">IndexInformation!$B$35</definedName>
    <definedName name="NextYearEPS" localSheetId="5">IndexInformation!$B$13</definedName>
    <definedName name="NextYearTotalRevenue" localSheetId="5">IndexInformation!$B$12</definedName>
    <definedName name="NextYearTotalRevenueActual" localSheetId="5">IndexInformation!$B$33</definedName>
    <definedName name="NGAAP_EBITDA">Model!$419:$419</definedName>
    <definedName name="NP">Model!$324:$324</definedName>
    <definedName name="NP_NONGP">Model!$365:$365</definedName>
    <definedName name="NPM">Model!$355:$355</definedName>
    <definedName name="NPM_NONGP">Model!$375:$375</definedName>
    <definedName name="ObjectType">IndexInformation!$B$37</definedName>
    <definedName name="OP">Model!$315:$315</definedName>
    <definedName name="OP_NONGP">Model!$364:$364</definedName>
    <definedName name="OPEX_to_Rev">Model!$442:$442</definedName>
    <definedName name="OPM">Model!$354:$354</definedName>
    <definedName name="OPM_NONGP">Model!$374:$374</definedName>
    <definedName name="Oth_Inc">Model!$318:$318</definedName>
    <definedName name="PANA" localSheetId="6">ModPubIndex!$A$11</definedName>
    <definedName name="PathName" localSheetId="5">IndexInformation!$B$25</definedName>
    <definedName name="Period_A_CTRP">Scenario!$5:$5</definedName>
    <definedName name="Period_CTRP">Model!$4:$4</definedName>
    <definedName name="PPE">Model!$613:$613</definedName>
    <definedName name="Price_hotel">Model!$77:$77</definedName>
    <definedName name="Price_Ticket">Model!$144:$144</definedName>
    <definedName name="_xlnm.Print_Area" localSheetId="3">Model!$B$4:$CA$801</definedName>
    <definedName name="PRODUCT" localSheetId="6">ModPubIndex!$A$6</definedName>
    <definedName name="Profit_Pre_Min_Interest">Model!$322:$322</definedName>
    <definedName name="PSYM" localSheetId="6">ModPubIndex!$A$4</definedName>
    <definedName name="PTP">Model!$319:$319</definedName>
    <definedName name="PublishDate" localSheetId="5">IndexInformation!$B$2</definedName>
    <definedName name="Purchase_intangible">Model!$624:$624</definedName>
    <definedName name="Rating" localSheetId="5">IndexInformation!$B$9</definedName>
    <definedName name="RatingsDefined" localSheetId="1">ImportantDisclosures!$A$21</definedName>
    <definedName name="RatingsDefs" localSheetId="1">ImportantDisclosures!#REF!</definedName>
    <definedName name="RegACDisclosure" localSheetId="1">ImportantDisclosures!#REF!</definedName>
    <definedName name="ResearchTopic" localSheetId="5">IndexInformation!$B$4</definedName>
    <definedName name="Rev_Air">Model!$167:$167</definedName>
    <definedName name="Rev_Corp">Model!$302:$302</definedName>
    <definedName name="Rev_GMV_Gross">Model!$11:$11</definedName>
    <definedName name="Rev_Gross">Model!$305:$305</definedName>
    <definedName name="Rev_Headcount">Model!$517:$517</definedName>
    <definedName name="Rev_Hotel">Model!$299:$299</definedName>
    <definedName name="Rev_Net">Model!$307:$307</definedName>
    <definedName name="Rev_Others">Model!$303:$303</definedName>
    <definedName name="Rev_Package">Model!$301:$301</definedName>
    <definedName name="Rev_SS">Model!$304:$304</definedName>
    <definedName name="Rev_Ticket">Model!$300:$300</definedName>
    <definedName name="RIC" localSheetId="5">IndexInformation!$B$21</definedName>
    <definedName name="SBC">Model!$359:$359</definedName>
    <definedName name="SBC_GA">Model!$362:$362</definedName>
    <definedName name="SBC_RD">Model!$360:$360</definedName>
    <definedName name="SBC_SM">Model!$361:$361</definedName>
    <definedName name="SECSettlement" localSheetId="1">ImportantDisclosures!#REF!</definedName>
    <definedName name="SEDOL" localSheetId="5">IndexInformation!$B$22</definedName>
    <definedName name="Shares_Abasic">Model!$346:$346</definedName>
    <definedName name="Shares_Adiluted">Model!$343:$343</definedName>
    <definedName name="SourceDefined" localSheetId="1">ImportantDisclosures!$A$19</definedName>
    <definedName name="StockRating" localSheetId="1">ImportantDisclosures!$A$11</definedName>
    <definedName name="SubjectCode" localSheetId="5">IndexInformation!$B$6</definedName>
    <definedName name="SubmitterUserId">IndexInformation!$B$39</definedName>
    <definedName name="SUPPRESSED" localSheetId="6">ModPubIndex!$A$13</definedName>
    <definedName name="TargetPrice" localSheetId="1">ImportantDisclosures!$A$15</definedName>
    <definedName name="Tax">Model!$320:$320</definedName>
    <definedName name="Tax_Sur">Model!$306:$306</definedName>
    <definedName name="TemplateRegion">IndexInformation!$B$36</definedName>
    <definedName name="Ticker" localSheetId="1">ImportantDisclosures!$A$10</definedName>
    <definedName name="TickerRegion">IndexInformation!$B$41</definedName>
    <definedName name="Tickers" localSheetId="5">IndexInformation!$B$19</definedName>
    <definedName name="TR_Hotel">Model!$73:$73</definedName>
    <definedName name="TR_Ticket">Model!$140:$140</definedName>
    <definedName name="UpdateReason" localSheetId="5">IndexInformation!$B$17</definedName>
    <definedName name="USRegDisclosures" localSheetId="1">ImportantDisclosures!#REF!</definedName>
    <definedName name="Volume_Air">Model!$157:$157</definedName>
    <definedName name="Volume_hotel">Model!$65:$65</definedName>
    <definedName name="Volume_tickets">Model!$132:$132</definedName>
    <definedName name="Z_6ED7E203_3B12_4790_A9AD_D7EF4259F09D_.wvu.Cols" localSheetId="3" hidden="1">Model!$AF:$BK,Model!$C:$Q</definedName>
    <definedName name="Z_6ED7E203_3B12_4790_A9AD_D7EF4259F09D_.wvu.Cols" localSheetId="2" hidden="1">Scenario!$W:$AD</definedName>
    <definedName name="Z_6ED7E203_3B12_4790_A9AD_D7EF4259F09D_.wvu.Cols" localSheetId="4" hidden="1">Valuation!$C:$E</definedName>
    <definedName name="Z_6ED7E203_3B12_4790_A9AD_D7EF4259F09D_.wvu.PrintArea" localSheetId="3" hidden="1">Model!$A:$W</definedName>
    <definedName name="Z_B8862541_B9EF_4C0A_9660_E37FD3328D7C_.wvu.Cols" localSheetId="3" hidden="1">Model!$AJ:$AY,Model!$AZ:$BC,Model!$BD:$BG,Model!$BH:$BK,Model!$BL:$BO,Model!$BP:$BS</definedName>
    <definedName name="Z_B8862541_B9EF_4C0A_9660_E37FD3328D7C_.wvu.PrintArea" localSheetId="3" hidden="1">Model!$A:$W</definedName>
    <definedName name="Z_B8862541_B9EF_4C0A_9660_E37FD3328D7C_.wvu.Rows" localSheetId="4" hidden="1">Valuation!$19:$19</definedName>
    <definedName name="Z_FB5A43A4_CF56_4312_A757_8F3AEABE0131_.wvu.Cols" localSheetId="3" hidden="1">Model!$AF:$BK,Model!$C:$Q</definedName>
  </definedNames>
  <calcPr calcId="145621" iterate="1"/>
  <customWorkbookViews>
    <customWorkbookView name="Chen, Amanda (Research) - Personal View" guid="{6ED7E203-3B12-4790-A9AD-D7EF4259F09D}" mergeInterval="0" personalView="1" maximized="1" windowWidth="1280" windowHeight="838" tabRatio="878" activeSheetId="11"/>
    <customWorkbookView name="Amanda Chen - Personal View" guid="{B8862541-B9EF-4C0A-9660-E37FD3328D7C}" mergeInterval="0" personalView="1" maximized="1" windowWidth="1218" windowHeight="841" activeSheetId="3"/>
    <customWorkbookView name="Sun, David (Research) - Personal View" guid="{E131BE6B-79DB-46DB-B0E9-6B0271F9C8B0}" mergeInterval="0" personalView="1" maximized="1" windowWidth="1280" windowHeight="812" activeSheetId="6"/>
    <customWorkbookView name="Gao, Bing (Research) - Personal View" guid="{72DF6648-21DE-4B04-AC1C-FD8EB9E9ABC3}" mergeInterval="0" personalView="1" maximized="1" windowWidth="1920" windowHeight="855" activeSheetId="3"/>
    <customWorkbookView name="Ng, Lavender (Research) - Personal View" guid="{FB5A43A4-CF56-4312-A757-8F3AEABE0131}" mergeInterval="0" personalView="1" maximized="1" windowWidth="1280" windowHeight="799" tabRatio="878" activeSheetId="8"/>
  </customWorkbookViews>
</workbook>
</file>

<file path=xl/calcChain.xml><?xml version="1.0" encoding="utf-8"?>
<calcChain xmlns="http://schemas.openxmlformats.org/spreadsheetml/2006/main">
  <c r="BY806" i="8" l="1"/>
  <c r="BZ806" i="8"/>
  <c r="CA806" i="8"/>
  <c r="BX806" i="8"/>
  <c r="Q28" i="7" l="1"/>
  <c r="R28" i="7"/>
  <c r="R55" i="7"/>
  <c r="S55" i="7"/>
  <c r="S61" i="7"/>
  <c r="P65" i="7"/>
  <c r="S76" i="7"/>
  <c r="R76" i="7"/>
  <c r="Y425" i="8"/>
  <c r="L46" i="7" l="1"/>
  <c r="W505" i="8"/>
  <c r="CE505" i="8"/>
  <c r="BZ503" i="8"/>
  <c r="BY503" i="8"/>
  <c r="Y494" i="8"/>
  <c r="Z494" i="8"/>
  <c r="AA494" i="8" s="1"/>
  <c r="AB494" i="8" s="1"/>
  <c r="AC494" i="8" s="1"/>
  <c r="AD494" i="8" s="1"/>
  <c r="X494" i="8"/>
  <c r="W494" i="8"/>
  <c r="M46" i="7" l="1"/>
  <c r="Q65" i="7"/>
  <c r="R65" i="7" s="1"/>
  <c r="S65" i="7" s="1"/>
  <c r="F7" i="4" l="1"/>
  <c r="T61" i="8"/>
  <c r="T213" i="8"/>
  <c r="T128" i="8"/>
  <c r="T205" i="8"/>
  <c r="T217" i="8"/>
  <c r="T221" i="8"/>
  <c r="T493" i="8"/>
  <c r="T496" i="8"/>
  <c r="T499" i="8"/>
  <c r="T502" i="8"/>
  <c r="T505" i="8"/>
  <c r="T449" i="8"/>
  <c r="T461" i="8"/>
  <c r="T478" i="8"/>
  <c r="T428" i="8"/>
  <c r="T429" i="8"/>
  <c r="T468" i="8" s="1"/>
  <c r="T430" i="8"/>
  <c r="T485" i="8" s="1"/>
  <c r="T434" i="8"/>
  <c r="T381" i="8"/>
  <c r="T415" i="8"/>
  <c r="T359" i="8"/>
  <c r="T433" i="8" s="1"/>
  <c r="I5" i="7"/>
  <c r="T729" i="8"/>
  <c r="T730" i="8"/>
  <c r="T556" i="8"/>
  <c r="T557" i="8"/>
  <c r="T700" i="8" s="1"/>
  <c r="T558" i="8"/>
  <c r="T559" i="8"/>
  <c r="T727" i="8" s="1"/>
  <c r="T560" i="8"/>
  <c r="T714" i="8" s="1"/>
  <c r="T561" i="8"/>
  <c r="T720" i="8" s="1"/>
  <c r="T555" i="8"/>
  <c r="T688" i="8" s="1"/>
  <c r="T553" i="8"/>
  <c r="T552" i="8"/>
  <c r="T675" i="8" s="1"/>
  <c r="T551" i="8"/>
  <c r="T671" i="8" s="1"/>
  <c r="T549" i="8"/>
  <c r="T667" i="8" s="1"/>
  <c r="T548" i="8"/>
  <c r="T663" i="8" s="1"/>
  <c r="T547" i="8"/>
  <c r="T659" i="8" s="1"/>
  <c r="T546" i="8"/>
  <c r="T655" i="8" s="1"/>
  <c r="T545" i="8"/>
  <c r="T651" i="8" s="1"/>
  <c r="T543" i="8"/>
  <c r="T647" i="8" s="1"/>
  <c r="T542" i="8"/>
  <c r="T538" i="8"/>
  <c r="T537" i="8"/>
  <c r="T536" i="8"/>
  <c r="T643" i="8" s="1"/>
  <c r="T535" i="8"/>
  <c r="T534" i="8"/>
  <c r="T629" i="8" s="1"/>
  <c r="T533" i="8"/>
  <c r="T590" i="8" s="1"/>
  <c r="T526" i="8"/>
  <c r="T569" i="8" s="1"/>
  <c r="T527" i="8"/>
  <c r="T528" i="8"/>
  <c r="T573" i="8" s="1"/>
  <c r="T529" i="8"/>
  <c r="T530" i="8"/>
  <c r="T577" i="8" s="1"/>
  <c r="T531" i="8"/>
  <c r="T525" i="8"/>
  <c r="T216" i="8" l="1"/>
  <c r="T435" i="8"/>
  <c r="T422" i="8"/>
  <c r="T209" i="8"/>
  <c r="T456" i="8"/>
  <c r="BW566" i="8"/>
  <c r="BW562" i="8"/>
  <c r="BW550" i="8"/>
  <c r="BW554" i="8" s="1"/>
  <c r="BW539" i="8"/>
  <c r="T539" i="8" s="1"/>
  <c r="BW532" i="8"/>
  <c r="BW540" i="8" s="1"/>
  <c r="BW563" i="8" l="1"/>
  <c r="BW564" i="8"/>
  <c r="BW61" i="8"/>
  <c r="BW65" i="8" s="1"/>
  <c r="BW71" i="8"/>
  <c r="BW128" i="8"/>
  <c r="BW132" i="8" s="1"/>
  <c r="BW138" i="8"/>
  <c r="BW205" i="8"/>
  <c r="BW214" i="8"/>
  <c r="BW215" i="8"/>
  <c r="BW217" i="8"/>
  <c r="BW221" i="8"/>
  <c r="BW493" i="8"/>
  <c r="BW496" i="8"/>
  <c r="BW499" i="8"/>
  <c r="BW502" i="8"/>
  <c r="BW505" i="8"/>
  <c r="BW449" i="8"/>
  <c r="BW461" i="8"/>
  <c r="BW478" i="8"/>
  <c r="BW428" i="8"/>
  <c r="BW429" i="8"/>
  <c r="BW430" i="8"/>
  <c r="BW381" i="8"/>
  <c r="BW415" i="8"/>
  <c r="BW359" i="8"/>
  <c r="BW434" i="8" s="1"/>
  <c r="BW468" i="8" l="1"/>
  <c r="BW433" i="8"/>
  <c r="BW435" i="8"/>
  <c r="BW66" i="8"/>
  <c r="BW133" i="8"/>
  <c r="BW209" i="8"/>
  <c r="BW485" i="8"/>
  <c r="BW456" i="8"/>
  <c r="M76" i="7" l="1"/>
  <c r="N76" i="7" s="1"/>
  <c r="CB140" i="8" l="1"/>
  <c r="CC140" i="8" s="1"/>
  <c r="CD140" i="8" s="1"/>
  <c r="CE140" i="8" s="1"/>
  <c r="AU6" i="7"/>
  <c r="AV6" i="7"/>
  <c r="AW6" i="7" s="1"/>
  <c r="AX6" i="7" s="1"/>
  <c r="AW235" i="7"/>
  <c r="AV235" i="7"/>
  <c r="AU235" i="7"/>
  <c r="AW230" i="7"/>
  <c r="AW231" i="7" s="1"/>
  <c r="AV230" i="7"/>
  <c r="AV231" i="7" s="1"/>
  <c r="AU230" i="7"/>
  <c r="AU231" i="7" s="1"/>
  <c r="AW224" i="7"/>
  <c r="AV224" i="7"/>
  <c r="AU224" i="7"/>
  <c r="AW221" i="7"/>
  <c r="AV221" i="7"/>
  <c r="AU221" i="7"/>
  <c r="AU218" i="7"/>
  <c r="AW215" i="7"/>
  <c r="AV215" i="7"/>
  <c r="AU215" i="7"/>
  <c r="AW207" i="7"/>
  <c r="AV207" i="7"/>
  <c r="AU207" i="7"/>
  <c r="AW203" i="7"/>
  <c r="AV203" i="7"/>
  <c r="AU203" i="7"/>
  <c r="AW195" i="7"/>
  <c r="AV195" i="7"/>
  <c r="AU195" i="7"/>
  <c r="AW191" i="7"/>
  <c r="AV191" i="7"/>
  <c r="AU191" i="7"/>
  <c r="AW161" i="7"/>
  <c r="AV161" i="7"/>
  <c r="AU161" i="7"/>
  <c r="AW156" i="7"/>
  <c r="AW157" i="7" s="1"/>
  <c r="AV156" i="7"/>
  <c r="AV157" i="7" s="1"/>
  <c r="AU156" i="7"/>
  <c r="AU157" i="7" s="1"/>
  <c r="AW150" i="7"/>
  <c r="AV150" i="7"/>
  <c r="AU150" i="7"/>
  <c r="AW147" i="7"/>
  <c r="AV147" i="7"/>
  <c r="AU147" i="7"/>
  <c r="AU143" i="7"/>
  <c r="AW140" i="7"/>
  <c r="AV140" i="7"/>
  <c r="AU140" i="7"/>
  <c r="AW132" i="7"/>
  <c r="AV132" i="7"/>
  <c r="AU132" i="7"/>
  <c r="AW128" i="7"/>
  <c r="AV128" i="7"/>
  <c r="AU128" i="7"/>
  <c r="AW120" i="7"/>
  <c r="AV120" i="7"/>
  <c r="AU120" i="7"/>
  <c r="AW116" i="7"/>
  <c r="AV116" i="7"/>
  <c r="AU116" i="7"/>
  <c r="AW103" i="7"/>
  <c r="AW178" i="7" s="1"/>
  <c r="AV103" i="7"/>
  <c r="AV178" i="7" s="1"/>
  <c r="AU103" i="7"/>
  <c r="AU178" i="7" s="1"/>
  <c r="AW72" i="7"/>
  <c r="AV72" i="7"/>
  <c r="AU72" i="7"/>
  <c r="AW58" i="7"/>
  <c r="AV58" i="7"/>
  <c r="CB483" i="8"/>
  <c r="CB490" i="8" s="1"/>
  <c r="CC466" i="8"/>
  <c r="CD466" i="8" s="1"/>
  <c r="CE233" i="8"/>
  <c r="CB213" i="8"/>
  <c r="CD213" i="8"/>
  <c r="CC213" i="8"/>
  <c r="AW218" i="7" l="1"/>
  <c r="AW143" i="7"/>
  <c r="AV218" i="7"/>
  <c r="AV143" i="7"/>
  <c r="CC215" i="8"/>
  <c r="CD215" i="8"/>
  <c r="CD483" i="8"/>
  <c r="CC483" i="8"/>
  <c r="CC490" i="8" l="1"/>
  <c r="CD490" i="8"/>
  <c r="Z20" i="4" l="1"/>
  <c r="Z38" i="4"/>
  <c r="Z4" i="4"/>
  <c r="Z11" i="4"/>
  <c r="AR203" i="7"/>
  <c r="AS203" i="7"/>
  <c r="AQ203" i="7"/>
  <c r="AR191" i="7"/>
  <c r="AS191" i="7"/>
  <c r="AQ191" i="7"/>
  <c r="AQ128" i="7"/>
  <c r="AR128" i="7"/>
  <c r="AS128" i="7"/>
  <c r="J128" i="7"/>
  <c r="L128" i="7"/>
  <c r="J235" i="7"/>
  <c r="K235" i="7"/>
  <c r="J215" i="7"/>
  <c r="K215" i="7"/>
  <c r="J191" i="7"/>
  <c r="L191" i="7"/>
  <c r="M191" i="7"/>
  <c r="L235" i="7"/>
  <c r="X342" i="8"/>
  <c r="L55" i="7"/>
  <c r="L215" i="7" s="1"/>
  <c r="AS58" i="7"/>
  <c r="AR58" i="7"/>
  <c r="L32" i="7"/>
  <c r="M32" i="7" s="1"/>
  <c r="V240" i="8"/>
  <c r="BV566" i="8"/>
  <c r="BV562" i="8"/>
  <c r="BV550" i="8"/>
  <c r="BV554" i="8" s="1"/>
  <c r="BV563" i="8" s="1"/>
  <c r="BV539" i="8"/>
  <c r="BV532" i="8"/>
  <c r="L65" i="7"/>
  <c r="M65" i="7" s="1"/>
  <c r="BV221" i="8"/>
  <c r="BV217" i="8"/>
  <c r="BV205" i="8"/>
  <c r="BV128" i="8"/>
  <c r="BV61" i="8"/>
  <c r="BV381" i="8"/>
  <c r="BW383" i="8" s="1"/>
  <c r="BV415" i="8"/>
  <c r="BV428" i="8"/>
  <c r="BV429" i="8"/>
  <c r="BV430" i="8"/>
  <c r="BV449" i="8"/>
  <c r="BV461" i="8"/>
  <c r="BV478" i="8"/>
  <c r="BV493" i="8"/>
  <c r="BV496" i="8"/>
  <c r="BV499" i="8"/>
  <c r="BV502" i="8"/>
  <c r="BV505" i="8"/>
  <c r="BV359" i="8"/>
  <c r="BV433" i="8" s="1"/>
  <c r="BU128" i="8"/>
  <c r="BU727" i="8"/>
  <c r="BU720" i="8"/>
  <c r="BU714" i="8"/>
  <c r="BU700" i="8"/>
  <c r="BU688" i="8"/>
  <c r="BU675" i="8"/>
  <c r="BU671" i="8"/>
  <c r="BU667" i="8"/>
  <c r="BU669" i="8" s="1"/>
  <c r="BU663" i="8"/>
  <c r="BU659" i="8"/>
  <c r="BU655" i="8"/>
  <c r="BU651" i="8"/>
  <c r="BU647" i="8"/>
  <c r="BU643" i="8"/>
  <c r="BU633" i="8"/>
  <c r="BU613" i="8"/>
  <c r="BU590" i="8"/>
  <c r="BU577" i="8"/>
  <c r="BU573" i="8"/>
  <c r="BU569" i="8"/>
  <c r="BU505" i="8"/>
  <c r="BU502" i="8"/>
  <c r="BU499" i="8"/>
  <c r="BU496" i="8"/>
  <c r="BU493" i="8"/>
  <c r="BU478" i="8"/>
  <c r="BU461" i="8"/>
  <c r="BU466" i="8" s="1"/>
  <c r="BU449" i="8"/>
  <c r="BU430" i="8"/>
  <c r="BU429" i="8"/>
  <c r="BU428" i="8"/>
  <c r="BU415" i="8"/>
  <c r="BU381" i="8"/>
  <c r="BU221" i="8"/>
  <c r="BU217" i="8"/>
  <c r="BU205" i="8"/>
  <c r="BU61" i="8"/>
  <c r="BU65" i="8" s="1"/>
  <c r="BU359" i="8"/>
  <c r="BU434" i="8"/>
  <c r="BU313" i="8"/>
  <c r="BU438" i="8" s="1"/>
  <c r="BU539" i="8"/>
  <c r="BU566" i="8"/>
  <c r="BU562" i="8"/>
  <c r="BU550" i="8"/>
  <c r="BU554" i="8"/>
  <c r="BU532" i="8"/>
  <c r="BU237" i="8"/>
  <c r="BQ613" i="8"/>
  <c r="BR613" i="8"/>
  <c r="BN506" i="8"/>
  <c r="S729" i="8"/>
  <c r="S730" i="8"/>
  <c r="S330" i="8"/>
  <c r="P330" i="8"/>
  <c r="Q330" i="8"/>
  <c r="R330" i="8"/>
  <c r="S705" i="8"/>
  <c r="R697" i="8"/>
  <c r="R698" i="8" s="1"/>
  <c r="Q697" i="8"/>
  <c r="P697" i="8"/>
  <c r="BA104" i="8"/>
  <c r="BB104" i="8"/>
  <c r="BC104" i="8"/>
  <c r="BD104" i="8"/>
  <c r="BE104" i="8"/>
  <c r="BF104" i="8"/>
  <c r="BG104" i="8"/>
  <c r="BH104" i="8"/>
  <c r="BI104" i="8"/>
  <c r="BJ104" i="8"/>
  <c r="BK104" i="8"/>
  <c r="BL104" i="8"/>
  <c r="BM104" i="8"/>
  <c r="AZ104" i="8"/>
  <c r="AG103" i="8"/>
  <c r="AH103" i="8"/>
  <c r="AI103" i="8"/>
  <c r="AF103" i="8"/>
  <c r="I104" i="8"/>
  <c r="H104" i="8"/>
  <c r="H103" i="8"/>
  <c r="H114" i="8" s="1"/>
  <c r="I103" i="8"/>
  <c r="I114" i="8" s="1"/>
  <c r="J103" i="8"/>
  <c r="P525" i="8"/>
  <c r="Q525" i="8"/>
  <c r="P526" i="8"/>
  <c r="P569" i="8" s="1"/>
  <c r="Q526" i="8"/>
  <c r="Q569" i="8" s="1"/>
  <c r="P527" i="8"/>
  <c r="Q527" i="8"/>
  <c r="U527" i="8"/>
  <c r="P528" i="8"/>
  <c r="P573" i="8" s="1"/>
  <c r="Q528" i="8"/>
  <c r="Q573" i="8" s="1"/>
  <c r="P531" i="8"/>
  <c r="Q531" i="8"/>
  <c r="U531" i="8"/>
  <c r="V531" i="8" s="1"/>
  <c r="AY532" i="8"/>
  <c r="AY540" i="8" s="1"/>
  <c r="BC532" i="8"/>
  <c r="BC540" i="8" s="1"/>
  <c r="BD532" i="8"/>
  <c r="BE532" i="8"/>
  <c r="BF532" i="8"/>
  <c r="BG532" i="8"/>
  <c r="BG540" i="8" s="1"/>
  <c r="BH532" i="8"/>
  <c r="BI532" i="8"/>
  <c r="BJ532" i="8"/>
  <c r="BK532" i="8"/>
  <c r="BL532" i="8"/>
  <c r="BM532" i="8"/>
  <c r="BN532" i="8"/>
  <c r="BN540" i="8" s="1"/>
  <c r="BO532" i="8"/>
  <c r="BO540" i="8" s="1"/>
  <c r="BP532" i="8"/>
  <c r="BQ532" i="8"/>
  <c r="BR532" i="8"/>
  <c r="BS532" i="8"/>
  <c r="BT532" i="8"/>
  <c r="H532" i="8"/>
  <c r="I532" i="8"/>
  <c r="J532" i="8"/>
  <c r="K532" i="8"/>
  <c r="L532" i="8"/>
  <c r="M532" i="8"/>
  <c r="N532" i="8"/>
  <c r="O532" i="8"/>
  <c r="R532" i="8"/>
  <c r="R540" i="8" s="1"/>
  <c r="S532" i="8"/>
  <c r="P533" i="8"/>
  <c r="P590" i="8"/>
  <c r="BD534" i="8"/>
  <c r="BE534" i="8"/>
  <c r="BF534" i="8"/>
  <c r="BH534" i="8"/>
  <c r="BI534" i="8"/>
  <c r="BJ534" i="8"/>
  <c r="BL534" i="8"/>
  <c r="BM534" i="8"/>
  <c r="I534" i="8"/>
  <c r="J534" i="8"/>
  <c r="K534" i="8"/>
  <c r="L534" i="8"/>
  <c r="M534" i="8"/>
  <c r="N534" i="8"/>
  <c r="O534" i="8"/>
  <c r="P534" i="8"/>
  <c r="Q534" i="8"/>
  <c r="BD535" i="8"/>
  <c r="BE535" i="8"/>
  <c r="BF535" i="8"/>
  <c r="BH535" i="8"/>
  <c r="BI535" i="8"/>
  <c r="BJ535" i="8"/>
  <c r="H535" i="8"/>
  <c r="I535" i="8"/>
  <c r="J535" i="8"/>
  <c r="K535" i="8"/>
  <c r="L535" i="8"/>
  <c r="M535" i="8"/>
  <c r="P536" i="8"/>
  <c r="P643" i="8" s="1"/>
  <c r="Q536" i="8"/>
  <c r="Q643" i="8" s="1"/>
  <c r="P537" i="8"/>
  <c r="P633" i="8" s="1"/>
  <c r="Q634" i="8" s="1"/>
  <c r="Q641" i="8" s="1"/>
  <c r="Q537" i="8"/>
  <c r="Q633" i="8" s="1"/>
  <c r="R634" i="8" s="1"/>
  <c r="R641" i="8" s="1"/>
  <c r="U537" i="8"/>
  <c r="BD538" i="8"/>
  <c r="BE538" i="8"/>
  <c r="BF538" i="8"/>
  <c r="BH538" i="8"/>
  <c r="BI538" i="8"/>
  <c r="BJ538" i="8"/>
  <c r="BK538" i="8"/>
  <c r="BL538" i="8"/>
  <c r="BM538" i="8"/>
  <c r="I538" i="8"/>
  <c r="J538" i="8"/>
  <c r="K538" i="8"/>
  <c r="L538" i="8"/>
  <c r="M538" i="8"/>
  <c r="N538" i="8"/>
  <c r="O538" i="8"/>
  <c r="P538" i="8"/>
  <c r="Q538" i="8"/>
  <c r="BP539" i="8"/>
  <c r="BQ539" i="8"/>
  <c r="BR539" i="8"/>
  <c r="BS539" i="8"/>
  <c r="BT539" i="8"/>
  <c r="P539" i="8"/>
  <c r="Q539" i="8"/>
  <c r="R539" i="8"/>
  <c r="S539" i="8"/>
  <c r="U539" i="8" s="1"/>
  <c r="V539" i="8" s="1"/>
  <c r="W539" i="8" s="1"/>
  <c r="X539" i="8" s="1"/>
  <c r="Y539" i="8" s="1"/>
  <c r="Z539" i="8" s="1"/>
  <c r="AA539" i="8" s="1"/>
  <c r="AB539" i="8" s="1"/>
  <c r="AC539" i="8" s="1"/>
  <c r="AD539" i="8" s="1"/>
  <c r="P542" i="8"/>
  <c r="Q542" i="8"/>
  <c r="P543" i="8"/>
  <c r="P647" i="8"/>
  <c r="Q543" i="8"/>
  <c r="Q647" i="8"/>
  <c r="Q649" i="8" s="1"/>
  <c r="P545" i="8"/>
  <c r="P651" i="8" s="1"/>
  <c r="Q545" i="8"/>
  <c r="Q651" i="8" s="1"/>
  <c r="P546" i="8"/>
  <c r="P655" i="8" s="1"/>
  <c r="Q546" i="8"/>
  <c r="Q655" i="8" s="1"/>
  <c r="Q657" i="8" s="1"/>
  <c r="P547" i="8"/>
  <c r="P659" i="8"/>
  <c r="Q547" i="8"/>
  <c r="Q659" i="8"/>
  <c r="P548" i="8"/>
  <c r="P663" i="8"/>
  <c r="Q548" i="8"/>
  <c r="Q663" i="8"/>
  <c r="Q665" i="8" s="1"/>
  <c r="AY550" i="8"/>
  <c r="AY554" i="8" s="1"/>
  <c r="BC550" i="8"/>
  <c r="BC554" i="8" s="1"/>
  <c r="BD550" i="8"/>
  <c r="BD554" i="8" s="1"/>
  <c r="BE550" i="8"/>
  <c r="BE554" i="8" s="1"/>
  <c r="BF550" i="8"/>
  <c r="BF554" i="8"/>
  <c r="BG550" i="8"/>
  <c r="BG554" i="8" s="1"/>
  <c r="BH550" i="8"/>
  <c r="BH554" i="8" s="1"/>
  <c r="BI550" i="8"/>
  <c r="BI554" i="8" s="1"/>
  <c r="BJ550" i="8"/>
  <c r="BJ554" i="8" s="1"/>
  <c r="BK550" i="8"/>
  <c r="BK554" i="8" s="1"/>
  <c r="BL550" i="8"/>
  <c r="BL554" i="8" s="1"/>
  <c r="BM550" i="8"/>
  <c r="BM554" i="8" s="1"/>
  <c r="BN550" i="8"/>
  <c r="BN554" i="8"/>
  <c r="BO550" i="8"/>
  <c r="BO554" i="8" s="1"/>
  <c r="BP550" i="8"/>
  <c r="BP554" i="8" s="1"/>
  <c r="BQ550" i="8"/>
  <c r="BQ554" i="8" s="1"/>
  <c r="BR550" i="8"/>
  <c r="BR554" i="8"/>
  <c r="BS550" i="8"/>
  <c r="BS554" i="8" s="1"/>
  <c r="BT550" i="8"/>
  <c r="BT554" i="8" s="1"/>
  <c r="H550" i="8"/>
  <c r="H554" i="8" s="1"/>
  <c r="I550" i="8"/>
  <c r="I554" i="8" s="1"/>
  <c r="J550" i="8"/>
  <c r="J554" i="8" s="1"/>
  <c r="K550" i="8"/>
  <c r="L550" i="8"/>
  <c r="L554" i="8" s="1"/>
  <c r="M550" i="8"/>
  <c r="M554" i="8" s="1"/>
  <c r="N550" i="8"/>
  <c r="N554" i="8" s="1"/>
  <c r="O550" i="8"/>
  <c r="O554" i="8" s="1"/>
  <c r="R550" i="8"/>
  <c r="R554" i="8" s="1"/>
  <c r="S550" i="8"/>
  <c r="S554" i="8" s="1"/>
  <c r="P551" i="8"/>
  <c r="P671" i="8" s="1"/>
  <c r="Q551" i="8"/>
  <c r="Q671" i="8" s="1"/>
  <c r="P552" i="8"/>
  <c r="P675" i="8" s="1"/>
  <c r="P553" i="8"/>
  <c r="Q553" i="8"/>
  <c r="U553" i="8"/>
  <c r="V553" i="8" s="1"/>
  <c r="W553" i="8" s="1"/>
  <c r="X553" i="8" s="1"/>
  <c r="Y553" i="8" s="1"/>
  <c r="Z553" i="8" s="1"/>
  <c r="AA553" i="8" s="1"/>
  <c r="AB553" i="8" s="1"/>
  <c r="AC553" i="8" s="1"/>
  <c r="AD553" i="8" s="1"/>
  <c r="P556" i="8"/>
  <c r="P811" i="8" s="1"/>
  <c r="Q556" i="8"/>
  <c r="P558" i="8"/>
  <c r="Q558" i="8"/>
  <c r="U558" i="8"/>
  <c r="V558" i="8" s="1"/>
  <c r="W558" i="8" s="1"/>
  <c r="X558" i="8" s="1"/>
  <c r="Y558" i="8" s="1"/>
  <c r="Z558" i="8" s="1"/>
  <c r="AA558" i="8" s="1"/>
  <c r="AB558" i="8" s="1"/>
  <c r="AC558" i="8" s="1"/>
  <c r="AD558" i="8" s="1"/>
  <c r="BL559" i="8"/>
  <c r="BL562" i="8"/>
  <c r="BM559" i="8"/>
  <c r="BM562" i="8"/>
  <c r="BN559" i="8"/>
  <c r="BN727" i="8"/>
  <c r="BP559" i="8"/>
  <c r="BQ559" i="8"/>
  <c r="BQ562" i="8" s="1"/>
  <c r="BR559" i="8"/>
  <c r="BR562" i="8" s="1"/>
  <c r="P560" i="8"/>
  <c r="P714" i="8" s="1"/>
  <c r="Q715" i="8" s="1"/>
  <c r="Q560" i="8"/>
  <c r="AY562" i="8"/>
  <c r="BC562" i="8"/>
  <c r="BD562" i="8"/>
  <c r="BE562" i="8"/>
  <c r="BF562" i="8"/>
  <c r="BG562" i="8"/>
  <c r="BH562" i="8"/>
  <c r="BI562" i="8"/>
  <c r="BJ562" i="8"/>
  <c r="BK562" i="8"/>
  <c r="BN562" i="8"/>
  <c r="BO562" i="8"/>
  <c r="BS562" i="8"/>
  <c r="BT562" i="8"/>
  <c r="H562" i="8"/>
  <c r="I562" i="8"/>
  <c r="J562" i="8"/>
  <c r="K562" i="8"/>
  <c r="L562" i="8"/>
  <c r="M562" i="8"/>
  <c r="N562" i="8"/>
  <c r="O562" i="8"/>
  <c r="R562" i="8"/>
  <c r="S562" i="8"/>
  <c r="BC566" i="8"/>
  <c r="BD566" i="8"/>
  <c r="BE566" i="8"/>
  <c r="BF566" i="8"/>
  <c r="BG566" i="8"/>
  <c r="BH566" i="8"/>
  <c r="BI566" i="8"/>
  <c r="BJ566" i="8"/>
  <c r="BK566" i="8"/>
  <c r="BL566" i="8"/>
  <c r="BM566" i="8"/>
  <c r="BN566" i="8"/>
  <c r="BO566" i="8"/>
  <c r="BP566" i="8"/>
  <c r="BQ566" i="8"/>
  <c r="BR566" i="8"/>
  <c r="BS566" i="8"/>
  <c r="BT566" i="8"/>
  <c r="N566" i="8"/>
  <c r="O566" i="8"/>
  <c r="R566" i="8"/>
  <c r="S566" i="8"/>
  <c r="AY569" i="8"/>
  <c r="BC569" i="8"/>
  <c r="BD569" i="8"/>
  <c r="BE569" i="8"/>
  <c r="BF569" i="8"/>
  <c r="BG569" i="8"/>
  <c r="BH569" i="8"/>
  <c r="BI569" i="8"/>
  <c r="BJ569" i="8"/>
  <c r="BK569" i="8"/>
  <c r="BL569" i="8"/>
  <c r="BM569" i="8"/>
  <c r="BN569" i="8"/>
  <c r="BO569" i="8"/>
  <c r="BP569" i="8"/>
  <c r="BQ569" i="8"/>
  <c r="BR569" i="8"/>
  <c r="BS569" i="8"/>
  <c r="BT569" i="8"/>
  <c r="H569" i="8"/>
  <c r="I569" i="8"/>
  <c r="J569" i="8"/>
  <c r="K569" i="8"/>
  <c r="L569" i="8"/>
  <c r="M569" i="8"/>
  <c r="N569" i="8"/>
  <c r="O569" i="8"/>
  <c r="R569" i="8"/>
  <c r="S569" i="8"/>
  <c r="T570" i="8" s="1"/>
  <c r="AY573" i="8"/>
  <c r="BC573" i="8"/>
  <c r="BD573" i="8"/>
  <c r="BE573" i="8"/>
  <c r="BF573" i="8"/>
  <c r="BG573" i="8"/>
  <c r="BH573" i="8"/>
  <c r="BI573" i="8"/>
  <c r="BJ573" i="8"/>
  <c r="BK573" i="8"/>
  <c r="BL573" i="8"/>
  <c r="BM573" i="8"/>
  <c r="BN573" i="8"/>
  <c r="BO573" i="8"/>
  <c r="BP573" i="8"/>
  <c r="BQ573" i="8"/>
  <c r="BR573" i="8"/>
  <c r="BS573" i="8"/>
  <c r="BT573" i="8"/>
  <c r="H573" i="8"/>
  <c r="I573" i="8"/>
  <c r="J573" i="8"/>
  <c r="K573" i="8"/>
  <c r="L573" i="8"/>
  <c r="M573" i="8"/>
  <c r="N573" i="8"/>
  <c r="O573" i="8"/>
  <c r="R573" i="8"/>
  <c r="S573" i="8"/>
  <c r="AY577" i="8"/>
  <c r="BC577" i="8"/>
  <c r="BD577" i="8"/>
  <c r="BE577" i="8"/>
  <c r="BF577" i="8"/>
  <c r="BG577" i="8"/>
  <c r="BH577" i="8"/>
  <c r="BI577" i="8"/>
  <c r="BI578" i="8" s="1"/>
  <c r="BJ577" i="8"/>
  <c r="BK577" i="8"/>
  <c r="BL577" i="8"/>
  <c r="BM577" i="8"/>
  <c r="BN577" i="8"/>
  <c r="BO577" i="8"/>
  <c r="BP577" i="8"/>
  <c r="BQ577" i="8"/>
  <c r="BR577" i="8"/>
  <c r="BS577" i="8"/>
  <c r="BT577" i="8"/>
  <c r="H577" i="8"/>
  <c r="I577" i="8"/>
  <c r="J577" i="8"/>
  <c r="K577" i="8"/>
  <c r="L577" i="8"/>
  <c r="M577" i="8"/>
  <c r="N577" i="8"/>
  <c r="O577" i="8"/>
  <c r="P577" i="8"/>
  <c r="Q577" i="8"/>
  <c r="R577" i="8"/>
  <c r="S577" i="8"/>
  <c r="AY590" i="8"/>
  <c r="BC590" i="8"/>
  <c r="BD590" i="8"/>
  <c r="BE590" i="8"/>
  <c r="BF590" i="8"/>
  <c r="BG590" i="8"/>
  <c r="BH590" i="8"/>
  <c r="BI590" i="8"/>
  <c r="BJ590" i="8"/>
  <c r="BK590" i="8"/>
  <c r="BL590" i="8"/>
  <c r="BM590" i="8"/>
  <c r="BN590" i="8"/>
  <c r="BO590" i="8"/>
  <c r="BP590" i="8"/>
  <c r="BQ590" i="8"/>
  <c r="BR590" i="8"/>
  <c r="BS590" i="8"/>
  <c r="BT590" i="8"/>
  <c r="H590" i="8"/>
  <c r="I590" i="8"/>
  <c r="J590" i="8"/>
  <c r="K590" i="8"/>
  <c r="L590" i="8"/>
  <c r="M590" i="8"/>
  <c r="N590" i="8"/>
  <c r="O590" i="8"/>
  <c r="Q590" i="8"/>
  <c r="R590" i="8"/>
  <c r="S590" i="8"/>
  <c r="N610" i="8"/>
  <c r="O610" i="8"/>
  <c r="P610" i="8"/>
  <c r="BS613" i="8"/>
  <c r="BT613" i="8"/>
  <c r="N613" i="8"/>
  <c r="N614" i="8" s="1"/>
  <c r="N619" i="8" s="1"/>
  <c r="O613" i="8"/>
  <c r="O614" i="8" s="1"/>
  <c r="O619" i="8" s="1"/>
  <c r="P613" i="8"/>
  <c r="P614" i="8"/>
  <c r="P619" i="8" s="1"/>
  <c r="Q613" i="8"/>
  <c r="Q614" i="8" s="1"/>
  <c r="Q619" i="8" s="1"/>
  <c r="R613" i="8"/>
  <c r="S613" i="8"/>
  <c r="H614" i="8"/>
  <c r="H619" i="8" s="1"/>
  <c r="I614" i="8"/>
  <c r="I619" i="8" s="1"/>
  <c r="J614" i="8"/>
  <c r="J619" i="8" s="1"/>
  <c r="K614" i="8"/>
  <c r="K619" i="8" s="1"/>
  <c r="L614" i="8"/>
  <c r="L619" i="8" s="1"/>
  <c r="M614" i="8"/>
  <c r="M619" i="8" s="1"/>
  <c r="Y619" i="8"/>
  <c r="Z619" i="8" s="1"/>
  <c r="AA619" i="8" s="1"/>
  <c r="AB619" i="8" s="1"/>
  <c r="AC619" i="8" s="1"/>
  <c r="R621" i="8"/>
  <c r="R623" i="8" s="1"/>
  <c r="S621" i="8"/>
  <c r="S622" i="8"/>
  <c r="BD623" i="8"/>
  <c r="BE623" i="8"/>
  <c r="BF623" i="8"/>
  <c r="BG623" i="8"/>
  <c r="I623" i="8"/>
  <c r="J623" i="8"/>
  <c r="K623" i="8"/>
  <c r="L623" i="8"/>
  <c r="M623" i="8"/>
  <c r="N623" i="8"/>
  <c r="O623" i="8"/>
  <c r="P623" i="8"/>
  <c r="Q623" i="8"/>
  <c r="I627" i="8"/>
  <c r="J627" i="8"/>
  <c r="K627" i="8"/>
  <c r="L627" i="8"/>
  <c r="M627" i="8"/>
  <c r="N627" i="8"/>
  <c r="O627" i="8"/>
  <c r="P627" i="8"/>
  <c r="Q627" i="8"/>
  <c r="R629" i="8"/>
  <c r="S629" i="8"/>
  <c r="AF630" i="8"/>
  <c r="AG630" i="8"/>
  <c r="AH630" i="8"/>
  <c r="AI630" i="8"/>
  <c r="AJ630" i="8"/>
  <c r="AK630" i="8"/>
  <c r="AL630" i="8"/>
  <c r="AM630" i="8"/>
  <c r="AN630" i="8"/>
  <c r="AO630" i="8"/>
  <c r="AP630" i="8"/>
  <c r="AQ630" i="8"/>
  <c r="AR630" i="8"/>
  <c r="AS630" i="8"/>
  <c r="AT630" i="8"/>
  <c r="AU630" i="8"/>
  <c r="AV630" i="8"/>
  <c r="AW630" i="8"/>
  <c r="AX630" i="8"/>
  <c r="AY630" i="8"/>
  <c r="AZ630" i="8"/>
  <c r="BA630" i="8"/>
  <c r="BB630" i="8"/>
  <c r="BC630" i="8"/>
  <c r="BD630" i="8"/>
  <c r="BE630" i="8"/>
  <c r="BF630" i="8"/>
  <c r="BG630" i="8"/>
  <c r="I630" i="8"/>
  <c r="J630" i="8"/>
  <c r="K630" i="8"/>
  <c r="L630" i="8"/>
  <c r="M630" i="8"/>
  <c r="N630" i="8"/>
  <c r="O630" i="8"/>
  <c r="P630" i="8"/>
  <c r="Q630" i="8"/>
  <c r="R630" i="8" s="1"/>
  <c r="AF631" i="8"/>
  <c r="AG631" i="8"/>
  <c r="AH631" i="8"/>
  <c r="AI631" i="8"/>
  <c r="AJ631" i="8"/>
  <c r="AK631" i="8"/>
  <c r="AL631" i="8"/>
  <c r="AM631" i="8"/>
  <c r="AN631" i="8"/>
  <c r="AO631" i="8"/>
  <c r="AP631" i="8"/>
  <c r="AQ631" i="8"/>
  <c r="AR631" i="8"/>
  <c r="AS631" i="8"/>
  <c r="AT631" i="8"/>
  <c r="AU631" i="8"/>
  <c r="AV631" i="8"/>
  <c r="AW631" i="8"/>
  <c r="AX631" i="8"/>
  <c r="AY631" i="8"/>
  <c r="AZ631" i="8"/>
  <c r="BA631" i="8"/>
  <c r="BB631" i="8"/>
  <c r="BC631" i="8"/>
  <c r="I631" i="8"/>
  <c r="J631" i="8"/>
  <c r="K631" i="8"/>
  <c r="L631" i="8"/>
  <c r="M631" i="8"/>
  <c r="N631" i="8"/>
  <c r="O631" i="8"/>
  <c r="P631" i="8"/>
  <c r="Q631" i="8"/>
  <c r="AF633" i="8"/>
  <c r="AG633" i="8"/>
  <c r="AH633" i="8"/>
  <c r="AI633" i="8"/>
  <c r="AJ633" i="8"/>
  <c r="AK633" i="8"/>
  <c r="AL633" i="8"/>
  <c r="AM633" i="8"/>
  <c r="AN633" i="8"/>
  <c r="AO633" i="8"/>
  <c r="AP633" i="8"/>
  <c r="AQ633" i="8"/>
  <c r="AR633" i="8"/>
  <c r="AS633" i="8"/>
  <c r="AT633" i="8"/>
  <c r="AU633" i="8"/>
  <c r="AV633" i="8"/>
  <c r="AW633" i="8"/>
  <c r="AX633" i="8"/>
  <c r="AY633" i="8"/>
  <c r="AZ633" i="8"/>
  <c r="BA633" i="8"/>
  <c r="BB633" i="8"/>
  <c r="BC633" i="8"/>
  <c r="BD633" i="8"/>
  <c r="BE633" i="8"/>
  <c r="BF633" i="8"/>
  <c r="BG633" i="8"/>
  <c r="BH633" i="8"/>
  <c r="BI633" i="8"/>
  <c r="BJ633" i="8"/>
  <c r="BK633" i="8"/>
  <c r="BL633" i="8"/>
  <c r="BM633" i="8"/>
  <c r="BN633" i="8"/>
  <c r="BO633" i="8"/>
  <c r="BP633" i="8"/>
  <c r="BQ633" i="8"/>
  <c r="BR633" i="8"/>
  <c r="BS633" i="8"/>
  <c r="BT633" i="8"/>
  <c r="C633" i="8"/>
  <c r="D633" i="8"/>
  <c r="E633" i="8"/>
  <c r="F633" i="8"/>
  <c r="G633" i="8"/>
  <c r="H633" i="8"/>
  <c r="I633" i="8"/>
  <c r="J633" i="8"/>
  <c r="K633" i="8"/>
  <c r="L633" i="8"/>
  <c r="M633" i="8"/>
  <c r="N633" i="8"/>
  <c r="O633" i="8"/>
  <c r="R633" i="8"/>
  <c r="AF643" i="8"/>
  <c r="AG643" i="8"/>
  <c r="AH643" i="8"/>
  <c r="AI643" i="8"/>
  <c r="AJ643" i="8"/>
  <c r="AK643" i="8"/>
  <c r="AL643" i="8"/>
  <c r="AM643" i="8"/>
  <c r="AN643" i="8"/>
  <c r="AO643" i="8"/>
  <c r="AP643" i="8"/>
  <c r="AQ643" i="8"/>
  <c r="AR643" i="8"/>
  <c r="AS643" i="8"/>
  <c r="AT643" i="8"/>
  <c r="AU643" i="8"/>
  <c r="AV643" i="8"/>
  <c r="AW643" i="8"/>
  <c r="AX643" i="8"/>
  <c r="AY643" i="8"/>
  <c r="AZ643" i="8"/>
  <c r="BA643" i="8"/>
  <c r="BB643" i="8"/>
  <c r="BC643" i="8"/>
  <c r="BD643" i="8"/>
  <c r="BE643" i="8"/>
  <c r="BF643" i="8"/>
  <c r="BG643" i="8"/>
  <c r="BH643" i="8"/>
  <c r="BI643" i="8"/>
  <c r="BJ643" i="8"/>
  <c r="BK643" i="8"/>
  <c r="BL643" i="8"/>
  <c r="BM643" i="8"/>
  <c r="BN643" i="8"/>
  <c r="BO643" i="8"/>
  <c r="BP643" i="8"/>
  <c r="BQ643" i="8"/>
  <c r="BR643" i="8"/>
  <c r="BS643" i="8"/>
  <c r="BT643" i="8"/>
  <c r="C643" i="8"/>
  <c r="D643" i="8"/>
  <c r="E643" i="8"/>
  <c r="F643" i="8"/>
  <c r="G643" i="8"/>
  <c r="H643" i="8"/>
  <c r="I643" i="8"/>
  <c r="J643" i="8"/>
  <c r="K643" i="8"/>
  <c r="L643" i="8"/>
  <c r="M643" i="8"/>
  <c r="N643" i="8"/>
  <c r="O643" i="8"/>
  <c r="R643" i="8"/>
  <c r="S643" i="8"/>
  <c r="AF647" i="8"/>
  <c r="AG647" i="8"/>
  <c r="AH647" i="8"/>
  <c r="AI647" i="8"/>
  <c r="AJ647" i="8"/>
  <c r="AK647" i="8"/>
  <c r="AL647" i="8"/>
  <c r="AM647" i="8"/>
  <c r="AN647" i="8"/>
  <c r="AO647" i="8"/>
  <c r="AP647" i="8"/>
  <c r="AQ647" i="8"/>
  <c r="AR647" i="8"/>
  <c r="AS647" i="8"/>
  <c r="AT647" i="8"/>
  <c r="AU647" i="8"/>
  <c r="AV647" i="8"/>
  <c r="AW647" i="8"/>
  <c r="AX647" i="8"/>
  <c r="AY647" i="8"/>
  <c r="AZ647" i="8"/>
  <c r="BA647" i="8"/>
  <c r="BB647" i="8"/>
  <c r="BC647" i="8"/>
  <c r="BD647" i="8"/>
  <c r="BE647" i="8"/>
  <c r="BF647" i="8"/>
  <c r="BG647" i="8"/>
  <c r="BH647" i="8"/>
  <c r="BI647" i="8"/>
  <c r="BJ647" i="8"/>
  <c r="BK647" i="8"/>
  <c r="BL647" i="8"/>
  <c r="BM647" i="8"/>
  <c r="BN647" i="8"/>
  <c r="BO647" i="8"/>
  <c r="BP647" i="8"/>
  <c r="BQ647" i="8"/>
  <c r="BR647" i="8"/>
  <c r="BS647" i="8"/>
  <c r="BT647" i="8"/>
  <c r="C647" i="8"/>
  <c r="D647" i="8"/>
  <c r="E647" i="8"/>
  <c r="F647" i="8"/>
  <c r="G647" i="8"/>
  <c r="H647" i="8"/>
  <c r="I647" i="8"/>
  <c r="J647" i="8"/>
  <c r="K647" i="8"/>
  <c r="L647" i="8"/>
  <c r="M647" i="8"/>
  <c r="N647" i="8"/>
  <c r="N649" i="8" s="1"/>
  <c r="O647" i="8"/>
  <c r="O649" i="8" s="1"/>
  <c r="R647" i="8"/>
  <c r="S647" i="8"/>
  <c r="V649" i="8"/>
  <c r="W649" i="8" s="1"/>
  <c r="X649" i="8" s="1"/>
  <c r="Y649" i="8" s="1"/>
  <c r="Z649" i="8" s="1"/>
  <c r="AA649" i="8" s="1"/>
  <c r="AB649" i="8" s="1"/>
  <c r="AC649" i="8" s="1"/>
  <c r="AD649" i="8" s="1"/>
  <c r="AF651" i="8"/>
  <c r="AG651" i="8"/>
  <c r="AH651" i="8"/>
  <c r="AI651" i="8"/>
  <c r="AJ651" i="8"/>
  <c r="AK651" i="8"/>
  <c r="AL651" i="8"/>
  <c r="AM651" i="8"/>
  <c r="AN651" i="8"/>
  <c r="AO651" i="8"/>
  <c r="AP651" i="8"/>
  <c r="AQ651" i="8"/>
  <c r="AR651" i="8"/>
  <c r="AS651" i="8"/>
  <c r="AT651" i="8"/>
  <c r="AU651" i="8"/>
  <c r="AV651" i="8"/>
  <c r="AW651" i="8"/>
  <c r="AX651" i="8"/>
  <c r="AY651" i="8"/>
  <c r="AZ651" i="8"/>
  <c r="BA651" i="8"/>
  <c r="BB651" i="8"/>
  <c r="BC651" i="8"/>
  <c r="BD651" i="8"/>
  <c r="BE651" i="8"/>
  <c r="BF651" i="8"/>
  <c r="BG651" i="8"/>
  <c r="BH651" i="8"/>
  <c r="BI651" i="8"/>
  <c r="BJ651" i="8"/>
  <c r="BK651" i="8"/>
  <c r="BL651" i="8"/>
  <c r="BM651" i="8"/>
  <c r="BN651" i="8"/>
  <c r="BO651" i="8"/>
  <c r="BP651" i="8"/>
  <c r="BQ651" i="8"/>
  <c r="BR651" i="8"/>
  <c r="BS651" i="8"/>
  <c r="BT651" i="8"/>
  <c r="C651" i="8"/>
  <c r="C653" i="8" s="1"/>
  <c r="D651" i="8"/>
  <c r="D653" i="8" s="1"/>
  <c r="E651" i="8"/>
  <c r="E653" i="8" s="1"/>
  <c r="F651" i="8"/>
  <c r="F653" i="8" s="1"/>
  <c r="G651" i="8"/>
  <c r="G653" i="8" s="1"/>
  <c r="H651" i="8"/>
  <c r="I651" i="8"/>
  <c r="J651" i="8"/>
  <c r="K651" i="8"/>
  <c r="L651" i="8"/>
  <c r="M651" i="8"/>
  <c r="N651" i="8"/>
  <c r="O651" i="8"/>
  <c r="R651" i="8"/>
  <c r="S651" i="8"/>
  <c r="AF655" i="8"/>
  <c r="AG655" i="8"/>
  <c r="AH655" i="8"/>
  <c r="AI655" i="8"/>
  <c r="AJ655" i="8"/>
  <c r="AK655" i="8"/>
  <c r="AL655" i="8"/>
  <c r="AM655" i="8"/>
  <c r="AN655" i="8"/>
  <c r="AO655" i="8"/>
  <c r="AP655" i="8"/>
  <c r="AQ655" i="8"/>
  <c r="AR655" i="8"/>
  <c r="AS655" i="8"/>
  <c r="AT655" i="8"/>
  <c r="AU655" i="8"/>
  <c r="AV655" i="8"/>
  <c r="AW655" i="8"/>
  <c r="AX655" i="8"/>
  <c r="AY655" i="8"/>
  <c r="AZ655" i="8"/>
  <c r="BA655" i="8"/>
  <c r="BB655" i="8"/>
  <c r="BC655" i="8"/>
  <c r="BD655" i="8"/>
  <c r="BE655" i="8"/>
  <c r="BF655" i="8"/>
  <c r="BG655" i="8"/>
  <c r="BH655" i="8"/>
  <c r="BI655" i="8"/>
  <c r="BJ655" i="8"/>
  <c r="BK655" i="8"/>
  <c r="BL655" i="8"/>
  <c r="BM655" i="8"/>
  <c r="BN655" i="8"/>
  <c r="BO655" i="8"/>
  <c r="BP655" i="8"/>
  <c r="BQ655" i="8"/>
  <c r="BR655" i="8"/>
  <c r="BS655" i="8"/>
  <c r="BT655" i="8"/>
  <c r="C655" i="8"/>
  <c r="D655" i="8"/>
  <c r="E655" i="8"/>
  <c r="F655" i="8"/>
  <c r="G655" i="8"/>
  <c r="H655" i="8"/>
  <c r="I655" i="8"/>
  <c r="J655" i="8"/>
  <c r="K655" i="8"/>
  <c r="L655" i="8"/>
  <c r="M655" i="8"/>
  <c r="N655" i="8"/>
  <c r="N657" i="8" s="1"/>
  <c r="O655" i="8"/>
  <c r="O657" i="8" s="1"/>
  <c r="R655" i="8"/>
  <c r="R657" i="8" s="1"/>
  <c r="S655" i="8"/>
  <c r="X657" i="8"/>
  <c r="AA657" i="8"/>
  <c r="AB657" i="8" s="1"/>
  <c r="AC657" i="8" s="1"/>
  <c r="AD657" i="8" s="1"/>
  <c r="AF659" i="8"/>
  <c r="AG659" i="8"/>
  <c r="AH659" i="8"/>
  <c r="AI659" i="8"/>
  <c r="AJ659" i="8"/>
  <c r="AK659" i="8"/>
  <c r="AL659" i="8"/>
  <c r="AM659" i="8"/>
  <c r="AN659" i="8"/>
  <c r="AO659" i="8"/>
  <c r="AP659" i="8"/>
  <c r="AQ659" i="8"/>
  <c r="AR659" i="8"/>
  <c r="AS659" i="8"/>
  <c r="AT659" i="8"/>
  <c r="AU659" i="8"/>
  <c r="AV659" i="8"/>
  <c r="AW659" i="8"/>
  <c r="AX659" i="8"/>
  <c r="AY659" i="8"/>
  <c r="AZ659" i="8"/>
  <c r="BA659" i="8"/>
  <c r="BB659" i="8"/>
  <c r="BC659" i="8"/>
  <c r="BD659" i="8"/>
  <c r="BE659" i="8"/>
  <c r="BF659" i="8"/>
  <c r="BG659" i="8"/>
  <c r="BH659" i="8"/>
  <c r="BI659" i="8"/>
  <c r="BJ659" i="8"/>
  <c r="BK659" i="8"/>
  <c r="BL659" i="8"/>
  <c r="BM659" i="8"/>
  <c r="BN659" i="8"/>
  <c r="BO659" i="8"/>
  <c r="BP659" i="8"/>
  <c r="BQ659" i="8"/>
  <c r="BR659" i="8"/>
  <c r="BS659" i="8"/>
  <c r="BT659" i="8"/>
  <c r="C659" i="8"/>
  <c r="D659" i="8"/>
  <c r="E659" i="8"/>
  <c r="F659" i="8"/>
  <c r="G659" i="8"/>
  <c r="H659" i="8"/>
  <c r="I659" i="8"/>
  <c r="J659" i="8"/>
  <c r="K659" i="8"/>
  <c r="L659" i="8"/>
  <c r="M659" i="8"/>
  <c r="N659" i="8"/>
  <c r="O659" i="8"/>
  <c r="R659" i="8"/>
  <c r="S659" i="8"/>
  <c r="AF663" i="8"/>
  <c r="AG663" i="8"/>
  <c r="AH663" i="8"/>
  <c r="AI663" i="8"/>
  <c r="AJ663" i="8"/>
  <c r="AK663" i="8"/>
  <c r="AL663" i="8"/>
  <c r="AM663" i="8"/>
  <c r="AN663" i="8"/>
  <c r="AO663" i="8"/>
  <c r="AP663" i="8"/>
  <c r="AQ663" i="8"/>
  <c r="AR663" i="8"/>
  <c r="AS663" i="8"/>
  <c r="AT663" i="8"/>
  <c r="AU663" i="8"/>
  <c r="AV663" i="8"/>
  <c r="AW663" i="8"/>
  <c r="AX663" i="8"/>
  <c r="AY663" i="8"/>
  <c r="AZ663" i="8"/>
  <c r="BA663" i="8"/>
  <c r="BB663" i="8"/>
  <c r="BC663" i="8"/>
  <c r="BD663" i="8"/>
  <c r="BE663" i="8"/>
  <c r="BF663" i="8"/>
  <c r="BG663" i="8"/>
  <c r="BH663" i="8"/>
  <c r="BI663" i="8"/>
  <c r="BJ663" i="8"/>
  <c r="BK663" i="8"/>
  <c r="BL663" i="8"/>
  <c r="BM663" i="8"/>
  <c r="BN663" i="8"/>
  <c r="BO663" i="8"/>
  <c r="BP663" i="8"/>
  <c r="BQ663" i="8"/>
  <c r="BR663" i="8"/>
  <c r="BS663" i="8"/>
  <c r="BT663" i="8"/>
  <c r="C663" i="8"/>
  <c r="D663" i="8"/>
  <c r="E663" i="8"/>
  <c r="F663" i="8"/>
  <c r="G663" i="8"/>
  <c r="H663" i="8"/>
  <c r="I663" i="8"/>
  <c r="J663" i="8"/>
  <c r="K663" i="8"/>
  <c r="L663" i="8"/>
  <c r="M663" i="8"/>
  <c r="N663" i="8"/>
  <c r="O663" i="8"/>
  <c r="R663" i="8"/>
  <c r="R665" i="8" s="1"/>
  <c r="S663" i="8"/>
  <c r="AF667" i="8"/>
  <c r="AF669" i="8" s="1"/>
  <c r="AG667" i="8"/>
  <c r="AG669" i="8" s="1"/>
  <c r="AH667" i="8"/>
  <c r="AH669" i="8" s="1"/>
  <c r="AI667" i="8"/>
  <c r="AI669" i="8" s="1"/>
  <c r="AJ667" i="8"/>
  <c r="AJ669" i="8" s="1"/>
  <c r="AK667" i="8"/>
  <c r="AK669" i="8" s="1"/>
  <c r="AL667" i="8"/>
  <c r="AL669" i="8" s="1"/>
  <c r="AM667" i="8"/>
  <c r="AM669" i="8" s="1"/>
  <c r="AN667" i="8"/>
  <c r="AN669" i="8" s="1"/>
  <c r="AO667" i="8"/>
  <c r="AO669" i="8" s="1"/>
  <c r="AP667" i="8"/>
  <c r="AP669" i="8" s="1"/>
  <c r="AQ667" i="8"/>
  <c r="AQ669" i="8" s="1"/>
  <c r="AR667" i="8"/>
  <c r="AR669" i="8" s="1"/>
  <c r="AS667" i="8"/>
  <c r="AS669" i="8" s="1"/>
  <c r="AT667" i="8"/>
  <c r="AT669" i="8" s="1"/>
  <c r="AU667" i="8"/>
  <c r="AU669" i="8" s="1"/>
  <c r="AV667" i="8"/>
  <c r="AV669" i="8" s="1"/>
  <c r="AW667" i="8"/>
  <c r="AW669" i="8" s="1"/>
  <c r="AX667" i="8"/>
  <c r="AX669" i="8" s="1"/>
  <c r="AY667" i="8"/>
  <c r="AY669" i="8" s="1"/>
  <c r="AZ667" i="8"/>
  <c r="AZ669" i="8" s="1"/>
  <c r="BA667" i="8"/>
  <c r="BA669" i="8" s="1"/>
  <c r="BB667" i="8"/>
  <c r="BB669" i="8" s="1"/>
  <c r="BC667" i="8"/>
  <c r="BC669" i="8" s="1"/>
  <c r="BD667" i="8"/>
  <c r="BD669" i="8" s="1"/>
  <c r="BE667" i="8"/>
  <c r="BE669" i="8" s="1"/>
  <c r="BF667" i="8"/>
  <c r="BF669" i="8" s="1"/>
  <c r="BG667" i="8"/>
  <c r="BG669" i="8" s="1"/>
  <c r="BH667" i="8"/>
  <c r="BH669" i="8" s="1"/>
  <c r="BI667" i="8"/>
  <c r="BI669" i="8" s="1"/>
  <c r="BJ667" i="8"/>
  <c r="BJ669" i="8" s="1"/>
  <c r="BK667" i="8"/>
  <c r="BK669" i="8" s="1"/>
  <c r="BL667" i="8"/>
  <c r="BL669" i="8" s="1"/>
  <c r="BM667" i="8"/>
  <c r="BM669" i="8" s="1"/>
  <c r="BN667" i="8"/>
  <c r="BN669" i="8" s="1"/>
  <c r="BO667" i="8"/>
  <c r="BO669" i="8" s="1"/>
  <c r="BP667" i="8"/>
  <c r="BP669" i="8" s="1"/>
  <c r="BQ667" i="8"/>
  <c r="BQ669" i="8" s="1"/>
  <c r="BR667" i="8"/>
  <c r="BR669" i="8" s="1"/>
  <c r="BS667" i="8"/>
  <c r="BS669" i="8" s="1"/>
  <c r="BT667" i="8"/>
  <c r="BT669" i="8" s="1"/>
  <c r="C667" i="8"/>
  <c r="C669" i="8" s="1"/>
  <c r="D667" i="8"/>
  <c r="D669" i="8" s="1"/>
  <c r="E667" i="8"/>
  <c r="E669" i="8" s="1"/>
  <c r="F667" i="8"/>
  <c r="F669" i="8" s="1"/>
  <c r="G667" i="8"/>
  <c r="G669" i="8" s="1"/>
  <c r="H667" i="8"/>
  <c r="H669" i="8" s="1"/>
  <c r="I667" i="8"/>
  <c r="I669" i="8" s="1"/>
  <c r="J667" i="8"/>
  <c r="J669" i="8" s="1"/>
  <c r="K667" i="8"/>
  <c r="K669" i="8" s="1"/>
  <c r="L667" i="8"/>
  <c r="L669" i="8" s="1"/>
  <c r="M667" i="8"/>
  <c r="M669" i="8" s="1"/>
  <c r="N667" i="8"/>
  <c r="O667" i="8"/>
  <c r="P667" i="8"/>
  <c r="P669" i="8" s="1"/>
  <c r="Q667" i="8"/>
  <c r="Q669" i="8" s="1"/>
  <c r="R667" i="8"/>
  <c r="S667" i="8"/>
  <c r="AF671" i="8"/>
  <c r="AG671" i="8"/>
  <c r="AH671" i="8"/>
  <c r="AI671" i="8"/>
  <c r="AJ671" i="8"/>
  <c r="AK671" i="8"/>
  <c r="AL671" i="8"/>
  <c r="AM671" i="8"/>
  <c r="AN671" i="8"/>
  <c r="AO671" i="8"/>
  <c r="AP671" i="8"/>
  <c r="AQ671" i="8"/>
  <c r="AR671" i="8"/>
  <c r="AS671" i="8"/>
  <c r="AT671" i="8"/>
  <c r="AU671" i="8"/>
  <c r="AV671" i="8"/>
  <c r="AW671" i="8"/>
  <c r="AX671" i="8"/>
  <c r="AY671" i="8"/>
  <c r="AZ671" i="8"/>
  <c r="BA671" i="8"/>
  <c r="BB671" i="8"/>
  <c r="BC671" i="8"/>
  <c r="BD671" i="8"/>
  <c r="BE671" i="8"/>
  <c r="BF671" i="8"/>
  <c r="BG671" i="8"/>
  <c r="BH671" i="8"/>
  <c r="BI671" i="8"/>
  <c r="BJ671" i="8"/>
  <c r="BK671" i="8"/>
  <c r="BL671" i="8"/>
  <c r="BM671" i="8"/>
  <c r="BN671" i="8"/>
  <c r="BO671" i="8"/>
  <c r="BP671" i="8"/>
  <c r="BQ671" i="8"/>
  <c r="BR671" i="8"/>
  <c r="BS671" i="8"/>
  <c r="BT671" i="8"/>
  <c r="C671" i="8"/>
  <c r="D671" i="8"/>
  <c r="E671" i="8"/>
  <c r="F671" i="8"/>
  <c r="G671" i="8"/>
  <c r="H671" i="8"/>
  <c r="I671" i="8"/>
  <c r="J671" i="8"/>
  <c r="K671" i="8"/>
  <c r="L671" i="8"/>
  <c r="M671" i="8"/>
  <c r="N671" i="8"/>
  <c r="O672" i="8" s="1"/>
  <c r="O671" i="8"/>
  <c r="R671" i="8"/>
  <c r="S671" i="8"/>
  <c r="CH671" i="8"/>
  <c r="CH672" i="8"/>
  <c r="CH673" i="8"/>
  <c r="CH674" i="8"/>
  <c r="AF675" i="8"/>
  <c r="AG675" i="8"/>
  <c r="AH675" i="8"/>
  <c r="AI675" i="8"/>
  <c r="AJ675" i="8"/>
  <c r="AK675" i="8"/>
  <c r="AL675" i="8"/>
  <c r="AM675" i="8"/>
  <c r="AN675" i="8"/>
  <c r="AO675" i="8"/>
  <c r="AP675" i="8"/>
  <c r="AQ675" i="8"/>
  <c r="AR675" i="8"/>
  <c r="AS675" i="8"/>
  <c r="AT675" i="8"/>
  <c r="AU675" i="8"/>
  <c r="AV675" i="8"/>
  <c r="AW675" i="8"/>
  <c r="AX675" i="8"/>
  <c r="AY675" i="8"/>
  <c r="AZ675" i="8"/>
  <c r="BA675" i="8"/>
  <c r="BB675" i="8"/>
  <c r="BC675" i="8"/>
  <c r="BD675" i="8"/>
  <c r="BE675" i="8"/>
  <c r="BF675" i="8"/>
  <c r="BG675" i="8"/>
  <c r="BH675" i="8"/>
  <c r="BI675" i="8"/>
  <c r="BJ675" i="8"/>
  <c r="BK675" i="8"/>
  <c r="BL675" i="8"/>
  <c r="BM675" i="8"/>
  <c r="BN675" i="8"/>
  <c r="BO675" i="8"/>
  <c r="BP675" i="8"/>
  <c r="BQ675" i="8"/>
  <c r="BR675" i="8"/>
  <c r="BS675" i="8"/>
  <c r="BT675" i="8"/>
  <c r="C675" i="8"/>
  <c r="D675" i="8"/>
  <c r="E675" i="8"/>
  <c r="F675" i="8"/>
  <c r="G675" i="8"/>
  <c r="H675" i="8"/>
  <c r="I675" i="8"/>
  <c r="J675" i="8"/>
  <c r="K675" i="8"/>
  <c r="L675" i="8"/>
  <c r="M675" i="8"/>
  <c r="N675" i="8"/>
  <c r="O675" i="8"/>
  <c r="Q675" i="8"/>
  <c r="R675" i="8"/>
  <c r="S675" i="8"/>
  <c r="CH675" i="8"/>
  <c r="CH676" i="8"/>
  <c r="A677" i="8"/>
  <c r="CH677" i="8"/>
  <c r="A678" i="8"/>
  <c r="CH678" i="8"/>
  <c r="A679" i="8"/>
  <c r="CH679" i="8"/>
  <c r="CH680" i="8"/>
  <c r="CH681" i="8"/>
  <c r="CH682" i="8"/>
  <c r="CH683" i="8"/>
  <c r="S684" i="8"/>
  <c r="S686" i="8" s="1"/>
  <c r="CH684" i="8"/>
  <c r="CH685" i="8"/>
  <c r="Q686" i="8"/>
  <c r="R686" i="8"/>
  <c r="CH686" i="8"/>
  <c r="CH687" i="8"/>
  <c r="AF688" i="8"/>
  <c r="AG688" i="8"/>
  <c r="AH688" i="8"/>
  <c r="AI688" i="8"/>
  <c r="AJ688" i="8"/>
  <c r="AK688" i="8"/>
  <c r="AL688" i="8"/>
  <c r="AM688" i="8"/>
  <c r="AN688" i="8"/>
  <c r="AO688" i="8"/>
  <c r="AP688" i="8"/>
  <c r="AQ688" i="8"/>
  <c r="AR688" i="8"/>
  <c r="AS688" i="8"/>
  <c r="AT688" i="8"/>
  <c r="AU688" i="8"/>
  <c r="AV688" i="8"/>
  <c r="AW688" i="8"/>
  <c r="AX688" i="8"/>
  <c r="AY688" i="8"/>
  <c r="AZ688" i="8"/>
  <c r="BA688" i="8"/>
  <c r="BB688" i="8"/>
  <c r="BC688" i="8"/>
  <c r="BD688" i="8"/>
  <c r="BE688" i="8"/>
  <c r="BF688" i="8"/>
  <c r="BG688" i="8"/>
  <c r="BH688" i="8"/>
  <c r="BI688" i="8"/>
  <c r="BJ688" i="8"/>
  <c r="BK688" i="8"/>
  <c r="BL688" i="8"/>
  <c r="BM688" i="8"/>
  <c r="BN688" i="8"/>
  <c r="BO688" i="8"/>
  <c r="BP688" i="8"/>
  <c r="BQ688" i="8"/>
  <c r="BR688" i="8"/>
  <c r="BS688" i="8"/>
  <c r="BT688" i="8"/>
  <c r="N688" i="8"/>
  <c r="O688" i="8"/>
  <c r="P688" i="8"/>
  <c r="Q688" i="8"/>
  <c r="R688" i="8"/>
  <c r="S688" i="8"/>
  <c r="CH688" i="8"/>
  <c r="CH689" i="8"/>
  <c r="T690" i="8"/>
  <c r="U690" i="8" s="1"/>
  <c r="V690" i="8" s="1"/>
  <c r="CH690" i="8"/>
  <c r="T692" i="8"/>
  <c r="U692" i="8" s="1"/>
  <c r="CH692" i="8"/>
  <c r="T693" i="8"/>
  <c r="U693" i="8" s="1"/>
  <c r="V693" i="8" s="1"/>
  <c r="W693" i="8" s="1"/>
  <c r="X693" i="8" s="1"/>
  <c r="Y693" i="8" s="1"/>
  <c r="Z693" i="8" s="1"/>
  <c r="AA693" i="8" s="1"/>
  <c r="AB693" i="8" s="1"/>
  <c r="AC693" i="8" s="1"/>
  <c r="AD693" i="8" s="1"/>
  <c r="T694" i="8"/>
  <c r="U694" i="8" s="1"/>
  <c r="T697" i="8"/>
  <c r="U697" i="8"/>
  <c r="V697" i="8" s="1"/>
  <c r="W697" i="8" s="1"/>
  <c r="X697" i="8" s="1"/>
  <c r="Y697" i="8" s="1"/>
  <c r="Z697" i="8" s="1"/>
  <c r="AA697" i="8" s="1"/>
  <c r="AB697" i="8" s="1"/>
  <c r="AC697" i="8" s="1"/>
  <c r="AD697" i="8" s="1"/>
  <c r="P698" i="8"/>
  <c r="Q698" i="8"/>
  <c r="AF700" i="8"/>
  <c r="AG700" i="8"/>
  <c r="AH700" i="8"/>
  <c r="AI700" i="8"/>
  <c r="AJ700" i="8"/>
  <c r="AK700" i="8"/>
  <c r="AL700" i="8"/>
  <c r="AM700" i="8"/>
  <c r="AN700" i="8"/>
  <c r="AO700" i="8"/>
  <c r="AP700" i="8"/>
  <c r="AQ700" i="8"/>
  <c r="AR700" i="8"/>
  <c r="AS700" i="8"/>
  <c r="AT700" i="8"/>
  <c r="AU700" i="8"/>
  <c r="AV700" i="8"/>
  <c r="AW700" i="8"/>
  <c r="AX700" i="8"/>
  <c r="AY700" i="8"/>
  <c r="AZ700" i="8"/>
  <c r="BA700" i="8"/>
  <c r="BB700" i="8"/>
  <c r="BC700" i="8"/>
  <c r="BD700" i="8"/>
  <c r="BE700" i="8"/>
  <c r="BF700" i="8"/>
  <c r="BG700" i="8"/>
  <c r="BH700" i="8"/>
  <c r="BI700" i="8"/>
  <c r="BJ700" i="8"/>
  <c r="BK700" i="8"/>
  <c r="BL700" i="8"/>
  <c r="BM700" i="8"/>
  <c r="BN700" i="8"/>
  <c r="BO700" i="8"/>
  <c r="BP700" i="8"/>
  <c r="BQ700" i="8"/>
  <c r="BR700" i="8"/>
  <c r="BS700" i="8"/>
  <c r="BT700" i="8"/>
  <c r="C700" i="8"/>
  <c r="D700" i="8"/>
  <c r="E700" i="8"/>
  <c r="F700" i="8"/>
  <c r="G700" i="8"/>
  <c r="H700" i="8"/>
  <c r="I700" i="8"/>
  <c r="J700" i="8"/>
  <c r="K700" i="8"/>
  <c r="L700" i="8"/>
  <c r="M700" i="8"/>
  <c r="N700" i="8"/>
  <c r="O700" i="8"/>
  <c r="P700" i="8"/>
  <c r="Q701" i="8" s="1"/>
  <c r="Q700" i="8"/>
  <c r="R701" i="8" s="1"/>
  <c r="R700" i="8"/>
  <c r="S701" i="8" s="1"/>
  <c r="S700" i="8"/>
  <c r="T701" i="8" s="1"/>
  <c r="T702" i="8"/>
  <c r="U702" i="8" s="1"/>
  <c r="V702" i="8" s="1"/>
  <c r="W702" i="8" s="1"/>
  <c r="X702" i="8" s="1"/>
  <c r="Y702" i="8" s="1"/>
  <c r="Z702" i="8" s="1"/>
  <c r="AA702" i="8" s="1"/>
  <c r="AB702" i="8" s="1"/>
  <c r="AC702" i="8" s="1"/>
  <c r="AD702" i="8" s="1"/>
  <c r="AF714" i="8"/>
  <c r="AG714" i="8"/>
  <c r="AH714" i="8"/>
  <c r="AI714" i="8"/>
  <c r="AJ714" i="8"/>
  <c r="AK714" i="8"/>
  <c r="AL714" i="8"/>
  <c r="AM714" i="8"/>
  <c r="AN714" i="8"/>
  <c r="AO714" i="8"/>
  <c r="AP714" i="8"/>
  <c r="AQ714" i="8"/>
  <c r="AR714" i="8"/>
  <c r="AS714" i="8"/>
  <c r="AT714" i="8"/>
  <c r="AU714" i="8"/>
  <c r="AV714" i="8"/>
  <c r="AW714" i="8"/>
  <c r="AX714" i="8"/>
  <c r="AY714" i="8"/>
  <c r="AZ714" i="8"/>
  <c r="BA714" i="8"/>
  <c r="BB714" i="8"/>
  <c r="BC714" i="8"/>
  <c r="BD714" i="8"/>
  <c r="BE714" i="8"/>
  <c r="BF714" i="8"/>
  <c r="BG714" i="8"/>
  <c r="BH714" i="8"/>
  <c r="BI714" i="8"/>
  <c r="BJ714" i="8"/>
  <c r="BK714" i="8"/>
  <c r="BL714" i="8"/>
  <c r="BM714" i="8"/>
  <c r="BN714" i="8"/>
  <c r="BO714" i="8"/>
  <c r="BP714" i="8"/>
  <c r="BQ714" i="8"/>
  <c r="BR714" i="8"/>
  <c r="BS714" i="8"/>
  <c r="BT714" i="8"/>
  <c r="C714" i="8"/>
  <c r="D714" i="8"/>
  <c r="E714" i="8"/>
  <c r="F714" i="8"/>
  <c r="G714" i="8"/>
  <c r="H714" i="8"/>
  <c r="I714" i="8"/>
  <c r="J714" i="8"/>
  <c r="K714" i="8"/>
  <c r="L714" i="8"/>
  <c r="M714" i="8"/>
  <c r="N715" i="8" s="1"/>
  <c r="N714" i="8"/>
  <c r="O715" i="8" s="1"/>
  <c r="O714" i="8"/>
  <c r="P715" i="8" s="1"/>
  <c r="Q714" i="8"/>
  <c r="R715" i="8" s="1"/>
  <c r="R714" i="8"/>
  <c r="S715" i="8" s="1"/>
  <c r="S714" i="8"/>
  <c r="T715" i="8" s="1"/>
  <c r="T716" i="8"/>
  <c r="U716" i="8" s="1"/>
  <c r="V716" i="8" s="1"/>
  <c r="W716" i="8" s="1"/>
  <c r="X716" i="8" s="1"/>
  <c r="Y716" i="8" s="1"/>
  <c r="Z716" i="8" s="1"/>
  <c r="AA716" i="8" s="1"/>
  <c r="AB716" i="8" s="1"/>
  <c r="AC716" i="8" s="1"/>
  <c r="AD716" i="8" s="1"/>
  <c r="AF720" i="8"/>
  <c r="AG720" i="8"/>
  <c r="AH720" i="8"/>
  <c r="AI720" i="8"/>
  <c r="AJ720" i="8"/>
  <c r="AK720" i="8"/>
  <c r="AL720" i="8"/>
  <c r="AM720" i="8"/>
  <c r="AN720" i="8"/>
  <c r="AO720" i="8"/>
  <c r="AP720" i="8"/>
  <c r="AQ720" i="8"/>
  <c r="AR720" i="8"/>
  <c r="AS720" i="8"/>
  <c r="AT720" i="8"/>
  <c r="AU720" i="8"/>
  <c r="AV720" i="8"/>
  <c r="AW720" i="8"/>
  <c r="AX720" i="8"/>
  <c r="AY720" i="8"/>
  <c r="AZ720" i="8"/>
  <c r="BA720" i="8"/>
  <c r="BB720" i="8"/>
  <c r="BC720" i="8"/>
  <c r="BD720" i="8"/>
  <c r="BE720" i="8"/>
  <c r="BF720" i="8"/>
  <c r="BG720" i="8"/>
  <c r="BH720" i="8"/>
  <c r="BI720" i="8"/>
  <c r="BJ720" i="8"/>
  <c r="BK720" i="8"/>
  <c r="BL720" i="8"/>
  <c r="BM720" i="8"/>
  <c r="BN720" i="8"/>
  <c r="BO720" i="8"/>
  <c r="BP720" i="8"/>
  <c r="BQ720" i="8"/>
  <c r="BR720" i="8"/>
  <c r="BS720" i="8"/>
  <c r="BT720" i="8"/>
  <c r="C720" i="8"/>
  <c r="D720" i="8"/>
  <c r="E720" i="8"/>
  <c r="F720" i="8"/>
  <c r="G720" i="8"/>
  <c r="H720" i="8"/>
  <c r="I720" i="8"/>
  <c r="J720" i="8"/>
  <c r="K720" i="8"/>
  <c r="L720" i="8"/>
  <c r="M720" i="8"/>
  <c r="N721" i="8" s="1"/>
  <c r="N720" i="8"/>
  <c r="O721" i="8" s="1"/>
  <c r="O724" i="8" s="1"/>
  <c r="O725" i="8" s="1"/>
  <c r="O720" i="8"/>
  <c r="P721" i="8" s="1"/>
  <c r="P724" i="8" s="1"/>
  <c r="P725" i="8" s="1"/>
  <c r="P720" i="8"/>
  <c r="Q721" i="8" s="1"/>
  <c r="Q724" i="8" s="1"/>
  <c r="Q725" i="8" s="1"/>
  <c r="Q720" i="8"/>
  <c r="R721" i="8" s="1"/>
  <c r="R724" i="8" s="1"/>
  <c r="R725" i="8" s="1"/>
  <c r="R720" i="8"/>
  <c r="S721" i="8" s="1"/>
  <c r="S724" i="8" s="1"/>
  <c r="S725" i="8" s="1"/>
  <c r="S720" i="8"/>
  <c r="T721" i="8" s="1"/>
  <c r="T724" i="8" s="1"/>
  <c r="AF727" i="8"/>
  <c r="AG727" i="8"/>
  <c r="AH727" i="8"/>
  <c r="AI727" i="8"/>
  <c r="AJ727" i="8"/>
  <c r="AK727" i="8"/>
  <c r="AL727" i="8"/>
  <c r="AM727" i="8"/>
  <c r="AN727" i="8"/>
  <c r="AO727" i="8"/>
  <c r="AP727" i="8"/>
  <c r="AQ727" i="8"/>
  <c r="AR727" i="8"/>
  <c r="AS727" i="8"/>
  <c r="AT727" i="8"/>
  <c r="AU727" i="8"/>
  <c r="AV727" i="8"/>
  <c r="AW727" i="8"/>
  <c r="AX727" i="8"/>
  <c r="AY727" i="8"/>
  <c r="AZ727" i="8"/>
  <c r="BA727" i="8"/>
  <c r="BB727" i="8"/>
  <c r="BC727" i="8"/>
  <c r="BD727" i="8"/>
  <c r="BE727" i="8"/>
  <c r="BF727" i="8"/>
  <c r="BG727" i="8"/>
  <c r="BH727" i="8"/>
  <c r="BI727" i="8"/>
  <c r="BJ727" i="8"/>
  <c r="BK727" i="8"/>
  <c r="BL727" i="8"/>
  <c r="BO727" i="8"/>
  <c r="BQ727" i="8"/>
  <c r="BS727" i="8"/>
  <c r="BT727" i="8"/>
  <c r="C727" i="8"/>
  <c r="D727" i="8"/>
  <c r="E727" i="8"/>
  <c r="F727" i="8"/>
  <c r="G727" i="8"/>
  <c r="H727" i="8"/>
  <c r="I727" i="8"/>
  <c r="J727" i="8"/>
  <c r="K727" i="8"/>
  <c r="L727" i="8"/>
  <c r="M727" i="8"/>
  <c r="N728" i="8" s="1"/>
  <c r="N727" i="8"/>
  <c r="O728" i="8"/>
  <c r="O727" i="8"/>
  <c r="P728" i="8" s="1"/>
  <c r="P727" i="8"/>
  <c r="Q728" i="8" s="1"/>
  <c r="Q727" i="8"/>
  <c r="R728" i="8"/>
  <c r="R727" i="8"/>
  <c r="S728" i="8" s="1"/>
  <c r="S731" i="8" s="1"/>
  <c r="S727" i="8"/>
  <c r="T728" i="8" s="1"/>
  <c r="T731" i="8" s="1"/>
  <c r="N729" i="8"/>
  <c r="O729" i="8"/>
  <c r="P729" i="8"/>
  <c r="Q729" i="8"/>
  <c r="R729" i="8"/>
  <c r="U729" i="8"/>
  <c r="V729" i="8"/>
  <c r="W729" i="8"/>
  <c r="X729" i="8"/>
  <c r="Y729" i="8"/>
  <c r="Z729" i="8"/>
  <c r="AA729" i="8"/>
  <c r="AB729" i="8"/>
  <c r="AC729" i="8"/>
  <c r="AD729" i="8"/>
  <c r="N730" i="8"/>
  <c r="O730" i="8"/>
  <c r="P730" i="8"/>
  <c r="Q730" i="8"/>
  <c r="R730" i="8"/>
  <c r="U730" i="8"/>
  <c r="V730" i="8"/>
  <c r="W730" i="8"/>
  <c r="X730" i="8"/>
  <c r="Y730" i="8"/>
  <c r="Z730" i="8"/>
  <c r="AA730" i="8"/>
  <c r="AB730" i="8"/>
  <c r="AC730" i="8"/>
  <c r="AD730" i="8"/>
  <c r="C738" i="8"/>
  <c r="D738" i="8"/>
  <c r="E738" i="8"/>
  <c r="Q740" i="8"/>
  <c r="R740" i="8"/>
  <c r="S740" i="8"/>
  <c r="T740" i="8"/>
  <c r="U740" i="8"/>
  <c r="V740" i="8"/>
  <c r="W740" i="8"/>
  <c r="X740" i="8"/>
  <c r="Y740" i="8"/>
  <c r="Z740" i="8"/>
  <c r="AA740" i="8"/>
  <c r="AB740" i="8"/>
  <c r="AC740" i="8"/>
  <c r="AD740" i="8"/>
  <c r="T742" i="8"/>
  <c r="U742" i="8" s="1"/>
  <c r="V742" i="8" s="1"/>
  <c r="W742" i="8" s="1"/>
  <c r="X742" i="8" s="1"/>
  <c r="Y742" i="8" s="1"/>
  <c r="Z742" i="8" s="1"/>
  <c r="AA742" i="8" s="1"/>
  <c r="AB742" i="8" s="1"/>
  <c r="AC742" i="8" s="1"/>
  <c r="AD742" i="8" s="1"/>
  <c r="Q743" i="8"/>
  <c r="S743" i="8"/>
  <c r="I747" i="8"/>
  <c r="J747" i="8"/>
  <c r="K747" i="8"/>
  <c r="L747" i="8"/>
  <c r="M747" i="8"/>
  <c r="N747" i="8"/>
  <c r="O747" i="8"/>
  <c r="P747" i="8"/>
  <c r="Q747" i="8"/>
  <c r="C12" i="4" s="1"/>
  <c r="R747" i="8"/>
  <c r="S747" i="8"/>
  <c r="R773" i="8"/>
  <c r="S773" i="8"/>
  <c r="H774" i="8"/>
  <c r="I774" i="8"/>
  <c r="J774" i="8"/>
  <c r="K774" i="8"/>
  <c r="L774" i="8"/>
  <c r="M774" i="8"/>
  <c r="N774" i="8"/>
  <c r="O774" i="8"/>
  <c r="P774" i="8"/>
  <c r="Q774" i="8"/>
  <c r="S777" i="8"/>
  <c r="S789" i="8"/>
  <c r="H791" i="8"/>
  <c r="I791" i="8"/>
  <c r="J791" i="8"/>
  <c r="K791" i="8"/>
  <c r="L791" i="8"/>
  <c r="M791" i="8"/>
  <c r="N791" i="8"/>
  <c r="O791" i="8"/>
  <c r="P791" i="8"/>
  <c r="Q791" i="8"/>
  <c r="R791" i="8"/>
  <c r="T791" i="8"/>
  <c r="U791" i="8"/>
  <c r="V791" i="8"/>
  <c r="W791" i="8"/>
  <c r="X791" i="8"/>
  <c r="Y791" i="8"/>
  <c r="Z791" i="8"/>
  <c r="AA791" i="8"/>
  <c r="AB791" i="8"/>
  <c r="AC791" i="8"/>
  <c r="AD791" i="8"/>
  <c r="R795" i="8"/>
  <c r="S795" i="8"/>
  <c r="AJ799" i="8"/>
  <c r="AK799" i="8"/>
  <c r="AL799" i="8"/>
  <c r="AM799" i="8"/>
  <c r="AN799" i="8"/>
  <c r="AO799" i="8"/>
  <c r="AP799" i="8"/>
  <c r="AQ799" i="8"/>
  <c r="AR799" i="8"/>
  <c r="AS799" i="8"/>
  <c r="AT799" i="8"/>
  <c r="AU799" i="8"/>
  <c r="AV799" i="8"/>
  <c r="AW799" i="8"/>
  <c r="AX799" i="8"/>
  <c r="AY799" i="8"/>
  <c r="AZ799" i="8"/>
  <c r="BA799" i="8"/>
  <c r="BB799" i="8"/>
  <c r="BC799" i="8"/>
  <c r="BD799" i="8"/>
  <c r="BE799" i="8"/>
  <c r="BF799" i="8"/>
  <c r="BG799" i="8"/>
  <c r="BH799" i="8"/>
  <c r="BI799" i="8"/>
  <c r="BJ799" i="8"/>
  <c r="BK799" i="8"/>
  <c r="BL799" i="8"/>
  <c r="BM799" i="8"/>
  <c r="BN799" i="8"/>
  <c r="BO799" i="8"/>
  <c r="BP799" i="8"/>
  <c r="BQ799" i="8"/>
  <c r="BR799" i="8"/>
  <c r="BS799" i="8"/>
  <c r="BT799" i="8"/>
  <c r="BU799" i="8"/>
  <c r="BV799" i="8"/>
  <c r="BW799" i="8"/>
  <c r="AN810" i="8"/>
  <c r="AN811" i="8"/>
  <c r="AO811" i="8"/>
  <c r="AP811" i="8"/>
  <c r="AQ811" i="8"/>
  <c r="AR811" i="8"/>
  <c r="AS811" i="8"/>
  <c r="AT811" i="8"/>
  <c r="AU811" i="8"/>
  <c r="AV811" i="8"/>
  <c r="AW811" i="8"/>
  <c r="AX811" i="8"/>
  <c r="AY811" i="8"/>
  <c r="AZ811" i="8"/>
  <c r="BA811" i="8"/>
  <c r="BB811" i="8"/>
  <c r="BC811" i="8"/>
  <c r="BD811" i="8"/>
  <c r="BE811" i="8"/>
  <c r="BF811" i="8"/>
  <c r="BG811" i="8"/>
  <c r="BH811" i="8"/>
  <c r="BI811" i="8"/>
  <c r="BJ811" i="8"/>
  <c r="BK811" i="8"/>
  <c r="BL811" i="8"/>
  <c r="BM811" i="8"/>
  <c r="BN811" i="8"/>
  <c r="BO811" i="8"/>
  <c r="BP811" i="8"/>
  <c r="BQ811" i="8"/>
  <c r="BR811" i="8"/>
  <c r="BS811" i="8"/>
  <c r="BT811" i="8"/>
  <c r="BU811" i="8"/>
  <c r="BV811" i="8"/>
  <c r="BW811" i="8"/>
  <c r="J811" i="8"/>
  <c r="K811" i="8"/>
  <c r="L811" i="8"/>
  <c r="M811" i="8"/>
  <c r="N811" i="8"/>
  <c r="O811" i="8"/>
  <c r="S811" i="8"/>
  <c r="BM833" i="8"/>
  <c r="BM842" i="8"/>
  <c r="BG850" i="8"/>
  <c r="BB862" i="8"/>
  <c r="BJ876" i="8"/>
  <c r="BM884" i="8"/>
  <c r="R887" i="8"/>
  <c r="CH887" i="8"/>
  <c r="AG5" i="8"/>
  <c r="AH5" i="8" s="1"/>
  <c r="AI5" i="8" s="1"/>
  <c r="AK5" i="8"/>
  <c r="AL5" i="8" s="1"/>
  <c r="AM5" i="8" s="1"/>
  <c r="AO5" i="8"/>
  <c r="AP5" i="8" s="1"/>
  <c r="AQ5" i="8" s="1"/>
  <c r="AS5" i="8"/>
  <c r="AT5" i="8" s="1"/>
  <c r="AU5" i="8" s="1"/>
  <c r="AW5" i="8"/>
  <c r="AX5" i="8" s="1"/>
  <c r="AY5" i="8" s="1"/>
  <c r="BA5" i="8"/>
  <c r="BB5" i="8" s="1"/>
  <c r="BC5" i="8" s="1"/>
  <c r="BE5" i="8"/>
  <c r="BF5" i="8" s="1"/>
  <c r="BG5" i="8" s="1"/>
  <c r="P5" i="8" s="1"/>
  <c r="J302" i="8"/>
  <c r="J305" i="8" s="1"/>
  <c r="K302" i="8"/>
  <c r="K305" i="8" s="1"/>
  <c r="AF305" i="8"/>
  <c r="AG305" i="8"/>
  <c r="AG307" i="8" s="1"/>
  <c r="AH305" i="8"/>
  <c r="AI305" i="8"/>
  <c r="AJ305" i="8"/>
  <c r="AK305" i="8"/>
  <c r="AK29" i="8" s="1"/>
  <c r="AL305" i="8"/>
  <c r="AM305" i="8"/>
  <c r="AM307" i="8" s="1"/>
  <c r="AM309" i="8" s="1"/>
  <c r="AN305" i="8"/>
  <c r="AO305" i="8"/>
  <c r="AP305" i="8"/>
  <c r="AQ305" i="8"/>
  <c r="AQ29" i="8" s="1"/>
  <c r="AR305" i="8"/>
  <c r="AS305" i="8"/>
  <c r="AT305" i="8"/>
  <c r="AU305" i="8"/>
  <c r="AV305" i="8"/>
  <c r="AW305" i="8"/>
  <c r="AX305" i="8"/>
  <c r="AY305" i="8"/>
  <c r="AZ305" i="8"/>
  <c r="AZ307" i="8" s="1"/>
  <c r="BA305" i="8"/>
  <c r="BB305" i="8"/>
  <c r="BC305" i="8"/>
  <c r="BD305" i="8"/>
  <c r="BD307" i="8" s="1"/>
  <c r="BE305" i="8"/>
  <c r="BE571" i="8" s="1"/>
  <c r="BF305" i="8"/>
  <c r="BG305" i="8"/>
  <c r="BH305" i="8"/>
  <c r="BI305" i="8"/>
  <c r="BI571" i="8" s="1"/>
  <c r="BJ305" i="8"/>
  <c r="BK305" i="8"/>
  <c r="BL305" i="8"/>
  <c r="BM305" i="8"/>
  <c r="BN305" i="8"/>
  <c r="BO305" i="8"/>
  <c r="BP305" i="8"/>
  <c r="BQ305" i="8"/>
  <c r="BR305" i="8"/>
  <c r="BS305" i="8"/>
  <c r="BS51" i="8" s="1"/>
  <c r="BT305" i="8"/>
  <c r="C305" i="8"/>
  <c r="D305" i="8"/>
  <c r="E305" i="8"/>
  <c r="E307" i="8" s="1"/>
  <c r="F305" i="8"/>
  <c r="G305" i="8"/>
  <c r="H305" i="8"/>
  <c r="H307" i="8" s="1"/>
  <c r="I305" i="8"/>
  <c r="L305" i="8"/>
  <c r="L488" i="8" s="1"/>
  <c r="M305" i="8"/>
  <c r="M488" i="8" s="1"/>
  <c r="N305" i="8"/>
  <c r="O305" i="8"/>
  <c r="O51" i="8" s="1"/>
  <c r="P305" i="8"/>
  <c r="Q305" i="8"/>
  <c r="Q626" i="8" s="1"/>
  <c r="R305" i="8"/>
  <c r="R571" i="8"/>
  <c r="AF313" i="8"/>
  <c r="AF438" i="8" s="1"/>
  <c r="AG313" i="8"/>
  <c r="AG438" i="8" s="1"/>
  <c r="AH313" i="8"/>
  <c r="AI313" i="8"/>
  <c r="AJ313" i="8"/>
  <c r="AJ438" i="8" s="1"/>
  <c r="AK313" i="8"/>
  <c r="AK653" i="8" s="1"/>
  <c r="AL313" i="8"/>
  <c r="AM313" i="8"/>
  <c r="AN313" i="8"/>
  <c r="AO313" i="8"/>
  <c r="AO653" i="8" s="1"/>
  <c r="AP313" i="8"/>
  <c r="AQ313" i="8"/>
  <c r="AQ438" i="8" s="1"/>
  <c r="AR313" i="8"/>
  <c r="AS313" i="8"/>
  <c r="AS653" i="8" s="1"/>
  <c r="AT313" i="8"/>
  <c r="AU313" i="8"/>
  <c r="AV313" i="8"/>
  <c r="AV438" i="8" s="1"/>
  <c r="AW313" i="8"/>
  <c r="AW653" i="8" s="1"/>
  <c r="AX313" i="8"/>
  <c r="AX438" i="8" s="1"/>
  <c r="AY313" i="8"/>
  <c r="AZ313" i="8"/>
  <c r="BA313" i="8"/>
  <c r="BA653" i="8" s="1"/>
  <c r="BB313" i="8"/>
  <c r="BC313" i="8"/>
  <c r="BD313" i="8"/>
  <c r="BE313" i="8"/>
  <c r="BE653" i="8" s="1"/>
  <c r="BF313" i="8"/>
  <c r="BG313" i="8"/>
  <c r="BH313" i="8"/>
  <c r="BH438" i="8" s="1"/>
  <c r="BI313" i="8"/>
  <c r="BI653" i="8" s="1"/>
  <c r="BJ313" i="8"/>
  <c r="BK313" i="8"/>
  <c r="BL313" i="8"/>
  <c r="BL438" i="8" s="1"/>
  <c r="BM313" i="8"/>
  <c r="BM653" i="8" s="1"/>
  <c r="BN313" i="8"/>
  <c r="BO313" i="8"/>
  <c r="BO653" i="8"/>
  <c r="BP313" i="8"/>
  <c r="BP438" i="8" s="1"/>
  <c r="BQ313" i="8"/>
  <c r="BQ653" i="8" s="1"/>
  <c r="BR313" i="8"/>
  <c r="BS313" i="8"/>
  <c r="BS438" i="8" s="1"/>
  <c r="BT313" i="8"/>
  <c r="BT653" i="8" s="1"/>
  <c r="H313" i="8"/>
  <c r="I313" i="8"/>
  <c r="J313" i="8"/>
  <c r="J653" i="8" s="1"/>
  <c r="K313" i="8"/>
  <c r="L313" i="8"/>
  <c r="M313" i="8"/>
  <c r="N313" i="8"/>
  <c r="O313" i="8"/>
  <c r="P313" i="8"/>
  <c r="Q313" i="8"/>
  <c r="Q438" i="8" s="1"/>
  <c r="R313" i="8"/>
  <c r="C330" i="8"/>
  <c r="D330" i="8"/>
  <c r="E330" i="8"/>
  <c r="F330" i="8"/>
  <c r="G330" i="8"/>
  <c r="H330" i="8"/>
  <c r="I330" i="8"/>
  <c r="J330" i="8"/>
  <c r="K330" i="8"/>
  <c r="L330" i="8"/>
  <c r="M330" i="8"/>
  <c r="N330" i="8"/>
  <c r="O330" i="8"/>
  <c r="BL332" i="8"/>
  <c r="BM332" i="8"/>
  <c r="BN332" i="8"/>
  <c r="BO332" i="8"/>
  <c r="BP332" i="8"/>
  <c r="BQ332" i="8"/>
  <c r="BR332" i="8"/>
  <c r="BS332" i="8"/>
  <c r="BO337" i="8"/>
  <c r="BO338" i="8"/>
  <c r="BS338" i="8"/>
  <c r="Q339" i="8"/>
  <c r="R339" i="8"/>
  <c r="AF341" i="8"/>
  <c r="AF348" i="8" s="1"/>
  <c r="AG341" i="8"/>
  <c r="AG348" i="8" s="1"/>
  <c r="AH341" i="8"/>
  <c r="AH348" i="8" s="1"/>
  <c r="AI341" i="8"/>
  <c r="AI348" i="8" s="1"/>
  <c r="AJ341" i="8"/>
  <c r="AJ348" i="8" s="1"/>
  <c r="AK341" i="8"/>
  <c r="AK348" i="8" s="1"/>
  <c r="AL341" i="8"/>
  <c r="AL348" i="8" s="1"/>
  <c r="AM341" i="8"/>
  <c r="AM348" i="8" s="1"/>
  <c r="AN341" i="8"/>
  <c r="AN348" i="8" s="1"/>
  <c r="AO341" i="8"/>
  <c r="AO348" i="8" s="1"/>
  <c r="AP341" i="8"/>
  <c r="AP348" i="8" s="1"/>
  <c r="AQ341" i="8"/>
  <c r="AQ348" i="8" s="1"/>
  <c r="AR341" i="8"/>
  <c r="AR348" i="8" s="1"/>
  <c r="AS341" i="8"/>
  <c r="AS348" i="8" s="1"/>
  <c r="AT341" i="8"/>
  <c r="AT348" i="8" s="1"/>
  <c r="AU341" i="8"/>
  <c r="AU348" i="8" s="1"/>
  <c r="AV341" i="8"/>
  <c r="AV348" i="8" s="1"/>
  <c r="AW341" i="8"/>
  <c r="AW348" i="8" s="1"/>
  <c r="AX341" i="8"/>
  <c r="AY341" i="8"/>
  <c r="AZ341" i="8"/>
  <c r="AZ348" i="8" s="1"/>
  <c r="BA341" i="8"/>
  <c r="BA348" i="8" s="1"/>
  <c r="BB341" i="8"/>
  <c r="BB348" i="8" s="1"/>
  <c r="BC341" i="8"/>
  <c r="BC348" i="8" s="1"/>
  <c r="BD341" i="8"/>
  <c r="BD348" i="8" s="1"/>
  <c r="BE341" i="8"/>
  <c r="BE348" i="8" s="1"/>
  <c r="BF341" i="8"/>
  <c r="BF348" i="8" s="1"/>
  <c r="BG341" i="8"/>
  <c r="BG348" i="8" s="1"/>
  <c r="BH341" i="8"/>
  <c r="BH348" i="8" s="1"/>
  <c r="BI341" i="8"/>
  <c r="BI348" i="8" s="1"/>
  <c r="BJ341" i="8"/>
  <c r="BJ348" i="8" s="1"/>
  <c r="BK341" i="8"/>
  <c r="BK348" i="8" s="1"/>
  <c r="BL341" i="8"/>
  <c r="BL348" i="8" s="1"/>
  <c r="BM341" i="8"/>
  <c r="BM348" i="8" s="1"/>
  <c r="BN341" i="8"/>
  <c r="BN348" i="8" s="1"/>
  <c r="BO341" i="8"/>
  <c r="BO348" i="8" s="1"/>
  <c r="BP341" i="8"/>
  <c r="BP348" i="8" s="1"/>
  <c r="BQ341" i="8"/>
  <c r="BQ348" i="8" s="1"/>
  <c r="BR341" i="8"/>
  <c r="BR348" i="8" s="1"/>
  <c r="BS341" i="8"/>
  <c r="BT341" i="8"/>
  <c r="BT348" i="8" s="1"/>
  <c r="I341" i="8"/>
  <c r="I348" i="8" s="1"/>
  <c r="J341" i="8"/>
  <c r="J348" i="8" s="1"/>
  <c r="K341" i="8"/>
  <c r="K348" i="8" s="1"/>
  <c r="L341" i="8"/>
  <c r="L348" i="8" s="1"/>
  <c r="M341" i="8"/>
  <c r="M348" i="8" s="1"/>
  <c r="N341" i="8"/>
  <c r="N348" i="8" s="1"/>
  <c r="O341" i="8"/>
  <c r="O348" i="8" s="1"/>
  <c r="P341" i="8"/>
  <c r="P348" i="8" s="1"/>
  <c r="Q341" i="8"/>
  <c r="Q348" i="8" s="1"/>
  <c r="X341" i="8"/>
  <c r="X348" i="8" s="1"/>
  <c r="R342" i="8"/>
  <c r="R341" i="8" s="1"/>
  <c r="Y342" i="8"/>
  <c r="BU347" i="8"/>
  <c r="T347" i="8"/>
  <c r="BW347" i="8"/>
  <c r="R343" i="8"/>
  <c r="S343" i="8"/>
  <c r="S347" i="8" s="1"/>
  <c r="X343" i="8"/>
  <c r="AF346" i="8"/>
  <c r="AG346" i="8"/>
  <c r="AH346" i="8"/>
  <c r="AI346" i="8"/>
  <c r="AJ346" i="8"/>
  <c r="AK346" i="8"/>
  <c r="AL346" i="8"/>
  <c r="AM346" i="8"/>
  <c r="AN346" i="8"/>
  <c r="AO346" i="8"/>
  <c r="AP346" i="8"/>
  <c r="AQ346" i="8"/>
  <c r="AR346" i="8"/>
  <c r="AS346" i="8"/>
  <c r="AT346" i="8"/>
  <c r="AU346" i="8"/>
  <c r="AV346" i="8"/>
  <c r="AW346" i="8"/>
  <c r="AX346" i="8"/>
  <c r="AY346" i="8"/>
  <c r="AZ346" i="8"/>
  <c r="BA346" i="8"/>
  <c r="BB346" i="8"/>
  <c r="BC346" i="8"/>
  <c r="BD346" i="8"/>
  <c r="BE346" i="8"/>
  <c r="BF346" i="8"/>
  <c r="BG346" i="8"/>
  <c r="BH346" i="8"/>
  <c r="BI346" i="8"/>
  <c r="BJ346" i="8"/>
  <c r="BK346" i="8"/>
  <c r="BL346" i="8"/>
  <c r="BM346" i="8"/>
  <c r="BN346" i="8"/>
  <c r="BO346" i="8"/>
  <c r="BP346" i="8"/>
  <c r="BQ346" i="8"/>
  <c r="BR346" i="8"/>
  <c r="BS346" i="8"/>
  <c r="BT346" i="8"/>
  <c r="H346" i="8"/>
  <c r="I346" i="8"/>
  <c r="J346" i="8"/>
  <c r="K346" i="8"/>
  <c r="L346" i="8"/>
  <c r="M346" i="8"/>
  <c r="N346" i="8"/>
  <c r="O346" i="8"/>
  <c r="P346" i="8"/>
  <c r="Q346" i="8"/>
  <c r="S346" i="8"/>
  <c r="X346" i="8"/>
  <c r="AF347" i="8"/>
  <c r="AG347" i="8"/>
  <c r="AH347" i="8"/>
  <c r="AI347" i="8"/>
  <c r="AJ347" i="8"/>
  <c r="AK347" i="8"/>
  <c r="AL347" i="8"/>
  <c r="AM347" i="8"/>
  <c r="AN347" i="8"/>
  <c r="AO347" i="8"/>
  <c r="AP347" i="8"/>
  <c r="AQ347" i="8"/>
  <c r="AR347" i="8"/>
  <c r="AS347" i="8"/>
  <c r="AT347" i="8"/>
  <c r="AU347" i="8"/>
  <c r="AV347" i="8"/>
  <c r="AW347" i="8"/>
  <c r="AX347" i="8"/>
  <c r="AY347" i="8"/>
  <c r="AZ347" i="8"/>
  <c r="BA347" i="8"/>
  <c r="BB347" i="8"/>
  <c r="BC347" i="8"/>
  <c r="BD347" i="8"/>
  <c r="BE347" i="8"/>
  <c r="BF347" i="8"/>
  <c r="BG347" i="8"/>
  <c r="BH347" i="8"/>
  <c r="BI347" i="8"/>
  <c r="BJ347" i="8"/>
  <c r="BK347" i="8"/>
  <c r="BL347" i="8"/>
  <c r="BM347" i="8"/>
  <c r="BN347" i="8"/>
  <c r="BO347" i="8"/>
  <c r="BP347" i="8"/>
  <c r="BQ347" i="8"/>
  <c r="BR347" i="8"/>
  <c r="BS347" i="8"/>
  <c r="BT347" i="8"/>
  <c r="BV347" i="8"/>
  <c r="H347" i="8"/>
  <c r="I347" i="8"/>
  <c r="J347" i="8"/>
  <c r="K347" i="8"/>
  <c r="L347" i="8"/>
  <c r="M347" i="8"/>
  <c r="N347" i="8"/>
  <c r="O347" i="8"/>
  <c r="P347" i="8"/>
  <c r="Q347" i="8"/>
  <c r="W347" i="8"/>
  <c r="AF359" i="8"/>
  <c r="AF434" i="8" s="1"/>
  <c r="AG359" i="8"/>
  <c r="AG435" i="8" s="1"/>
  <c r="AH359" i="8"/>
  <c r="AH738" i="8" s="1"/>
  <c r="AI359" i="8"/>
  <c r="AJ359" i="8"/>
  <c r="AK359" i="8"/>
  <c r="AK434" i="8" s="1"/>
  <c r="AL359" i="8"/>
  <c r="AL434" i="8" s="1"/>
  <c r="AM359" i="8"/>
  <c r="AN359" i="8"/>
  <c r="AO359" i="8"/>
  <c r="AO422" i="8" s="1"/>
  <c r="AP359" i="8"/>
  <c r="AQ359" i="8"/>
  <c r="AQ425" i="8"/>
  <c r="AR359" i="8"/>
  <c r="AS359" i="8"/>
  <c r="AT359" i="8"/>
  <c r="AT738" i="8"/>
  <c r="AU359" i="8"/>
  <c r="AV359" i="8"/>
  <c r="AW359" i="8"/>
  <c r="AW738" i="8" s="1"/>
  <c r="AX359" i="8"/>
  <c r="AX435" i="8" s="1"/>
  <c r="AY359" i="8"/>
  <c r="AY422" i="8" s="1"/>
  <c r="AZ359" i="8"/>
  <c r="AZ425" i="8" s="1"/>
  <c r="BA359" i="8"/>
  <c r="BB359" i="8"/>
  <c r="BB434" i="8" s="1"/>
  <c r="BC359" i="8"/>
  <c r="BC434" i="8" s="1"/>
  <c r="BD359" i="8"/>
  <c r="BE359" i="8"/>
  <c r="BE433" i="8" s="1"/>
  <c r="BF359" i="8"/>
  <c r="BF738" i="8" s="1"/>
  <c r="BG359" i="8"/>
  <c r="BG433" i="8" s="1"/>
  <c r="BH359" i="8"/>
  <c r="BI359" i="8"/>
  <c r="BI433" i="8" s="1"/>
  <c r="BJ359" i="8"/>
  <c r="BJ422" i="8" s="1"/>
  <c r="BK359" i="8"/>
  <c r="BK434" i="8" s="1"/>
  <c r="BL359" i="8"/>
  <c r="BL434" i="8"/>
  <c r="BM359" i="8"/>
  <c r="BM434" i="8" s="1"/>
  <c r="BN359" i="8"/>
  <c r="BN738" i="8" s="1"/>
  <c r="BO359" i="8"/>
  <c r="BO434" i="8" s="1"/>
  <c r="BP359" i="8"/>
  <c r="BQ359" i="8"/>
  <c r="BR359" i="8"/>
  <c r="BR422" i="8" s="1"/>
  <c r="BS359" i="8"/>
  <c r="BS738" i="8" s="1"/>
  <c r="BT359" i="8"/>
  <c r="BT738" i="8" s="1"/>
  <c r="H359" i="8"/>
  <c r="I359" i="8"/>
  <c r="J359" i="8"/>
  <c r="J422" i="8" s="1"/>
  <c r="K359" i="8"/>
  <c r="L359" i="8"/>
  <c r="L422" i="8"/>
  <c r="M359" i="8"/>
  <c r="M435" i="8" s="1"/>
  <c r="N359" i="8"/>
  <c r="N435" i="8"/>
  <c r="O359" i="8"/>
  <c r="P359" i="8"/>
  <c r="Q359" i="8"/>
  <c r="R359" i="8"/>
  <c r="S359" i="8"/>
  <c r="BN366" i="8"/>
  <c r="BO371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E32" i="8" s="1"/>
  <c r="BF25" i="8"/>
  <c r="BF32" i="8" s="1"/>
  <c r="BG25" i="8"/>
  <c r="BG32" i="8" s="1"/>
  <c r="BH25" i="8"/>
  <c r="BH32" i="8" s="1"/>
  <c r="BI25" i="8"/>
  <c r="BI32" i="8" s="1"/>
  <c r="BJ25" i="8"/>
  <c r="BK25" i="8"/>
  <c r="BL25" i="8"/>
  <c r="BL32" i="8" s="1"/>
  <c r="BM25" i="8"/>
  <c r="BM32" i="8" s="1"/>
  <c r="BN25" i="8"/>
  <c r="BO25" i="8"/>
  <c r="BP25" i="8"/>
  <c r="BQ25" i="8"/>
  <c r="BR25" i="8"/>
  <c r="BS25" i="8"/>
  <c r="BS32" i="8"/>
  <c r="BT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E33" i="8" s="1"/>
  <c r="BF26" i="8"/>
  <c r="BG26" i="8"/>
  <c r="BH26" i="8"/>
  <c r="BI26" i="8"/>
  <c r="BJ26" i="8"/>
  <c r="BK26" i="8"/>
  <c r="BL26" i="8"/>
  <c r="BM26" i="8"/>
  <c r="BM33" i="8" s="1"/>
  <c r="BN26" i="8"/>
  <c r="BO26" i="8"/>
  <c r="BP26" i="8"/>
  <c r="BQ26" i="8"/>
  <c r="BR26" i="8"/>
  <c r="BR33" i="8" s="1"/>
  <c r="BS26" i="8"/>
  <c r="BT26" i="8"/>
  <c r="BT33" i="8" s="1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F34" i="8" s="1"/>
  <c r="BG27" i="8"/>
  <c r="BH27" i="8"/>
  <c r="BI27" i="8"/>
  <c r="BI34" i="8" s="1"/>
  <c r="BJ27" i="8"/>
  <c r="BK27" i="8"/>
  <c r="BK34" i="8" s="1"/>
  <c r="BL27" i="8"/>
  <c r="BM27" i="8"/>
  <c r="BN27" i="8"/>
  <c r="BO27" i="8"/>
  <c r="BP27" i="8"/>
  <c r="BP34" i="8" s="1"/>
  <c r="BQ27" i="8"/>
  <c r="BQ34" i="8" s="1"/>
  <c r="BR27" i="8"/>
  <c r="BS27" i="8"/>
  <c r="BT27" i="8"/>
  <c r="BT34" i="8" s="1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AZ29" i="8"/>
  <c r="L29" i="8"/>
  <c r="AZ51" i="8"/>
  <c r="AF61" i="8"/>
  <c r="AF102" i="8"/>
  <c r="AG61" i="8"/>
  <c r="AG102" i="8" s="1"/>
  <c r="AH61" i="8"/>
  <c r="AI61" i="8"/>
  <c r="AJ61" i="8"/>
  <c r="AK61" i="8"/>
  <c r="AK102" i="8" s="1"/>
  <c r="AL61" i="8"/>
  <c r="AM61" i="8"/>
  <c r="AM102" i="8" s="1"/>
  <c r="AN61" i="8"/>
  <c r="AN102" i="8" s="1"/>
  <c r="AO61" i="8"/>
  <c r="AP61" i="8"/>
  <c r="AQ61" i="8"/>
  <c r="AQ102" i="8" s="1"/>
  <c r="AR61" i="8"/>
  <c r="AR102" i="8" s="1"/>
  <c r="AS61" i="8"/>
  <c r="AT61" i="8"/>
  <c r="AU61" i="8"/>
  <c r="AU102" i="8" s="1"/>
  <c r="AV61" i="8"/>
  <c r="AW61" i="8"/>
  <c r="AX61" i="8"/>
  <c r="AX102" i="8" s="1"/>
  <c r="AY61" i="8"/>
  <c r="AY102" i="8" s="1"/>
  <c r="AZ61" i="8"/>
  <c r="BA61" i="8"/>
  <c r="BA102" i="8" s="1"/>
  <c r="BB61" i="8"/>
  <c r="BC61" i="8"/>
  <c r="BC102" i="8" s="1"/>
  <c r="BD61" i="8"/>
  <c r="BD62" i="8" s="1"/>
  <c r="BE61" i="8"/>
  <c r="BF61" i="8"/>
  <c r="BG61" i="8"/>
  <c r="BG62" i="8" s="1"/>
  <c r="BH61" i="8"/>
  <c r="BI61" i="8"/>
  <c r="BJ61" i="8"/>
  <c r="BK61" i="8"/>
  <c r="BL61" i="8"/>
  <c r="BL62" i="8" s="1"/>
  <c r="BM61" i="8"/>
  <c r="BN61" i="8"/>
  <c r="BN62" i="8" s="1"/>
  <c r="BO61" i="8"/>
  <c r="BO69" i="8" s="1"/>
  <c r="BP61" i="8"/>
  <c r="BQ61" i="8"/>
  <c r="BR61" i="8"/>
  <c r="BS61" i="8"/>
  <c r="BT61" i="8"/>
  <c r="H61" i="8"/>
  <c r="I61" i="8"/>
  <c r="J61" i="8"/>
  <c r="J69" i="8" s="1"/>
  <c r="K61" i="8"/>
  <c r="L61" i="8"/>
  <c r="M61" i="8"/>
  <c r="N61" i="8"/>
  <c r="O61" i="8"/>
  <c r="P61" i="8"/>
  <c r="Q61" i="8"/>
  <c r="R61" i="8"/>
  <c r="S61" i="8"/>
  <c r="T62" i="8" s="1"/>
  <c r="AJ65" i="8"/>
  <c r="S65" i="8"/>
  <c r="S114" i="8" s="1"/>
  <c r="BS66" i="8"/>
  <c r="BT66" i="8"/>
  <c r="I66" i="8"/>
  <c r="J66" i="8"/>
  <c r="AF67" i="8"/>
  <c r="AG67" i="8"/>
  <c r="AH67" i="8"/>
  <c r="AI67" i="8"/>
  <c r="BP67" i="8"/>
  <c r="BQ67" i="8"/>
  <c r="BR67" i="8"/>
  <c r="BS67" i="8"/>
  <c r="BT67" i="8"/>
  <c r="BN73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F86" i="8"/>
  <c r="BG86" i="8"/>
  <c r="BH86" i="8"/>
  <c r="BI86" i="8"/>
  <c r="BJ86" i="8"/>
  <c r="BJ102" i="8" s="1"/>
  <c r="BK86" i="8"/>
  <c r="BL86" i="8"/>
  <c r="BL124" i="8" s="1"/>
  <c r="BM86" i="8"/>
  <c r="BN86" i="8"/>
  <c r="BO86" i="8"/>
  <c r="BO124" i="8" s="1"/>
  <c r="BP86" i="8"/>
  <c r="BP124" i="8" s="1"/>
  <c r="BQ86" i="8"/>
  <c r="BH87" i="8"/>
  <c r="BI87" i="8"/>
  <c r="BJ87" i="8"/>
  <c r="BK87" i="8"/>
  <c r="BL87" i="8"/>
  <c r="BM87" i="8"/>
  <c r="BN87" i="8"/>
  <c r="BO87" i="8"/>
  <c r="BO103" i="8" s="1"/>
  <c r="BO114" i="8" s="1"/>
  <c r="BP87" i="8"/>
  <c r="BP103" i="8" s="1"/>
  <c r="BP114" i="8" s="1"/>
  <c r="BQ87" i="8"/>
  <c r="BH88" i="8"/>
  <c r="BI88" i="8"/>
  <c r="BI89" i="8" s="1"/>
  <c r="BJ88" i="8"/>
  <c r="BJ89" i="8" s="1"/>
  <c r="BK88" i="8"/>
  <c r="BL88" i="8"/>
  <c r="BL89" i="8" s="1"/>
  <c r="BM88" i="8"/>
  <c r="BN88" i="8"/>
  <c r="BN92" i="8"/>
  <c r="BO92" i="8"/>
  <c r="BP92" i="8"/>
  <c r="BM93" i="8"/>
  <c r="BQ93" i="8"/>
  <c r="C102" i="8"/>
  <c r="C112" i="8" s="1"/>
  <c r="D102" i="8"/>
  <c r="D112" i="8" s="1"/>
  <c r="E102" i="8"/>
  <c r="E112" i="8" s="1"/>
  <c r="F102" i="8"/>
  <c r="F112" i="8" s="1"/>
  <c r="G102" i="8"/>
  <c r="G112" i="8" s="1"/>
  <c r="H102" i="8"/>
  <c r="I102" i="8"/>
  <c r="J102" i="8"/>
  <c r="J112" i="8" s="1"/>
  <c r="K102" i="8"/>
  <c r="L102" i="8"/>
  <c r="L112" i="8" s="1"/>
  <c r="M102" i="8"/>
  <c r="M112" i="8" s="1"/>
  <c r="J114" i="8"/>
  <c r="BR112" i="8"/>
  <c r="BS112" i="8"/>
  <c r="BT112" i="8"/>
  <c r="S112" i="8"/>
  <c r="BR113" i="8"/>
  <c r="BS113" i="8"/>
  <c r="BT113" i="8"/>
  <c r="S113" i="8"/>
  <c r="BR114" i="8"/>
  <c r="BS114" i="8"/>
  <c r="BT114" i="8"/>
  <c r="AF128" i="8"/>
  <c r="AF136" i="8" s="1"/>
  <c r="AF144" i="8" s="1"/>
  <c r="AG128" i="8"/>
  <c r="AH128" i="8"/>
  <c r="AI128" i="8"/>
  <c r="AI136" i="8" s="1"/>
  <c r="AI144" i="8" s="1"/>
  <c r="AJ128" i="8"/>
  <c r="AK128" i="8"/>
  <c r="AL128" i="8"/>
  <c r="AL136" i="8" s="1"/>
  <c r="AL144" i="8" s="1"/>
  <c r="AL9" i="8" s="1"/>
  <c r="AM128" i="8"/>
  <c r="AN128" i="8"/>
  <c r="AO128" i="8"/>
  <c r="AO136" i="8" s="1"/>
  <c r="AP128" i="8"/>
  <c r="AP136" i="8" s="1"/>
  <c r="AQ128" i="8"/>
  <c r="AQ129" i="8" s="1"/>
  <c r="AR128" i="8"/>
  <c r="AS128" i="8"/>
  <c r="AT128" i="8"/>
  <c r="AU128" i="8"/>
  <c r="AU136" i="8" s="1"/>
  <c r="AV128" i="8"/>
  <c r="AW128" i="8"/>
  <c r="AX128" i="8"/>
  <c r="AX136" i="8" s="1"/>
  <c r="AX144" i="8" s="1"/>
  <c r="AX148" i="8" s="1"/>
  <c r="AY128" i="8"/>
  <c r="AZ128" i="8"/>
  <c r="BA128" i="8"/>
  <c r="BB128" i="8"/>
  <c r="BB136" i="8" s="1"/>
  <c r="BC128" i="8"/>
  <c r="BD128" i="8"/>
  <c r="BE128" i="8"/>
  <c r="BF128" i="8"/>
  <c r="BG128" i="8"/>
  <c r="BH128" i="8"/>
  <c r="BI128" i="8"/>
  <c r="BI136" i="8" s="1"/>
  <c r="BJ128" i="8"/>
  <c r="BK128" i="8"/>
  <c r="BL128" i="8"/>
  <c r="BM128" i="8"/>
  <c r="BM129" i="8" s="1"/>
  <c r="BN128" i="8"/>
  <c r="BO130" i="8" s="1"/>
  <c r="BO128" i="8"/>
  <c r="BP128" i="8"/>
  <c r="BP136" i="8" s="1"/>
  <c r="BQ128" i="8"/>
  <c r="BQ129" i="8" s="1"/>
  <c r="BR128" i="8"/>
  <c r="BR129" i="8" s="1"/>
  <c r="BS128" i="8"/>
  <c r="BT128" i="8"/>
  <c r="C128" i="8"/>
  <c r="D128" i="8"/>
  <c r="E128" i="8"/>
  <c r="F128" i="8"/>
  <c r="G128" i="8"/>
  <c r="H128" i="8"/>
  <c r="I128" i="8"/>
  <c r="I136" i="8" s="1"/>
  <c r="I144" i="8" s="1"/>
  <c r="J128" i="8"/>
  <c r="K128" i="8"/>
  <c r="K136" i="8" s="1"/>
  <c r="L128" i="8"/>
  <c r="L136" i="8" s="1"/>
  <c r="L144" i="8" s="1"/>
  <c r="L9" i="8" s="1"/>
  <c r="M128" i="8"/>
  <c r="M136" i="8" s="1"/>
  <c r="M144" i="8" s="1"/>
  <c r="N128" i="8"/>
  <c r="O128" i="8"/>
  <c r="O136" i="8" s="1"/>
  <c r="O144" i="8" s="1"/>
  <c r="P128" i="8"/>
  <c r="Q128" i="8"/>
  <c r="Q136" i="8" s="1"/>
  <c r="Q144" i="8" s="1"/>
  <c r="Q148" i="8" s="1"/>
  <c r="R128" i="8"/>
  <c r="S128" i="8"/>
  <c r="T129" i="8" s="1"/>
  <c r="BM132" i="8"/>
  <c r="BN132" i="8"/>
  <c r="S132" i="8"/>
  <c r="AJ133" i="8"/>
  <c r="AK133" i="8"/>
  <c r="AL133" i="8"/>
  <c r="AM133" i="8"/>
  <c r="AN133" i="8"/>
  <c r="AO133" i="8"/>
  <c r="AP133" i="8"/>
  <c r="AQ133" i="8"/>
  <c r="AR133" i="8"/>
  <c r="AS133" i="8"/>
  <c r="AT133" i="8"/>
  <c r="AU133" i="8"/>
  <c r="AV133" i="8"/>
  <c r="AW133" i="8"/>
  <c r="AX133" i="8"/>
  <c r="AY133" i="8"/>
  <c r="AZ133" i="8"/>
  <c r="BA133" i="8"/>
  <c r="BB133" i="8"/>
  <c r="BC133" i="8"/>
  <c r="BD133" i="8"/>
  <c r="BE133" i="8"/>
  <c r="BF133" i="8"/>
  <c r="BG133" i="8"/>
  <c r="BH133" i="8"/>
  <c r="BI133" i="8"/>
  <c r="BJ133" i="8"/>
  <c r="BK133" i="8"/>
  <c r="BL133" i="8"/>
  <c r="BP133" i="8"/>
  <c r="BT133" i="8"/>
  <c r="J133" i="8"/>
  <c r="K133" i="8"/>
  <c r="L133" i="8"/>
  <c r="M133" i="8"/>
  <c r="N133" i="8"/>
  <c r="O133" i="8"/>
  <c r="P133" i="8"/>
  <c r="Q133" i="8"/>
  <c r="R133" i="8"/>
  <c r="AG134" i="8"/>
  <c r="AH134" i="8"/>
  <c r="AI134" i="8"/>
  <c r="AJ134" i="8"/>
  <c r="AK134" i="8"/>
  <c r="AL134" i="8"/>
  <c r="AM134" i="8"/>
  <c r="AN134" i="8"/>
  <c r="AO134" i="8"/>
  <c r="AP134" i="8"/>
  <c r="AQ134" i="8"/>
  <c r="AR134" i="8"/>
  <c r="AS134" i="8"/>
  <c r="AT134" i="8"/>
  <c r="AU134" i="8"/>
  <c r="AV134" i="8"/>
  <c r="AW134" i="8"/>
  <c r="AX134" i="8"/>
  <c r="AY134" i="8"/>
  <c r="AZ134" i="8"/>
  <c r="BA134" i="8"/>
  <c r="BB134" i="8"/>
  <c r="BC134" i="8"/>
  <c r="BD134" i="8"/>
  <c r="BE134" i="8"/>
  <c r="BF134" i="8"/>
  <c r="BG134" i="8"/>
  <c r="BH134" i="8"/>
  <c r="BI134" i="8"/>
  <c r="BJ134" i="8"/>
  <c r="BK134" i="8"/>
  <c r="BL134" i="8"/>
  <c r="BQ134" i="8"/>
  <c r="BR134" i="8"/>
  <c r="BS134" i="8"/>
  <c r="BT134" i="8"/>
  <c r="BN140" i="8"/>
  <c r="AJ141" i="8"/>
  <c r="AK141" i="8"/>
  <c r="AL141" i="8"/>
  <c r="AM141" i="8"/>
  <c r="AN141" i="8"/>
  <c r="AO141" i="8"/>
  <c r="AP141" i="8"/>
  <c r="AQ141" i="8"/>
  <c r="AR141" i="8"/>
  <c r="AS141" i="8"/>
  <c r="AT141" i="8"/>
  <c r="AU141" i="8"/>
  <c r="AV141" i="8"/>
  <c r="AW141" i="8"/>
  <c r="AX141" i="8"/>
  <c r="AY141" i="8"/>
  <c r="AZ141" i="8"/>
  <c r="BA141" i="8"/>
  <c r="BB141" i="8"/>
  <c r="BC141" i="8"/>
  <c r="BD141" i="8"/>
  <c r="BE141" i="8"/>
  <c r="BF141" i="8"/>
  <c r="BG141" i="8"/>
  <c r="BH141" i="8"/>
  <c r="BI141" i="8"/>
  <c r="BJ141" i="8"/>
  <c r="BK141" i="8"/>
  <c r="BL141" i="8"/>
  <c r="BM141" i="8"/>
  <c r="Q141" i="8"/>
  <c r="AG142" i="8"/>
  <c r="AH142" i="8"/>
  <c r="AI142" i="8"/>
  <c r="AJ142" i="8"/>
  <c r="AK142" i="8"/>
  <c r="AL142" i="8"/>
  <c r="AM142" i="8"/>
  <c r="AN142" i="8"/>
  <c r="AO142" i="8"/>
  <c r="AP142" i="8"/>
  <c r="AQ142" i="8"/>
  <c r="AR142" i="8"/>
  <c r="AS142" i="8"/>
  <c r="AT142" i="8"/>
  <c r="AU142" i="8"/>
  <c r="AV142" i="8"/>
  <c r="AW142" i="8"/>
  <c r="AX142" i="8"/>
  <c r="AY142" i="8"/>
  <c r="AZ142" i="8"/>
  <c r="BA142" i="8"/>
  <c r="BB142" i="8"/>
  <c r="BC142" i="8"/>
  <c r="BD142" i="8"/>
  <c r="BE142" i="8"/>
  <c r="BF142" i="8"/>
  <c r="BG142" i="8"/>
  <c r="BH142" i="8"/>
  <c r="BI142" i="8"/>
  <c r="BJ142" i="8"/>
  <c r="BK142" i="8"/>
  <c r="BL142" i="8"/>
  <c r="BM142" i="8"/>
  <c r="BC153" i="8"/>
  <c r="BB153" i="8" s="1"/>
  <c r="BS153" i="8"/>
  <c r="BT153" i="8" s="1"/>
  <c r="BD154" i="8"/>
  <c r="BE154" i="8"/>
  <c r="BE155" i="8" s="1"/>
  <c r="BE159" i="8" s="1"/>
  <c r="BF154" i="8"/>
  <c r="BF155" i="8" s="1"/>
  <c r="BF159" i="8" s="1"/>
  <c r="BG154" i="8"/>
  <c r="BG155" i="8" s="1"/>
  <c r="BG159" i="8" s="1"/>
  <c r="BO154" i="8"/>
  <c r="BO155" i="8" s="1"/>
  <c r="BS154" i="8"/>
  <c r="BP155" i="8"/>
  <c r="BP159" i="8" s="1"/>
  <c r="BQ155" i="8"/>
  <c r="BQ159" i="8" s="1"/>
  <c r="BR155" i="8"/>
  <c r="BR159" i="8" s="1"/>
  <c r="BD157" i="8"/>
  <c r="BD193" i="8" s="1"/>
  <c r="BE157" i="8"/>
  <c r="BF157" i="8"/>
  <c r="BF193" i="8" s="1"/>
  <c r="BG157" i="8"/>
  <c r="BG193" i="8" s="1"/>
  <c r="BH157" i="8"/>
  <c r="BH193" i="8" s="1"/>
  <c r="BI157" i="8"/>
  <c r="BJ157" i="8"/>
  <c r="BN157" i="8" s="1"/>
  <c r="BK157" i="8"/>
  <c r="BL157" i="8"/>
  <c r="BM157" i="8"/>
  <c r="BP157" i="8"/>
  <c r="BQ157" i="8"/>
  <c r="BR157" i="8"/>
  <c r="BR193" i="8" s="1"/>
  <c r="BP158" i="8"/>
  <c r="BQ158" i="8"/>
  <c r="BR158" i="8"/>
  <c r="BS171" i="8"/>
  <c r="AZ172" i="8"/>
  <c r="AZ177" i="8" s="1"/>
  <c r="BA172" i="8"/>
  <c r="BA177" i="8" s="1"/>
  <c r="BB172" i="8"/>
  <c r="BB177" i="8" s="1"/>
  <c r="BC172" i="8"/>
  <c r="BC177" i="8" s="1"/>
  <c r="BD172" i="8"/>
  <c r="BD177" i="8" s="1"/>
  <c r="BE172" i="8"/>
  <c r="BE177" i="8" s="1"/>
  <c r="BF172" i="8"/>
  <c r="BF177" i="8" s="1"/>
  <c r="BG172" i="8"/>
  <c r="BG177" i="8" s="1"/>
  <c r="BH172" i="8"/>
  <c r="BH177" i="8" s="1"/>
  <c r="BI172" i="8"/>
  <c r="BI177" i="8" s="1"/>
  <c r="BJ172" i="8"/>
  <c r="BJ177" i="8" s="1"/>
  <c r="BK172" i="8"/>
  <c r="BK177" i="8" s="1"/>
  <c r="BL172" i="8"/>
  <c r="BL177" i="8" s="1"/>
  <c r="BS172" i="8"/>
  <c r="BM173" i="8"/>
  <c r="BM178" i="8" s="1"/>
  <c r="BN173" i="8"/>
  <c r="BN178" i="8" s="1"/>
  <c r="BO173" i="8"/>
  <c r="BO178" i="8" s="1"/>
  <c r="BP173" i="8"/>
  <c r="BP178" i="8" s="1"/>
  <c r="BQ173" i="8"/>
  <c r="BQ178" i="8" s="1"/>
  <c r="BR173" i="8"/>
  <c r="AZ176" i="8"/>
  <c r="BA176" i="8"/>
  <c r="BB176" i="8"/>
  <c r="BC176" i="8"/>
  <c r="BD176" i="8"/>
  <c r="BD181" i="8" s="1"/>
  <c r="BE176" i="8"/>
  <c r="BE181" i="8" s="1"/>
  <c r="BF176" i="8"/>
  <c r="BG176" i="8"/>
  <c r="BG181" i="8" s="1"/>
  <c r="BH176" i="8"/>
  <c r="BI176" i="8"/>
  <c r="BJ176" i="8"/>
  <c r="BJ181" i="8" s="1"/>
  <c r="BK176" i="8"/>
  <c r="BK181" i="8" s="1"/>
  <c r="BL176" i="8"/>
  <c r="BM176" i="8"/>
  <c r="BN176" i="8"/>
  <c r="BO176" i="8"/>
  <c r="BP176" i="8"/>
  <c r="BQ176" i="8"/>
  <c r="BR176" i="8"/>
  <c r="BR192" i="8"/>
  <c r="BM177" i="8"/>
  <c r="BN177" i="8"/>
  <c r="BO177" i="8"/>
  <c r="BP177" i="8"/>
  <c r="BQ177" i="8"/>
  <c r="BQ182" i="8" s="1"/>
  <c r="BR177" i="8"/>
  <c r="AZ178" i="8"/>
  <c r="BA178" i="8"/>
  <c r="BB178" i="8"/>
  <c r="BC178" i="8"/>
  <c r="BD178" i="8"/>
  <c r="BE178" i="8"/>
  <c r="BF178" i="8"/>
  <c r="BG178" i="8"/>
  <c r="BH178" i="8"/>
  <c r="BI178" i="8"/>
  <c r="BJ178" i="8"/>
  <c r="BK178" i="8"/>
  <c r="BL178" i="8"/>
  <c r="BF186" i="8"/>
  <c r="BG186" i="8"/>
  <c r="BH186" i="8"/>
  <c r="BI186" i="8"/>
  <c r="BI199" i="8" s="1"/>
  <c r="BJ186" i="8"/>
  <c r="BJ199" i="8" s="1"/>
  <c r="BK186" i="8"/>
  <c r="BK199" i="8" s="1"/>
  <c r="BL186" i="8"/>
  <c r="BL199" i="8" s="1"/>
  <c r="BM186" i="8"/>
  <c r="BM199" i="8" s="1"/>
  <c r="BN186" i="8"/>
  <c r="BO186" i="8"/>
  <c r="BO199" i="8" s="1"/>
  <c r="BP186" i="8"/>
  <c r="BP199" i="8" s="1"/>
  <c r="BQ186" i="8"/>
  <c r="BH187" i="8"/>
  <c r="BH200" i="8" s="1"/>
  <c r="BI187" i="8"/>
  <c r="BI200" i="8" s="1"/>
  <c r="BJ187" i="8"/>
  <c r="BJ200" i="8" s="1"/>
  <c r="BK187" i="8"/>
  <c r="BK200" i="8" s="1"/>
  <c r="BL187" i="8"/>
  <c r="BL200" i="8" s="1"/>
  <c r="BM187" i="8"/>
  <c r="BN187" i="8"/>
  <c r="BO187" i="8"/>
  <c r="BQ187" i="8"/>
  <c r="BQ200" i="8" s="1"/>
  <c r="BH188" i="8"/>
  <c r="BK188" i="8"/>
  <c r="BL188" i="8"/>
  <c r="BM188" i="8"/>
  <c r="AF192" i="8"/>
  <c r="AG192" i="8"/>
  <c r="AH192" i="8"/>
  <c r="AI192" i="8"/>
  <c r="AJ192" i="8"/>
  <c r="AK192" i="8"/>
  <c r="AL192" i="8"/>
  <c r="AM192" i="8"/>
  <c r="AN192" i="8"/>
  <c r="AO192" i="8"/>
  <c r="AP192" i="8"/>
  <c r="AQ192" i="8"/>
  <c r="AR192" i="8"/>
  <c r="AS192" i="8"/>
  <c r="AT192" i="8"/>
  <c r="AU192" i="8"/>
  <c r="AV192" i="8"/>
  <c r="AW192" i="8"/>
  <c r="AX192" i="8"/>
  <c r="AY192" i="8"/>
  <c r="AZ192" i="8"/>
  <c r="BA192" i="8"/>
  <c r="BB192" i="8"/>
  <c r="BC192" i="8"/>
  <c r="BD192" i="8"/>
  <c r="BE192" i="8"/>
  <c r="BF192" i="8"/>
  <c r="BG192" i="8"/>
  <c r="BH192" i="8"/>
  <c r="BI192" i="8"/>
  <c r="BJ192" i="8"/>
  <c r="BK192" i="8"/>
  <c r="BL192" i="8"/>
  <c r="C192" i="8"/>
  <c r="D192" i="8"/>
  <c r="E192" i="8"/>
  <c r="F192" i="8"/>
  <c r="G192" i="8"/>
  <c r="H192" i="8"/>
  <c r="I192" i="8"/>
  <c r="J192" i="8"/>
  <c r="K192" i="8"/>
  <c r="L192" i="8"/>
  <c r="M192" i="8"/>
  <c r="N192" i="8"/>
  <c r="AF193" i="8"/>
  <c r="AG193" i="8"/>
  <c r="AH193" i="8"/>
  <c r="AI193" i="8"/>
  <c r="AZ193" i="8"/>
  <c r="BA193" i="8"/>
  <c r="BB193" i="8"/>
  <c r="BC193" i="8"/>
  <c r="H193" i="8"/>
  <c r="I193" i="8"/>
  <c r="J193" i="8"/>
  <c r="N193" i="8"/>
  <c r="O193" i="8"/>
  <c r="AZ194" i="8"/>
  <c r="BA194" i="8"/>
  <c r="BA195" i="8" s="1"/>
  <c r="BB194" i="8"/>
  <c r="BB195" i="8" s="1"/>
  <c r="BC194" i="8"/>
  <c r="BD194" i="8"/>
  <c r="BE194" i="8"/>
  <c r="BF194" i="8"/>
  <c r="BG194" i="8"/>
  <c r="BH194" i="8"/>
  <c r="BI194" i="8"/>
  <c r="BI195" i="8" s="1"/>
  <c r="BJ194" i="8"/>
  <c r="BK194" i="8"/>
  <c r="BL194" i="8"/>
  <c r="BM194" i="8"/>
  <c r="H194" i="8"/>
  <c r="I194" i="8"/>
  <c r="N194" i="8"/>
  <c r="O194" i="8"/>
  <c r="P194" i="8"/>
  <c r="Q194" i="8"/>
  <c r="AZ196" i="8"/>
  <c r="BA196" i="8"/>
  <c r="BB196" i="8"/>
  <c r="BC196" i="8"/>
  <c r="BD196" i="8"/>
  <c r="BE196" i="8"/>
  <c r="BF196" i="8"/>
  <c r="BG196" i="8"/>
  <c r="BH196" i="8"/>
  <c r="BI196" i="8"/>
  <c r="BJ196" i="8"/>
  <c r="BK196" i="8"/>
  <c r="BR199" i="8"/>
  <c r="BS199" i="8"/>
  <c r="BT199" i="8"/>
  <c r="S199" i="8"/>
  <c r="BR200" i="8"/>
  <c r="BS200" i="8"/>
  <c r="BT200" i="8"/>
  <c r="AF205" i="8"/>
  <c r="AF209" i="8" s="1"/>
  <c r="AG205" i="8"/>
  <c r="AG209" i="8" s="1"/>
  <c r="AH205" i="8"/>
  <c r="AH209" i="8" s="1"/>
  <c r="AI205" i="8"/>
  <c r="AI209" i="8" s="1"/>
  <c r="AI10" i="8" s="1"/>
  <c r="AJ205" i="8"/>
  <c r="AK205" i="8"/>
  <c r="AL205" i="8"/>
  <c r="AM205" i="8"/>
  <c r="AN205" i="8"/>
  <c r="AO205" i="8"/>
  <c r="AP205" i="8"/>
  <c r="AQ205" i="8"/>
  <c r="AR205" i="8"/>
  <c r="AS205" i="8"/>
  <c r="AS209" i="8" s="1"/>
  <c r="AT205" i="8"/>
  <c r="AU205" i="8"/>
  <c r="AV205" i="8"/>
  <c r="AV209" i="8" s="1"/>
  <c r="AW205" i="8"/>
  <c r="AW209" i="8" s="1"/>
  <c r="AX205" i="8"/>
  <c r="AX207" i="8" s="1"/>
  <c r="AY205" i="8"/>
  <c r="AZ205" i="8"/>
  <c r="BA205" i="8"/>
  <c r="BA206" i="8" s="1"/>
  <c r="BB205" i="8"/>
  <c r="BB206" i="8" s="1"/>
  <c r="BC205" i="8"/>
  <c r="BD205" i="8"/>
  <c r="BE205" i="8"/>
  <c r="BF205" i="8"/>
  <c r="BF209" i="8" s="1"/>
  <c r="BF10" i="8" s="1"/>
  <c r="BG205" i="8"/>
  <c r="BH205" i="8"/>
  <c r="BH209" i="8" s="1"/>
  <c r="BH10" i="8" s="1"/>
  <c r="BI205" i="8"/>
  <c r="BI209" i="8"/>
  <c r="BJ205" i="8"/>
  <c r="BK205" i="8"/>
  <c r="BK209" i="8" s="1"/>
  <c r="BL205" i="8"/>
  <c r="BM205" i="8"/>
  <c r="BM206" i="8" s="1"/>
  <c r="BN205" i="8"/>
  <c r="BO205" i="8"/>
  <c r="BP205" i="8"/>
  <c r="BP209" i="8" s="1"/>
  <c r="BP276" i="8" s="1"/>
  <c r="BQ205" i="8"/>
  <c r="BR205" i="8"/>
  <c r="BS205" i="8"/>
  <c r="BT205" i="8"/>
  <c r="C205" i="8"/>
  <c r="D205" i="8"/>
  <c r="E205" i="8"/>
  <c r="F205" i="8"/>
  <c r="G205" i="8"/>
  <c r="H205" i="8"/>
  <c r="I205" i="8"/>
  <c r="J205" i="8"/>
  <c r="J209" i="8" s="1"/>
  <c r="J10" i="8" s="1"/>
  <c r="K205" i="8"/>
  <c r="K209" i="8" s="1"/>
  <c r="L205" i="8"/>
  <c r="L209" i="8" s="1"/>
  <c r="M205" i="8"/>
  <c r="M209" i="8" s="1"/>
  <c r="M10" i="8" s="1"/>
  <c r="M46" i="8" s="1"/>
  <c r="N205" i="8"/>
  <c r="O205" i="8"/>
  <c r="O209" i="8" s="1"/>
  <c r="P205" i="8"/>
  <c r="P209" i="8" s="1"/>
  <c r="P10" i="8" s="1"/>
  <c r="Q205" i="8"/>
  <c r="R205" i="8"/>
  <c r="S205" i="8"/>
  <c r="T206" i="8" s="1"/>
  <c r="Q213" i="8"/>
  <c r="R213" i="8"/>
  <c r="S213" i="8"/>
  <c r="T214" i="8" s="1"/>
  <c r="AJ214" i="8"/>
  <c r="AK214" i="8"/>
  <c r="AL214" i="8"/>
  <c r="AM214" i="8"/>
  <c r="AN214" i="8"/>
  <c r="AO214" i="8"/>
  <c r="AP214" i="8"/>
  <c r="AQ214" i="8"/>
  <c r="AR214" i="8"/>
  <c r="AS214" i="8"/>
  <c r="AT214" i="8"/>
  <c r="AU214" i="8"/>
  <c r="AV214" i="8"/>
  <c r="AW214" i="8"/>
  <c r="AX214" i="8"/>
  <c r="AY214" i="8"/>
  <c r="AZ214" i="8"/>
  <c r="BA214" i="8"/>
  <c r="BB214" i="8"/>
  <c r="BC214" i="8"/>
  <c r="BD214" i="8"/>
  <c r="BE214" i="8"/>
  <c r="BF214" i="8"/>
  <c r="BG214" i="8"/>
  <c r="BH214" i="8"/>
  <c r="BI214" i="8"/>
  <c r="BJ214" i="8"/>
  <c r="BK214" i="8"/>
  <c r="BL214" i="8"/>
  <c r="BM214" i="8"/>
  <c r="BN214" i="8"/>
  <c r="BO214" i="8"/>
  <c r="BP214" i="8"/>
  <c r="BQ214" i="8"/>
  <c r="BR214" i="8"/>
  <c r="BS214" i="8"/>
  <c r="BT214" i="8"/>
  <c r="AG215" i="8"/>
  <c r="AH215" i="8"/>
  <c r="AI215" i="8"/>
  <c r="AJ215" i="8"/>
  <c r="AK215" i="8"/>
  <c r="AL215" i="8"/>
  <c r="AM215" i="8"/>
  <c r="AN215" i="8"/>
  <c r="AO215" i="8"/>
  <c r="AP215" i="8"/>
  <c r="AQ215" i="8"/>
  <c r="AR215" i="8"/>
  <c r="AS215" i="8"/>
  <c r="AT215" i="8"/>
  <c r="AU215" i="8"/>
  <c r="AV215" i="8"/>
  <c r="AW215" i="8"/>
  <c r="AX215" i="8"/>
  <c r="AY215" i="8"/>
  <c r="AZ215" i="8"/>
  <c r="BA215" i="8"/>
  <c r="BB215" i="8"/>
  <c r="BC215" i="8"/>
  <c r="BD215" i="8"/>
  <c r="BE215" i="8"/>
  <c r="BF215" i="8"/>
  <c r="BG215" i="8"/>
  <c r="BH215" i="8"/>
  <c r="BI215" i="8"/>
  <c r="BJ215" i="8"/>
  <c r="BK215" i="8"/>
  <c r="BL215" i="8"/>
  <c r="BM215" i="8"/>
  <c r="BN215" i="8"/>
  <c r="BO215" i="8"/>
  <c r="BP215" i="8"/>
  <c r="BQ215" i="8"/>
  <c r="BR215" i="8"/>
  <c r="BS215" i="8"/>
  <c r="BT215" i="8"/>
  <c r="AF217" i="8"/>
  <c r="AG217" i="8"/>
  <c r="AH217" i="8"/>
  <c r="AI217" i="8"/>
  <c r="AJ217" i="8"/>
  <c r="AK217" i="8"/>
  <c r="AL217" i="8"/>
  <c r="AL218" i="8" s="1"/>
  <c r="AM217" i="8"/>
  <c r="AM219" i="8" s="1"/>
  <c r="AN217" i="8"/>
  <c r="AN218" i="8" s="1"/>
  <c r="AO217" i="8"/>
  <c r="AP217" i="8"/>
  <c r="AQ217" i="8"/>
  <c r="AQ218" i="8" s="1"/>
  <c r="AR217" i="8"/>
  <c r="AS217" i="8"/>
  <c r="AT217" i="8"/>
  <c r="AU217" i="8"/>
  <c r="AV217" i="8"/>
  <c r="AV218" i="8" s="1"/>
  <c r="AW217" i="8"/>
  <c r="AW218" i="8" s="1"/>
  <c r="AX217" i="8"/>
  <c r="AX218" i="8" s="1"/>
  <c r="AY217" i="8"/>
  <c r="AZ217" i="8"/>
  <c r="BA217" i="8"/>
  <c r="BB217" i="8"/>
  <c r="BC217" i="8"/>
  <c r="BC218" i="8" s="1"/>
  <c r="BD217" i="8"/>
  <c r="BE217" i="8"/>
  <c r="BF217" i="8"/>
  <c r="BG217" i="8"/>
  <c r="BG218" i="8" s="1"/>
  <c r="BH217" i="8"/>
  <c r="BI217" i="8"/>
  <c r="BJ217" i="8"/>
  <c r="BK217" i="8"/>
  <c r="BL217" i="8"/>
  <c r="BM217" i="8"/>
  <c r="BN217" i="8"/>
  <c r="BN218" i="8" s="1"/>
  <c r="BO217" i="8"/>
  <c r="BP217" i="8"/>
  <c r="BQ217" i="8"/>
  <c r="BQ218" i="8" s="1"/>
  <c r="BR217" i="8"/>
  <c r="BS217" i="8"/>
  <c r="BT217" i="8"/>
  <c r="C217" i="8"/>
  <c r="D217" i="8"/>
  <c r="E217" i="8"/>
  <c r="F217" i="8"/>
  <c r="G217" i="8"/>
  <c r="H217" i="8"/>
  <c r="I217" i="8"/>
  <c r="L217" i="8"/>
  <c r="M217" i="8"/>
  <c r="N217" i="8"/>
  <c r="O217" i="8"/>
  <c r="P217" i="8"/>
  <c r="Q217" i="8"/>
  <c r="R217" i="8"/>
  <c r="S217" i="8"/>
  <c r="T218" i="8" s="1"/>
  <c r="AN221" i="8"/>
  <c r="AO221" i="8"/>
  <c r="AP221" i="8"/>
  <c r="AQ221" i="8"/>
  <c r="AQ224" i="8" s="1"/>
  <c r="AR221" i="8"/>
  <c r="AS221" i="8"/>
  <c r="AT221" i="8"/>
  <c r="AU221" i="8"/>
  <c r="AU222" i="8" s="1"/>
  <c r="AV221" i="8"/>
  <c r="AW221" i="8"/>
  <c r="AX221" i="8"/>
  <c r="AY221" i="8"/>
  <c r="AZ221" i="8"/>
  <c r="AZ222" i="8" s="1"/>
  <c r="BA221" i="8"/>
  <c r="BB221" i="8"/>
  <c r="BB224" i="8" s="1"/>
  <c r="BC221" i="8"/>
  <c r="BC222" i="8" s="1"/>
  <c r="BD221" i="8"/>
  <c r="BD222" i="8" s="1"/>
  <c r="BE221" i="8"/>
  <c r="BE222" i="8" s="1"/>
  <c r="BF221" i="8"/>
  <c r="BG221" i="8"/>
  <c r="BG222" i="8" s="1"/>
  <c r="BH221" i="8"/>
  <c r="BI221" i="8"/>
  <c r="BI222" i="8" s="1"/>
  <c r="BJ221" i="8"/>
  <c r="BK221" i="8"/>
  <c r="BL221" i="8"/>
  <c r="BM221" i="8"/>
  <c r="BN221" i="8"/>
  <c r="BO221" i="8"/>
  <c r="BP221" i="8"/>
  <c r="BQ221" i="8"/>
  <c r="BQ222" i="8" s="1"/>
  <c r="BR221" i="8"/>
  <c r="BR222" i="8" s="1"/>
  <c r="BS221" i="8"/>
  <c r="BT221" i="8"/>
  <c r="K221" i="8"/>
  <c r="L221" i="8"/>
  <c r="M221" i="8"/>
  <c r="M222" i="8" s="1"/>
  <c r="N221" i="8"/>
  <c r="O221" i="8"/>
  <c r="P221" i="8"/>
  <c r="Q221" i="8"/>
  <c r="Q222" i="8" s="1"/>
  <c r="R221" i="8"/>
  <c r="S221" i="8"/>
  <c r="T222" i="8" s="1"/>
  <c r="Q230" i="8"/>
  <c r="R230" i="8"/>
  <c r="R256" i="8" s="1"/>
  <c r="BW233" i="8"/>
  <c r="CA233" i="8"/>
  <c r="S239" i="8"/>
  <c r="R240" i="8"/>
  <c r="W240" i="8"/>
  <c r="X240" i="8" s="1"/>
  <c r="Y240" i="8" s="1"/>
  <c r="Z240" i="8" s="1"/>
  <c r="AA240" i="8" s="1"/>
  <c r="AB240" i="8" s="1"/>
  <c r="AC240" i="8" s="1"/>
  <c r="AD240" i="8" s="1"/>
  <c r="T242" i="8"/>
  <c r="U242" i="8" s="1"/>
  <c r="S258" i="8"/>
  <c r="U258" i="8"/>
  <c r="V258" i="8" s="1"/>
  <c r="W258" i="8" s="1"/>
  <c r="X258" i="8" s="1"/>
  <c r="Y258" i="8" s="1"/>
  <c r="Z258" i="8" s="1"/>
  <c r="AA258" i="8" s="1"/>
  <c r="AB258" i="8" s="1"/>
  <c r="AC258" i="8" s="1"/>
  <c r="AD258" i="8" s="1"/>
  <c r="R260" i="8"/>
  <c r="Q260" i="8" s="1"/>
  <c r="BW262" i="8"/>
  <c r="BV262" i="8" s="1"/>
  <c r="U262" i="8"/>
  <c r="CA262" i="8" s="1"/>
  <c r="BZ262" i="8" s="1"/>
  <c r="BM277" i="8"/>
  <c r="BN277" i="8"/>
  <c r="BO277" i="8"/>
  <c r="BP277" i="8"/>
  <c r="BQ277" i="8"/>
  <c r="BR277" i="8"/>
  <c r="BM290" i="8"/>
  <c r="BN290" i="8"/>
  <c r="BO290" i="8"/>
  <c r="BP290" i="8"/>
  <c r="BQ290" i="8"/>
  <c r="BR290" i="8"/>
  <c r="BM296" i="8"/>
  <c r="BN296" i="8"/>
  <c r="BO296" i="8"/>
  <c r="BP296" i="8"/>
  <c r="BQ296" i="8"/>
  <c r="BR296" i="8"/>
  <c r="AF381" i="8"/>
  <c r="AG381" i="8"/>
  <c r="AH381" i="8"/>
  <c r="AI381" i="8"/>
  <c r="AJ381" i="8"/>
  <c r="AK381" i="8"/>
  <c r="AK382" i="8" s="1"/>
  <c r="AL381" i="8"/>
  <c r="AM381" i="8"/>
  <c r="AN381" i="8"/>
  <c r="AO381" i="8"/>
  <c r="AO382" i="8" s="1"/>
  <c r="AP381" i="8"/>
  <c r="AQ381" i="8"/>
  <c r="AQ382" i="8" s="1"/>
  <c r="AR381" i="8"/>
  <c r="AR382" i="8" s="1"/>
  <c r="AS381" i="8"/>
  <c r="AS382" i="8" s="1"/>
  <c r="AT381" i="8"/>
  <c r="AU381" i="8"/>
  <c r="AU382" i="8" s="1"/>
  <c r="AV381" i="8"/>
  <c r="AW381" i="8"/>
  <c r="AW383" i="8" s="1"/>
  <c r="AX381" i="8"/>
  <c r="AY381" i="8"/>
  <c r="AZ381" i="8"/>
  <c r="BA381" i="8"/>
  <c r="BA382" i="8" s="1"/>
  <c r="BB381" i="8"/>
  <c r="BC381" i="8"/>
  <c r="BC382" i="8" s="1"/>
  <c r="BD381" i="8"/>
  <c r="BE381" i="8"/>
  <c r="BE383" i="8" s="1"/>
  <c r="BF381" i="8"/>
  <c r="BG381" i="8"/>
  <c r="BH381" i="8"/>
  <c r="BH382" i="8" s="1"/>
  <c r="BI381" i="8"/>
  <c r="BI383" i="8" s="1"/>
  <c r="BJ381" i="8"/>
  <c r="BK381" i="8"/>
  <c r="BL381" i="8"/>
  <c r="BM381" i="8"/>
  <c r="BM382" i="8" s="1"/>
  <c r="BN381" i="8"/>
  <c r="BO381" i="8"/>
  <c r="BO382" i="8" s="1"/>
  <c r="BP381" i="8"/>
  <c r="BP382" i="8" s="1"/>
  <c r="BQ381" i="8"/>
  <c r="BQ382" i="8" s="1"/>
  <c r="BR381" i="8"/>
  <c r="BS381" i="8"/>
  <c r="BW382" i="8" s="1"/>
  <c r="BT381" i="8"/>
  <c r="C381" i="8"/>
  <c r="D381" i="8"/>
  <c r="E381" i="8"/>
  <c r="F381" i="8"/>
  <c r="G381" i="8"/>
  <c r="H381" i="8"/>
  <c r="I381" i="8"/>
  <c r="J381" i="8"/>
  <c r="K381" i="8"/>
  <c r="L381" i="8"/>
  <c r="M381" i="8"/>
  <c r="N381" i="8"/>
  <c r="O381" i="8"/>
  <c r="P381" i="8"/>
  <c r="Q381" i="8"/>
  <c r="R381" i="8"/>
  <c r="S381" i="8"/>
  <c r="T382" i="8" s="1"/>
  <c r="O390" i="8"/>
  <c r="O395" i="8" s="1"/>
  <c r="P390" i="8"/>
  <c r="P395" i="8"/>
  <c r="P401" i="8" s="1"/>
  <c r="Q390" i="8"/>
  <c r="Q395" i="8" s="1"/>
  <c r="Q401" i="8" s="1"/>
  <c r="O392" i="8"/>
  <c r="P392" i="8"/>
  <c r="Q392" i="8"/>
  <c r="O393" i="8"/>
  <c r="P393" i="8"/>
  <c r="Q393" i="8"/>
  <c r="O394" i="8"/>
  <c r="P394" i="8"/>
  <c r="Q394" i="8"/>
  <c r="AF415" i="8"/>
  <c r="AG415" i="8"/>
  <c r="AG416" i="8" s="1"/>
  <c r="AH415" i="8"/>
  <c r="AI415" i="8"/>
  <c r="AJ415" i="8"/>
  <c r="AK415" i="8"/>
  <c r="AK416" i="8" s="1"/>
  <c r="AL415" i="8"/>
  <c r="AM415" i="8"/>
  <c r="AN415" i="8"/>
  <c r="AO415" i="8"/>
  <c r="AP415" i="8"/>
  <c r="AQ415" i="8"/>
  <c r="AR415" i="8"/>
  <c r="AS415" i="8"/>
  <c r="AS416" i="8" s="1"/>
  <c r="AT415" i="8"/>
  <c r="AU415" i="8"/>
  <c r="AV415" i="8"/>
  <c r="AV416" i="8" s="1"/>
  <c r="AW415" i="8"/>
  <c r="AX415" i="8"/>
  <c r="AY415" i="8"/>
  <c r="AZ415" i="8"/>
  <c r="AZ416" i="8" s="1"/>
  <c r="BA415" i="8"/>
  <c r="BB415" i="8"/>
  <c r="BC415" i="8"/>
  <c r="BD415" i="8"/>
  <c r="BD416" i="8" s="1"/>
  <c r="BE415" i="8"/>
  <c r="BF415" i="8"/>
  <c r="BG415" i="8"/>
  <c r="BH415" i="8"/>
  <c r="BI415" i="8"/>
  <c r="BJ415" i="8"/>
  <c r="BK415" i="8"/>
  <c r="BK416" i="8" s="1"/>
  <c r="BL415" i="8"/>
  <c r="BM415" i="8"/>
  <c r="BN415" i="8"/>
  <c r="BO415" i="8"/>
  <c r="BP415" i="8"/>
  <c r="BQ415" i="8"/>
  <c r="BR415" i="8"/>
  <c r="BS415" i="8"/>
  <c r="BT415" i="8"/>
  <c r="C415" i="8"/>
  <c r="D415" i="8"/>
  <c r="E415" i="8"/>
  <c r="F415" i="8"/>
  <c r="F416" i="8" s="1"/>
  <c r="G415" i="8"/>
  <c r="H415" i="8"/>
  <c r="I415" i="8"/>
  <c r="J415" i="8"/>
  <c r="K415" i="8"/>
  <c r="L415" i="8"/>
  <c r="M415" i="8"/>
  <c r="N415" i="8"/>
  <c r="O415" i="8"/>
  <c r="P415" i="8"/>
  <c r="Q415" i="8"/>
  <c r="R415" i="8"/>
  <c r="S415" i="8"/>
  <c r="AT422" i="8"/>
  <c r="BN422" i="8"/>
  <c r="AF428" i="8"/>
  <c r="AG428" i="8"/>
  <c r="AH428" i="8"/>
  <c r="AI428" i="8"/>
  <c r="AJ428" i="8"/>
  <c r="AK428" i="8"/>
  <c r="AL428" i="8"/>
  <c r="AM428" i="8"/>
  <c r="AN428" i="8"/>
  <c r="AO428" i="8"/>
  <c r="AP428" i="8"/>
  <c r="AQ428" i="8"/>
  <c r="AR428" i="8"/>
  <c r="AS428" i="8"/>
  <c r="AT428" i="8"/>
  <c r="AU428" i="8"/>
  <c r="AV428" i="8"/>
  <c r="AW428" i="8"/>
  <c r="AX428" i="8"/>
  <c r="AY428" i="8"/>
  <c r="AZ428" i="8"/>
  <c r="BA428" i="8"/>
  <c r="BB428" i="8"/>
  <c r="BC428" i="8"/>
  <c r="BD428" i="8"/>
  <c r="BE428" i="8"/>
  <c r="BF428" i="8"/>
  <c r="BG428" i="8"/>
  <c r="BH428" i="8"/>
  <c r="BI428" i="8"/>
  <c r="BJ428" i="8"/>
  <c r="BK428" i="8"/>
  <c r="BL428" i="8"/>
  <c r="BM428" i="8"/>
  <c r="BN428" i="8"/>
  <c r="BO428" i="8"/>
  <c r="BP428" i="8"/>
  <c r="BQ428" i="8"/>
  <c r="BR428" i="8"/>
  <c r="BS428" i="8"/>
  <c r="BT428" i="8"/>
  <c r="H428" i="8"/>
  <c r="I428" i="8"/>
  <c r="J428" i="8"/>
  <c r="K428" i="8"/>
  <c r="L428" i="8"/>
  <c r="M428" i="8"/>
  <c r="N428" i="8"/>
  <c r="O428" i="8"/>
  <c r="P428" i="8"/>
  <c r="Q428" i="8"/>
  <c r="R428" i="8"/>
  <c r="S428" i="8"/>
  <c r="AF429" i="8"/>
  <c r="AG429" i="8"/>
  <c r="AH429" i="8"/>
  <c r="AI429" i="8"/>
  <c r="AJ429" i="8"/>
  <c r="AK429" i="8"/>
  <c r="AL429" i="8"/>
  <c r="AM429" i="8"/>
  <c r="AN429" i="8"/>
  <c r="AO429" i="8"/>
  <c r="AP429" i="8"/>
  <c r="AQ429" i="8"/>
  <c r="AR429" i="8"/>
  <c r="AS429" i="8"/>
  <c r="AT429" i="8"/>
  <c r="AU429" i="8"/>
  <c r="AV429" i="8"/>
  <c r="AW429" i="8"/>
  <c r="AX429" i="8"/>
  <c r="AY429" i="8"/>
  <c r="AZ429" i="8"/>
  <c r="BA429" i="8"/>
  <c r="BB429" i="8"/>
  <c r="BC429" i="8"/>
  <c r="BD429" i="8"/>
  <c r="BE429" i="8"/>
  <c r="BF429" i="8"/>
  <c r="BG429" i="8"/>
  <c r="BH429" i="8"/>
  <c r="BI429" i="8"/>
  <c r="BJ429" i="8"/>
  <c r="BK429" i="8"/>
  <c r="BL429" i="8"/>
  <c r="BM429" i="8"/>
  <c r="BN429" i="8"/>
  <c r="BO429" i="8"/>
  <c r="BP429" i="8"/>
  <c r="BQ429" i="8"/>
  <c r="BR429" i="8"/>
  <c r="BS429" i="8"/>
  <c r="BT429" i="8"/>
  <c r="H429" i="8"/>
  <c r="I429" i="8"/>
  <c r="J429" i="8"/>
  <c r="K429" i="8"/>
  <c r="L429" i="8"/>
  <c r="M429" i="8"/>
  <c r="N429" i="8"/>
  <c r="O429" i="8"/>
  <c r="P429" i="8"/>
  <c r="Q429" i="8"/>
  <c r="R429" i="8"/>
  <c r="S429" i="8"/>
  <c r="AF430" i="8"/>
  <c r="AG430" i="8"/>
  <c r="AH430" i="8"/>
  <c r="AI430" i="8"/>
  <c r="AJ430" i="8"/>
  <c r="AK430" i="8"/>
  <c r="AL430" i="8"/>
  <c r="AM430" i="8"/>
  <c r="AN430" i="8"/>
  <c r="AO430" i="8"/>
  <c r="AP430" i="8"/>
  <c r="AQ430" i="8"/>
  <c r="AR430" i="8"/>
  <c r="AS430" i="8"/>
  <c r="AT430" i="8"/>
  <c r="AU430" i="8"/>
  <c r="AV430" i="8"/>
  <c r="AW430" i="8"/>
  <c r="AX430" i="8"/>
  <c r="AY430" i="8"/>
  <c r="AZ430" i="8"/>
  <c r="BA430" i="8"/>
  <c r="BB430" i="8"/>
  <c r="BC430" i="8"/>
  <c r="BD430" i="8"/>
  <c r="BE430" i="8"/>
  <c r="BF430" i="8"/>
  <c r="BG430" i="8"/>
  <c r="BH430" i="8"/>
  <c r="BI430" i="8"/>
  <c r="BJ430" i="8"/>
  <c r="BK430" i="8"/>
  <c r="BL430" i="8"/>
  <c r="BM430" i="8"/>
  <c r="BN430" i="8"/>
  <c r="BO430" i="8"/>
  <c r="BP430" i="8"/>
  <c r="BQ430" i="8"/>
  <c r="BR430" i="8"/>
  <c r="BS430" i="8"/>
  <c r="BT430" i="8"/>
  <c r="H430" i="8"/>
  <c r="I430" i="8"/>
  <c r="J430" i="8"/>
  <c r="K430" i="8"/>
  <c r="L430" i="8"/>
  <c r="M430" i="8"/>
  <c r="N430" i="8"/>
  <c r="O430" i="8"/>
  <c r="P430" i="8"/>
  <c r="Q430" i="8"/>
  <c r="R430" i="8"/>
  <c r="S430" i="8"/>
  <c r="AK433" i="8"/>
  <c r="AT433" i="8"/>
  <c r="BN433" i="8"/>
  <c r="L433" i="8"/>
  <c r="Q433" i="8"/>
  <c r="AT434" i="8"/>
  <c r="BF434" i="8"/>
  <c r="BN434" i="8"/>
  <c r="BR434" i="8"/>
  <c r="AT435" i="8"/>
  <c r="BN435" i="8"/>
  <c r="BR435" i="8"/>
  <c r="BK438" i="8"/>
  <c r="C438" i="8"/>
  <c r="D438" i="8"/>
  <c r="E439" i="8" s="1"/>
  <c r="E438" i="8"/>
  <c r="F438" i="8"/>
  <c r="G438" i="8"/>
  <c r="K438" i="8"/>
  <c r="AF449" i="8"/>
  <c r="AG449" i="8"/>
  <c r="AH449" i="8"/>
  <c r="AI449" i="8"/>
  <c r="AJ449" i="8"/>
  <c r="AK449" i="8"/>
  <c r="AL449" i="8"/>
  <c r="AL450" i="8" s="1"/>
  <c r="AM449" i="8"/>
  <c r="AM451" i="8" s="1"/>
  <c r="AN449" i="8"/>
  <c r="AN450" i="8" s="1"/>
  <c r="AO449" i="8"/>
  <c r="AP449" i="8"/>
  <c r="AQ449" i="8"/>
  <c r="AQ451" i="8" s="1"/>
  <c r="AR449" i="8"/>
  <c r="AS449" i="8"/>
  <c r="AS454" i="8" s="1"/>
  <c r="AS459" i="8" s="1"/>
  <c r="AT449" i="8"/>
  <c r="AU449" i="8"/>
  <c r="AV451" i="8" s="1"/>
  <c r="AV449" i="8"/>
  <c r="AW449" i="8"/>
  <c r="AX449" i="8"/>
  <c r="AY449" i="8"/>
  <c r="AY450" i="8" s="1"/>
  <c r="AZ449" i="8"/>
  <c r="BA449" i="8"/>
  <c r="BB449" i="8"/>
  <c r="BC449" i="8"/>
  <c r="BC453" i="8" s="1"/>
  <c r="BD449" i="8"/>
  <c r="BE449" i="8"/>
  <c r="BF449" i="8"/>
  <c r="BG449" i="8"/>
  <c r="BG454" i="8" s="1"/>
  <c r="BH449" i="8"/>
  <c r="BI449" i="8"/>
  <c r="BJ449" i="8"/>
  <c r="BK449" i="8"/>
  <c r="BK456" i="8" s="1"/>
  <c r="BL449" i="8"/>
  <c r="BM449" i="8"/>
  <c r="BN449" i="8"/>
  <c r="BO449" i="8"/>
  <c r="BO451" i="8" s="1"/>
  <c r="BP449" i="8"/>
  <c r="BQ449" i="8"/>
  <c r="BR449" i="8"/>
  <c r="BV450" i="8" s="1"/>
  <c r="BS449" i="8"/>
  <c r="BS453" i="8" s="1"/>
  <c r="BT449" i="8"/>
  <c r="C449" i="8"/>
  <c r="C454" i="8" s="1"/>
  <c r="D449" i="8"/>
  <c r="D454" i="8" s="1"/>
  <c r="E449" i="8"/>
  <c r="F450" i="8" s="1"/>
  <c r="F449" i="8"/>
  <c r="G449" i="8"/>
  <c r="H449" i="8"/>
  <c r="I449" i="8"/>
  <c r="J449" i="8"/>
  <c r="K449" i="8"/>
  <c r="L449" i="8"/>
  <c r="M449" i="8"/>
  <c r="M454" i="8" s="1"/>
  <c r="M459" i="8" s="1"/>
  <c r="N449" i="8"/>
  <c r="O449" i="8"/>
  <c r="P449" i="8"/>
  <c r="Q449" i="8"/>
  <c r="R450" i="8" s="1"/>
  <c r="R449" i="8"/>
  <c r="S449" i="8"/>
  <c r="T450" i="8" s="1"/>
  <c r="AF461" i="8"/>
  <c r="AG461" i="8"/>
  <c r="AH461" i="8"/>
  <c r="AH466" i="8" s="1"/>
  <c r="AH471" i="8" s="1"/>
  <c r="AI461" i="8"/>
  <c r="AJ461" i="8"/>
  <c r="AK461" i="8"/>
  <c r="AL461" i="8"/>
  <c r="AL462" i="8" s="1"/>
  <c r="AM461" i="8"/>
  <c r="AN461" i="8"/>
  <c r="AO461" i="8"/>
  <c r="AP461" i="8"/>
  <c r="AQ461" i="8"/>
  <c r="AR461" i="8"/>
  <c r="AS461" i="8"/>
  <c r="AT461" i="8"/>
  <c r="AU461" i="8"/>
  <c r="AV461" i="8"/>
  <c r="AV462" i="8" s="1"/>
  <c r="AW461" i="8"/>
  <c r="AX461" i="8"/>
  <c r="AX462" i="8" s="1"/>
  <c r="AY461" i="8"/>
  <c r="AZ461" i="8"/>
  <c r="BA461" i="8"/>
  <c r="BB461" i="8"/>
  <c r="BC461" i="8"/>
  <c r="BD461" i="8"/>
  <c r="BE461" i="8"/>
  <c r="BF461" i="8"/>
  <c r="BG461" i="8"/>
  <c r="BH461" i="8"/>
  <c r="BI461" i="8"/>
  <c r="BJ461" i="8"/>
  <c r="BK461" i="8"/>
  <c r="BL461" i="8"/>
  <c r="BL468" i="8" s="1"/>
  <c r="BM461" i="8"/>
  <c r="BN461" i="8"/>
  <c r="BO461" i="8"/>
  <c r="BP461" i="8"/>
  <c r="BQ461" i="8"/>
  <c r="BR461" i="8"/>
  <c r="BS461" i="8"/>
  <c r="BW462" i="8" s="1"/>
  <c r="BT461" i="8"/>
  <c r="C461" i="8"/>
  <c r="D461" i="8"/>
  <c r="E461" i="8"/>
  <c r="F461" i="8"/>
  <c r="G461" i="8"/>
  <c r="H461" i="8"/>
  <c r="H468" i="8" s="1"/>
  <c r="I461" i="8"/>
  <c r="J461" i="8"/>
  <c r="K461" i="8"/>
  <c r="K468" i="8" s="1"/>
  <c r="L461" i="8"/>
  <c r="L468" i="8" s="1"/>
  <c r="M461" i="8"/>
  <c r="N461" i="8"/>
  <c r="O461" i="8"/>
  <c r="P461" i="8"/>
  <c r="Q461" i="8"/>
  <c r="Q466" i="8" s="1"/>
  <c r="Q471" i="8" s="1"/>
  <c r="R461" i="8"/>
  <c r="S461" i="8"/>
  <c r="T462" i="8" s="1"/>
  <c r="Q473" i="8"/>
  <c r="Q474" i="8" s="1"/>
  <c r="L474" i="8"/>
  <c r="M474" i="8"/>
  <c r="N474" i="8"/>
  <c r="O474" i="8"/>
  <c r="P474" i="8"/>
  <c r="AF478" i="8"/>
  <c r="AG478" i="8"/>
  <c r="AG483" i="8" s="1"/>
  <c r="AH478" i="8"/>
  <c r="AH482" i="8" s="1"/>
  <c r="AH488" i="8" s="1"/>
  <c r="AI478" i="8"/>
  <c r="AI482" i="8" s="1"/>
  <c r="AI488" i="8" s="1"/>
  <c r="AJ478" i="8"/>
  <c r="AJ485" i="8" s="1"/>
  <c r="AK478" i="8"/>
  <c r="AK482" i="8" s="1"/>
  <c r="AK488" i="8" s="1"/>
  <c r="AL478" i="8"/>
  <c r="AM478" i="8"/>
  <c r="AN478" i="8"/>
  <c r="AN485" i="8" s="1"/>
  <c r="AO478" i="8"/>
  <c r="AO479" i="8" s="1"/>
  <c r="AP478" i="8"/>
  <c r="AQ478" i="8"/>
  <c r="AR478" i="8"/>
  <c r="AS478" i="8"/>
  <c r="AT478" i="8"/>
  <c r="AU478" i="8"/>
  <c r="AV478" i="8"/>
  <c r="AW478" i="8"/>
  <c r="AW483" i="8" s="1"/>
  <c r="AX478" i="8"/>
  <c r="AX479" i="8" s="1"/>
  <c r="AY478" i="8"/>
  <c r="AY479" i="8" s="1"/>
  <c r="AZ478" i="8"/>
  <c r="AZ485" i="8" s="1"/>
  <c r="BA478" i="8"/>
  <c r="BA483" i="8" s="1"/>
  <c r="BB478" i="8"/>
  <c r="BC478" i="8"/>
  <c r="BC482" i="8" s="1"/>
  <c r="BC488" i="8" s="1"/>
  <c r="BD478" i="8"/>
  <c r="BD479" i="8" s="1"/>
  <c r="BE478" i="8"/>
  <c r="BF480" i="8" s="1"/>
  <c r="BF478" i="8"/>
  <c r="BG478" i="8"/>
  <c r="BH478" i="8"/>
  <c r="BI478" i="8"/>
  <c r="BI485" i="8" s="1"/>
  <c r="BJ478" i="8"/>
  <c r="BK478" i="8"/>
  <c r="BL478" i="8"/>
  <c r="BM478" i="8"/>
  <c r="BM485" i="8" s="1"/>
  <c r="BN478" i="8"/>
  <c r="BO478" i="8"/>
  <c r="BP478" i="8"/>
  <c r="BQ478" i="8"/>
  <c r="BR478" i="8"/>
  <c r="BS478" i="8"/>
  <c r="BT478" i="8"/>
  <c r="C478" i="8"/>
  <c r="D478" i="8"/>
  <c r="E478" i="8"/>
  <c r="F478" i="8"/>
  <c r="G478" i="8"/>
  <c r="H478" i="8"/>
  <c r="I478" i="8"/>
  <c r="J478" i="8"/>
  <c r="K478" i="8"/>
  <c r="L479" i="8" s="1"/>
  <c r="L478" i="8"/>
  <c r="M478" i="8"/>
  <c r="M483" i="8" s="1"/>
  <c r="N478" i="8"/>
  <c r="O478" i="8"/>
  <c r="P478" i="8"/>
  <c r="Q478" i="8"/>
  <c r="Q483" i="8" s="1"/>
  <c r="R478" i="8"/>
  <c r="S478" i="8"/>
  <c r="T479" i="8" s="1"/>
  <c r="I488" i="8"/>
  <c r="AF493" i="8"/>
  <c r="AG493" i="8"/>
  <c r="AG494" i="8" s="1"/>
  <c r="AH493" i="8"/>
  <c r="AH494" i="8" s="1"/>
  <c r="AI493" i="8"/>
  <c r="AI494" i="8" s="1"/>
  <c r="AJ493" i="8"/>
  <c r="AK493" i="8"/>
  <c r="AK494" i="8" s="1"/>
  <c r="AL493" i="8"/>
  <c r="AL494" i="8" s="1"/>
  <c r="AM493" i="8"/>
  <c r="AN493" i="8"/>
  <c r="AO493" i="8"/>
  <c r="AP493" i="8"/>
  <c r="AP494" i="8" s="1"/>
  <c r="AQ493" i="8"/>
  <c r="AR493" i="8"/>
  <c r="AS493" i="8"/>
  <c r="AT493" i="8"/>
  <c r="AT494" i="8" s="1"/>
  <c r="AU493" i="8"/>
  <c r="AV493" i="8"/>
  <c r="AV494" i="8" s="1"/>
  <c r="AW493" i="8"/>
  <c r="AX493" i="8"/>
  <c r="AY493" i="8"/>
  <c r="AY494" i="8" s="1"/>
  <c r="AZ493" i="8"/>
  <c r="AZ494" i="8" s="1"/>
  <c r="BA493" i="8"/>
  <c r="BB493" i="8"/>
  <c r="BC493" i="8"/>
  <c r="BC494" i="8" s="1"/>
  <c r="BD493" i="8"/>
  <c r="BE493" i="8"/>
  <c r="BE494" i="8" s="1"/>
  <c r="BF493" i="8"/>
  <c r="BG493" i="8"/>
  <c r="BH493" i="8"/>
  <c r="BI493" i="8"/>
  <c r="BJ493" i="8"/>
  <c r="BK493" i="8"/>
  <c r="BK494" i="8" s="1"/>
  <c r="BL493" i="8"/>
  <c r="BM493" i="8"/>
  <c r="BM494" i="8" s="1"/>
  <c r="BN493" i="8"/>
  <c r="BO493" i="8"/>
  <c r="BO494" i="8" s="1"/>
  <c r="BP493" i="8"/>
  <c r="BQ493" i="8"/>
  <c r="BQ494" i="8" s="1"/>
  <c r="BR493" i="8"/>
  <c r="BS493" i="8"/>
  <c r="BT493" i="8"/>
  <c r="C493" i="8"/>
  <c r="D493" i="8"/>
  <c r="D494" i="8" s="1"/>
  <c r="E493" i="8"/>
  <c r="F493" i="8"/>
  <c r="G493" i="8"/>
  <c r="G494" i="8" s="1"/>
  <c r="H493" i="8"/>
  <c r="I493" i="8"/>
  <c r="I494" i="8" s="1"/>
  <c r="J493" i="8"/>
  <c r="J494" i="8" s="1"/>
  <c r="K493" i="8"/>
  <c r="L493" i="8"/>
  <c r="M493" i="8"/>
  <c r="N493" i="8"/>
  <c r="O493" i="8"/>
  <c r="P493" i="8"/>
  <c r="Q493" i="8"/>
  <c r="Q494" i="8" s="1"/>
  <c r="R493" i="8"/>
  <c r="S493" i="8"/>
  <c r="AF496" i="8"/>
  <c r="AG496" i="8"/>
  <c r="AH496" i="8"/>
  <c r="AI496" i="8"/>
  <c r="AJ496" i="8"/>
  <c r="AK496" i="8"/>
  <c r="AL496" i="8"/>
  <c r="AM496" i="8"/>
  <c r="AN496" i="8"/>
  <c r="AO496" i="8"/>
  <c r="AP496" i="8"/>
  <c r="AQ496" i="8"/>
  <c r="AR496" i="8"/>
  <c r="AS496" i="8"/>
  <c r="AT496" i="8"/>
  <c r="AU496" i="8"/>
  <c r="AV496" i="8"/>
  <c r="AW496" i="8"/>
  <c r="AX496" i="8"/>
  <c r="AY496" i="8"/>
  <c r="AZ496" i="8"/>
  <c r="BA496" i="8"/>
  <c r="BB496" i="8"/>
  <c r="BC496" i="8"/>
  <c r="BD496" i="8"/>
  <c r="BE496" i="8"/>
  <c r="BF496" i="8"/>
  <c r="BG496" i="8"/>
  <c r="BH496" i="8"/>
  <c r="BI496" i="8"/>
  <c r="BJ496" i="8"/>
  <c r="BK496" i="8"/>
  <c r="BL496" i="8"/>
  <c r="BM496" i="8"/>
  <c r="BN496" i="8"/>
  <c r="BO496" i="8"/>
  <c r="BP496" i="8"/>
  <c r="BQ496" i="8"/>
  <c r="BR496" i="8"/>
  <c r="BS496" i="8"/>
  <c r="BT496" i="8"/>
  <c r="N496" i="8"/>
  <c r="O496" i="8"/>
  <c r="P496" i="8"/>
  <c r="Q496" i="8"/>
  <c r="R496" i="8"/>
  <c r="S496" i="8"/>
  <c r="AF499" i="8"/>
  <c r="AG499" i="8"/>
  <c r="AH499" i="8"/>
  <c r="AI499" i="8"/>
  <c r="AJ499" i="8"/>
  <c r="AK499" i="8"/>
  <c r="AL499" i="8"/>
  <c r="AM499" i="8"/>
  <c r="AN499" i="8"/>
  <c r="AO499" i="8"/>
  <c r="AP499" i="8"/>
  <c r="AQ499" i="8"/>
  <c r="AR499" i="8"/>
  <c r="AS499" i="8"/>
  <c r="AT499" i="8"/>
  <c r="AU499" i="8"/>
  <c r="AV499" i="8"/>
  <c r="AW499" i="8"/>
  <c r="AX499" i="8"/>
  <c r="AY499" i="8"/>
  <c r="AZ499" i="8"/>
  <c r="BA499" i="8"/>
  <c r="BB499" i="8"/>
  <c r="BC499" i="8"/>
  <c r="BD499" i="8"/>
  <c r="BE499" i="8"/>
  <c r="BF499" i="8"/>
  <c r="BG499" i="8"/>
  <c r="BH499" i="8"/>
  <c r="BI499" i="8"/>
  <c r="BJ499" i="8"/>
  <c r="BK499" i="8"/>
  <c r="BL499" i="8"/>
  <c r="BM499" i="8"/>
  <c r="BN499" i="8"/>
  <c r="BO499" i="8"/>
  <c r="BP499" i="8"/>
  <c r="BQ499" i="8"/>
  <c r="BR499" i="8"/>
  <c r="BS499" i="8"/>
  <c r="BT499" i="8"/>
  <c r="C499" i="8"/>
  <c r="D499" i="8"/>
  <c r="E499" i="8"/>
  <c r="F499" i="8"/>
  <c r="G499" i="8"/>
  <c r="H499" i="8"/>
  <c r="I499" i="8"/>
  <c r="J499" i="8"/>
  <c r="K499" i="8"/>
  <c r="L499" i="8"/>
  <c r="M499" i="8"/>
  <c r="N499" i="8"/>
  <c r="O499" i="8"/>
  <c r="P499" i="8"/>
  <c r="Q499" i="8"/>
  <c r="R499" i="8"/>
  <c r="S499" i="8"/>
  <c r="W500" i="8"/>
  <c r="X500" i="8" s="1"/>
  <c r="Y500" i="8" s="1"/>
  <c r="Z500" i="8" s="1"/>
  <c r="AA500" i="8" s="1"/>
  <c r="AB500" i="8" s="1"/>
  <c r="AC500" i="8" s="1"/>
  <c r="AD500" i="8" s="1"/>
  <c r="AF502" i="8"/>
  <c r="AG502" i="8"/>
  <c r="AH502" i="8"/>
  <c r="AI502" i="8"/>
  <c r="AJ502" i="8"/>
  <c r="AK502" i="8"/>
  <c r="AL502" i="8"/>
  <c r="AM502" i="8"/>
  <c r="AN502" i="8"/>
  <c r="AO502" i="8"/>
  <c r="AP502" i="8"/>
  <c r="AQ502" i="8"/>
  <c r="AR502" i="8"/>
  <c r="AS502" i="8"/>
  <c r="AT502" i="8"/>
  <c r="AU502" i="8"/>
  <c r="AV502" i="8"/>
  <c r="AW502" i="8"/>
  <c r="AX502" i="8"/>
  <c r="AY502" i="8"/>
  <c r="AZ502" i="8"/>
  <c r="AZ503" i="8" s="1"/>
  <c r="BA502" i="8"/>
  <c r="BB502" i="8"/>
  <c r="BC502" i="8"/>
  <c r="BD502" i="8"/>
  <c r="BE502" i="8"/>
  <c r="BF502" i="8"/>
  <c r="BG502" i="8"/>
  <c r="BH502" i="8"/>
  <c r="BI502" i="8"/>
  <c r="BJ502" i="8"/>
  <c r="BK502" i="8"/>
  <c r="BL502" i="8"/>
  <c r="BM502" i="8"/>
  <c r="BN502" i="8"/>
  <c r="BO502" i="8"/>
  <c r="BP502" i="8"/>
  <c r="BQ502" i="8"/>
  <c r="BR502" i="8"/>
  <c r="BS502" i="8"/>
  <c r="BT502" i="8"/>
  <c r="N502" i="8"/>
  <c r="O502" i="8"/>
  <c r="P502" i="8"/>
  <c r="Q502" i="8"/>
  <c r="R502" i="8"/>
  <c r="S502" i="8"/>
  <c r="AF505" i="8"/>
  <c r="AG505" i="8"/>
  <c r="AH505" i="8"/>
  <c r="AI505" i="8"/>
  <c r="AJ505" i="8"/>
  <c r="AK505" i="8"/>
  <c r="AL505" i="8"/>
  <c r="AM505" i="8"/>
  <c r="AN505" i="8"/>
  <c r="AO505" i="8"/>
  <c r="AP505" i="8"/>
  <c r="AQ505" i="8"/>
  <c r="AR505" i="8"/>
  <c r="AS505" i="8"/>
  <c r="AT505" i="8"/>
  <c r="AU505" i="8"/>
  <c r="AV505" i="8"/>
  <c r="AW505" i="8"/>
  <c r="AX505" i="8"/>
  <c r="AY505" i="8"/>
  <c r="AZ505" i="8"/>
  <c r="BA505" i="8"/>
  <c r="BB505" i="8"/>
  <c r="BC505" i="8"/>
  <c r="BD505" i="8"/>
  <c r="BE505" i="8"/>
  <c r="BF505" i="8"/>
  <c r="BG505" i="8"/>
  <c r="BH505" i="8"/>
  <c r="BI505" i="8"/>
  <c r="BJ505" i="8"/>
  <c r="BK505" i="8"/>
  <c r="BL505" i="8"/>
  <c r="BM505" i="8"/>
  <c r="BN505" i="8"/>
  <c r="BO505" i="8"/>
  <c r="BP505" i="8"/>
  <c r="BQ505" i="8"/>
  <c r="BR505" i="8"/>
  <c r="BS505" i="8"/>
  <c r="BT505" i="8"/>
  <c r="N505" i="8"/>
  <c r="O505" i="8"/>
  <c r="P505" i="8"/>
  <c r="Q505" i="8"/>
  <c r="R505" i="8"/>
  <c r="S505" i="8"/>
  <c r="BO506" i="8"/>
  <c r="AZ515" i="8"/>
  <c r="BA515" i="8"/>
  <c r="BB515" i="8"/>
  <c r="BC515" i="8"/>
  <c r="BD515" i="8"/>
  <c r="BE515" i="8"/>
  <c r="BF515" i="8"/>
  <c r="BG515" i="8"/>
  <c r="N515" i="8"/>
  <c r="O515" i="8"/>
  <c r="P515" i="8"/>
  <c r="P517" i="8" s="1"/>
  <c r="Q515" i="8"/>
  <c r="R515" i="8"/>
  <c r="S515" i="8"/>
  <c r="X6" i="7"/>
  <c r="Y6" i="7"/>
  <c r="Z6" i="7" s="1"/>
  <c r="E6" i="7" s="1"/>
  <c r="AS103" i="7"/>
  <c r="AS178" i="7"/>
  <c r="K28" i="7"/>
  <c r="K191" i="7" s="1"/>
  <c r="N28" i="7"/>
  <c r="N191" i="7" s="1"/>
  <c r="K128" i="7"/>
  <c r="M41" i="7"/>
  <c r="M128" i="7" s="1"/>
  <c r="K207" i="7"/>
  <c r="K140" i="7"/>
  <c r="J147" i="7"/>
  <c r="J224" i="7"/>
  <c r="G68" i="7"/>
  <c r="M71" i="7"/>
  <c r="M156" i="7" s="1"/>
  <c r="M157" i="7" s="1"/>
  <c r="AQ72" i="7"/>
  <c r="AR72" i="7"/>
  <c r="AS72" i="7"/>
  <c r="J72" i="7"/>
  <c r="K72" i="7"/>
  <c r="AQ103" i="7"/>
  <c r="AQ178" i="7" s="1"/>
  <c r="AQ116" i="7"/>
  <c r="AR116" i="7"/>
  <c r="AS116" i="7"/>
  <c r="L116" i="7"/>
  <c r="M116" i="7"/>
  <c r="AQ120" i="7"/>
  <c r="AR120" i="7"/>
  <c r="AS120" i="7"/>
  <c r="J120" i="7"/>
  <c r="K120" i="7"/>
  <c r="L120" i="7"/>
  <c r="AQ132" i="7"/>
  <c r="AR132" i="7"/>
  <c r="AS132" i="7"/>
  <c r="J132" i="7"/>
  <c r="AQ140" i="7"/>
  <c r="AR140" i="7"/>
  <c r="AS140" i="7"/>
  <c r="J140" i="7"/>
  <c r="L140" i="7"/>
  <c r="AQ143" i="7"/>
  <c r="AR143" i="7"/>
  <c r="AS143" i="7"/>
  <c r="AQ147" i="7"/>
  <c r="AR147" i="7"/>
  <c r="AS147" i="7"/>
  <c r="AQ150" i="7"/>
  <c r="AR150" i="7"/>
  <c r="AS150" i="7"/>
  <c r="AQ156" i="7"/>
  <c r="AQ157" i="7" s="1"/>
  <c r="AR156" i="7"/>
  <c r="AR157" i="7" s="1"/>
  <c r="AS156" i="7"/>
  <c r="AS157" i="7" s="1"/>
  <c r="J156" i="7"/>
  <c r="J157" i="7" s="1"/>
  <c r="K156" i="7"/>
  <c r="K157" i="7" s="1"/>
  <c r="AQ161" i="7"/>
  <c r="AR161" i="7"/>
  <c r="AS161" i="7"/>
  <c r="J161" i="7"/>
  <c r="K161" i="7"/>
  <c r="AQ195" i="7"/>
  <c r="AR195" i="7"/>
  <c r="AS195" i="7"/>
  <c r="J195" i="7"/>
  <c r="K195" i="7"/>
  <c r="L195" i="7"/>
  <c r="J203" i="7"/>
  <c r="L203" i="7"/>
  <c r="M203" i="7"/>
  <c r="AQ207" i="7"/>
  <c r="AR207" i="7"/>
  <c r="AS207" i="7"/>
  <c r="J207" i="7"/>
  <c r="AQ215" i="7"/>
  <c r="AR215" i="7"/>
  <c r="AS215" i="7"/>
  <c r="AQ218" i="7"/>
  <c r="AR218" i="7"/>
  <c r="AS218" i="7"/>
  <c r="AQ221" i="7"/>
  <c r="AR221" i="7"/>
  <c r="AS221" i="7"/>
  <c r="AQ224" i="7"/>
  <c r="AR224" i="7"/>
  <c r="AS224" i="7"/>
  <c r="AQ230" i="7"/>
  <c r="AQ231" i="7" s="1"/>
  <c r="AR230" i="7"/>
  <c r="AR231" i="7" s="1"/>
  <c r="AS230" i="7"/>
  <c r="AS231" i="7" s="1"/>
  <c r="J230" i="7"/>
  <c r="J231" i="7" s="1"/>
  <c r="K230" i="7"/>
  <c r="K231" i="7" s="1"/>
  <c r="AQ235" i="7"/>
  <c r="AR235" i="7"/>
  <c r="AS235" i="7"/>
  <c r="BD186" i="8"/>
  <c r="BE186" i="8"/>
  <c r="BE199" i="8" s="1"/>
  <c r="BE86" i="8"/>
  <c r="BE187" i="8"/>
  <c r="BE200" i="8" s="1"/>
  <c r="BF187" i="8"/>
  <c r="BF200" i="8" s="1"/>
  <c r="BG187" i="8"/>
  <c r="BG200" i="8" s="1"/>
  <c r="BN188" i="8"/>
  <c r="BD87" i="8"/>
  <c r="BE87" i="8"/>
  <c r="BF87" i="8"/>
  <c r="BG88" i="8"/>
  <c r="BG89" i="8" s="1"/>
  <c r="BO88" i="8"/>
  <c r="BP88" i="8"/>
  <c r="BD92" i="8"/>
  <c r="BH92" i="8"/>
  <c r="BL92" i="8"/>
  <c r="BM92" i="8"/>
  <c r="BM89" i="8" s="1"/>
  <c r="BM90" i="8" s="1"/>
  <c r="BN93" i="8"/>
  <c r="BO93" i="8"/>
  <c r="BP93" i="8"/>
  <c r="BP89" i="8" s="1"/>
  <c r="BP90" i="8" s="1"/>
  <c r="BD94" i="8"/>
  <c r="BH94" i="8"/>
  <c r="C7" i="4"/>
  <c r="D8" i="4"/>
  <c r="D7" i="4" s="1"/>
  <c r="C11" i="4"/>
  <c r="D11" i="4"/>
  <c r="E11" i="4"/>
  <c r="D12" i="4"/>
  <c r="E12" i="4"/>
  <c r="E19" i="4"/>
  <c r="S339" i="8" s="1"/>
  <c r="F19" i="4"/>
  <c r="T339" i="8" s="1"/>
  <c r="G19" i="4"/>
  <c r="U339" i="8" s="1"/>
  <c r="BH162" i="8"/>
  <c r="BS176" i="8"/>
  <c r="BT171" i="8"/>
  <c r="BT176" i="8" s="1"/>
  <c r="Q307" i="8"/>
  <c r="BO307" i="8"/>
  <c r="AQ307" i="8"/>
  <c r="AQ56" i="8" s="1"/>
  <c r="H19" i="4"/>
  <c r="V339" i="8"/>
  <c r="I19" i="4"/>
  <c r="W339" i="8"/>
  <c r="J19" i="4"/>
  <c r="X339" i="8"/>
  <c r="K19" i="4"/>
  <c r="Y339" i="8"/>
  <c r="L19" i="4"/>
  <c r="Z339" i="8"/>
  <c r="M19" i="4"/>
  <c r="AA339" i="8"/>
  <c r="AB339" i="8" s="1"/>
  <c r="AC339" i="8" s="1"/>
  <c r="AD339" i="8" s="1"/>
  <c r="N19" i="4"/>
  <c r="O19" i="4" s="1"/>
  <c r="P19" i="4" s="1"/>
  <c r="S703" i="8"/>
  <c r="BP618" i="8"/>
  <c r="BP626" i="8"/>
  <c r="BL618" i="8"/>
  <c r="BH618" i="8"/>
  <c r="BH626" i="8"/>
  <c r="BD618" i="8"/>
  <c r="BD626" i="8"/>
  <c r="BS579" i="8"/>
  <c r="BK626" i="8"/>
  <c r="Q738" i="8"/>
  <c r="Q703" i="8"/>
  <c r="BR703" i="8"/>
  <c r="BR738" i="8"/>
  <c r="L618" i="8"/>
  <c r="L821" i="8"/>
  <c r="R820" i="8"/>
  <c r="BL206" i="8"/>
  <c r="O571" i="8"/>
  <c r="K571" i="8"/>
  <c r="O821" i="8"/>
  <c r="N664" i="8"/>
  <c r="N665" i="8"/>
  <c r="O656" i="8"/>
  <c r="U542" i="8"/>
  <c r="V542" i="8" s="1"/>
  <c r="W542" i="8" s="1"/>
  <c r="X542" i="8" s="1"/>
  <c r="Y542" i="8" s="1"/>
  <c r="Z542" i="8" s="1"/>
  <c r="AA542" i="8" s="1"/>
  <c r="AB542" i="8" s="1"/>
  <c r="AC542" i="8" s="1"/>
  <c r="AD542" i="8" s="1"/>
  <c r="O224" i="8"/>
  <c r="BM222" i="8"/>
  <c r="AZ209" i="8"/>
  <c r="BR133" i="8"/>
  <c r="BU341" i="8"/>
  <c r="BU348" i="8" s="1"/>
  <c r="BV346" i="8"/>
  <c r="BU346" i="8"/>
  <c r="BS157" i="8"/>
  <c r="BS69" i="8"/>
  <c r="BW70" i="8" s="1"/>
  <c r="AF51" i="8"/>
  <c r="AF29" i="8"/>
  <c r="BE382" i="8"/>
  <c r="BS209" i="8"/>
  <c r="BW210" i="8" s="1"/>
  <c r="AZ206" i="8"/>
  <c r="AX224" i="8"/>
  <c r="AD619" i="8"/>
  <c r="BE158" i="8"/>
  <c r="K578" i="8"/>
  <c r="BR578" i="8"/>
  <c r="O660" i="8"/>
  <c r="R668" i="8"/>
  <c r="BN578" i="8"/>
  <c r="S791" i="8"/>
  <c r="BO578" i="8"/>
  <c r="BA450" i="8"/>
  <c r="BI450" i="8"/>
  <c r="O453" i="8"/>
  <c r="BQ452" i="8"/>
  <c r="BK32" i="8"/>
  <c r="R578" i="8"/>
  <c r="BS578" i="8"/>
  <c r="BJ578" i="8"/>
  <c r="AG69" i="8"/>
  <c r="AG77" i="8" s="1"/>
  <c r="AG8" i="8" s="1"/>
  <c r="Q811" i="8"/>
  <c r="Q652" i="8"/>
  <c r="S540" i="8"/>
  <c r="K465" i="8"/>
  <c r="BJ218" i="8"/>
  <c r="BO62" i="8"/>
  <c r="BS34" i="8"/>
  <c r="Q562" i="8"/>
  <c r="P562" i="8"/>
  <c r="R811" i="8"/>
  <c r="BO63" i="8"/>
  <c r="BG34" i="8"/>
  <c r="N656" i="8"/>
  <c r="S570" i="8"/>
  <c r="BI33" i="8"/>
  <c r="K574" i="8"/>
  <c r="N62" i="8"/>
  <c r="O574" i="8"/>
  <c r="AR209" i="8"/>
  <c r="H195" i="8"/>
  <c r="AZ56" i="8"/>
  <c r="S33" i="8"/>
  <c r="AQ62" i="8"/>
  <c r="K618" i="8"/>
  <c r="O618" i="8"/>
  <c r="BC618" i="8"/>
  <c r="BK618" i="8"/>
  <c r="R703" i="8"/>
  <c r="R712" i="8" s="1"/>
  <c r="BK307" i="8"/>
  <c r="BK497" i="8" s="1"/>
  <c r="AQ494" i="8"/>
  <c r="AM494" i="8"/>
  <c r="AJ130" i="8"/>
  <c r="BH63" i="8"/>
  <c r="AM62" i="8"/>
  <c r="I821" i="8"/>
  <c r="O517" i="8"/>
  <c r="O494" i="8"/>
  <c r="BS466" i="8"/>
  <c r="BG466" i="8"/>
  <c r="BG471" i="8" s="1"/>
  <c r="BR456" i="8"/>
  <c r="BN456" i="8"/>
  <c r="J438" i="8"/>
  <c r="BK51" i="8"/>
  <c r="AQ51" i="8"/>
  <c r="BJ483" i="8"/>
  <c r="AU62" i="8"/>
  <c r="AQ136" i="8"/>
  <c r="AQ144" i="8" s="1"/>
  <c r="O626" i="8"/>
  <c r="J820" i="8"/>
  <c r="BC626" i="8"/>
  <c r="E626" i="8"/>
  <c r="R422" i="8"/>
  <c r="BG422" i="8"/>
  <c r="O416" i="8"/>
  <c r="O563" i="8"/>
  <c r="Q653" i="8"/>
  <c r="R664" i="8"/>
  <c r="R656" i="8"/>
  <c r="AR63" i="8"/>
  <c r="Q571" i="8"/>
  <c r="Q668" i="8"/>
  <c r="S664" i="8"/>
  <c r="V753" i="8"/>
  <c r="R570" i="8"/>
  <c r="L578" i="8"/>
  <c r="S672" i="8"/>
  <c r="S656" i="8"/>
  <c r="H540" i="8"/>
  <c r="AQ483" i="8"/>
  <c r="BW341" i="8"/>
  <c r="BW348" i="8" s="1"/>
  <c r="BK479" i="8"/>
  <c r="BP462" i="8"/>
  <c r="BV341" i="8"/>
  <c r="BV348" i="8"/>
  <c r="BH465" i="8"/>
  <c r="R62" i="8"/>
  <c r="J62" i="8"/>
  <c r="BS63" i="8"/>
  <c r="BK63" i="8"/>
  <c r="AI63" i="8"/>
  <c r="BR452" i="8"/>
  <c r="BS462" i="8"/>
  <c r="BA207" i="8"/>
  <c r="BR450" i="8"/>
  <c r="O644" i="8"/>
  <c r="AU63" i="8"/>
  <c r="AH452" i="8"/>
  <c r="BT63" i="8"/>
  <c r="AV63" i="8"/>
  <c r="P578" i="8"/>
  <c r="BM134" i="8"/>
  <c r="AY63" i="8"/>
  <c r="AX62" i="8"/>
  <c r="BP206" i="8"/>
  <c r="AP218" i="8"/>
  <c r="BP207" i="8"/>
  <c r="BF158" i="8"/>
  <c r="K483" i="8"/>
  <c r="K454" i="8"/>
  <c r="K459" i="8" s="1"/>
  <c r="BC433" i="8"/>
  <c r="AQ433" i="8"/>
  <c r="I69" i="8"/>
  <c r="I77" i="8" s="1"/>
  <c r="I8" i="8" s="1"/>
  <c r="AV466" i="8"/>
  <c r="AV483" i="8"/>
  <c r="R434" i="8"/>
  <c r="BJ195" i="8"/>
  <c r="BF33" i="8"/>
  <c r="AL456" i="8"/>
  <c r="BC435" i="8"/>
  <c r="BH563" i="8"/>
  <c r="Q591" i="8"/>
  <c r="O652" i="8"/>
  <c r="K653" i="8"/>
  <c r="BR181" i="8"/>
  <c r="AJ66" i="8"/>
  <c r="BK89" i="8"/>
  <c r="BK90" i="8" s="1"/>
  <c r="R672" i="8"/>
  <c r="O653" i="8"/>
  <c r="T794" i="8"/>
  <c r="N672" i="8"/>
  <c r="S648" i="8"/>
  <c r="I574" i="8"/>
  <c r="L579" i="8"/>
  <c r="S799" i="8"/>
  <c r="BH540" i="8"/>
  <c r="R648" i="8"/>
  <c r="AP454" i="8"/>
  <c r="AP459" i="8" s="1"/>
  <c r="AL454" i="8"/>
  <c r="AL459" i="8" s="1"/>
  <c r="AH454" i="8"/>
  <c r="O592" i="8"/>
  <c r="BO579" i="8"/>
  <c r="O575" i="8"/>
  <c r="BT575" i="8"/>
  <c r="BP575" i="8"/>
  <c r="BL575" i="8"/>
  <c r="AO451" i="8"/>
  <c r="BM94" i="8"/>
  <c r="BI92" i="8"/>
  <c r="BP187" i="8"/>
  <c r="BP200" i="8" s="1"/>
  <c r="BD187" i="8"/>
  <c r="BD200" i="8" s="1"/>
  <c r="BQ88" i="8"/>
  <c r="BG87" i="8"/>
  <c r="BD86" i="8"/>
  <c r="BD102" i="8" s="1"/>
  <c r="AP209" i="8"/>
  <c r="S698" i="8"/>
  <c r="P550" i="8"/>
  <c r="P554" i="8"/>
  <c r="P563" i="8" s="1"/>
  <c r="D483" i="8"/>
  <c r="D485" i="8"/>
  <c r="E479" i="8"/>
  <c r="BF483" i="8"/>
  <c r="BF482" i="8"/>
  <c r="BF488" i="8" s="1"/>
  <c r="BD463" i="8"/>
  <c r="AZ464" i="8"/>
  <c r="BI452" i="8"/>
  <c r="AV454" i="8"/>
  <c r="AV459" i="8" s="1"/>
  <c r="S660" i="8"/>
  <c r="R799" i="8"/>
  <c r="P433" i="8"/>
  <c r="L738" i="8"/>
  <c r="L425" i="8"/>
  <c r="L434" i="8"/>
  <c r="L435" i="8"/>
  <c r="H738" i="8"/>
  <c r="H422" i="8"/>
  <c r="H433" i="8"/>
  <c r="H434" i="8"/>
  <c r="H435" i="8"/>
  <c r="BQ434" i="8"/>
  <c r="BQ738" i="8"/>
  <c r="BM738" i="8"/>
  <c r="BM422" i="8"/>
  <c r="BM433" i="8"/>
  <c r="BM435" i="8"/>
  <c r="BA738" i="8"/>
  <c r="BA434" i="8"/>
  <c r="BA422" i="8"/>
  <c r="AK738" i="8"/>
  <c r="AK422" i="8"/>
  <c r="AK435" i="8"/>
  <c r="Q820" i="8"/>
  <c r="M438" i="8"/>
  <c r="M820" i="8"/>
  <c r="I820" i="8"/>
  <c r="I438" i="8"/>
  <c r="BN438" i="8"/>
  <c r="BN454" i="8"/>
  <c r="BJ438" i="8"/>
  <c r="H626" i="8"/>
  <c r="H575" i="8"/>
  <c r="BN626" i="8"/>
  <c r="BR453" i="8"/>
  <c r="BN575" i="8"/>
  <c r="BN579" i="8"/>
  <c r="BF579" i="8"/>
  <c r="BF51" i="8"/>
  <c r="BB307" i="8"/>
  <c r="AX307" i="8"/>
  <c r="AX442" i="8" s="1"/>
  <c r="AX447" i="8" s="1"/>
  <c r="AL453" i="8"/>
  <c r="AL307" i="8"/>
  <c r="AL309" i="8" s="1"/>
  <c r="AP102" i="8"/>
  <c r="AQ63" i="8"/>
  <c r="BR51" i="8"/>
  <c r="O648" i="8"/>
  <c r="S578" i="8"/>
  <c r="O578" i="8"/>
  <c r="BG578" i="8"/>
  <c r="L574" i="8"/>
  <c r="BF494" i="8"/>
  <c r="BB494" i="8"/>
  <c r="AX494" i="8"/>
  <c r="BR468" i="8"/>
  <c r="BR471" i="8" s="1"/>
  <c r="BO464" i="8"/>
  <c r="BC464" i="8"/>
  <c r="AU456" i="8"/>
  <c r="Q62" i="8"/>
  <c r="N540" i="8"/>
  <c r="J540" i="8"/>
  <c r="BK540" i="8"/>
  <c r="BN224" i="8"/>
  <c r="BN154" i="8"/>
  <c r="BM154" i="8" s="1"/>
  <c r="Q570" i="8"/>
  <c r="P570" i="8"/>
  <c r="M540" i="8"/>
  <c r="AO383" i="8"/>
  <c r="R34" i="8"/>
  <c r="Q34" i="8"/>
  <c r="AH456" i="8"/>
  <c r="S32" i="8"/>
  <c r="BS464" i="8"/>
  <c r="BI207" i="8"/>
  <c r="BQ207" i="8"/>
  <c r="BJ162" i="8"/>
  <c r="BS129" i="8"/>
  <c r="O206" i="8"/>
  <c r="AU130" i="8"/>
  <c r="AK62" i="8"/>
  <c r="BH89" i="8"/>
  <c r="BL189" i="8"/>
  <c r="BT219" i="8"/>
  <c r="AZ40" i="8"/>
  <c r="M822" i="8"/>
  <c r="P566" i="8"/>
  <c r="AJ69" i="8"/>
  <c r="AO453" i="8"/>
  <c r="O579" i="8"/>
  <c r="L575" i="8"/>
  <c r="Q821" i="8"/>
  <c r="AM450" i="8"/>
  <c r="AS383" i="8"/>
  <c r="S230" i="8"/>
  <c r="S260" i="8" s="1"/>
  <c r="T239" i="8"/>
  <c r="T230" i="8" s="1"/>
  <c r="L222" i="8"/>
  <c r="BJ223" i="8"/>
  <c r="AY223" i="8"/>
  <c r="BB219" i="8"/>
  <c r="AH219" i="8"/>
  <c r="BT209" i="8"/>
  <c r="BT10" i="8" s="1"/>
  <c r="BT206" i="8"/>
  <c r="AY209" i="8"/>
  <c r="I195" i="8"/>
  <c r="Q129" i="8"/>
  <c r="P136" i="8"/>
  <c r="P144" i="8" s="1"/>
  <c r="AT130" i="8"/>
  <c r="AT136" i="8"/>
  <c r="BN104" i="8"/>
  <c r="BN74" i="8"/>
  <c r="S69" i="8"/>
  <c r="S62" i="8"/>
  <c r="BP62" i="8"/>
  <c r="BP69" i="8"/>
  <c r="BP71" i="8" s="1"/>
  <c r="Z342" i="8"/>
  <c r="AA342" i="8" s="1"/>
  <c r="L653" i="8"/>
  <c r="BM438" i="8"/>
  <c r="BN440" i="8" s="1"/>
  <c r="AS438" i="8"/>
  <c r="AK438" i="8"/>
  <c r="Q51" i="8"/>
  <c r="Q618" i="8"/>
  <c r="Q465" i="8"/>
  <c r="Q29" i="8"/>
  <c r="M29" i="8"/>
  <c r="M51" i="8"/>
  <c r="M571" i="8"/>
  <c r="M626" i="8"/>
  <c r="M307" i="8"/>
  <c r="M358" i="8" s="1"/>
  <c r="M618" i="8"/>
  <c r="M821" i="8"/>
  <c r="C626" i="8"/>
  <c r="BQ307" i="8"/>
  <c r="BM626" i="8"/>
  <c r="BQ579" i="8"/>
  <c r="BM618" i="8"/>
  <c r="BM29" i="8"/>
  <c r="BI626" i="8"/>
  <c r="BM579" i="8"/>
  <c r="BM307" i="8"/>
  <c r="BI307" i="8"/>
  <c r="BI497" i="8"/>
  <c r="BI494" i="8"/>
  <c r="BE626" i="8"/>
  <c r="BE307" i="8"/>
  <c r="BE384" i="8"/>
  <c r="AS51" i="8"/>
  <c r="AK307" i="8"/>
  <c r="AK51" i="8"/>
  <c r="AG51" i="8"/>
  <c r="AG29" i="8"/>
  <c r="R574" i="8"/>
  <c r="BI453" i="8"/>
  <c r="AK453" i="8"/>
  <c r="BT207" i="8"/>
  <c r="BF218" i="8"/>
  <c r="BE224" i="8"/>
  <c r="AU454" i="8"/>
  <c r="AU459" i="8" s="1"/>
  <c r="AL383" i="8"/>
  <c r="BN134" i="8"/>
  <c r="BQ453" i="8"/>
  <c r="BI579" i="8"/>
  <c r="AK425" i="8"/>
  <c r="Q416" i="8"/>
  <c r="N669" i="8"/>
  <c r="N668" i="8"/>
  <c r="O668" i="8"/>
  <c r="R614" i="8"/>
  <c r="Q592" i="8"/>
  <c r="R591" i="8"/>
  <c r="BH578" i="8"/>
  <c r="BH579" i="8"/>
  <c r="BQ575" i="8"/>
  <c r="BM575" i="8"/>
  <c r="U556" i="8"/>
  <c r="V556" i="8" s="1"/>
  <c r="T811" i="8"/>
  <c r="G51" i="8"/>
  <c r="G626" i="8"/>
  <c r="O5" i="8"/>
  <c r="BH5" i="8"/>
  <c r="BI5" i="8" s="1"/>
  <c r="BJ5" i="8" s="1"/>
  <c r="BK5" i="8" s="1"/>
  <c r="Q5" i="8" s="1"/>
  <c r="P532" i="8"/>
  <c r="Q532" i="8"/>
  <c r="AK479" i="8"/>
  <c r="AS453" i="8"/>
  <c r="AG453" i="8"/>
  <c r="BC206" i="8"/>
  <c r="M575" i="8"/>
  <c r="BQ425" i="8"/>
  <c r="AO307" i="8"/>
  <c r="M494" i="8"/>
  <c r="L485" i="8"/>
  <c r="AH453" i="8"/>
  <c r="C494" i="8"/>
  <c r="BJ456" i="8"/>
  <c r="BI224" i="8"/>
  <c r="BA224" i="8"/>
  <c r="AW224" i="8"/>
  <c r="BN219" i="8"/>
  <c r="AX219" i="8"/>
  <c r="AT219" i="8"/>
  <c r="AO219" i="8"/>
  <c r="Q517" i="8"/>
  <c r="AO494" i="8"/>
  <c r="BN452" i="8"/>
  <c r="G416" i="8"/>
  <c r="C416" i="8"/>
  <c r="BQ416" i="8"/>
  <c r="BM416" i="8"/>
  <c r="BI416" i="8"/>
  <c r="BE416" i="8"/>
  <c r="M62" i="8"/>
  <c r="M425" i="8"/>
  <c r="AT462" i="8"/>
  <c r="AT466" i="8"/>
  <c r="AT471" i="8" s="1"/>
  <c r="L62" i="8"/>
  <c r="K62" i="8"/>
  <c r="AZ102" i="8"/>
  <c r="BA63" i="8"/>
  <c r="BK33" i="8"/>
  <c r="AP129" i="8"/>
  <c r="BN480" i="8"/>
  <c r="M137" i="8"/>
  <c r="AG63" i="8"/>
  <c r="BE482" i="8"/>
  <c r="BE488" i="8" s="1"/>
  <c r="BS463" i="8"/>
  <c r="AL468" i="8"/>
  <c r="AY463" i="8"/>
  <c r="BF481" i="8"/>
  <c r="AN63" i="8"/>
  <c r="BD63" i="8"/>
  <c r="BB129" i="8"/>
  <c r="BN136" i="8"/>
  <c r="AJ63" i="8"/>
  <c r="AF69" i="8"/>
  <c r="AF77" i="8" s="1"/>
  <c r="BN479" i="8"/>
  <c r="BN483" i="8"/>
  <c r="BN482" i="8"/>
  <c r="AX482" i="8"/>
  <c r="AX488" i="8" s="1"/>
  <c r="AY480" i="8"/>
  <c r="AT482" i="8"/>
  <c r="AT488" i="8" s="1"/>
  <c r="AP482" i="8"/>
  <c r="AP488" i="8" s="1"/>
  <c r="AQ480" i="8"/>
  <c r="BO465" i="8"/>
  <c r="BO468" i="8"/>
  <c r="BK466" i="8"/>
  <c r="BK471" i="8" s="1"/>
  <c r="BG462" i="8"/>
  <c r="BH463" i="8"/>
  <c r="AZ452" i="8"/>
  <c r="AJ450" i="8"/>
  <c r="Y343" i="8"/>
  <c r="X347" i="8"/>
  <c r="BF438" i="8"/>
  <c r="AT438" i="8"/>
  <c r="AP438" i="8"/>
  <c r="R307" i="8"/>
  <c r="R56" i="8" s="1"/>
  <c r="R821" i="8"/>
  <c r="R626" i="8"/>
  <c r="H29" i="8"/>
  <c r="H571" i="8"/>
  <c r="H579" i="8"/>
  <c r="H618" i="8"/>
  <c r="D307" i="8"/>
  <c r="D442" i="8" s="1"/>
  <c r="D626" i="8"/>
  <c r="BN618" i="8"/>
  <c r="BR307" i="8"/>
  <c r="BR579" i="8"/>
  <c r="BJ626" i="8"/>
  <c r="BJ618" i="8"/>
  <c r="BN453" i="8"/>
  <c r="AX29" i="8"/>
  <c r="AT51" i="8"/>
  <c r="AT425" i="8"/>
  <c r="AT307" i="8"/>
  <c r="AP307" i="8"/>
  <c r="AL29" i="8"/>
  <c r="J488" i="8"/>
  <c r="J626" i="8"/>
  <c r="J571" i="8"/>
  <c r="J618" i="8"/>
  <c r="AJ433" i="8"/>
  <c r="AJ425" i="8"/>
  <c r="AS479" i="8"/>
  <c r="BL63" i="8"/>
  <c r="L129" i="8"/>
  <c r="BN129" i="8"/>
  <c r="AX129" i="8"/>
  <c r="BF136" i="8"/>
  <c r="BF144" i="8" s="1"/>
  <c r="AS63" i="8"/>
  <c r="BE63" i="8"/>
  <c r="BR223" i="8"/>
  <c r="BQ224" i="8"/>
  <c r="BN223" i="8"/>
  <c r="BM224" i="8"/>
  <c r="BM209" i="8"/>
  <c r="AL209" i="8"/>
  <c r="AL210" i="8" s="1"/>
  <c r="AL206" i="8"/>
  <c r="BJ129" i="8"/>
  <c r="BT62" i="8"/>
  <c r="BT69" i="8"/>
  <c r="AJ102" i="8"/>
  <c r="AK63" i="8"/>
  <c r="BG33" i="8"/>
  <c r="AN434" i="8"/>
  <c r="AN435" i="8"/>
  <c r="AN62" i="8"/>
  <c r="AZ62" i="8"/>
  <c r="BM482" i="8"/>
  <c r="BC463" i="8"/>
  <c r="AR62" i="8"/>
  <c r="AX481" i="8"/>
  <c r="AW482" i="8"/>
  <c r="AW488" i="8" s="1"/>
  <c r="BG464" i="8"/>
  <c r="AZ63" i="8"/>
  <c r="BP63" i="8"/>
  <c r="BF129" i="8"/>
  <c r="M129" i="8"/>
  <c r="Q450" i="8"/>
  <c r="AQ130" i="8"/>
  <c r="AO63" i="8"/>
  <c r="AP130" i="8"/>
  <c r="BS485" i="8"/>
  <c r="BW486" i="8" s="1"/>
  <c r="BC485" i="8"/>
  <c r="AZ468" i="8"/>
  <c r="AV468" i="8"/>
  <c r="AZ469" i="8" s="1"/>
  <c r="P456" i="8"/>
  <c r="BE456" i="8"/>
  <c r="AO456" i="8"/>
  <c r="AK456" i="8"/>
  <c r="R382" i="8"/>
  <c r="F382" i="8"/>
  <c r="AZ383" i="8"/>
  <c r="AJ383" i="8"/>
  <c r="R224" i="8"/>
  <c r="O222" i="8"/>
  <c r="M218" i="8"/>
  <c r="AG219" i="8"/>
  <c r="M206" i="8"/>
  <c r="BM207" i="8"/>
  <c r="BI206" i="8"/>
  <c r="AT207" i="8"/>
  <c r="BF195" i="8"/>
  <c r="O32" i="8"/>
  <c r="R346" i="8"/>
  <c r="BI454" i="8"/>
  <c r="BI459" i="8" s="1"/>
  <c r="BE454" i="8"/>
  <c r="R494" i="8"/>
  <c r="AV485" i="8"/>
  <c r="AR485" i="8"/>
  <c r="N129" i="8"/>
  <c r="BB416" i="8"/>
  <c r="AT416" i="8"/>
  <c r="AI207" i="8"/>
  <c r="P176" i="8"/>
  <c r="P192" i="8" s="1"/>
  <c r="BB137" i="8"/>
  <c r="K203" i="7"/>
  <c r="K132" i="7"/>
  <c r="J150" i="7"/>
  <c r="AR103" i="7"/>
  <c r="AR178" i="7" s="1"/>
  <c r="L230" i="7"/>
  <c r="L231" i="7" s="1"/>
  <c r="J221" i="7"/>
  <c r="L156" i="7"/>
  <c r="L157" i="7" s="1"/>
  <c r="L72" i="7"/>
  <c r="K61" i="7"/>
  <c r="K221" i="7" s="1"/>
  <c r="L207" i="7"/>
  <c r="BS703" i="8"/>
  <c r="O28" i="7"/>
  <c r="O191" i="7" s="1"/>
  <c r="N116" i="7"/>
  <c r="AA6" i="7"/>
  <c r="AB6" i="7"/>
  <c r="AC6" i="7" s="1"/>
  <c r="AD6" i="7" s="1"/>
  <c r="F6" i="7" s="1"/>
  <c r="D6" i="7"/>
  <c r="R347" i="8"/>
  <c r="Q400" i="8"/>
  <c r="BM454" i="8"/>
  <c r="AQ309" i="8"/>
  <c r="AQ353" i="8" s="1"/>
  <c r="AS206" i="8"/>
  <c r="AW454" i="8"/>
  <c r="AW459" i="8" s="1"/>
  <c r="AW207" i="8"/>
  <c r="AR450" i="8"/>
  <c r="BP464" i="8"/>
  <c r="BK481" i="8"/>
  <c r="AH207" i="8"/>
  <c r="BO466" i="8"/>
  <c r="AT483" i="8"/>
  <c r="AT479" i="8"/>
  <c r="AY481" i="8"/>
  <c r="BN485" i="8"/>
  <c r="Q9" i="8"/>
  <c r="AJ218" i="8"/>
  <c r="AW438" i="8"/>
  <c r="BL224" i="8"/>
  <c r="BM223" i="8"/>
  <c r="P218" i="8"/>
  <c r="AZ219" i="8"/>
  <c r="AZ218" i="8"/>
  <c r="Q209" i="8"/>
  <c r="AO209" i="8"/>
  <c r="AO206" i="8"/>
  <c r="AL207" i="8"/>
  <c r="AK207" i="8"/>
  <c r="AK209" i="8"/>
  <c r="P820" i="8"/>
  <c r="P438" i="8"/>
  <c r="H438" i="8"/>
  <c r="H653" i="8"/>
  <c r="BQ438" i="8"/>
  <c r="BE438" i="8"/>
  <c r="BA438" i="8"/>
  <c r="BA439" i="8" s="1"/>
  <c r="P454" i="8"/>
  <c r="P459" i="8" s="1"/>
  <c r="AG207" i="8"/>
  <c r="BA209" i="8"/>
  <c r="BA10" i="8" s="1"/>
  <c r="AW206" i="8"/>
  <c r="P206" i="8"/>
  <c r="BP450" i="8"/>
  <c r="BP383" i="8"/>
  <c r="BT224" i="8"/>
  <c r="I483" i="8"/>
  <c r="AN464" i="8"/>
  <c r="Q399" i="8"/>
  <c r="P398" i="8"/>
  <c r="BK224" i="8"/>
  <c r="BK222" i="8"/>
  <c r="AY222" i="8"/>
  <c r="AY224" i="8"/>
  <c r="BO209" i="8"/>
  <c r="BS206" i="8"/>
  <c r="AS207" i="8"/>
  <c r="AK206" i="8"/>
  <c r="L206" i="8"/>
  <c r="AP207" i="8"/>
  <c r="H483" i="8"/>
  <c r="BJ479" i="8"/>
  <c r="AI466" i="8"/>
  <c r="AI471" i="8" s="1"/>
  <c r="BG158" i="8"/>
  <c r="AR136" i="8"/>
  <c r="AS130" i="8"/>
  <c r="AJ129" i="8"/>
  <c r="AJ136" i="8"/>
  <c r="BQ92" i="8"/>
  <c r="BQ124" i="8"/>
  <c r="BD34" i="8"/>
  <c r="N422" i="8"/>
  <c r="N433" i="8"/>
  <c r="N703" i="8"/>
  <c r="N434" i="8"/>
  <c r="N738" i="8"/>
  <c r="BS422" i="8"/>
  <c r="BS434" i="8"/>
  <c r="BO433" i="8"/>
  <c r="BO435" i="8"/>
  <c r="BO703" i="8"/>
  <c r="BO738" i="8"/>
  <c r="BK738" i="8"/>
  <c r="BK422" i="8"/>
  <c r="BG738" i="8"/>
  <c r="BG435" i="8"/>
  <c r="BG434" i="8"/>
  <c r="BC738" i="8"/>
  <c r="BC422" i="8"/>
  <c r="AU738" i="8"/>
  <c r="AU433" i="8"/>
  <c r="AQ738" i="8"/>
  <c r="AQ422" i="8"/>
  <c r="AQ444" i="8" s="1"/>
  <c r="AQ434" i="8"/>
  <c r="AQ435" i="8"/>
  <c r="AM738" i="8"/>
  <c r="AM433" i="8"/>
  <c r="AM425" i="8"/>
  <c r="AI422" i="8"/>
  <c r="AI433" i="8"/>
  <c r="I822" i="8"/>
  <c r="AM503" i="8"/>
  <c r="BB425" i="8"/>
  <c r="BF422" i="8"/>
  <c r="BC223" i="8"/>
  <c r="BO219" i="8"/>
  <c r="BK219" i="8"/>
  <c r="BG219" i="8"/>
  <c r="AY219" i="8"/>
  <c r="AQ219" i="8"/>
  <c r="G206" i="8"/>
  <c r="BG102" i="8"/>
  <c r="BG112" i="8" s="1"/>
  <c r="O307" i="8"/>
  <c r="BJ822" i="8"/>
  <c r="BM727" i="8"/>
  <c r="AU129" i="8"/>
  <c r="BR433" i="8"/>
  <c r="BJ433" i="8"/>
  <c r="AX422" i="8"/>
  <c r="BN200" i="8"/>
  <c r="BK62" i="8"/>
  <c r="C51" i="8"/>
  <c r="S822" i="8"/>
  <c r="AX9" i="8"/>
  <c r="V537" i="8"/>
  <c r="BD309" i="8"/>
  <c r="BD56" i="8"/>
  <c r="BD384" i="8"/>
  <c r="AR383" i="8"/>
  <c r="AN219" i="8"/>
  <c r="AV219" i="8"/>
  <c r="BT218" i="8"/>
  <c r="AY382" i="8"/>
  <c r="N222" i="8"/>
  <c r="O29" i="8"/>
  <c r="O38" i="8" s="1"/>
  <c r="F29" i="8"/>
  <c r="BI29" i="8"/>
  <c r="AT29" i="8"/>
  <c r="BG822" i="8"/>
  <c r="BR540" i="8"/>
  <c r="Q475" i="8"/>
  <c r="AI453" i="8"/>
  <c r="BP224" i="8"/>
  <c r="BI51" i="8"/>
  <c r="C29" i="8"/>
  <c r="BL439" i="8"/>
  <c r="C307" i="8"/>
  <c r="BI822" i="8"/>
  <c r="BG450" i="8"/>
  <c r="AQ452" i="8"/>
  <c r="Q309" i="8"/>
  <c r="BH383" i="8"/>
  <c r="AL466" i="8"/>
  <c r="AL471" i="8" s="1"/>
  <c r="S382" i="8"/>
  <c r="N382" i="8"/>
  <c r="BQ223" i="8"/>
  <c r="BJ193" i="8"/>
  <c r="F51" i="8"/>
  <c r="BQ51" i="8"/>
  <c r="BR53" i="8" s="1"/>
  <c r="BQ29" i="8"/>
  <c r="BQ35" i="8" s="1"/>
  <c r="Q442" i="8"/>
  <c r="Q447" i="8" s="1"/>
  <c r="Q405" i="8"/>
  <c r="BD468" i="8"/>
  <c r="AR468" i="8"/>
  <c r="BI456" i="8"/>
  <c r="AW456" i="8"/>
  <c r="AG456" i="8"/>
  <c r="S434" i="8"/>
  <c r="S738" i="8"/>
  <c r="O703" i="8"/>
  <c r="O738" i="8"/>
  <c r="K738" i="8"/>
  <c r="K435" i="8"/>
  <c r="K433" i="8"/>
  <c r="K434" i="8"/>
  <c r="K422" i="8"/>
  <c r="BT703" i="8"/>
  <c r="BT434" i="8"/>
  <c r="BP738" i="8"/>
  <c r="BP434" i="8"/>
  <c r="BP703" i="8"/>
  <c r="BH738" i="8"/>
  <c r="BH433" i="8"/>
  <c r="BD738" i="8"/>
  <c r="BD433" i="8"/>
  <c r="BD435" i="8"/>
  <c r="AZ738" i="8"/>
  <c r="AZ422" i="8"/>
  <c r="AZ424" i="8" s="1"/>
  <c r="AZ433" i="8"/>
  <c r="AZ434" i="8"/>
  <c r="AZ435" i="8"/>
  <c r="AR425" i="8"/>
  <c r="AR433" i="8"/>
  <c r="AR434" i="8"/>
  <c r="AR435" i="8"/>
  <c r="AN738" i="8"/>
  <c r="AN422" i="8"/>
  <c r="AN425" i="8"/>
  <c r="AN433" i="8"/>
  <c r="AJ434" i="8"/>
  <c r="AJ435" i="8"/>
  <c r="AF433" i="8"/>
  <c r="AF435" i="8"/>
  <c r="AT218" i="8"/>
  <c r="AU219" i="8"/>
  <c r="BJ207" i="8"/>
  <c r="K382" i="8"/>
  <c r="J382" i="8"/>
  <c r="BT382" i="8"/>
  <c r="BT383" i="8"/>
  <c r="BL382" i="8"/>
  <c r="BL383" i="8"/>
  <c r="BD382" i="8"/>
  <c r="BD383" i="8"/>
  <c r="AZ382" i="8"/>
  <c r="BA383" i="8"/>
  <c r="AV382" i="8"/>
  <c r="AV383" i="8"/>
  <c r="AN382" i="8"/>
  <c r="AN383" i="8"/>
  <c r="K820" i="8"/>
  <c r="BI438" i="8"/>
  <c r="AR307" i="8"/>
  <c r="AR51" i="8"/>
  <c r="AJ29" i="8"/>
  <c r="AL56" i="8"/>
  <c r="AR129" i="8"/>
  <c r="AR130" i="8"/>
  <c r="AN129" i="8"/>
  <c r="AO130" i="8"/>
  <c r="AN136" i="8"/>
  <c r="AG136" i="8"/>
  <c r="AG130" i="8"/>
  <c r="BN102" i="8"/>
  <c r="BN112" i="8" s="1"/>
  <c r="BN124" i="8"/>
  <c r="BJ124" i="8"/>
  <c r="AR438" i="8"/>
  <c r="L307" i="8"/>
  <c r="L571" i="8"/>
  <c r="L51" i="8"/>
  <c r="L626" i="8"/>
  <c r="BR29" i="8"/>
  <c r="BR425" i="8"/>
  <c r="BR465" i="8"/>
  <c r="S305" i="8"/>
  <c r="BN29" i="8"/>
  <c r="BN307" i="8"/>
  <c r="BN51" i="8"/>
  <c r="BN465" i="8"/>
  <c r="BN425" i="8"/>
  <c r="BF29" i="8"/>
  <c r="BF425" i="8"/>
  <c r="BF307" i="8"/>
  <c r="BC29" i="8"/>
  <c r="BC51" i="8"/>
  <c r="BC425" i="8"/>
  <c r="BC224" i="8"/>
  <c r="AY571" i="8"/>
  <c r="AY307" i="8"/>
  <c r="AY29" i="8"/>
  <c r="AY51" i="8"/>
  <c r="AZ53" i="8" s="1"/>
  <c r="AU224" i="8"/>
  <c r="AU29" i="8"/>
  <c r="AU51" i="8"/>
  <c r="AU52" i="8" s="1"/>
  <c r="AU425" i="8"/>
  <c r="AU307" i="8"/>
  <c r="AG480" i="8"/>
  <c r="L465" i="8"/>
  <c r="AF453" i="8"/>
  <c r="L416" i="8"/>
  <c r="BR416" i="8"/>
  <c r="BN416" i="8"/>
  <c r="BF416" i="8"/>
  <c r="AW219" i="8"/>
  <c r="AK219" i="8"/>
  <c r="T753" i="8"/>
  <c r="L494" i="8"/>
  <c r="AR494" i="8"/>
  <c r="AN494" i="8"/>
  <c r="AJ494" i="8"/>
  <c r="AY485" i="8"/>
  <c r="AI485" i="8"/>
  <c r="BF465" i="8"/>
  <c r="AH425" i="8"/>
  <c r="BR494" i="8"/>
  <c r="BN494" i="8"/>
  <c r="AU494" i="8"/>
  <c r="AX483" i="8"/>
  <c r="L453" i="8"/>
  <c r="AR416" i="8"/>
  <c r="AN416" i="8"/>
  <c r="O382" i="8"/>
  <c r="G382" i="8"/>
  <c r="BN222" i="8"/>
  <c r="BN459" i="8"/>
  <c r="S133" i="8"/>
  <c r="R129" i="8"/>
  <c r="R136" i="8"/>
  <c r="R137" i="8" s="1"/>
  <c r="O129" i="8"/>
  <c r="N136" i="8"/>
  <c r="N137" i="8" s="1"/>
  <c r="J129" i="8"/>
  <c r="K129" i="8"/>
  <c r="J136" i="8"/>
  <c r="BT136" i="8"/>
  <c r="BT130" i="8"/>
  <c r="BP129" i="8"/>
  <c r="BP130" i="8"/>
  <c r="BL129" i="8"/>
  <c r="BL136" i="8"/>
  <c r="BL144" i="8" s="1"/>
  <c r="BH130" i="8"/>
  <c r="BH136" i="8"/>
  <c r="BH129" i="8"/>
  <c r="AZ136" i="8"/>
  <c r="AZ144" i="8" s="1"/>
  <c r="AZ129" i="8"/>
  <c r="AV130" i="8"/>
  <c r="AV136" i="8"/>
  <c r="AK136" i="8"/>
  <c r="AK130" i="8"/>
  <c r="AK129" i="8"/>
  <c r="AL130" i="8"/>
  <c r="AM442" i="8"/>
  <c r="AM447" i="8" s="1"/>
  <c r="AM384" i="8"/>
  <c r="AM56" i="8"/>
  <c r="Z341" i="8"/>
  <c r="Z348" i="8"/>
  <c r="BB309" i="8"/>
  <c r="BB56" i="8"/>
  <c r="AH485" i="8"/>
  <c r="Q503" i="8"/>
  <c r="AS218" i="8"/>
  <c r="AS219" i="8"/>
  <c r="R206" i="8"/>
  <c r="Q206" i="8"/>
  <c r="I209" i="8"/>
  <c r="J206" i="8"/>
  <c r="F206" i="8"/>
  <c r="AU479" i="8"/>
  <c r="AQ485" i="8"/>
  <c r="AR487" i="8" s="1"/>
  <c r="AM482" i="8"/>
  <c r="AM488" i="8" s="1"/>
  <c r="Q224" i="8"/>
  <c r="R222" i="8"/>
  <c r="BS224" i="8"/>
  <c r="BT223" i="8"/>
  <c r="BO222" i="8"/>
  <c r="BP223" i="8"/>
  <c r="BO224" i="8"/>
  <c r="BO223" i="8"/>
  <c r="BL223" i="8"/>
  <c r="BK223" i="8"/>
  <c r="BH224" i="8"/>
  <c r="BI223" i="8"/>
  <c r="BL222" i="8"/>
  <c r="BH222" i="8"/>
  <c r="AZ224" i="8"/>
  <c r="AZ223" i="8"/>
  <c r="AV222" i="8"/>
  <c r="AR222" i="8"/>
  <c r="AR224" i="8"/>
  <c r="O454" i="8"/>
  <c r="O459" i="8" s="1"/>
  <c r="AG442" i="8"/>
  <c r="AG447" i="8" s="1"/>
  <c r="BG438" i="8"/>
  <c r="AO438" i="8"/>
  <c r="AO439" i="8" s="1"/>
  <c r="BK435" i="8"/>
  <c r="BA435" i="8"/>
  <c r="BS433" i="8"/>
  <c r="BA433" i="8"/>
  <c r="H425" i="8"/>
  <c r="AL422" i="8"/>
  <c r="R416" i="8"/>
  <c r="J416" i="8"/>
  <c r="AS224" i="8"/>
  <c r="S129" i="8"/>
  <c r="BM130" i="8"/>
  <c r="BI130" i="8"/>
  <c r="BO102" i="8"/>
  <c r="BK102" i="8"/>
  <c r="R51" i="8"/>
  <c r="R52" i="8" s="1"/>
  <c r="AL738" i="8"/>
  <c r="AI738" i="8"/>
  <c r="S433" i="8"/>
  <c r="BH425" i="8"/>
  <c r="AF485" i="8"/>
  <c r="BD497" i="8"/>
  <c r="E494" i="8"/>
  <c r="BP494" i="8"/>
  <c r="BL494" i="8"/>
  <c r="BA494" i="8"/>
  <c r="AW494" i="8"/>
  <c r="AS494" i="8"/>
  <c r="O483" i="8"/>
  <c r="H466" i="8"/>
  <c r="AY454" i="8"/>
  <c r="AY459" i="8" s="1"/>
  <c r="BS435" i="8"/>
  <c r="BH435" i="8"/>
  <c r="AI435" i="8"/>
  <c r="BD434" i="8"/>
  <c r="AI434" i="8"/>
  <c r="BK433" i="8"/>
  <c r="AL433" i="8"/>
  <c r="BK425" i="8"/>
  <c r="BD425" i="8"/>
  <c r="BO422" i="8"/>
  <c r="BO424" i="8" s="1"/>
  <c r="BD422" i="8"/>
  <c r="H416" i="8"/>
  <c r="AH416" i="8"/>
  <c r="J217" i="8"/>
  <c r="R29" i="8"/>
  <c r="R822" i="8"/>
  <c r="BF822" i="8"/>
  <c r="S435" i="8"/>
  <c r="U321" i="8"/>
  <c r="R517" i="8"/>
  <c r="BD503" i="8"/>
  <c r="H494" i="8"/>
  <c r="BH494" i="8"/>
  <c r="AO483" i="8"/>
  <c r="H454" i="8"/>
  <c r="H490" i="8" s="1"/>
  <c r="AP453" i="8"/>
  <c r="BC438" i="8"/>
  <c r="AW435" i="8"/>
  <c r="AL435" i="8"/>
  <c r="BH434" i="8"/>
  <c r="R425" i="8"/>
  <c r="BH422" i="8"/>
  <c r="BA416" i="8"/>
  <c r="AW416" i="8"/>
  <c r="H51" i="8"/>
  <c r="N591" i="8"/>
  <c r="Q550" i="8"/>
  <c r="Q554" i="8" s="1"/>
  <c r="Q563" i="8" s="1"/>
  <c r="BP10" i="8"/>
  <c r="Q482" i="8"/>
  <c r="Q488" i="8" s="1"/>
  <c r="M479" i="8"/>
  <c r="F479" i="8"/>
  <c r="F485" i="8"/>
  <c r="F483" i="8"/>
  <c r="BT479" i="8"/>
  <c r="BT482" i="8"/>
  <c r="BP479" i="8"/>
  <c r="BP485" i="8"/>
  <c r="BL482" i="8"/>
  <c r="BM480" i="8"/>
  <c r="BL479" i="8"/>
  <c r="BL483" i="8"/>
  <c r="BM481" i="8"/>
  <c r="BH483" i="8"/>
  <c r="BH482" i="8"/>
  <c r="BH488" i="8" s="1"/>
  <c r="BD480" i="8"/>
  <c r="BD482" i="8"/>
  <c r="BD488" i="8" s="1"/>
  <c r="BE480" i="8"/>
  <c r="BD483" i="8"/>
  <c r="BE481" i="8"/>
  <c r="AZ483" i="8"/>
  <c r="BA480" i="8"/>
  <c r="AZ482" i="8"/>
  <c r="AZ488" i="8" s="1"/>
  <c r="AV479" i="8"/>
  <c r="AW481" i="8"/>
  <c r="AV482" i="8"/>
  <c r="AV488" i="8" s="1"/>
  <c r="AR482" i="8"/>
  <c r="AR488" i="8" s="1"/>
  <c r="AR481" i="8"/>
  <c r="AR480" i="8"/>
  <c r="AR483" i="8"/>
  <c r="AR479" i="8"/>
  <c r="AS481" i="8"/>
  <c r="AN480" i="8"/>
  <c r="AN482" i="8"/>
  <c r="AN488" i="8" s="1"/>
  <c r="AN479" i="8"/>
  <c r="AO481" i="8"/>
  <c r="AJ483" i="8"/>
  <c r="AK481" i="8"/>
  <c r="AJ479" i="8"/>
  <c r="AK480" i="8"/>
  <c r="AJ482" i="8"/>
  <c r="AJ488" i="8" s="1"/>
  <c r="BF497" i="8"/>
  <c r="AQ497" i="8"/>
  <c r="AQ503" i="8"/>
  <c r="AQ384" i="8"/>
  <c r="AQ442" i="8"/>
  <c r="AQ447" i="8" s="1"/>
  <c r="L210" i="8"/>
  <c r="R454" i="8"/>
  <c r="BH451" i="8"/>
  <c r="BH452" i="8"/>
  <c r="BD451" i="8"/>
  <c r="BD450" i="8"/>
  <c r="AZ451" i="8"/>
  <c r="AZ450" i="8"/>
  <c r="AZ453" i="8"/>
  <c r="AV453" i="8"/>
  <c r="AW452" i="8"/>
  <c r="AV450" i="8"/>
  <c r="AR454" i="8"/>
  <c r="AR459" i="8" s="1"/>
  <c r="AS451" i="8"/>
  <c r="AR452" i="8"/>
  <c r="AN453" i="8"/>
  <c r="AN456" i="8"/>
  <c r="AJ453" i="8"/>
  <c r="AJ451" i="8"/>
  <c r="AK452" i="8"/>
  <c r="AJ454" i="8"/>
  <c r="P425" i="8"/>
  <c r="P571" i="8"/>
  <c r="P592" i="8"/>
  <c r="P626" i="8"/>
  <c r="P821" i="8"/>
  <c r="P579" i="8"/>
  <c r="AF307" i="8"/>
  <c r="AF425" i="8"/>
  <c r="P653" i="8"/>
  <c r="P652" i="8"/>
  <c r="T689" i="8"/>
  <c r="E309" i="8"/>
  <c r="E353" i="8" s="1"/>
  <c r="E442" i="8"/>
  <c r="D466" i="8"/>
  <c r="D468" i="8"/>
  <c r="BR462" i="8"/>
  <c r="BR466" i="8"/>
  <c r="BN466" i="8"/>
  <c r="BN490" i="8" s="1"/>
  <c r="BO463" i="8"/>
  <c r="BN462" i="8"/>
  <c r="BJ466" i="8"/>
  <c r="BJ462" i="8"/>
  <c r="AP466" i="8"/>
  <c r="AP462" i="8"/>
  <c r="Q256" i="8"/>
  <c r="Q250" i="8" s="1"/>
  <c r="R231" i="8"/>
  <c r="BR34" i="8"/>
  <c r="BN34" i="8"/>
  <c r="AV422" i="8"/>
  <c r="AV444" i="8" s="1"/>
  <c r="AV435" i="8"/>
  <c r="AV738" i="8"/>
  <c r="AV434" i="8"/>
  <c r="AV425" i="8"/>
  <c r="AV433" i="8"/>
  <c r="BR438" i="8"/>
  <c r="AL438" i="8"/>
  <c r="AL442" i="8"/>
  <c r="AL447" i="8" s="1"/>
  <c r="AH438" i="8"/>
  <c r="AH441" i="8" s="1"/>
  <c r="AH483" i="8"/>
  <c r="O309" i="8"/>
  <c r="O384" i="8"/>
  <c r="Q262" i="8"/>
  <c r="O482" i="8"/>
  <c r="O488" i="8" s="1"/>
  <c r="AL503" i="8"/>
  <c r="AF494" i="8"/>
  <c r="AS480" i="8"/>
  <c r="AU464" i="8"/>
  <c r="AM464" i="8"/>
  <c r="K450" i="8"/>
  <c r="AP452" i="8"/>
  <c r="AK451" i="8"/>
  <c r="AG452" i="8"/>
  <c r="BQ181" i="8"/>
  <c r="BQ192" i="8"/>
  <c r="BM181" i="8"/>
  <c r="BM192" i="8"/>
  <c r="BM195" i="8" s="1"/>
  <c r="Q422" i="8"/>
  <c r="Q425" i="8"/>
  <c r="Q435" i="8"/>
  <c r="Q434" i="8"/>
  <c r="M738" i="8"/>
  <c r="M434" i="8"/>
  <c r="M422" i="8"/>
  <c r="M433" i="8"/>
  <c r="J738" i="8"/>
  <c r="J425" i="8"/>
  <c r="J433" i="8"/>
  <c r="J434" i="8"/>
  <c r="J435" i="8"/>
  <c r="AS738" i="8"/>
  <c r="AS434" i="8"/>
  <c r="AS422" i="8"/>
  <c r="AS435" i="8"/>
  <c r="AS425" i="8"/>
  <c r="AS433" i="8"/>
  <c r="AO738" i="8"/>
  <c r="AO434" i="8"/>
  <c r="AO435" i="8"/>
  <c r="AO425" i="8"/>
  <c r="AO433" i="8"/>
  <c r="BO438" i="8"/>
  <c r="G307" i="8"/>
  <c r="G56" i="8" s="1"/>
  <c r="G29" i="8"/>
  <c r="D51" i="8"/>
  <c r="D29" i="8"/>
  <c r="D416" i="8"/>
  <c r="BS29" i="8"/>
  <c r="BS425" i="8"/>
  <c r="BO29" i="8"/>
  <c r="BO51" i="8"/>
  <c r="BO425" i="8"/>
  <c r="P494" i="8"/>
  <c r="AY738" i="8"/>
  <c r="AY433" i="8"/>
  <c r="AY434" i="8"/>
  <c r="AY425" i="8"/>
  <c r="AY435" i="8"/>
  <c r="AG422" i="8"/>
  <c r="AG444" i="8" s="1"/>
  <c r="AG433" i="8"/>
  <c r="AG434" i="8"/>
  <c r="AG738" i="8"/>
  <c r="AG425" i="8"/>
  <c r="O438" i="8"/>
  <c r="O820" i="8"/>
  <c r="AY438" i="8"/>
  <c r="AY444" i="8" s="1"/>
  <c r="BE56" i="8"/>
  <c r="AI425" i="8"/>
  <c r="AI307" i="8"/>
  <c r="AI503" i="8" s="1"/>
  <c r="AI29" i="8"/>
  <c r="AI51" i="8"/>
  <c r="K554" i="8"/>
  <c r="K563" i="8" s="1"/>
  <c r="AM497" i="8"/>
  <c r="AP479" i="8"/>
  <c r="P453" i="8"/>
  <c r="BD485" i="8"/>
  <c r="AP456" i="8"/>
  <c r="BT425" i="8"/>
  <c r="BT435" i="8"/>
  <c r="BT433" i="8"/>
  <c r="BT422" i="8"/>
  <c r="BP425" i="8"/>
  <c r="BP435" i="8"/>
  <c r="BP433" i="8"/>
  <c r="BP422" i="8"/>
  <c r="BP444" i="8" s="1"/>
  <c r="BL738" i="8"/>
  <c r="BL425" i="8"/>
  <c r="BL435" i="8"/>
  <c r="BL433" i="8"/>
  <c r="BL422" i="8"/>
  <c r="BM424" i="8" s="1"/>
  <c r="BI738" i="8"/>
  <c r="BI422" i="8"/>
  <c r="BI425" i="8"/>
  <c r="BI435" i="8"/>
  <c r="BI434" i="8"/>
  <c r="BE738" i="8"/>
  <c r="BE422" i="8"/>
  <c r="BE425" i="8"/>
  <c r="BE435" i="8"/>
  <c r="BE434" i="8"/>
  <c r="R438" i="8"/>
  <c r="BL51" i="8"/>
  <c r="BL29" i="8"/>
  <c r="BL307" i="8"/>
  <c r="BL497" i="8" s="1"/>
  <c r="BA29" i="8"/>
  <c r="BA425" i="8"/>
  <c r="BA307" i="8"/>
  <c r="BA51" i="8"/>
  <c r="AW307" i="8"/>
  <c r="AW442" i="8" s="1"/>
  <c r="AW447" i="8" s="1"/>
  <c r="AW29" i="8"/>
  <c r="AW51" i="8"/>
  <c r="AS307" i="8"/>
  <c r="AS29" i="8"/>
  <c r="AP29" i="8"/>
  <c r="AP51" i="8"/>
  <c r="AL425" i="8"/>
  <c r="AL51" i="8"/>
  <c r="R653" i="8"/>
  <c r="P416" i="8"/>
  <c r="AP416" i="8"/>
  <c r="AL416" i="8"/>
  <c r="AP224" i="8"/>
  <c r="BO34" i="8"/>
  <c r="I653" i="8"/>
  <c r="D439" i="8"/>
  <c r="BL416" i="8"/>
  <c r="BH416" i="8"/>
  <c r="AF416" i="8"/>
  <c r="S313" i="8"/>
  <c r="BQ578" i="8"/>
  <c r="BS416" i="8"/>
  <c r="BO416" i="8"/>
  <c r="AI416" i="8"/>
  <c r="P224" i="8"/>
  <c r="M653" i="8"/>
  <c r="BQ540" i="8"/>
  <c r="P591" i="8"/>
  <c r="N822" i="8"/>
  <c r="J822" i="8"/>
  <c r="BL822" i="8"/>
  <c r="BH822" i="8"/>
  <c r="K10" i="8"/>
  <c r="AX497" i="8"/>
  <c r="BO384" i="8"/>
  <c r="BO56" i="8"/>
  <c r="BO503" i="8"/>
  <c r="BO442" i="8"/>
  <c r="BO309" i="8"/>
  <c r="N209" i="8"/>
  <c r="N10" i="8" s="1"/>
  <c r="N46" i="8" s="1"/>
  <c r="N206" i="8"/>
  <c r="BN207" i="8"/>
  <c r="H112" i="8"/>
  <c r="BI479" i="8"/>
  <c r="BI482" i="8"/>
  <c r="BI488" i="8" s="1"/>
  <c r="BJ480" i="8"/>
  <c r="BI483" i="8"/>
  <c r="S468" i="8"/>
  <c r="T469" i="8" s="1"/>
  <c r="BQ450" i="8"/>
  <c r="BQ454" i="8"/>
  <c r="BM450" i="8"/>
  <c r="BM453" i="8"/>
  <c r="BA454" i="8"/>
  <c r="BA459" i="8" s="1"/>
  <c r="BA451" i="8"/>
  <c r="AK439" i="8"/>
  <c r="L462" i="8"/>
  <c r="AL452" i="8"/>
  <c r="BA485" i="8"/>
  <c r="BQ451" i="8"/>
  <c r="BT464" i="8"/>
  <c r="K206" i="8"/>
  <c r="BQ130" i="8"/>
  <c r="AO450" i="8"/>
  <c r="BP482" i="8"/>
  <c r="BP480" i="8"/>
  <c r="BP481" i="8"/>
  <c r="BL485" i="8"/>
  <c r="F454" i="8"/>
  <c r="AK454" i="8"/>
  <c r="AK459" i="8" s="1"/>
  <c r="AK450" i="8"/>
  <c r="BA452" i="8"/>
  <c r="BA479" i="8"/>
  <c r="BQ456" i="8"/>
  <c r="P129" i="8"/>
  <c r="BJ451" i="8"/>
  <c r="BN451" i="8"/>
  <c r="D450" i="8"/>
  <c r="J466" i="8"/>
  <c r="J471" i="8" s="1"/>
  <c r="S206" i="8"/>
  <c r="P399" i="8"/>
  <c r="AT444" i="8"/>
  <c r="G479" i="8"/>
  <c r="BD442" i="8"/>
  <c r="BD447" i="8" s="1"/>
  <c r="K439" i="8"/>
  <c r="AH435" i="8"/>
  <c r="AW434" i="8"/>
  <c r="AR738" i="8"/>
  <c r="AR422" i="8"/>
  <c r="AF738" i="8"/>
  <c r="AF422" i="8"/>
  <c r="AT62" i="8"/>
  <c r="AT102" i="8"/>
  <c r="AH102" i="8"/>
  <c r="AH69" i="8"/>
  <c r="BM227" i="8"/>
  <c r="AH29" i="8"/>
  <c r="AH307" i="8"/>
  <c r="AH503" i="8"/>
  <c r="K51" i="8"/>
  <c r="L52" i="8" s="1"/>
  <c r="K29" i="8"/>
  <c r="K494" i="8"/>
  <c r="BH481" i="8"/>
  <c r="BA481" i="8"/>
  <c r="AN483" i="8"/>
  <c r="AK483" i="8"/>
  <c r="BD454" i="8"/>
  <c r="BT438" i="8"/>
  <c r="BD438" i="8"/>
  <c r="AH433" i="8"/>
  <c r="AW425" i="8"/>
  <c r="AW422" i="8"/>
  <c r="K416" i="8"/>
  <c r="K217" i="8"/>
  <c r="AH51" i="8"/>
  <c r="AJ738" i="8"/>
  <c r="AJ422" i="8"/>
  <c r="AJ51" i="8"/>
  <c r="AJ307" i="8"/>
  <c r="AH63" i="8"/>
  <c r="BK124" i="8"/>
  <c r="K488" i="8"/>
  <c r="Q468" i="8"/>
  <c r="S450" i="8"/>
  <c r="AN438" i="8"/>
  <c r="AH434" i="8"/>
  <c r="AW433" i="8"/>
  <c r="K425" i="8"/>
  <c r="AH422" i="8"/>
  <c r="BT307" i="8"/>
  <c r="BT503" i="8"/>
  <c r="BT51" i="8"/>
  <c r="BT53" i="8" s="1"/>
  <c r="BT29" i="8"/>
  <c r="BP307" i="8"/>
  <c r="BP51" i="8"/>
  <c r="BP29" i="8"/>
  <c r="BE29" i="8"/>
  <c r="BE51" i="8"/>
  <c r="BB29" i="8"/>
  <c r="BB51" i="8"/>
  <c r="AM29" i="8"/>
  <c r="AM51" i="8"/>
  <c r="M416" i="8"/>
  <c r="E416" i="8"/>
  <c r="AQ416" i="8"/>
  <c r="AM416" i="8"/>
  <c r="Q406" i="8"/>
  <c r="BC383" i="8"/>
  <c r="S209" i="8"/>
  <c r="T210" i="8" s="1"/>
  <c r="BN130" i="8"/>
  <c r="AT129" i="8"/>
  <c r="BP102" i="8"/>
  <c r="BQ563" i="8"/>
  <c r="BS540" i="8"/>
  <c r="U811" i="8"/>
  <c r="BK195" i="8"/>
  <c r="BF102" i="8"/>
  <c r="BO73" i="8"/>
  <c r="BK822" i="8"/>
  <c r="BK578" i="8"/>
  <c r="Q566" i="8"/>
  <c r="BT416" i="8"/>
  <c r="BP416" i="8"/>
  <c r="AJ416" i="8"/>
  <c r="BK189" i="8"/>
  <c r="BN39" i="8"/>
  <c r="BR727" i="8"/>
  <c r="BE822" i="8"/>
  <c r="S479" i="8"/>
  <c r="R483" i="8"/>
  <c r="R482" i="8"/>
  <c r="R485" i="8"/>
  <c r="R488" i="8" s="1"/>
  <c r="R479" i="8"/>
  <c r="N485" i="8"/>
  <c r="O479" i="8"/>
  <c r="N479" i="8"/>
  <c r="J483" i="8"/>
  <c r="J479" i="8"/>
  <c r="J485" i="8"/>
  <c r="K479" i="8"/>
  <c r="C485" i="8"/>
  <c r="C483" i="8"/>
  <c r="D479" i="8"/>
  <c r="BQ480" i="8"/>
  <c r="BR481" i="8"/>
  <c r="BQ481" i="8"/>
  <c r="BQ479" i="8"/>
  <c r="BQ485" i="8"/>
  <c r="BQ482" i="8"/>
  <c r="P466" i="8"/>
  <c r="P471" i="8" s="1"/>
  <c r="P465" i="8"/>
  <c r="P468" i="8"/>
  <c r="P462" i="8"/>
  <c r="Q462" i="8"/>
  <c r="M466" i="8"/>
  <c r="M471" i="8" s="1"/>
  <c r="N462" i="8"/>
  <c r="M465" i="8"/>
  <c r="M462" i="8"/>
  <c r="M468" i="8"/>
  <c r="G468" i="8"/>
  <c r="G462" i="8"/>
  <c r="H462" i="8"/>
  <c r="G466" i="8"/>
  <c r="D462" i="8"/>
  <c r="C466" i="8"/>
  <c r="C468" i="8"/>
  <c r="BR463" i="8"/>
  <c r="BQ465" i="8"/>
  <c r="BR464" i="8"/>
  <c r="BQ463" i="8"/>
  <c r="BQ466" i="8"/>
  <c r="BQ483" i="8" s="1"/>
  <c r="BQ490" i="8" s="1"/>
  <c r="BQ462" i="8"/>
  <c r="BQ464" i="8"/>
  <c r="BQ468" i="8"/>
  <c r="BM465" i="8"/>
  <c r="BN463" i="8"/>
  <c r="BM462" i="8"/>
  <c r="BM468" i="8"/>
  <c r="BM471" i="8" s="1"/>
  <c r="BN464" i="8"/>
  <c r="BM464" i="8"/>
  <c r="BM463" i="8"/>
  <c r="BM466" i="8"/>
  <c r="BJ464" i="8"/>
  <c r="BI465" i="8"/>
  <c r="BI468" i="8"/>
  <c r="BI464" i="8"/>
  <c r="BI463" i="8"/>
  <c r="BI466" i="8"/>
  <c r="BI462" i="8"/>
  <c r="BJ463" i="8"/>
  <c r="BE466" i="8"/>
  <c r="BE462" i="8"/>
  <c r="BF464" i="8"/>
  <c r="BE465" i="8"/>
  <c r="BE464" i="8"/>
  <c r="BE463" i="8"/>
  <c r="BE468" i="8"/>
  <c r="BA466" i="8"/>
  <c r="BA462" i="8"/>
  <c r="BA468" i="8"/>
  <c r="BB463" i="8"/>
  <c r="AW468" i="8"/>
  <c r="AW462" i="8"/>
  <c r="AW466" i="8"/>
  <c r="AW471" i="8" s="1"/>
  <c r="AW464" i="8"/>
  <c r="AW463" i="8"/>
  <c r="AX463" i="8"/>
  <c r="AS462" i="8"/>
  <c r="AT464" i="8"/>
  <c r="AS468" i="8"/>
  <c r="AT463" i="8"/>
  <c r="AS463" i="8"/>
  <c r="AS466" i="8"/>
  <c r="AS471" i="8" s="1"/>
  <c r="AS464" i="8"/>
  <c r="AO466" i="8"/>
  <c r="AP463" i="8"/>
  <c r="AP464" i="8"/>
  <c r="AO463" i="8"/>
  <c r="AO462" i="8"/>
  <c r="AO468" i="8"/>
  <c r="AL464" i="8"/>
  <c r="AK463" i="8"/>
  <c r="AK466" i="8"/>
  <c r="AK468" i="8"/>
  <c r="AL463" i="8"/>
  <c r="AK462" i="8"/>
  <c r="AK464" i="8"/>
  <c r="AG466" i="8"/>
  <c r="AG471" i="8" s="1"/>
  <c r="AH463" i="8"/>
  <c r="AG468" i="8"/>
  <c r="AG463" i="8"/>
  <c r="AG464" i="8"/>
  <c r="AH464" i="8"/>
  <c r="BB453" i="8"/>
  <c r="BB450" i="8"/>
  <c r="BC451" i="8"/>
  <c r="BB456" i="8"/>
  <c r="BB451" i="8"/>
  <c r="BB452" i="8"/>
  <c r="BC452" i="8"/>
  <c r="AX451" i="8"/>
  <c r="AX453" i="8"/>
  <c r="AX450" i="8"/>
  <c r="AX456" i="8"/>
  <c r="AX452" i="8"/>
  <c r="AX454" i="8"/>
  <c r="AX459" i="8" s="1"/>
  <c r="AY451" i="8"/>
  <c r="AY452" i="8"/>
  <c r="AT454" i="8"/>
  <c r="AT450" i="8"/>
  <c r="AT453" i="8"/>
  <c r="AU452" i="8"/>
  <c r="AT452" i="8"/>
  <c r="AU451" i="8"/>
  <c r="AT456" i="8"/>
  <c r="AT451" i="8"/>
  <c r="G439" i="8"/>
  <c r="BN444" i="8"/>
  <c r="BO192" i="8"/>
  <c r="BO181" i="8"/>
  <c r="BR162" i="8"/>
  <c r="BM193" i="8"/>
  <c r="P157" i="8"/>
  <c r="BE193" i="8"/>
  <c r="BA129" i="8"/>
  <c r="BE129" i="8"/>
  <c r="BA136" i="8"/>
  <c r="BA138" i="8" s="1"/>
  <c r="BA130" i="8"/>
  <c r="BB130" i="8"/>
  <c r="AW129" i="8"/>
  <c r="AW130" i="8"/>
  <c r="AX130" i="8"/>
  <c r="AP137" i="8"/>
  <c r="AH130" i="8"/>
  <c r="AL129" i="8"/>
  <c r="AI130" i="8"/>
  <c r="AH136" i="8"/>
  <c r="AL102" i="8"/>
  <c r="AL62" i="8"/>
  <c r="AM63" i="8"/>
  <c r="AP62" i="8"/>
  <c r="AL63" i="8"/>
  <c r="M145" i="8"/>
  <c r="M9" i="8"/>
  <c r="BR459" i="8"/>
  <c r="BS10" i="8"/>
  <c r="AM315" i="8"/>
  <c r="AM353" i="8"/>
  <c r="BS181" i="8"/>
  <c r="AP382" i="8"/>
  <c r="BR291" i="8"/>
  <c r="BF384" i="8"/>
  <c r="S222" i="8"/>
  <c r="AU223" i="8"/>
  <c r="O218" i="8"/>
  <c r="BP218" i="8"/>
  <c r="BP219" i="8"/>
  <c r="BQ219" i="8"/>
  <c r="BL219" i="8"/>
  <c r="BM219" i="8"/>
  <c r="BL218" i="8"/>
  <c r="BI219" i="8"/>
  <c r="BH219" i="8"/>
  <c r="BH218" i="8"/>
  <c r="BD218" i="8"/>
  <c r="BE219" i="8"/>
  <c r="BD219" i="8"/>
  <c r="AM206" i="8"/>
  <c r="AM207" i="8"/>
  <c r="AM209" i="8"/>
  <c r="AY442" i="8"/>
  <c r="AY447" i="8" s="1"/>
  <c r="BI480" i="8"/>
  <c r="BI451" i="8"/>
  <c r="AJ480" i="8"/>
  <c r="AJ481" i="8"/>
  <c r="BE453" i="8"/>
  <c r="BE450" i="8"/>
  <c r="BA222" i="8"/>
  <c r="BA223" i="8"/>
  <c r="BL209" i="8"/>
  <c r="BL207" i="8"/>
  <c r="BD129" i="8"/>
  <c r="BE130" i="8"/>
  <c r="BD136" i="8"/>
  <c r="AX51" i="8"/>
  <c r="AX425" i="8"/>
  <c r="BK485" i="8"/>
  <c r="BL487" i="8" s="1"/>
  <c r="BL481" i="8"/>
  <c r="BL480" i="8"/>
  <c r="R232" i="8"/>
  <c r="R262" i="8"/>
  <c r="BD224" i="8"/>
  <c r="BE223" i="8"/>
  <c r="BD223" i="8"/>
  <c r="BR182" i="8"/>
  <c r="S422" i="8"/>
  <c r="O422" i="8"/>
  <c r="O434" i="8"/>
  <c r="O435" i="8"/>
  <c r="O425" i="8"/>
  <c r="O433" i="8"/>
  <c r="L820" i="8"/>
  <c r="L438" i="8"/>
  <c r="M439" i="8" s="1"/>
  <c r="AZ481" i="8"/>
  <c r="AR451" i="8"/>
  <c r="AQ454" i="8"/>
  <c r="AM453" i="8"/>
  <c r="AN451" i="8"/>
  <c r="BR224" i="8"/>
  <c r="BS223" i="8"/>
  <c r="BH223" i="8"/>
  <c r="BG224" i="8"/>
  <c r="BG223" i="8"/>
  <c r="BA219" i="8"/>
  <c r="BA218" i="8"/>
  <c r="AJ209" i="8"/>
  <c r="AJ207" i="8"/>
  <c r="BM200" i="8"/>
  <c r="BQ133" i="8"/>
  <c r="BO132" i="8"/>
  <c r="BO200" i="8" s="1"/>
  <c r="I112" i="8"/>
  <c r="I105" i="8"/>
  <c r="I116" i="8" s="1"/>
  <c r="K485" i="8"/>
  <c r="BD453" i="8"/>
  <c r="BE218" i="8"/>
  <c r="AN206" i="8"/>
  <c r="AI102" i="8"/>
  <c r="AI69" i="8"/>
  <c r="BS348" i="8"/>
  <c r="S341" i="8"/>
  <c r="P51" i="8"/>
  <c r="P29" i="8"/>
  <c r="E29" i="8"/>
  <c r="E51" i="8"/>
  <c r="AN29" i="8"/>
  <c r="AN51" i="8"/>
  <c r="AN307" i="8"/>
  <c r="AN309" i="8" s="1"/>
  <c r="BP562" i="8"/>
  <c r="BP563" i="8" s="1"/>
  <c r="BP727" i="8"/>
  <c r="BT485" i="8"/>
  <c r="L466" i="8"/>
  <c r="L471" i="8" s="1"/>
  <c r="AX416" i="8"/>
  <c r="BO269" i="8"/>
  <c r="BO271" i="8" s="1"/>
  <c r="BI129" i="8"/>
  <c r="AN65" i="8"/>
  <c r="AO102" i="8"/>
  <c r="AO62" i="8"/>
  <c r="BL34" i="8"/>
  <c r="BH34" i="8"/>
  <c r="BH29" i="8"/>
  <c r="BH307" i="8"/>
  <c r="BH51" i="8"/>
  <c r="U753" i="8"/>
  <c r="Q497" i="8"/>
  <c r="L483" i="8"/>
  <c r="BG206" i="8"/>
  <c r="AV206" i="8"/>
  <c r="AV62" i="8"/>
  <c r="AV102" i="8"/>
  <c r="AV29" i="8"/>
  <c r="AV51" i="8"/>
  <c r="AV52" i="8" s="1"/>
  <c r="AV307" i="8"/>
  <c r="AV503" i="8" s="1"/>
  <c r="BH62" i="8"/>
  <c r="P644" i="8"/>
  <c r="BE102" i="8"/>
  <c r="BB102" i="8"/>
  <c r="BB105" i="8" s="1"/>
  <c r="I540" i="8"/>
  <c r="BQ199" i="8"/>
  <c r="BM189" i="8"/>
  <c r="BQ103" i="8"/>
  <c r="BQ114" i="8" s="1"/>
  <c r="BL102" i="8"/>
  <c r="BH102" i="8"/>
  <c r="P482" i="8"/>
  <c r="P488" i="8" s="1"/>
  <c r="P479" i="8"/>
  <c r="P485" i="8"/>
  <c r="Q479" i="8"/>
  <c r="P483" i="8"/>
  <c r="I466" i="8"/>
  <c r="I468" i="8"/>
  <c r="I462" i="8"/>
  <c r="J462" i="8"/>
  <c r="AQ466" i="8"/>
  <c r="AQ471" i="8" s="1"/>
  <c r="AR463" i="8"/>
  <c r="AQ464" i="8"/>
  <c r="AQ462" i="8"/>
  <c r="AR464" i="8"/>
  <c r="AQ463" i="8"/>
  <c r="BJ32" i="8"/>
  <c r="M469" i="8"/>
  <c r="F462" i="8"/>
  <c r="E466" i="8"/>
  <c r="E462" i="8"/>
  <c r="E468" i="8"/>
  <c r="E469" i="8" s="1"/>
  <c r="AU463" i="8"/>
  <c r="AU462" i="8"/>
  <c r="AY462" i="8"/>
  <c r="AV464" i="8"/>
  <c r="AU466" i="8"/>
  <c r="BR32" i="8"/>
  <c r="BN32" i="8"/>
  <c r="BB482" i="8"/>
  <c r="BB488" i="8" s="1"/>
  <c r="BB481" i="8"/>
  <c r="BC480" i="8"/>
  <c r="BC481" i="8"/>
  <c r="BB480" i="8"/>
  <c r="BB479" i="8"/>
  <c r="BB485" i="8"/>
  <c r="BF479" i="8"/>
  <c r="R465" i="8"/>
  <c r="R466" i="8"/>
  <c r="R490" i="8" s="1"/>
  <c r="R462" i="8"/>
  <c r="AM466" i="8"/>
  <c r="AM463" i="8"/>
  <c r="AM462" i="8"/>
  <c r="O148" i="8"/>
  <c r="O9" i="8"/>
  <c r="L10" i="8"/>
  <c r="M210" i="8"/>
  <c r="AL148" i="8"/>
  <c r="AY483" i="8"/>
  <c r="AZ480" i="8"/>
  <c r="AJ468" i="8"/>
  <c r="AN462" i="8"/>
  <c r="BR62" i="8"/>
  <c r="BR69" i="8"/>
  <c r="AF483" i="8"/>
  <c r="AF482" i="8"/>
  <c r="AF488" i="8" s="1"/>
  <c r="AG481" i="8"/>
  <c r="BF466" i="8"/>
  <c r="BG463" i="8"/>
  <c r="BF463" i="8"/>
  <c r="BB464" i="8"/>
  <c r="BB462" i="8"/>
  <c r="AX466" i="8"/>
  <c r="AX471" i="8" s="1"/>
  <c r="AY464" i="8"/>
  <c r="AX464" i="8"/>
  <c r="H136" i="8"/>
  <c r="H144" i="8" s="1"/>
  <c r="H9" i="8" s="1"/>
  <c r="I129" i="8"/>
  <c r="BR136" i="8"/>
  <c r="BS130" i="8"/>
  <c r="BR130" i="8"/>
  <c r="G483" i="8"/>
  <c r="G485" i="8"/>
  <c r="G486" i="8" s="1"/>
  <c r="H479" i="8"/>
  <c r="AZ479" i="8"/>
  <c r="AV480" i="8"/>
  <c r="AV481" i="8"/>
  <c r="AT481" i="8"/>
  <c r="AT480" i="8"/>
  <c r="AS483" i="8"/>
  <c r="AS490" i="8" s="1"/>
  <c r="AS482" i="8"/>
  <c r="AS488" i="8" s="1"/>
  <c r="AL482" i="8"/>
  <c r="AL488" i="8" s="1"/>
  <c r="AL481" i="8"/>
  <c r="AM481" i="8"/>
  <c r="BP454" i="8"/>
  <c r="BP453" i="8"/>
  <c r="H209" i="8"/>
  <c r="I210" i="8" s="1"/>
  <c r="BE209" i="8"/>
  <c r="BF207" i="8"/>
  <c r="BB209" i="8"/>
  <c r="BF210" i="8" s="1"/>
  <c r="BF206" i="8"/>
  <c r="BB207" i="8"/>
  <c r="AX209" i="8"/>
  <c r="AX206" i="8"/>
  <c r="AU206" i="8"/>
  <c r="BS192" i="8"/>
  <c r="BH480" i="8"/>
  <c r="BD481" i="8"/>
  <c r="BT481" i="8"/>
  <c r="S485" i="8"/>
  <c r="T486" i="8" s="1"/>
  <c r="O485" i="8"/>
  <c r="BH479" i="8"/>
  <c r="BL462" i="8"/>
  <c r="AS450" i="8"/>
  <c r="BJ33" i="8"/>
  <c r="AV463" i="8"/>
  <c r="BF199" i="8"/>
  <c r="BN33" i="8"/>
  <c r="BC62" i="8"/>
  <c r="BB218" i="8"/>
  <c r="AJ62" i="8"/>
  <c r="P32" i="8"/>
  <c r="BO32" i="8"/>
  <c r="BE479" i="8"/>
  <c r="AW479" i="8"/>
  <c r="AW136" i="8"/>
  <c r="BQ33" i="8"/>
  <c r="BE497" i="8"/>
  <c r="BR56" i="8"/>
  <c r="M475" i="8"/>
  <c r="AX137" i="8"/>
  <c r="BT210" i="8"/>
  <c r="AO384" i="8"/>
  <c r="AO503" i="8"/>
  <c r="AO309" i="8"/>
  <c r="AO56" i="8"/>
  <c r="AT144" i="8"/>
  <c r="BT56" i="8"/>
  <c r="AR56" i="8"/>
  <c r="BR384" i="8"/>
  <c r="BP137" i="8"/>
  <c r="D309" i="8"/>
  <c r="D353" i="8" s="1"/>
  <c r="S416" i="8"/>
  <c r="O497" i="8"/>
  <c r="O503" i="8"/>
  <c r="BH90" i="8"/>
  <c r="BB497" i="8"/>
  <c r="BB384" i="8"/>
  <c r="AL384" i="8"/>
  <c r="AG497" i="8"/>
  <c r="AL457" i="8"/>
  <c r="AL497" i="8"/>
  <c r="AG71" i="8"/>
  <c r="Z346" i="8"/>
  <c r="AG56" i="8"/>
  <c r="BF137" i="8"/>
  <c r="BQ89" i="8"/>
  <c r="BQ90" i="8" s="1"/>
  <c r="BN144" i="8"/>
  <c r="BN148" i="8" s="1"/>
  <c r="D469" i="8"/>
  <c r="BQ469" i="8"/>
  <c r="AW384" i="8"/>
  <c r="AO497" i="8"/>
  <c r="BT442" i="8"/>
  <c r="BA424" i="8"/>
  <c r="BH124" i="8"/>
  <c r="BD423" i="8"/>
  <c r="BR458" i="8"/>
  <c r="P822" i="8"/>
  <c r="BJ441" i="8"/>
  <c r="AK144" i="8"/>
  <c r="D486" i="8"/>
  <c r="BI56" i="8"/>
  <c r="AX384" i="8"/>
  <c r="BE442" i="8"/>
  <c r="BE447" i="8" s="1"/>
  <c r="O407" i="8"/>
  <c r="O475" i="8"/>
  <c r="BQ56" i="8"/>
  <c r="BI503" i="8"/>
  <c r="AY56" i="8"/>
  <c r="AL138" i="8"/>
  <c r="BK440" i="8"/>
  <c r="BN439" i="8"/>
  <c r="BI309" i="8"/>
  <c r="BI315" i="8" s="1"/>
  <c r="AX56" i="8"/>
  <c r="BI444" i="8"/>
  <c r="O442" i="8"/>
  <c r="O447" i="8" s="1"/>
  <c r="O56" i="8"/>
  <c r="BI442" i="8"/>
  <c r="BI447" i="8" s="1"/>
  <c r="BJ440" i="8"/>
  <c r="BI384" i="8"/>
  <c r="BQ442" i="8"/>
  <c r="AX503" i="8"/>
  <c r="O405" i="8"/>
  <c r="AX309" i="8"/>
  <c r="BE309" i="8"/>
  <c r="BE353" i="8" s="1"/>
  <c r="BQ227" i="8"/>
  <c r="R503" i="8"/>
  <c r="AK52" i="8"/>
  <c r="BG92" i="8"/>
  <c r="BJ92" i="8"/>
  <c r="BK92" i="8"/>
  <c r="BO188" i="8"/>
  <c r="BO189" i="8" s="1"/>
  <c r="BI94" i="8"/>
  <c r="AW56" i="8"/>
  <c r="S256" i="8"/>
  <c r="S257" i="8" s="1"/>
  <c r="Q137" i="8"/>
  <c r="AK497" i="8"/>
  <c r="BM35" i="8"/>
  <c r="AO424" i="8"/>
  <c r="AG53" i="8"/>
  <c r="S10" i="8"/>
  <c r="BG105" i="8"/>
  <c r="AO442" i="8"/>
  <c r="AO447" i="8" s="1"/>
  <c r="BC486" i="8"/>
  <c r="BE423" i="8"/>
  <c r="AT497" i="8"/>
  <c r="BS441" i="8"/>
  <c r="P137" i="8"/>
  <c r="AG309" i="8"/>
  <c r="AG384" i="8"/>
  <c r="Q40" i="8"/>
  <c r="Q38" i="8"/>
  <c r="AK441" i="8"/>
  <c r="AK440" i="8"/>
  <c r="U239" i="8"/>
  <c r="BE503" i="8"/>
  <c r="BM440" i="8"/>
  <c r="AJ487" i="8"/>
  <c r="AK309" i="8"/>
  <c r="M384" i="8"/>
  <c r="Z343" i="8"/>
  <c r="Y347" i="8"/>
  <c r="BA471" i="8"/>
  <c r="BT137" i="8"/>
  <c r="BO440" i="8"/>
  <c r="BR441" i="8"/>
  <c r="BN384" i="8"/>
  <c r="AK423" i="8"/>
  <c r="Q411" i="8"/>
  <c r="BS444" i="8"/>
  <c r="AL10" i="8"/>
  <c r="AP210" i="8"/>
  <c r="BM470" i="8"/>
  <c r="O137" i="8"/>
  <c r="BS440" i="8"/>
  <c r="BR444" i="8"/>
  <c r="Q353" i="8"/>
  <c r="BM10" i="8"/>
  <c r="BM276" i="8"/>
  <c r="N144" i="8"/>
  <c r="N9" i="8" s="1"/>
  <c r="Q412" i="8"/>
  <c r="D52" i="8"/>
  <c r="Q476" i="8"/>
  <c r="BC423" i="8"/>
  <c r="AP384" i="8"/>
  <c r="AT384" i="8"/>
  <c r="AT309" i="8"/>
  <c r="R384" i="8"/>
  <c r="AT439" i="8"/>
  <c r="AT440" i="8"/>
  <c r="BS210" i="8"/>
  <c r="BP211" i="8"/>
  <c r="S517" i="8"/>
  <c r="S29" i="8"/>
  <c r="S224" i="8"/>
  <c r="K147" i="7"/>
  <c r="P28" i="7"/>
  <c r="P191" i="7" s="1"/>
  <c r="O116" i="7"/>
  <c r="D5" i="7"/>
  <c r="C6" i="7"/>
  <c r="C5" i="7"/>
  <c r="BQ440" i="8"/>
  <c r="BQ441" i="8"/>
  <c r="O358" i="8"/>
  <c r="O404" i="8"/>
  <c r="BK444" i="8"/>
  <c r="AW440" i="8"/>
  <c r="AW441" i="8"/>
  <c r="BO10" i="8"/>
  <c r="BS16" i="8" s="1"/>
  <c r="BO276" i="8"/>
  <c r="BQ38" i="8"/>
  <c r="BQ40" i="8"/>
  <c r="BQ39" i="8"/>
  <c r="O39" i="8"/>
  <c r="C442" i="8"/>
  <c r="BI39" i="8"/>
  <c r="BI38" i="8"/>
  <c r="AX145" i="8"/>
  <c r="AU309" i="8"/>
  <c r="AU353" i="8" s="1"/>
  <c r="AU56" i="8"/>
  <c r="AU442" i="8"/>
  <c r="AU447" i="8" s="1"/>
  <c r="BC39" i="8"/>
  <c r="BC40" i="8"/>
  <c r="BC38" i="8"/>
  <c r="BR35" i="8"/>
  <c r="AN144" i="8"/>
  <c r="BI439" i="8"/>
  <c r="BI441" i="8"/>
  <c r="BI440" i="8"/>
  <c r="K423" i="8"/>
  <c r="L423" i="8"/>
  <c r="BI457" i="8"/>
  <c r="AR440" i="8"/>
  <c r="AV439" i="8"/>
  <c r="AR441" i="8"/>
  <c r="AS440" i="8"/>
  <c r="AY52" i="8"/>
  <c r="BF39" i="8"/>
  <c r="BN503" i="8"/>
  <c r="AW309" i="8"/>
  <c r="AW315" i="8" s="1"/>
  <c r="AZ423" i="8"/>
  <c r="BH424" i="8"/>
  <c r="BH444" i="8"/>
  <c r="BH423" i="8"/>
  <c r="R38" i="8"/>
  <c r="R35" i="8"/>
  <c r="R40" i="8"/>
  <c r="R39" i="8"/>
  <c r="J210" i="8"/>
  <c r="I10" i="8"/>
  <c r="BO423" i="8"/>
  <c r="AP440" i="8"/>
  <c r="AO444" i="8"/>
  <c r="AP441" i="8"/>
  <c r="BB353" i="8"/>
  <c r="J144" i="8"/>
  <c r="J137" i="8"/>
  <c r="AL424" i="8"/>
  <c r="AS56" i="8"/>
  <c r="BA52" i="8"/>
  <c r="BL384" i="8"/>
  <c r="BL227" i="8"/>
  <c r="BL442" i="8"/>
  <c r="BL309" i="8"/>
  <c r="BL56" i="8"/>
  <c r="BP424" i="8"/>
  <c r="BL503" i="8"/>
  <c r="R423" i="8"/>
  <c r="AF384" i="8"/>
  <c r="BA384" i="8"/>
  <c r="BL38" i="8"/>
  <c r="BL40" i="8"/>
  <c r="BI424" i="8"/>
  <c r="BM423" i="8"/>
  <c r="O476" i="8"/>
  <c r="AS503" i="8"/>
  <c r="BL53" i="8"/>
  <c r="AZ487" i="8"/>
  <c r="BO53" i="8"/>
  <c r="N423" i="8"/>
  <c r="M423" i="8"/>
  <c r="AL440" i="8"/>
  <c r="AP471" i="8"/>
  <c r="AW503" i="8"/>
  <c r="E315" i="8"/>
  <c r="E319" i="8" s="1"/>
  <c r="AS497" i="8"/>
  <c r="BA38" i="8"/>
  <c r="BA39" i="8"/>
  <c r="BD486" i="8"/>
  <c r="BD487" i="8"/>
  <c r="AI384" i="8"/>
  <c r="AI497" i="8"/>
  <c r="AI442" i="8"/>
  <c r="AI447" i="8" s="1"/>
  <c r="AI309" i="8"/>
  <c r="AI56" i="8"/>
  <c r="BO38" i="8"/>
  <c r="BO40" i="8"/>
  <c r="BO439" i="8"/>
  <c r="BP440" i="8"/>
  <c r="T698" i="8"/>
  <c r="U689" i="8"/>
  <c r="AW497" i="8"/>
  <c r="BP488" i="8"/>
  <c r="BO104" i="8"/>
  <c r="BO77" i="8"/>
  <c r="BO81" i="8" s="1"/>
  <c r="BE38" i="8"/>
  <c r="AJ444" i="8"/>
  <c r="L218" i="8"/>
  <c r="K218" i="8"/>
  <c r="N210" i="8"/>
  <c r="BC53" i="8"/>
  <c r="BP54" i="8"/>
  <c r="BR54" i="8"/>
  <c r="BQ53" i="8"/>
  <c r="BP53" i="8"/>
  <c r="BP52" i="8"/>
  <c r="BQ54" i="8"/>
  <c r="BT384" i="8"/>
  <c r="AL423" i="8"/>
  <c r="BH439" i="8"/>
  <c r="BD444" i="8"/>
  <c r="BM469" i="8"/>
  <c r="BB40" i="8"/>
  <c r="BB38" i="8"/>
  <c r="BB39" i="8"/>
  <c r="BP56" i="8"/>
  <c r="BP384" i="8"/>
  <c r="BP503" i="8"/>
  <c r="AJ309" i="8"/>
  <c r="BA423" i="8"/>
  <c r="BT440" i="8"/>
  <c r="AR444" i="8"/>
  <c r="AV445" i="8" s="1"/>
  <c r="BO353" i="8"/>
  <c r="AM52" i="8"/>
  <c r="AQ52" i="8"/>
  <c r="AM53" i="8"/>
  <c r="BF53" i="8"/>
  <c r="BT38" i="8"/>
  <c r="BT40" i="8"/>
  <c r="BT39" i="8"/>
  <c r="BT41" i="8" s="1"/>
  <c r="BI52" i="8"/>
  <c r="AN444" i="8"/>
  <c r="AN445" i="8" s="1"/>
  <c r="AO441" i="8"/>
  <c r="AN439" i="8"/>
  <c r="AR439" i="8"/>
  <c r="AO440" i="8"/>
  <c r="AJ52" i="8"/>
  <c r="AK53" i="8"/>
  <c r="AJ53" i="8"/>
  <c r="AH442" i="8"/>
  <c r="AH447" i="8" s="1"/>
  <c r="AH309" i="8"/>
  <c r="AH497" i="8"/>
  <c r="AH56" i="8"/>
  <c r="AH384" i="8"/>
  <c r="BL488" i="8"/>
  <c r="BM487" i="8"/>
  <c r="BP486" i="8"/>
  <c r="BE440" i="8"/>
  <c r="BB126" i="8"/>
  <c r="AM418" i="8"/>
  <c r="AM356" i="8" s="1"/>
  <c r="AM364" i="8"/>
  <c r="AM354" i="8"/>
  <c r="AM319" i="8"/>
  <c r="AM322" i="8" s="1"/>
  <c r="AM324" i="8" s="1"/>
  <c r="AM365" i="8" s="1"/>
  <c r="BH384" i="8"/>
  <c r="BH442" i="8"/>
  <c r="BH447" i="8" s="1"/>
  <c r="BH309" i="8"/>
  <c r="BH353" i="8" s="1"/>
  <c r="BH56" i="8"/>
  <c r="AN56" i="8"/>
  <c r="AV497" i="8"/>
  <c r="BL210" i="8"/>
  <c r="BL211" i="8"/>
  <c r="BS46" i="8"/>
  <c r="AL137" i="8"/>
  <c r="BE471" i="8"/>
  <c r="BI53" i="8"/>
  <c r="AX53" i="8"/>
  <c r="K486" i="8"/>
  <c r="AV309" i="8"/>
  <c r="AV315" i="8" s="1"/>
  <c r="AV56" i="8"/>
  <c r="AV384" i="8"/>
  <c r="AV442" i="8"/>
  <c r="AV447" i="8" s="1"/>
  <c r="BH38" i="8"/>
  <c r="BH40" i="8"/>
  <c r="AN52" i="8"/>
  <c r="AN53" i="8"/>
  <c r="AR52" i="8"/>
  <c r="P39" i="8"/>
  <c r="P40" i="8"/>
  <c r="P35" i="8"/>
  <c r="Q35" i="8"/>
  <c r="P38" i="8"/>
  <c r="BL52" i="8"/>
  <c r="BH497" i="8"/>
  <c r="BH503" i="8"/>
  <c r="BS133" i="8"/>
  <c r="BO158" i="8"/>
  <c r="BO136" i="8"/>
  <c r="BP134" i="8"/>
  <c r="BO133" i="8"/>
  <c r="BO134" i="8"/>
  <c r="AJ210" i="8"/>
  <c r="O423" i="8"/>
  <c r="BN447" i="8"/>
  <c r="AU458" i="8"/>
  <c r="BQ471" i="8"/>
  <c r="BR470" i="8"/>
  <c r="BQ486" i="8"/>
  <c r="F52" i="8"/>
  <c r="E52" i="8"/>
  <c r="S348" i="8"/>
  <c r="S344" i="8"/>
  <c r="S345" i="8" s="1"/>
  <c r="AM211" i="8"/>
  <c r="AW469" i="8"/>
  <c r="BI471" i="8"/>
  <c r="BF126" i="8"/>
  <c r="AW53" i="8"/>
  <c r="AV53" i="8"/>
  <c r="AZ52" i="8"/>
  <c r="BL35" i="8"/>
  <c r="AN103" i="8"/>
  <c r="AR65" i="8"/>
  <c r="AR69" i="8" s="1"/>
  <c r="AN69" i="8"/>
  <c r="AN193" i="8"/>
  <c r="BT488" i="8"/>
  <c r="BT486" i="8"/>
  <c r="BT487" i="8"/>
  <c r="P52" i="8"/>
  <c r="Q52" i="8"/>
  <c r="AI71" i="8"/>
  <c r="BA144" i="8"/>
  <c r="BA9" i="8" s="1"/>
  <c r="BA45" i="8" s="1"/>
  <c r="BB138" i="8"/>
  <c r="AO471" i="8"/>
  <c r="BE470" i="8"/>
  <c r="BI469" i="8"/>
  <c r="BL126" i="8"/>
  <c r="BL105" i="8"/>
  <c r="BL112" i="8"/>
  <c r="BH105" i="8"/>
  <c r="BH117" i="8" s="1"/>
  <c r="BH112" i="8"/>
  <c r="BL120" i="8" s="1"/>
  <c r="BR137" i="8"/>
  <c r="I469" i="8"/>
  <c r="BB487" i="8"/>
  <c r="BA137" i="8"/>
  <c r="S488" i="8"/>
  <c r="BB211" i="8"/>
  <c r="BB10" i="8"/>
  <c r="BB46" i="8" s="1"/>
  <c r="H10" i="8"/>
  <c r="BF471" i="8"/>
  <c r="I471" i="8"/>
  <c r="BE10" i="8"/>
  <c r="BF211" i="8"/>
  <c r="BE210" i="8"/>
  <c r="BI210" i="8"/>
  <c r="BS71" i="8"/>
  <c r="AM471" i="8"/>
  <c r="AU471" i="8"/>
  <c r="AK9" i="8"/>
  <c r="AT9" i="8"/>
  <c r="BR58" i="8"/>
  <c r="BI353" i="8"/>
  <c r="BE315" i="8"/>
  <c r="AL146" i="8"/>
  <c r="AK148" i="8"/>
  <c r="BJ94" i="8"/>
  <c r="BM125" i="8"/>
  <c r="BK94" i="8"/>
  <c r="BK95" i="8" s="1"/>
  <c r="BP188" i="8"/>
  <c r="BP189" i="8" s="1"/>
  <c r="BG94" i="8"/>
  <c r="BG113" i="8" s="1"/>
  <c r="O145" i="8"/>
  <c r="AK315" i="8"/>
  <c r="AK418" i="8" s="1"/>
  <c r="AK356" i="8" s="1"/>
  <c r="AK353" i="8"/>
  <c r="BU230" i="8"/>
  <c r="BU235" i="8" s="1"/>
  <c r="BV230" i="8"/>
  <c r="BV260" i="8" s="1"/>
  <c r="T260" i="8"/>
  <c r="T256" i="8"/>
  <c r="T250" i="8" s="1"/>
  <c r="BW230" i="8"/>
  <c r="BW260" i="8" s="1"/>
  <c r="BT230" i="8"/>
  <c r="BT227" i="8" s="1"/>
  <c r="AG353" i="8"/>
  <c r="AG315" i="8"/>
  <c r="AG418" i="8" s="1"/>
  <c r="AG356" i="8" s="1"/>
  <c r="N145" i="8"/>
  <c r="Z347" i="8"/>
  <c r="AA343" i="8"/>
  <c r="AA347" i="8" s="1"/>
  <c r="BR447" i="8"/>
  <c r="BR445" i="8"/>
  <c r="AT315" i="8"/>
  <c r="AT353" i="8"/>
  <c r="Q191" i="7"/>
  <c r="P116" i="7"/>
  <c r="BI446" i="8"/>
  <c r="BO46" i="8"/>
  <c r="BL57" i="8"/>
  <c r="AW353" i="8"/>
  <c r="BC41" i="8"/>
  <c r="AN9" i="8"/>
  <c r="AN148" i="8"/>
  <c r="AU315" i="8"/>
  <c r="J9" i="8"/>
  <c r="E354" i="8"/>
  <c r="BL353" i="8"/>
  <c r="BL315" i="8"/>
  <c r="V689" i="8"/>
  <c r="W689" i="8" s="1"/>
  <c r="X689" i="8" s="1"/>
  <c r="BP447" i="8"/>
  <c r="AI353" i="8"/>
  <c r="AI315" i="8"/>
  <c r="AI418" i="8" s="1"/>
  <c r="AI356" i="8" s="1"/>
  <c r="AH315" i="8"/>
  <c r="AH353" i="8"/>
  <c r="AR445" i="8"/>
  <c r="AO446" i="8"/>
  <c r="BH445" i="8"/>
  <c r="BA148" i="8"/>
  <c r="AV353" i="8"/>
  <c r="AR103" i="8"/>
  <c r="AR193" i="8"/>
  <c r="AV65" i="8"/>
  <c r="P41" i="8"/>
  <c r="BH315" i="8"/>
  <c r="BH319" i="8" s="1"/>
  <c r="AN70" i="8"/>
  <c r="AN77" i="8"/>
  <c r="AM500" i="8"/>
  <c r="AM374" i="8"/>
  <c r="AM419" i="8"/>
  <c r="AM373" i="8" s="1"/>
  <c r="BH116" i="8"/>
  <c r="BU234" i="8"/>
  <c r="BQ188" i="8"/>
  <c r="BQ189" i="8" s="1"/>
  <c r="AG319" i="8"/>
  <c r="AG500" i="8" s="1"/>
  <c r="AG364" i="8"/>
  <c r="AG419" i="8" s="1"/>
  <c r="AG373" i="8" s="1"/>
  <c r="AG354" i="8"/>
  <c r="AK364" i="8"/>
  <c r="AK419" i="8" s="1"/>
  <c r="AK373" i="8" s="1"/>
  <c r="AK319" i="8"/>
  <c r="AK500" i="8" s="1"/>
  <c r="AB343" i="8"/>
  <c r="AT354" i="8"/>
  <c r="R191" i="7"/>
  <c r="Q116" i="7"/>
  <c r="AU364" i="8"/>
  <c r="AU419" i="8" s="1"/>
  <c r="AU373" i="8" s="1"/>
  <c r="AI364" i="8"/>
  <c r="AI419" i="8" s="1"/>
  <c r="AI373" i="8" s="1"/>
  <c r="AI354" i="8"/>
  <c r="AI319" i="8"/>
  <c r="BL354" i="8"/>
  <c r="BL364" i="8"/>
  <c r="AH418" i="8"/>
  <c r="AH356" i="8" s="1"/>
  <c r="AH364" i="8"/>
  <c r="AH419" i="8" s="1"/>
  <c r="AH373" i="8" s="1"/>
  <c r="AH319" i="8"/>
  <c r="AH322" i="8" s="1"/>
  <c r="AH324" i="8" s="1"/>
  <c r="AH355" i="8" s="1"/>
  <c r="AH354" i="8"/>
  <c r="AV418" i="8"/>
  <c r="AV356" i="8" s="1"/>
  <c r="BH354" i="8"/>
  <c r="BH364" i="8"/>
  <c r="BH374" i="8" s="1"/>
  <c r="AK322" i="8"/>
  <c r="AK324" i="8" s="1"/>
  <c r="AG374" i="8"/>
  <c r="R116" i="7"/>
  <c r="S28" i="7"/>
  <c r="S191" i="7" s="1"/>
  <c r="AI374" i="8"/>
  <c r="AH374" i="8"/>
  <c r="N148" i="8"/>
  <c r="O149" i="8" s="1"/>
  <c r="BG481" i="8"/>
  <c r="BJ423" i="8"/>
  <c r="AY62" i="8"/>
  <c r="BS222" i="8"/>
  <c r="BL535" i="8"/>
  <c r="BM535" i="8"/>
  <c r="R660" i="8"/>
  <c r="Q672" i="8"/>
  <c r="P672" i="8"/>
  <c r="V527" i="8"/>
  <c r="BU578" i="8"/>
  <c r="AY563" i="8"/>
  <c r="AY564" i="8" s="1"/>
  <c r="BT563" i="8"/>
  <c r="W690" i="8"/>
  <c r="Q648" i="8"/>
  <c r="P648" i="8"/>
  <c r="P649" i="8"/>
  <c r="P574" i="8"/>
  <c r="Q574" i="8"/>
  <c r="P575" i="8"/>
  <c r="P660" i="8"/>
  <c r="Q660" i="8"/>
  <c r="V692" i="8"/>
  <c r="W692" i="8" s="1"/>
  <c r="U675" i="8"/>
  <c r="U629" i="8"/>
  <c r="P665" i="8"/>
  <c r="Q664" i="8"/>
  <c r="P664" i="8"/>
  <c r="I578" i="8"/>
  <c r="M563" i="8"/>
  <c r="M564" i="8" s="1"/>
  <c r="BM578" i="8"/>
  <c r="N574" i="8"/>
  <c r="J574" i="8"/>
  <c r="O570" i="8"/>
  <c r="BJ563" i="8"/>
  <c r="BF563" i="8"/>
  <c r="R652" i="8"/>
  <c r="S591" i="8"/>
  <c r="Q578" i="8"/>
  <c r="BL94" i="8"/>
  <c r="BL113" i="8" s="1"/>
  <c r="BN193" i="8"/>
  <c r="BS162" i="8"/>
  <c r="BT157" i="8"/>
  <c r="BU153" i="8"/>
  <c r="BV153" i="8" s="1"/>
  <c r="BW153" i="8" s="1"/>
  <c r="BX153" i="8" s="1"/>
  <c r="BY153" i="8" s="1"/>
  <c r="BZ153" i="8" s="1"/>
  <c r="CA153" i="8" s="1"/>
  <c r="CB153" i="8" s="1"/>
  <c r="CC153" i="8" s="1"/>
  <c r="CD153" i="8" s="1"/>
  <c r="CE153" i="8" s="1"/>
  <c r="BW346" i="8"/>
  <c r="AN497" i="8"/>
  <c r="AN503" i="8"/>
  <c r="AN442" i="8"/>
  <c r="AN447" i="8" s="1"/>
  <c r="AN384" i="8"/>
  <c r="AJ10" i="8"/>
  <c r="AJ211" i="8"/>
  <c r="AY53" i="8"/>
  <c r="BP497" i="8"/>
  <c r="BP442" i="8"/>
  <c r="BP309" i="8"/>
  <c r="BP353" i="8" s="1"/>
  <c r="BP227" i="8"/>
  <c r="AI487" i="8"/>
  <c r="AX424" i="8"/>
  <c r="AX423" i="8"/>
  <c r="AY424" i="8"/>
  <c r="BE459" i="8"/>
  <c r="BK203" i="8"/>
  <c r="BE35" i="8"/>
  <c r="BI35" i="8"/>
  <c r="BE39" i="8"/>
  <c r="BT46" i="8"/>
  <c r="AS470" i="8"/>
  <c r="AJ424" i="8"/>
  <c r="AJ423" i="8"/>
  <c r="AK424" i="8"/>
  <c r="AN423" i="8"/>
  <c r="BD440" i="8"/>
  <c r="BD441" i="8"/>
  <c r="BE441" i="8"/>
  <c r="AH77" i="8"/>
  <c r="AH81" i="8" s="1"/>
  <c r="AH71" i="8"/>
  <c r="AV423" i="8"/>
  <c r="AR423" i="8"/>
  <c r="AR424" i="8"/>
  <c r="AS424" i="8"/>
  <c r="BA56" i="8"/>
  <c r="BA442" i="8"/>
  <c r="BA447" i="8" s="1"/>
  <c r="BA497" i="8"/>
  <c r="BA309" i="8"/>
  <c r="BA353" i="8" s="1"/>
  <c r="BA503" i="8"/>
  <c r="R444" i="8"/>
  <c r="BL444" i="8"/>
  <c r="BP423" i="8"/>
  <c r="BL424" i="8"/>
  <c r="BL423" i="8"/>
  <c r="AH138" i="8"/>
  <c r="AI138" i="8"/>
  <c r="AH144" i="8"/>
  <c r="AH9" i="8" s="1"/>
  <c r="AP457" i="8"/>
  <c r="AT457" i="8"/>
  <c r="O444" i="8"/>
  <c r="P439" i="8"/>
  <c r="BO441" i="8"/>
  <c r="BO444" i="8"/>
  <c r="BO446" i="8" s="1"/>
  <c r="BS439" i="8"/>
  <c r="BP441" i="8"/>
  <c r="AP439" i="8"/>
  <c r="AL444" i="8"/>
  <c r="AL441" i="8"/>
  <c r="L442" i="8"/>
  <c r="L447" i="8" s="1"/>
  <c r="L384" i="8"/>
  <c r="L475" i="8"/>
  <c r="L358" i="8"/>
  <c r="L56" i="8"/>
  <c r="L309" i="8"/>
  <c r="L476" i="8" s="1"/>
  <c r="AM479" i="8"/>
  <c r="BK382" i="8"/>
  <c r="AX382" i="8"/>
  <c r="AM382" i="8"/>
  <c r="BP222" i="8"/>
  <c r="BO218" i="8"/>
  <c r="BJ34" i="8"/>
  <c r="P731" i="8"/>
  <c r="R731" i="8"/>
  <c r="S712" i="8"/>
  <c r="N648" i="8"/>
  <c r="W531" i="8"/>
  <c r="X531" i="8" s="1"/>
  <c r="BU219" i="8"/>
  <c r="BU218" i="8"/>
  <c r="BU223" i="8"/>
  <c r="BU222" i="8"/>
  <c r="X690" i="8"/>
  <c r="Y690" i="8" s="1"/>
  <c r="Z690" i="8" s="1"/>
  <c r="AA690" i="8" s="1"/>
  <c r="AB690" i="8" s="1"/>
  <c r="AC690" i="8" s="1"/>
  <c r="AD690" i="8" s="1"/>
  <c r="BE92" i="8"/>
  <c r="BE94" i="8"/>
  <c r="BT193" i="8"/>
  <c r="BP315" i="8"/>
  <c r="L315" i="8"/>
  <c r="L354" i="8" s="1"/>
  <c r="L353" i="8"/>
  <c r="BO447" i="8"/>
  <c r="BP228" i="8"/>
  <c r="AH8" i="8"/>
  <c r="BU62" i="8"/>
  <c r="BU27" i="8"/>
  <c r="BU34" i="8" s="1"/>
  <c r="BU206" i="8"/>
  <c r="BU207" i="8"/>
  <c r="BU63" i="8"/>
  <c r="BU112" i="8"/>
  <c r="BU305" i="8"/>
  <c r="BU25" i="8"/>
  <c r="BU32" i="8" s="1"/>
  <c r="BU113" i="8"/>
  <c r="BU26" i="8"/>
  <c r="BU199" i="8"/>
  <c r="BU738" i="8"/>
  <c r="BU382" i="8"/>
  <c r="BU383" i="8"/>
  <c r="BU439" i="8"/>
  <c r="BU485" i="8"/>
  <c r="BU440" i="8"/>
  <c r="BU456" i="8"/>
  <c r="BU451" i="8"/>
  <c r="BU464" i="8"/>
  <c r="BU479" i="8"/>
  <c r="BU452" i="8"/>
  <c r="BU450" i="8"/>
  <c r="BU480" i="8"/>
  <c r="BU482" i="8"/>
  <c r="BU481" i="8"/>
  <c r="BU463" i="8"/>
  <c r="BU462" i="8"/>
  <c r="W753" i="8"/>
  <c r="P145" i="8"/>
  <c r="P9" i="8"/>
  <c r="P45" i="8" s="1"/>
  <c r="Q145" i="8"/>
  <c r="P148" i="8"/>
  <c r="P149" i="8" s="1"/>
  <c r="BF9" i="8"/>
  <c r="BF45" i="8" s="1"/>
  <c r="BS382" i="8"/>
  <c r="BQ571" i="8"/>
  <c r="BN653" i="8"/>
  <c r="BF653" i="8"/>
  <c r="AX653" i="8"/>
  <c r="AP653" i="8"/>
  <c r="AM653" i="8"/>
  <c r="AH653" i="8"/>
  <c r="BP653" i="8"/>
  <c r="BH653" i="8"/>
  <c r="AZ653" i="8"/>
  <c r="AR653" i="8"/>
  <c r="AJ653" i="8"/>
  <c r="AG653" i="8"/>
  <c r="BR571" i="8"/>
  <c r="BN571" i="8"/>
  <c r="BF571" i="8"/>
  <c r="BS571" i="8"/>
  <c r="BJ653" i="8"/>
  <c r="AT653" i="8"/>
  <c r="AL653" i="8"/>
  <c r="BO571" i="8"/>
  <c r="BK29" i="8"/>
  <c r="BK39" i="8" s="1"/>
  <c r="BE618" i="8"/>
  <c r="BL653" i="8"/>
  <c r="BD653" i="8"/>
  <c r="AV653" i="8"/>
  <c r="AN653" i="8"/>
  <c r="AF653" i="8"/>
  <c r="BT571" i="8"/>
  <c r="BP571" i="8"/>
  <c r="BL571" i="8"/>
  <c r="BH571" i="8"/>
  <c r="BD571" i="8"/>
  <c r="BU433" i="8"/>
  <c r="BU653" i="8"/>
  <c r="BU703" i="8"/>
  <c r="BU435" i="8"/>
  <c r="BU130" i="8"/>
  <c r="BU129" i="8"/>
  <c r="BX433" i="8"/>
  <c r="BY433" i="8" s="1"/>
  <c r="BZ433" i="8" s="1"/>
  <c r="CA433" i="8" s="1"/>
  <c r="CB433" i="8" s="1"/>
  <c r="CC433" i="8" s="1"/>
  <c r="CD433" i="8" s="1"/>
  <c r="CE433" i="8" s="1"/>
  <c r="AK717" i="8"/>
  <c r="BT497" i="8"/>
  <c r="BT309" i="8"/>
  <c r="AU384" i="8"/>
  <c r="AU497" i="8"/>
  <c r="BQ384" i="8"/>
  <c r="BQ503" i="8"/>
  <c r="BQ309" i="8"/>
  <c r="BQ497" i="8"/>
  <c r="L469" i="8"/>
  <c r="AP309" i="8"/>
  <c r="AP497" i="8"/>
  <c r="D384" i="8"/>
  <c r="D56" i="8"/>
  <c r="AL53" i="8"/>
  <c r="AP10" i="8"/>
  <c r="AH459" i="8"/>
  <c r="AH490" i="8"/>
  <c r="AV471" i="8"/>
  <c r="AV490" i="8"/>
  <c r="BR485" i="8"/>
  <c r="BR479" i="8"/>
  <c r="BR480" i="8"/>
  <c r="BR482" i="8"/>
  <c r="BS481" i="8"/>
  <c r="O462" i="8"/>
  <c r="O465" i="8"/>
  <c r="O466" i="8"/>
  <c r="O471" i="8" s="1"/>
  <c r="O468" i="8"/>
  <c r="BL463" i="8"/>
  <c r="BO462" i="8"/>
  <c r="BK464" i="8"/>
  <c r="BK462" i="8"/>
  <c r="BK465" i="8"/>
  <c r="BL464" i="8"/>
  <c r="BK468" i="8"/>
  <c r="BK463" i="8"/>
  <c r="AZ466" i="8"/>
  <c r="AZ471" i="8" s="1"/>
  <c r="AZ463" i="8"/>
  <c r="AZ462" i="8"/>
  <c r="BA463" i="8"/>
  <c r="BD462" i="8"/>
  <c r="BA464" i="8"/>
  <c r="AR462" i="8"/>
  <c r="AN466" i="8"/>
  <c r="AO464" i="8"/>
  <c r="AN463" i="8"/>
  <c r="AN468" i="8"/>
  <c r="H450" i="8"/>
  <c r="G454" i="8"/>
  <c r="G490" i="8" s="1"/>
  <c r="G450" i="8"/>
  <c r="BN450" i="8"/>
  <c r="BJ454" i="8"/>
  <c r="BJ450" i="8"/>
  <c r="BK451" i="8"/>
  <c r="BJ452" i="8"/>
  <c r="BK452" i="8"/>
  <c r="BF454" i="8"/>
  <c r="BF456" i="8"/>
  <c r="BF457" i="8" s="1"/>
  <c r="BF453" i="8"/>
  <c r="BF451" i="8"/>
  <c r="BG451" i="8"/>
  <c r="BG452" i="8"/>
  <c r="BF452" i="8"/>
  <c r="BF450" i="8"/>
  <c r="Q398" i="8"/>
  <c r="Q404" i="8"/>
  <c r="P382" i="8"/>
  <c r="Q382" i="8"/>
  <c r="L382" i="8"/>
  <c r="M382" i="8"/>
  <c r="H382" i="8"/>
  <c r="I382" i="8"/>
  <c r="BR383" i="8"/>
  <c r="BR382" i="8"/>
  <c r="AW223" i="8"/>
  <c r="AV223" i="8"/>
  <c r="AV224" i="8"/>
  <c r="AW222" i="8"/>
  <c r="AS222" i="8"/>
  <c r="AT223" i="8"/>
  <c r="AS223" i="8"/>
  <c r="AO224" i="8"/>
  <c r="AP223" i="8"/>
  <c r="AO223" i="8"/>
  <c r="R218" i="8"/>
  <c r="Q218" i="8"/>
  <c r="BM218" i="8"/>
  <c r="BI218" i="8"/>
  <c r="BJ219" i="8"/>
  <c r="P210" i="8"/>
  <c r="O10" i="8"/>
  <c r="P16" i="8" s="1"/>
  <c r="BQ209" i="8"/>
  <c r="BR207" i="8"/>
  <c r="BQ206" i="8"/>
  <c r="BH206" i="8"/>
  <c r="BD209" i="8"/>
  <c r="BD207" i="8"/>
  <c r="BD206" i="8"/>
  <c r="BE207" i="8"/>
  <c r="AW10" i="8"/>
  <c r="AW211" i="8"/>
  <c r="AW210" i="8"/>
  <c r="BF105" i="8"/>
  <c r="BF112" i="8"/>
  <c r="AH440" i="8"/>
  <c r="BR439" i="8"/>
  <c r="BR440" i="8"/>
  <c r="BF424" i="8"/>
  <c r="BG424" i="8"/>
  <c r="AI424" i="8"/>
  <c r="P171" i="8"/>
  <c r="BD469" i="8"/>
  <c r="BN40" i="8"/>
  <c r="BN38" i="8"/>
  <c r="AT503" i="8"/>
  <c r="AT442" i="8"/>
  <c r="AT447" i="8" s="1"/>
  <c r="AT56" i="8"/>
  <c r="AQ440" i="8"/>
  <c r="AQ441" i="8"/>
  <c r="BM40" i="8"/>
  <c r="BM39" i="8"/>
  <c r="BM38" i="8"/>
  <c r="BM441" i="8"/>
  <c r="BN441" i="8"/>
  <c r="BS479" i="8"/>
  <c r="BO481" i="8"/>
  <c r="BO482" i="8"/>
  <c r="BO479" i="8"/>
  <c r="BH462" i="8"/>
  <c r="BH466" i="8"/>
  <c r="BH471" i="8" s="1"/>
  <c r="BQ291" i="8"/>
  <c r="BO207" i="8"/>
  <c r="BO206" i="8"/>
  <c r="BC479" i="8"/>
  <c r="BG479" i="8"/>
  <c r="BC483" i="8"/>
  <c r="AL479" i="8"/>
  <c r="AI481" i="8"/>
  <c r="AI480" i="8"/>
  <c r="BD464" i="8"/>
  <c r="BC462" i="8"/>
  <c r="BC466" i="8"/>
  <c r="BC471" i="8" s="1"/>
  <c r="R453" i="8"/>
  <c r="R456" i="8"/>
  <c r="N456" i="8"/>
  <c r="BM456" i="8"/>
  <c r="BQ457" i="8" s="1"/>
  <c r="BM452" i="8"/>
  <c r="AP451" i="8"/>
  <c r="AP450" i="8"/>
  <c r="AY218" i="8"/>
  <c r="AU218" i="8"/>
  <c r="BP32" i="8"/>
  <c r="BT32" i="8"/>
  <c r="P434" i="8"/>
  <c r="P738" i="8"/>
  <c r="P703" i="8"/>
  <c r="P422" i="8"/>
  <c r="P435" i="8"/>
  <c r="AZ442" i="8"/>
  <c r="AZ447" i="8" s="1"/>
  <c r="AZ438" i="8"/>
  <c r="AZ439" i="8" s="1"/>
  <c r="P618" i="8"/>
  <c r="P307" i="8"/>
  <c r="P503" i="8" s="1"/>
  <c r="BK571" i="8"/>
  <c r="BG618" i="8"/>
  <c r="BG626" i="8"/>
  <c r="BK482" i="8"/>
  <c r="BK488" i="8" s="1"/>
  <c r="BK579" i="8"/>
  <c r="BA210" i="8"/>
  <c r="BT465" i="8"/>
  <c r="BT462" i="8"/>
  <c r="BT466" i="8"/>
  <c r="BT453" i="8"/>
  <c r="BT450" i="8"/>
  <c r="BT454" i="8"/>
  <c r="AW450" i="8"/>
  <c r="AW451" i="8"/>
  <c r="AW453" i="8"/>
  <c r="AS456" i="8"/>
  <c r="AS457" i="8" s="1"/>
  <c r="AS452" i="8"/>
  <c r="BB223" i="8"/>
  <c r="BB222" i="8"/>
  <c r="AL219" i="8"/>
  <c r="AK218" i="8"/>
  <c r="AO218" i="8"/>
  <c r="AT206" i="8"/>
  <c r="AP206" i="8"/>
  <c r="BJ136" i="8"/>
  <c r="BJ130" i="8"/>
  <c r="BM62" i="8"/>
  <c r="BI62" i="8"/>
  <c r="BJ63" i="8"/>
  <c r="BG63" i="8"/>
  <c r="BF63" i="8"/>
  <c r="P33" i="8"/>
  <c r="O33" i="8"/>
  <c r="BK218" i="8"/>
  <c r="R209" i="8"/>
  <c r="BF130" i="8"/>
  <c r="BE136" i="8"/>
  <c r="BG51" i="8"/>
  <c r="BK52" i="8" s="1"/>
  <c r="BG571" i="8"/>
  <c r="K626" i="8"/>
  <c r="K307" i="8"/>
  <c r="BC307" i="8"/>
  <c r="BC56" i="8" s="1"/>
  <c r="BC571" i="8"/>
  <c r="R178" i="8"/>
  <c r="R173" i="8" s="1"/>
  <c r="BP182" i="8"/>
  <c r="O176" i="8"/>
  <c r="P181" i="8" s="1"/>
  <c r="BU171" i="8"/>
  <c r="BD199" i="8"/>
  <c r="BJ296" i="8"/>
  <c r="BN269" i="8"/>
  <c r="BN271" i="8" s="1"/>
  <c r="BM269" i="8"/>
  <c r="BM271" i="8" s="1"/>
  <c r="BH199" i="8"/>
  <c r="BH189" i="8"/>
  <c r="S176" i="8"/>
  <c r="S171" i="8" s="1"/>
  <c r="BP192" i="8"/>
  <c r="BP181" i="8"/>
  <c r="BH181" i="8"/>
  <c r="Q176" i="8"/>
  <c r="Q192" i="8" s="1"/>
  <c r="Q195" i="8" s="1"/>
  <c r="BS173" i="8"/>
  <c r="BS178" i="8" s="1"/>
  <c r="BR178" i="8"/>
  <c r="BR183" i="8" s="1"/>
  <c r="AJ103" i="8"/>
  <c r="AK65" i="8"/>
  <c r="AL65" i="8" s="1"/>
  <c r="AJ193" i="8"/>
  <c r="BI144" i="8"/>
  <c r="BG199" i="8"/>
  <c r="BQ193" i="8"/>
  <c r="BQ162" i="8"/>
  <c r="S157" i="8"/>
  <c r="S136" i="8"/>
  <c r="S137" i="8" s="1"/>
  <c r="S200" i="8"/>
  <c r="AO144" i="8"/>
  <c r="AO9" i="8" s="1"/>
  <c r="AF10" i="8"/>
  <c r="AG211" i="8"/>
  <c r="BN199" i="8"/>
  <c r="BN189" i="8"/>
  <c r="BS177" i="8"/>
  <c r="S177" i="8" s="1"/>
  <c r="BT172" i="8"/>
  <c r="L137" i="8"/>
  <c r="BC157" i="8"/>
  <c r="BG162" i="8" s="1"/>
  <c r="K210" i="8"/>
  <c r="BO159" i="8"/>
  <c r="AO137" i="8"/>
  <c r="BO210" i="8"/>
  <c r="BN181" i="8"/>
  <c r="BC154" i="8"/>
  <c r="BC155" i="8" s="1"/>
  <c r="BC159" i="8" s="1"/>
  <c r="I9" i="8"/>
  <c r="J145" i="8"/>
  <c r="AI148" i="8"/>
  <c r="AI9" i="8"/>
  <c r="AF148" i="8"/>
  <c r="AF9" i="8"/>
  <c r="BU262" i="8"/>
  <c r="BT262" i="8" s="1"/>
  <c r="BT260" i="8" s="1"/>
  <c r="BF46" i="8"/>
  <c r="BF16" i="8"/>
  <c r="P46" i="8"/>
  <c r="BH46" i="8"/>
  <c r="BB154" i="8"/>
  <c r="BB158" i="8" s="1"/>
  <c r="BG163" i="8" s="1"/>
  <c r="BA153" i="8"/>
  <c r="BA154" i="8" s="1"/>
  <c r="BB157" i="8"/>
  <c r="BF162" i="8" s="1"/>
  <c r="BC442" i="8"/>
  <c r="BC447" i="8" s="1"/>
  <c r="BC497" i="8"/>
  <c r="BC309" i="8"/>
  <c r="BC353" i="8" s="1"/>
  <c r="AP353" i="8"/>
  <c r="AP315" i="8"/>
  <c r="AP319" i="8" s="1"/>
  <c r="BQ315" i="8"/>
  <c r="BT315" i="8"/>
  <c r="BT353" i="8"/>
  <c r="K475" i="8"/>
  <c r="P442" i="8"/>
  <c r="P447" i="8" s="1"/>
  <c r="P405" i="8"/>
  <c r="P358" i="8"/>
  <c r="P407" i="8"/>
  <c r="P384" i="8"/>
  <c r="AN471" i="8"/>
  <c r="BR488" i="8"/>
  <c r="BS487" i="8"/>
  <c r="BR486" i="8"/>
  <c r="BF458" i="8"/>
  <c r="BJ457" i="8"/>
  <c r="AK66" i="8"/>
  <c r="AO65" i="8"/>
  <c r="AK193" i="8"/>
  <c r="AK103" i="8"/>
  <c r="Q171" i="8"/>
  <c r="Q181" i="8"/>
  <c r="S192" i="8"/>
  <c r="BV171" i="8"/>
  <c r="BW171" i="8" s="1"/>
  <c r="BX171" i="8" s="1"/>
  <c r="BY171" i="8" s="1"/>
  <c r="BU176" i="8"/>
  <c r="BU192" i="8" s="1"/>
  <c r="BT177" i="8"/>
  <c r="BT182" i="8" s="1"/>
  <c r="BU172" i="8"/>
  <c r="BU173" i="8" s="1"/>
  <c r="BU178" i="8" s="1"/>
  <c r="BU183" i="8" s="1"/>
  <c r="BT173" i="8"/>
  <c r="BT178" i="8" s="1"/>
  <c r="BT183" i="8" s="1"/>
  <c r="AZ153" i="8"/>
  <c r="BT364" i="8"/>
  <c r="BT354" i="8"/>
  <c r="BC315" i="8"/>
  <c r="BV172" i="8"/>
  <c r="BW172" i="8" s="1"/>
  <c r="BU177" i="8"/>
  <c r="BU182" i="8" s="1"/>
  <c r="AM65" i="8"/>
  <c r="BU181" i="8"/>
  <c r="O490" i="8"/>
  <c r="BJ490" i="8"/>
  <c r="AZ440" i="8"/>
  <c r="AT458" i="8"/>
  <c r="O16" i="8"/>
  <c r="BQ10" i="8"/>
  <c r="BQ46" i="8" s="1"/>
  <c r="BD439" i="8"/>
  <c r="AW457" i="8"/>
  <c r="O210" i="8"/>
  <c r="BQ459" i="8"/>
  <c r="BP269" i="8"/>
  <c r="BP271" i="8" s="1"/>
  <c r="AJ206" i="8"/>
  <c r="AM136" i="8"/>
  <c r="H105" i="8"/>
  <c r="H116" i="8" s="1"/>
  <c r="H115" i="8" s="1"/>
  <c r="BV452" i="8"/>
  <c r="BV480" i="8"/>
  <c r="BV456" i="8"/>
  <c r="BV451" i="8"/>
  <c r="BV485" i="8"/>
  <c r="BW487" i="8" s="1"/>
  <c r="BV383" i="8"/>
  <c r="BQ269" i="8"/>
  <c r="BQ271" i="8" s="1"/>
  <c r="BV464" i="8"/>
  <c r="V694" i="8"/>
  <c r="U698" i="8"/>
  <c r="U688" i="8" s="1"/>
  <c r="U555" i="8" s="1"/>
  <c r="I815" i="8"/>
  <c r="J810" i="8" s="1"/>
  <c r="S630" i="8"/>
  <c r="T630" i="8" s="1"/>
  <c r="R625" i="8"/>
  <c r="R631" i="8" s="1"/>
  <c r="N71" i="7"/>
  <c r="N156" i="7" s="1"/>
  <c r="N157" i="7" s="1"/>
  <c r="L132" i="7"/>
  <c r="R250" i="8"/>
  <c r="R257" i="8"/>
  <c r="V242" i="8"/>
  <c r="W242" i="8" s="1"/>
  <c r="X242" i="8" s="1"/>
  <c r="Y242" i="8" s="1"/>
  <c r="Z242" i="8" s="1"/>
  <c r="AA242" i="8" s="1"/>
  <c r="AB242" i="8" s="1"/>
  <c r="BV468" i="8"/>
  <c r="BV463" i="8"/>
  <c r="AN8" i="8"/>
  <c r="AN81" i="8"/>
  <c r="P15" i="8"/>
  <c r="O45" i="8"/>
  <c r="AJ144" i="8"/>
  <c r="AJ9" i="8" s="1"/>
  <c r="AK138" i="8"/>
  <c r="AJ137" i="8"/>
  <c r="AN137" i="8"/>
  <c r="AJ138" i="8"/>
  <c r="BT70" i="8"/>
  <c r="BT71" i="8"/>
  <c r="BF148" i="8"/>
  <c r="BE46" i="8"/>
  <c r="BE16" i="8"/>
  <c r="BO112" i="8"/>
  <c r="BO105" i="8"/>
  <c r="BO126" i="8"/>
  <c r="BI137" i="8"/>
  <c r="AR10" i="8"/>
  <c r="AV210" i="8"/>
  <c r="AZ210" i="8"/>
  <c r="BA211" i="8"/>
  <c r="AZ10" i="8"/>
  <c r="BT192" i="8"/>
  <c r="BT181" i="8"/>
  <c r="AG10" i="8"/>
  <c r="AH211" i="8"/>
  <c r="AK210" i="8"/>
  <c r="BN192" i="8"/>
  <c r="R176" i="8"/>
  <c r="R171" i="8" s="1"/>
  <c r="BI162" i="8"/>
  <c r="BI193" i="8"/>
  <c r="BM162" i="8"/>
  <c r="Q157" i="8"/>
  <c r="Q153" i="8" s="1"/>
  <c r="AI77" i="8"/>
  <c r="AI8" i="8" s="1"/>
  <c r="AI11" i="8" s="1"/>
  <c r="BD137" i="8"/>
  <c r="BD144" i="8"/>
  <c r="BD148" i="8" s="1"/>
  <c r="BM211" i="8"/>
  <c r="BL10" i="8"/>
  <c r="BL46" i="8" s="1"/>
  <c r="BP210" i="8"/>
  <c r="AM10" i="8"/>
  <c r="AM210" i="8"/>
  <c r="BH144" i="8"/>
  <c r="BH9" i="8" s="1"/>
  <c r="BI138" i="8"/>
  <c r="BL137" i="8"/>
  <c r="BH137" i="8"/>
  <c r="AZ105" i="8"/>
  <c r="AZ126" i="8"/>
  <c r="AS10" i="8"/>
  <c r="AS211" i="8"/>
  <c r="AS210" i="8"/>
  <c r="AU144" i="8"/>
  <c r="AU9" i="8" s="1"/>
  <c r="AU137" i="8"/>
  <c r="AU138" i="8"/>
  <c r="AP138" i="8"/>
  <c r="AT137" i="8"/>
  <c r="AQ138" i="8"/>
  <c r="AP144" i="8"/>
  <c r="AP148" i="8" s="1"/>
  <c r="BA105" i="8"/>
  <c r="BE126" i="8"/>
  <c r="P195" i="8"/>
  <c r="AT148" i="8"/>
  <c r="BO74" i="8"/>
  <c r="BO75" i="8"/>
  <c r="AZ137" i="8"/>
  <c r="AV138" i="8"/>
  <c r="AV137" i="8"/>
  <c r="AW138" i="8"/>
  <c r="AV144" i="8"/>
  <c r="AV148" i="8" s="1"/>
  <c r="BI10" i="8"/>
  <c r="BI211" i="8"/>
  <c r="BM210" i="8"/>
  <c r="BK193" i="8"/>
  <c r="BO157" i="8"/>
  <c r="BT162" i="8" s="1"/>
  <c r="BK162" i="8"/>
  <c r="BT154" i="8"/>
  <c r="BS158" i="8"/>
  <c r="S158" i="8" s="1"/>
  <c r="S154" i="8" s="1"/>
  <c r="BS155" i="8"/>
  <c r="BS159" i="8" s="1"/>
  <c r="BB144" i="8"/>
  <c r="BG126" i="8"/>
  <c r="BC105" i="8"/>
  <c r="P193" i="8"/>
  <c r="P153" i="8"/>
  <c r="AR144" i="8"/>
  <c r="AR145" i="8" s="1"/>
  <c r="AR138" i="8"/>
  <c r="AR137" i="8"/>
  <c r="AJ77" i="8"/>
  <c r="AJ79" i="8" s="1"/>
  <c r="AJ70" i="8"/>
  <c r="AJ71" i="8"/>
  <c r="R214" i="8"/>
  <c r="S214" i="8"/>
  <c r="BK10" i="8"/>
  <c r="BO16" i="8" s="1"/>
  <c r="R177" i="8"/>
  <c r="R172" i="8" s="1"/>
  <c r="BP193" i="8"/>
  <c r="BP162" i="8"/>
  <c r="BD155" i="8"/>
  <c r="BD159" i="8" s="1"/>
  <c r="P159" i="8" s="1"/>
  <c r="P155" i="8" s="1"/>
  <c r="BD158" i="8"/>
  <c r="P158" i="8" s="1"/>
  <c r="P154" i="8" s="1"/>
  <c r="BV219" i="8"/>
  <c r="BV218" i="8"/>
  <c r="BV222" i="8"/>
  <c r="BV223" i="8"/>
  <c r="W694" i="8"/>
  <c r="V698" i="8"/>
  <c r="V688" i="8" s="1"/>
  <c r="V555" i="8" s="1"/>
  <c r="S625" i="8"/>
  <c r="S627" i="8" s="1"/>
  <c r="N72" i="7"/>
  <c r="N46" i="7"/>
  <c r="M207" i="7"/>
  <c r="M132" i="7"/>
  <c r="AV9" i="8"/>
  <c r="BS120" i="8"/>
  <c r="BP16" i="8"/>
  <c r="AJ8" i="8"/>
  <c r="R157" i="8"/>
  <c r="R193" i="8" s="1"/>
  <c r="BF145" i="8"/>
  <c r="BD9" i="8"/>
  <c r="AI81" i="8"/>
  <c r="AI79" i="8"/>
  <c r="BV206" i="8"/>
  <c r="BV27" i="8"/>
  <c r="BV34" i="8" s="1"/>
  <c r="BV207" i="8"/>
  <c r="X694" i="8"/>
  <c r="N207" i="7"/>
  <c r="N132" i="7"/>
  <c r="W346" i="8"/>
  <c r="W341" i="8"/>
  <c r="W348" i="8" s="1"/>
  <c r="BV62" i="8"/>
  <c r="BV130" i="8"/>
  <c r="BV129" i="8"/>
  <c r="BV63" i="8"/>
  <c r="BV26" i="8"/>
  <c r="BV33" i="8" s="1"/>
  <c r="BV199" i="8"/>
  <c r="BV176" i="8"/>
  <c r="BV181" i="8" s="1"/>
  <c r="BV177" i="8"/>
  <c r="BV25" i="8"/>
  <c r="BV32" i="8" s="1"/>
  <c r="BV112" i="8"/>
  <c r="BV120" i="8" s="1"/>
  <c r="BV305" i="8"/>
  <c r="BV113" i="8"/>
  <c r="BV121" i="8" s="1"/>
  <c r="Y694" i="8"/>
  <c r="Z694" i="8" s="1"/>
  <c r="AA694" i="8" s="1"/>
  <c r="AB694" i="8" s="1"/>
  <c r="AC694" i="8" s="1"/>
  <c r="AD694" i="8" s="1"/>
  <c r="BR618" i="8"/>
  <c r="BV182" i="8"/>
  <c r="BV738" i="8"/>
  <c r="BV313" i="8"/>
  <c r="BV438" i="8" s="1"/>
  <c r="BY466" i="8"/>
  <c r="BX483" i="8"/>
  <c r="BX490" i="8" s="1"/>
  <c r="J116" i="7"/>
  <c r="N32" i="7"/>
  <c r="M195" i="7"/>
  <c r="M120" i="7"/>
  <c r="BU215" i="8"/>
  <c r="BU209" i="8"/>
  <c r="BU211" i="8" s="1"/>
  <c r="BU214" i="8"/>
  <c r="BU138" i="8"/>
  <c r="BU66" i="8"/>
  <c r="BU114" i="8"/>
  <c r="BU67" i="8"/>
  <c r="BU71" i="8"/>
  <c r="BV138" i="8"/>
  <c r="BV137" i="8"/>
  <c r="BV209" i="8"/>
  <c r="BV214" i="8"/>
  <c r="BV215" i="8"/>
  <c r="O32" i="7"/>
  <c r="N120" i="7"/>
  <c r="N195" i="7"/>
  <c r="BV71" i="8"/>
  <c r="BV70" i="8"/>
  <c r="P32" i="7"/>
  <c r="O120" i="7"/>
  <c r="O195" i="7"/>
  <c r="P120" i="7"/>
  <c r="Q32" i="7"/>
  <c r="P195" i="7"/>
  <c r="Q120" i="7"/>
  <c r="Q195" i="7"/>
  <c r="R32" i="7"/>
  <c r="R120" i="7" s="1"/>
  <c r="R195" i="7"/>
  <c r="O171" i="8"/>
  <c r="O192" i="8"/>
  <c r="O195" i="8" s="1"/>
  <c r="BV173" i="8"/>
  <c r="BV178" i="8" s="1"/>
  <c r="BV183" i="8" s="1"/>
  <c r="BO35" i="8"/>
  <c r="BQ626" i="8"/>
  <c r="BU416" i="8"/>
  <c r="BU465" i="8"/>
  <c r="L364" i="8"/>
  <c r="L374" i="8" s="1"/>
  <c r="L418" i="8"/>
  <c r="L356" i="8" s="1"/>
  <c r="U534" i="8"/>
  <c r="V629" i="8"/>
  <c r="V534" i="8" s="1"/>
  <c r="BE319" i="8"/>
  <c r="BE322" i="8" s="1"/>
  <c r="BE324" i="8" s="1"/>
  <c r="AI211" i="8"/>
  <c r="AH10" i="8"/>
  <c r="AH11" i="8" s="1"/>
  <c r="AV10" i="8"/>
  <c r="M490" i="8"/>
  <c r="BG382" i="8"/>
  <c r="BE206" i="8"/>
  <c r="AQ315" i="8"/>
  <c r="AQ418" i="8" s="1"/>
  <c r="AQ356" i="8" s="1"/>
  <c r="AT209" i="8"/>
  <c r="AT211" i="8" s="1"/>
  <c r="J70" i="8"/>
  <c r="Q712" i="8"/>
  <c r="BV382" i="8"/>
  <c r="BK653" i="8"/>
  <c r="BV462" i="8"/>
  <c r="BV494" i="8"/>
  <c r="BV481" i="8"/>
  <c r="BV435" i="8"/>
  <c r="BV479" i="8"/>
  <c r="BV434" i="8"/>
  <c r="V194" i="8"/>
  <c r="BX73" i="8"/>
  <c r="V74" i="8"/>
  <c r="X73" i="8"/>
  <c r="Y73" i="8" s="1"/>
  <c r="W74" i="8"/>
  <c r="L61" i="7"/>
  <c r="L161" i="7"/>
  <c r="L150" i="7"/>
  <c r="K116" i="7"/>
  <c r="CA425" i="8"/>
  <c r="AT10" i="8"/>
  <c r="Z140" i="8"/>
  <c r="Z194" i="8" s="1"/>
  <c r="W141" i="8"/>
  <c r="W194" i="8"/>
  <c r="L221" i="7"/>
  <c r="L147" i="7"/>
  <c r="M61" i="7"/>
  <c r="N61" i="7" s="1"/>
  <c r="M147" i="7"/>
  <c r="M221" i="7"/>
  <c r="BY73" i="8"/>
  <c r="BZ73" i="8" s="1"/>
  <c r="BG90" i="8"/>
  <c r="BG117" i="8" s="1"/>
  <c r="BG95" i="8"/>
  <c r="BG116" i="8"/>
  <c r="BJ90" i="8"/>
  <c r="BJ95" i="8"/>
  <c r="BI90" i="8"/>
  <c r="BI95" i="8"/>
  <c r="BK113" i="8"/>
  <c r="BK121" i="8" s="1"/>
  <c r="BP112" i="8"/>
  <c r="BI102" i="8"/>
  <c r="BI112" i="8" s="1"/>
  <c r="K112" i="8"/>
  <c r="BM124" i="8"/>
  <c r="BM95" i="8"/>
  <c r="BR120" i="8"/>
  <c r="BS122" i="8"/>
  <c r="BU122" i="8"/>
  <c r="BT122" i="8"/>
  <c r="BT120" i="8"/>
  <c r="BP120" i="8"/>
  <c r="BQ73" i="8"/>
  <c r="BR73" i="8" s="1"/>
  <c r="BP74" i="8"/>
  <c r="BP75" i="8"/>
  <c r="BQ75" i="8"/>
  <c r="BP77" i="8"/>
  <c r="BP79" i="8" s="1"/>
  <c r="BP104" i="8"/>
  <c r="BP105" i="8" s="1"/>
  <c r="BP117" i="8" s="1"/>
  <c r="M235" i="7"/>
  <c r="BT228" i="8" l="1"/>
  <c r="BR457" i="8"/>
  <c r="BB41" i="8"/>
  <c r="BK202" i="8"/>
  <c r="BK201" i="8" s="1"/>
  <c r="BB52" i="8"/>
  <c r="P450" i="8"/>
  <c r="BQ16" i="8"/>
  <c r="AU53" i="8"/>
  <c r="AS53" i="8"/>
  <c r="BR52" i="8"/>
  <c r="AK444" i="8"/>
  <c r="H485" i="8"/>
  <c r="H486" i="8" s="1"/>
  <c r="BN468" i="8"/>
  <c r="BJ468" i="8"/>
  <c r="BJ470" i="8" s="1"/>
  <c r="BF468" i="8"/>
  <c r="BF470" i="8" s="1"/>
  <c r="BB468" i="8"/>
  <c r="AX468" i="8"/>
  <c r="AT468" i="8"/>
  <c r="AT470" i="8" s="1"/>
  <c r="AH468" i="8"/>
  <c r="AH470" i="8" s="1"/>
  <c r="BS423" i="8"/>
  <c r="M52" i="8"/>
  <c r="O450" i="8"/>
  <c r="BM451" i="8"/>
  <c r="AG383" i="8"/>
  <c r="S116" i="7"/>
  <c r="BN105" i="8"/>
  <c r="M55" i="7"/>
  <c r="BU154" i="8"/>
  <c r="BT158" i="8"/>
  <c r="BT163" i="8" s="1"/>
  <c r="BE500" i="8"/>
  <c r="BV466" i="8"/>
  <c r="BY483" i="8"/>
  <c r="BY490" i="8" s="1"/>
  <c r="BZ466" i="8"/>
  <c r="BZ483" i="8" s="1"/>
  <c r="BZ490" i="8" s="1"/>
  <c r="BV465" i="8"/>
  <c r="BV453" i="8"/>
  <c r="BT232" i="8"/>
  <c r="BW458" i="8"/>
  <c r="BV457" i="8"/>
  <c r="AQ137" i="8"/>
  <c r="AM144" i="8"/>
  <c r="AM138" i="8"/>
  <c r="AM137" i="8"/>
  <c r="AM69" i="8"/>
  <c r="AM193" i="8"/>
  <c r="AQ65" i="8"/>
  <c r="K309" i="8"/>
  <c r="K442" i="8"/>
  <c r="K447" i="8" s="1"/>
  <c r="K384" i="8"/>
  <c r="K358" i="8"/>
  <c r="BE144" i="8"/>
  <c r="BE138" i="8"/>
  <c r="BJ144" i="8"/>
  <c r="BN137" i="8"/>
  <c r="BJ138" i="8"/>
  <c r="BF459" i="8"/>
  <c r="BF490" i="8"/>
  <c r="U552" i="8"/>
  <c r="V675" i="8"/>
  <c r="V552" i="8" s="1"/>
  <c r="AV103" i="8"/>
  <c r="AV69" i="8"/>
  <c r="AV77" i="8" s="1"/>
  <c r="AV8" i="8" s="1"/>
  <c r="AV193" i="8"/>
  <c r="AZ65" i="8"/>
  <c r="BB457" i="8"/>
  <c r="AX457" i="8"/>
  <c r="AX458" i="8"/>
  <c r="AK470" i="8"/>
  <c r="AL470" i="8"/>
  <c r="AK469" i="8"/>
  <c r="AO469" i="8"/>
  <c r="AS469" i="8"/>
  <c r="AO470" i="8"/>
  <c r="BA469" i="8"/>
  <c r="BE469" i="8"/>
  <c r="BA470" i="8"/>
  <c r="BB470" i="8"/>
  <c r="Q469" i="8"/>
  <c r="P469" i="8"/>
  <c r="BQ487" i="8"/>
  <c r="BR487" i="8"/>
  <c r="BQ488" i="8"/>
  <c r="BP35" i="8"/>
  <c r="BP40" i="8"/>
  <c r="BT35" i="8"/>
  <c r="AW424" i="8"/>
  <c r="AW444" i="8"/>
  <c r="AW446" i="8" s="1"/>
  <c r="BT444" i="8"/>
  <c r="BT447" i="8" s="1"/>
  <c r="BU441" i="8"/>
  <c r="BT439" i="8"/>
  <c r="BT441" i="8"/>
  <c r="S438" i="8"/>
  <c r="S454" i="8"/>
  <c r="S466" i="8"/>
  <c r="S820" i="8"/>
  <c r="S483" i="8"/>
  <c r="I439" i="8"/>
  <c r="H439" i="8"/>
  <c r="Q10" i="8"/>
  <c r="Q210" i="8"/>
  <c r="AK457" i="8"/>
  <c r="AL458" i="8"/>
  <c r="BM486" i="8"/>
  <c r="BM488" i="8"/>
  <c r="AW490" i="8"/>
  <c r="S35" i="8"/>
  <c r="S38" i="8"/>
  <c r="S39" i="8"/>
  <c r="V239" i="8"/>
  <c r="U230" i="8"/>
  <c r="BX230" i="8" s="1"/>
  <c r="BX231" i="8" s="1"/>
  <c r="BI145" i="8"/>
  <c r="AN138" i="8"/>
  <c r="AZ154" i="8"/>
  <c r="AZ157" i="8"/>
  <c r="BD162" i="8" s="1"/>
  <c r="AI322" i="8"/>
  <c r="AI324" i="8" s="1"/>
  <c r="AI500" i="8"/>
  <c r="D315" i="8"/>
  <c r="AR77" i="8"/>
  <c r="AR70" i="8"/>
  <c r="S153" i="8"/>
  <c r="S193" i="8"/>
  <c r="BL445" i="8"/>
  <c r="BP445" i="8"/>
  <c r="AB347" i="8"/>
  <c r="AC343" i="8"/>
  <c r="AU418" i="8"/>
  <c r="AU356" i="8" s="1"/>
  <c r="AU319" i="8"/>
  <c r="AU354" i="8"/>
  <c r="BS447" i="8"/>
  <c r="BS446" i="8"/>
  <c r="X141" i="8"/>
  <c r="BF138" i="8"/>
  <c r="AL193" i="8"/>
  <c r="AL66" i="8"/>
  <c r="BU224" i="8"/>
  <c r="BU51" i="8"/>
  <c r="BU494" i="8"/>
  <c r="BU575" i="8"/>
  <c r="BU425" i="8"/>
  <c r="BU422" i="8" s="1"/>
  <c r="BU29" i="8"/>
  <c r="BU571" i="8"/>
  <c r="BP364" i="8"/>
  <c r="BP354" i="8"/>
  <c r="BT244" i="8"/>
  <c r="BE354" i="8"/>
  <c r="BE364" i="8"/>
  <c r="BE374" i="8" s="1"/>
  <c r="BP138" i="8"/>
  <c r="BO138" i="8"/>
  <c r="AV354" i="8"/>
  <c r="AV319" i="8"/>
  <c r="AV364" i="8"/>
  <c r="L439" i="8"/>
  <c r="BO193" i="8"/>
  <c r="BT319" i="8"/>
  <c r="BT500" i="8" s="1"/>
  <c r="BA157" i="8"/>
  <c r="BE162" i="8" s="1"/>
  <c r="BB155" i="8"/>
  <c r="BB159" i="8" s="1"/>
  <c r="BC158" i="8"/>
  <c r="AK69" i="8"/>
  <c r="AK77" i="8" s="1"/>
  <c r="BU486" i="8"/>
  <c r="BA315" i="8"/>
  <c r="AK354" i="8"/>
  <c r="BB210" i="8"/>
  <c r="BT57" i="8"/>
  <c r="AG424" i="8"/>
  <c r="AQ459" i="8"/>
  <c r="AQ490" i="8"/>
  <c r="BG423" i="8"/>
  <c r="BD424" i="8"/>
  <c r="AV486" i="8"/>
  <c r="AZ486" i="8"/>
  <c r="BN423" i="8"/>
  <c r="BK424" i="8"/>
  <c r="BJ444" i="8"/>
  <c r="BJ424" i="8"/>
  <c r="BM16" i="8"/>
  <c r="BE105" i="8"/>
  <c r="BE112" i="8"/>
  <c r="BS52" i="8"/>
  <c r="BO52" i="8"/>
  <c r="G384" i="8"/>
  <c r="G442" i="8"/>
  <c r="G309" i="8"/>
  <c r="BD315" i="8"/>
  <c r="BD353" i="8"/>
  <c r="K144" i="8"/>
  <c r="K137" i="8"/>
  <c r="AO138" i="8"/>
  <c r="BA441" i="8"/>
  <c r="BU459" i="8"/>
  <c r="P486" i="8"/>
  <c r="O486" i="8"/>
  <c r="BF503" i="8"/>
  <c r="BF442" i="8"/>
  <c r="BF447" i="8" s="1"/>
  <c r="BF56" i="8"/>
  <c r="BF309" i="8"/>
  <c r="S618" i="8"/>
  <c r="S453" i="8"/>
  <c r="S821" i="8"/>
  <c r="S425" i="8"/>
  <c r="S232" i="8"/>
  <c r="S626" i="8"/>
  <c r="T626" i="8" s="1"/>
  <c r="U626" i="8" s="1"/>
  <c r="V626" i="8" s="1"/>
  <c r="W626" i="8" s="1"/>
  <c r="X626" i="8" s="1"/>
  <c r="Y626" i="8" s="1"/>
  <c r="Z626" i="8" s="1"/>
  <c r="AA626" i="8" s="1"/>
  <c r="AB626" i="8" s="1"/>
  <c r="AC626" i="8" s="1"/>
  <c r="AD626" i="8" s="1"/>
  <c r="S51" i="8"/>
  <c r="S52" i="8" s="1"/>
  <c r="S571" i="8"/>
  <c r="S494" i="8"/>
  <c r="S471" i="8"/>
  <c r="S482" i="8"/>
  <c r="S465" i="8"/>
  <c r="BR38" i="8"/>
  <c r="BR39" i="8"/>
  <c r="BR40" i="8"/>
  <c r="AR384" i="8"/>
  <c r="AR442" i="8"/>
  <c r="AR447" i="8" s="1"/>
  <c r="AR309" i="8"/>
  <c r="AR503" i="8"/>
  <c r="AR497" i="8"/>
  <c r="BM444" i="8"/>
  <c r="BQ439" i="8"/>
  <c r="BN155" i="8"/>
  <c r="BN159" i="8" s="1"/>
  <c r="BS164" i="8" s="1"/>
  <c r="BT211" i="8"/>
  <c r="M442" i="8"/>
  <c r="M447" i="8" s="1"/>
  <c r="AO423" i="8"/>
  <c r="AW52" i="8"/>
  <c r="BK309" i="8"/>
  <c r="AX480" i="8"/>
  <c r="BJ481" i="8"/>
  <c r="BE485" i="8"/>
  <c r="AN452" i="8"/>
  <c r="Q454" i="8"/>
  <c r="Q459" i="8" s="1"/>
  <c r="AH480" i="8"/>
  <c r="BM479" i="8"/>
  <c r="BD452" i="8"/>
  <c r="BL452" i="8"/>
  <c r="BO450" i="8"/>
  <c r="AW382" i="8"/>
  <c r="V262" i="8"/>
  <c r="Q453" i="8"/>
  <c r="AR219" i="8"/>
  <c r="AU450" i="8"/>
  <c r="BO452" i="8"/>
  <c r="AU453" i="8"/>
  <c r="BN424" i="8"/>
  <c r="BI382" i="8"/>
  <c r="BQ136" i="8"/>
  <c r="J454" i="8"/>
  <c r="J490" i="8" s="1"/>
  <c r="AZ454" i="8"/>
  <c r="AZ459" i="8" s="1"/>
  <c r="AF454" i="8"/>
  <c r="BJ434" i="8"/>
  <c r="BJ738" i="8"/>
  <c r="AW485" i="8"/>
  <c r="AS485" i="8"/>
  <c r="AS487" i="8" s="1"/>
  <c r="AG485" i="8"/>
  <c r="AH487" i="8" s="1"/>
  <c r="BL563" i="8"/>
  <c r="BU563" i="8"/>
  <c r="BQ41" i="8"/>
  <c r="BQ228" i="8"/>
  <c r="BK423" i="8"/>
  <c r="BM483" i="8"/>
  <c r="BM490" i="8" s="1"/>
  <c r="N450" i="8"/>
  <c r="AL480" i="8"/>
  <c r="M453" i="8"/>
  <c r="AP481" i="8"/>
  <c r="BK454" i="8"/>
  <c r="BK459" i="8" s="1"/>
  <c r="BA482" i="8"/>
  <c r="BA488" i="8" s="1"/>
  <c r="AR223" i="8"/>
  <c r="BG456" i="8"/>
  <c r="BK457" i="8" s="1"/>
  <c r="BM383" i="8"/>
  <c r="BQ383" i="8"/>
  <c r="BT494" i="8"/>
  <c r="BD494" i="8"/>
  <c r="BI481" i="8"/>
  <c r="AW480" i="8"/>
  <c r="BL471" i="8"/>
  <c r="BJ435" i="8"/>
  <c r="BH195" i="8"/>
  <c r="BH203" i="8" s="1"/>
  <c r="BD195" i="8"/>
  <c r="AZ195" i="8"/>
  <c r="BD29" i="8"/>
  <c r="L540" i="8"/>
  <c r="BI540" i="8"/>
  <c r="BD540" i="8"/>
  <c r="M56" i="8"/>
  <c r="BM439" i="8"/>
  <c r="M309" i="8"/>
  <c r="L486" i="8"/>
  <c r="BA490" i="8"/>
  <c r="K466" i="8"/>
  <c r="AG482" i="8"/>
  <c r="AG488" i="8" s="1"/>
  <c r="BP451" i="8"/>
  <c r="AH481" i="8"/>
  <c r="Q456" i="8"/>
  <c r="Q457" i="8" s="1"/>
  <c r="BN481" i="8"/>
  <c r="M450" i="8"/>
  <c r="BO454" i="8"/>
  <c r="BO483" i="8" s="1"/>
  <c r="BO490" i="8" s="1"/>
  <c r="AY456" i="8"/>
  <c r="AY458" i="8" s="1"/>
  <c r="BC219" i="8"/>
  <c r="BO456" i="8"/>
  <c r="AK383" i="8"/>
  <c r="AO129" i="8"/>
  <c r="BO453" i="8"/>
  <c r="BO497" i="8"/>
  <c r="BF435" i="8"/>
  <c r="BF433" i="8"/>
  <c r="BM136" i="8"/>
  <c r="BD51" i="8"/>
  <c r="S644" i="8"/>
  <c r="BU454" i="8"/>
  <c r="BU483" i="8" s="1"/>
  <c r="BU490" i="8" s="1"/>
  <c r="AN71" i="8"/>
  <c r="AM70" i="8"/>
  <c r="AM77" i="8"/>
  <c r="AP322" i="8"/>
  <c r="AP324" i="8" s="1"/>
  <c r="AP500" i="8"/>
  <c r="S444" i="8"/>
  <c r="S447" i="8" s="1"/>
  <c r="S439" i="8"/>
  <c r="U630" i="8"/>
  <c r="T631" i="8"/>
  <c r="T741" i="8"/>
  <c r="Z141" i="8"/>
  <c r="L419" i="8"/>
  <c r="L373" i="8" s="1"/>
  <c r="AQ354" i="8"/>
  <c r="AR9" i="8"/>
  <c r="AV145" i="8"/>
  <c r="U231" i="8"/>
  <c r="AU65" i="8"/>
  <c r="AM66" i="8"/>
  <c r="AL69" i="8"/>
  <c r="AL77" i="8" s="1"/>
  <c r="AL103" i="8"/>
  <c r="S423" i="8"/>
  <c r="T423" i="8"/>
  <c r="Q56" i="8"/>
  <c r="Q358" i="8"/>
  <c r="Q407" i="8"/>
  <c r="Q384" i="8"/>
  <c r="BP452" i="8"/>
  <c r="AV452" i="8"/>
  <c r="AJ452" i="8"/>
  <c r="BJ446" i="8"/>
  <c r="Q315" i="8"/>
  <c r="Q413" i="8"/>
  <c r="BK56" i="8"/>
  <c r="BL58" i="8" s="1"/>
  <c r="BK442" i="8"/>
  <c r="BK447" i="8" s="1"/>
  <c r="BK384" i="8"/>
  <c r="K462" i="8"/>
  <c r="I453" i="8"/>
  <c r="J450" i="8"/>
  <c r="I454" i="8"/>
  <c r="E454" i="8"/>
  <c r="E450" i="8"/>
  <c r="BW450" i="8"/>
  <c r="BT451" i="8"/>
  <c r="BL451" i="8"/>
  <c r="BK453" i="8"/>
  <c r="BK450" i="8"/>
  <c r="BC454" i="8"/>
  <c r="BC459" i="8" s="1"/>
  <c r="BC450" i="8"/>
  <c r="BC456" i="8"/>
  <c r="AQ453" i="8"/>
  <c r="AQ456" i="8"/>
  <c r="AQ450" i="8"/>
  <c r="AM456" i="8"/>
  <c r="AM452" i="8"/>
  <c r="AI451" i="8"/>
  <c r="AI456" i="8"/>
  <c r="AI452" i="8"/>
  <c r="BQ74" i="8"/>
  <c r="AU148" i="8"/>
  <c r="BK46" i="8"/>
  <c r="AR67" i="8"/>
  <c r="AN67" i="8"/>
  <c r="AM103" i="8"/>
  <c r="AP65" i="8"/>
  <c r="BT246" i="8"/>
  <c r="BT247" i="8" s="1"/>
  <c r="R57" i="8"/>
  <c r="BT468" i="8"/>
  <c r="BT463" i="8"/>
  <c r="BP463" i="8"/>
  <c r="BP468" i="8"/>
  <c r="BH468" i="8"/>
  <c r="BH464" i="8"/>
  <c r="BD465" i="8"/>
  <c r="BD466" i="8"/>
  <c r="BD471" i="8" s="1"/>
  <c r="AJ462" i="8"/>
  <c r="AJ466" i="8"/>
  <c r="AJ471" i="8" s="1"/>
  <c r="AJ464" i="8"/>
  <c r="AJ463" i="8"/>
  <c r="AF466" i="8"/>
  <c r="AF471" i="8" s="1"/>
  <c r="AF468" i="8"/>
  <c r="K453" i="8"/>
  <c r="K579" i="8"/>
  <c r="K821" i="8"/>
  <c r="K575" i="8"/>
  <c r="X74" i="8"/>
  <c r="AQ319" i="8"/>
  <c r="S159" i="8"/>
  <c r="S155" i="8" s="1"/>
  <c r="K65" i="8"/>
  <c r="W527" i="8"/>
  <c r="X527" i="8" s="1"/>
  <c r="Y527" i="8" s="1"/>
  <c r="Z527" i="8" s="1"/>
  <c r="AA527" i="8" s="1"/>
  <c r="AB527" i="8" s="1"/>
  <c r="AC527" i="8" s="1"/>
  <c r="AD527" i="8" s="1"/>
  <c r="BL319" i="8"/>
  <c r="BL500" i="8" s="1"/>
  <c r="BQ564" i="8"/>
  <c r="BH564" i="8"/>
  <c r="Q490" i="8"/>
  <c r="E483" i="8"/>
  <c r="E485" i="8"/>
  <c r="E486" i="8" s="1"/>
  <c r="BW479" i="8"/>
  <c r="BS480" i="8"/>
  <c r="BT480" i="8"/>
  <c r="BO485" i="8"/>
  <c r="BO480" i="8"/>
  <c r="BK483" i="8"/>
  <c r="BK490" i="8" s="1"/>
  <c r="BK480" i="8"/>
  <c r="BG483" i="8"/>
  <c r="BG480" i="8"/>
  <c r="BG485" i="8"/>
  <c r="BG486" i="8" s="1"/>
  <c r="AU481" i="8"/>
  <c r="AU485" i="8"/>
  <c r="AY486" i="8" s="1"/>
  <c r="AU480" i="8"/>
  <c r="AQ479" i="8"/>
  <c r="AQ481" i="8"/>
  <c r="AQ482" i="8"/>
  <c r="AQ488" i="8" s="1"/>
  <c r="AM485" i="8"/>
  <c r="AN481" i="8"/>
  <c r="Q410" i="8"/>
  <c r="AH383" i="8"/>
  <c r="BI181" i="8"/>
  <c r="BF181" i="8"/>
  <c r="R348" i="8"/>
  <c r="Q731" i="8"/>
  <c r="S665" i="8"/>
  <c r="T664" i="8"/>
  <c r="S661" i="8"/>
  <c r="T660" i="8"/>
  <c r="S649" i="8"/>
  <c r="T648" i="8"/>
  <c r="S645" i="8"/>
  <c r="T644" i="8"/>
  <c r="S592" i="8"/>
  <c r="T591" i="8"/>
  <c r="Q579" i="8"/>
  <c r="L563" i="8"/>
  <c r="BO563" i="8"/>
  <c r="BO564" i="8" s="1"/>
  <c r="BG563" i="8"/>
  <c r="BG564" i="8" s="1"/>
  <c r="BD563" i="8"/>
  <c r="BD564" i="8" s="1"/>
  <c r="BR423" i="8"/>
  <c r="S574" i="8"/>
  <c r="S575" i="8"/>
  <c r="T574" i="8"/>
  <c r="M574" i="8"/>
  <c r="BR575" i="8"/>
  <c r="N563" i="8"/>
  <c r="BN563" i="8"/>
  <c r="BN564" i="8" s="1"/>
  <c r="BU540" i="8"/>
  <c r="BU564" i="8" s="1"/>
  <c r="BV540" i="8"/>
  <c r="AU503" i="8"/>
  <c r="AR53" i="8"/>
  <c r="AO480" i="8"/>
  <c r="AN454" i="8"/>
  <c r="BH485" i="8"/>
  <c r="O731" i="8"/>
  <c r="S673" i="8"/>
  <c r="T672" i="8"/>
  <c r="S669" i="8"/>
  <c r="T668" i="8"/>
  <c r="S579" i="8"/>
  <c r="T578" i="8"/>
  <c r="BK563" i="8"/>
  <c r="BK564" i="8" s="1"/>
  <c r="Q575" i="8"/>
  <c r="W262" i="8"/>
  <c r="X262" i="8" s="1"/>
  <c r="CE262" i="8"/>
  <c r="AO485" i="8"/>
  <c r="AK485" i="8"/>
  <c r="AP468" i="8"/>
  <c r="S794" i="8"/>
  <c r="S657" i="8"/>
  <c r="T656" i="8"/>
  <c r="S652" i="8"/>
  <c r="S653" i="8"/>
  <c r="T652" i="8"/>
  <c r="N652" i="8"/>
  <c r="BS653" i="8"/>
  <c r="BG653" i="8"/>
  <c r="BC653" i="8"/>
  <c r="AQ653" i="8"/>
  <c r="BM563" i="8"/>
  <c r="P540" i="8"/>
  <c r="BJ540" i="8"/>
  <c r="BJ564" i="8" s="1"/>
  <c r="BT540" i="8"/>
  <c r="BP540" i="8"/>
  <c r="BU232" i="8"/>
  <c r="U260" i="8"/>
  <c r="U261" i="8" s="1"/>
  <c r="BZ230" i="8"/>
  <c r="BZ231" i="8" s="1"/>
  <c r="T257" i="8"/>
  <c r="S250" i="8"/>
  <c r="S251" i="8" s="1"/>
  <c r="CA230" i="8"/>
  <c r="T231" i="8"/>
  <c r="BU260" i="8"/>
  <c r="S231" i="8"/>
  <c r="M230" i="7"/>
  <c r="M231" i="7" s="1"/>
  <c r="N230" i="7"/>
  <c r="N231" i="7" s="1"/>
  <c r="M72" i="7"/>
  <c r="M224" i="7"/>
  <c r="M150" i="7"/>
  <c r="N65" i="7"/>
  <c r="L224" i="7"/>
  <c r="K224" i="7"/>
  <c r="K150" i="7"/>
  <c r="W537" i="8"/>
  <c r="X537" i="8" s="1"/>
  <c r="Y537" i="8" s="1"/>
  <c r="Z537" i="8" s="1"/>
  <c r="AA537" i="8" s="1"/>
  <c r="AB537" i="8" s="1"/>
  <c r="AC537" i="8" s="1"/>
  <c r="AD537" i="8" s="1"/>
  <c r="AP146" i="8"/>
  <c r="AT145" i="8"/>
  <c r="BG53" i="8"/>
  <c r="AZ441" i="8"/>
  <c r="BU53" i="8"/>
  <c r="BP446" i="8"/>
  <c r="BT52" i="8"/>
  <c r="AR446" i="8"/>
  <c r="BS424" i="8"/>
  <c r="I450" i="8"/>
  <c r="S216" i="8"/>
  <c r="T215" i="8" s="1"/>
  <c r="BW218" i="8"/>
  <c r="BS136" i="8"/>
  <c r="BW129" i="8"/>
  <c r="BW207" i="8"/>
  <c r="BV211" i="8"/>
  <c r="BW211" i="8"/>
  <c r="AI83" i="8"/>
  <c r="AJ148" i="8"/>
  <c r="AJ11" i="8"/>
  <c r="AP145" i="8"/>
  <c r="AO148" i="8"/>
  <c r="BG458" i="8"/>
  <c r="AZ444" i="8"/>
  <c r="AZ445" i="8" s="1"/>
  <c r="AH79" i="8"/>
  <c r="BO445" i="8"/>
  <c r="BS193" i="8"/>
  <c r="I479" i="8"/>
  <c r="S462" i="8"/>
  <c r="R216" i="8"/>
  <c r="BW62" i="8"/>
  <c r="BW481" i="8"/>
  <c r="BW480" i="8"/>
  <c r="BW219" i="8"/>
  <c r="BU132" i="8"/>
  <c r="BW464" i="8"/>
  <c r="BW463" i="8"/>
  <c r="BV65" i="8"/>
  <c r="BV67" i="8" s="1"/>
  <c r="BW63" i="8"/>
  <c r="AV70" i="8"/>
  <c r="BV469" i="8"/>
  <c r="BW470" i="8"/>
  <c r="BV458" i="8"/>
  <c r="AL71" i="8"/>
  <c r="O157" i="8"/>
  <c r="AK71" i="8"/>
  <c r="BG52" i="8"/>
  <c r="BA440" i="8"/>
  <c r="BS445" i="8"/>
  <c r="BT222" i="8"/>
  <c r="BW206" i="8"/>
  <c r="BT129" i="8"/>
  <c r="AP63" i="8"/>
  <c r="BU468" i="8"/>
  <c r="BW452" i="8"/>
  <c r="BW451" i="8"/>
  <c r="BV132" i="8"/>
  <c r="BW130" i="8"/>
  <c r="W239" i="8"/>
  <c r="W230" i="8" s="1"/>
  <c r="W260" i="8" s="1"/>
  <c r="V230" i="8"/>
  <c r="U256" i="8"/>
  <c r="U257" i="8" s="1"/>
  <c r="CD230" i="8"/>
  <c r="CC230" i="8"/>
  <c r="CB230" i="8"/>
  <c r="CB231" i="8" s="1"/>
  <c r="CE230" i="8"/>
  <c r="CE231" i="8" s="1"/>
  <c r="BP126" i="8"/>
  <c r="BK125" i="8"/>
  <c r="M161" i="7"/>
  <c r="AL8" i="8"/>
  <c r="AL11" i="8" s="1"/>
  <c r="AL81" i="8"/>
  <c r="AL82" i="8" s="1"/>
  <c r="AM79" i="8"/>
  <c r="BO8" i="8"/>
  <c r="BO44" i="8" s="1"/>
  <c r="BO289" i="8"/>
  <c r="AZ145" i="8"/>
  <c r="BD145" i="8"/>
  <c r="BH125" i="8"/>
  <c r="BH95" i="8"/>
  <c r="BH113" i="8"/>
  <c r="BL121" i="8" s="1"/>
  <c r="BI126" i="8"/>
  <c r="AM81" i="8"/>
  <c r="BV192" i="8"/>
  <c r="S162" i="8"/>
  <c r="S623" i="8"/>
  <c r="T623" i="8" s="1"/>
  <c r="U623" i="8" s="1"/>
  <c r="V623" i="8" s="1"/>
  <c r="W623" i="8" s="1"/>
  <c r="X623" i="8" s="1"/>
  <c r="Q193" i="8"/>
  <c r="AJ146" i="8"/>
  <c r="AK146" i="8"/>
  <c r="AJ81" i="8"/>
  <c r="AN82" i="8" s="1"/>
  <c r="AP9" i="8"/>
  <c r="R627" i="8"/>
  <c r="AL70" i="8"/>
  <c r="BS182" i="8"/>
  <c r="BI148" i="8"/>
  <c r="BC490" i="8"/>
  <c r="BN41" i="8"/>
  <c r="BU52" i="8"/>
  <c r="BL446" i="8"/>
  <c r="BL447" i="8"/>
  <c r="AK374" i="8"/>
  <c r="R41" i="8"/>
  <c r="S486" i="8"/>
  <c r="AL439" i="8"/>
  <c r="BB469" i="8"/>
  <c r="Q485" i="8"/>
  <c r="M485" i="8"/>
  <c r="I485" i="8"/>
  <c r="BJ485" i="8"/>
  <c r="BF485" i="8"/>
  <c r="BF486" i="8" s="1"/>
  <c r="AX485" i="8"/>
  <c r="AX487" i="8" s="1"/>
  <c r="AT485" i="8"/>
  <c r="AP485" i="8"/>
  <c r="AL485" i="8"/>
  <c r="R468" i="8"/>
  <c r="J468" i="8"/>
  <c r="BS468" i="8"/>
  <c r="BG468" i="8"/>
  <c r="BC468" i="8"/>
  <c r="AY468" i="8"/>
  <c r="AY470" i="8" s="1"/>
  <c r="AU468" i="8"/>
  <c r="AQ468" i="8"/>
  <c r="AM468" i="8"/>
  <c r="AI468" i="8"/>
  <c r="AJ470" i="8" s="1"/>
  <c r="S456" i="8"/>
  <c r="O456" i="8"/>
  <c r="BT456" i="8"/>
  <c r="BU458" i="8" s="1"/>
  <c r="BP456" i="8"/>
  <c r="BD456" i="8"/>
  <c r="AZ456" i="8"/>
  <c r="AV456" i="8"/>
  <c r="AW458" i="8" s="1"/>
  <c r="AR456" i="8"/>
  <c r="AS458" i="8" s="1"/>
  <c r="AJ456" i="8"/>
  <c r="AF456" i="8"/>
  <c r="AG458" i="8" s="1"/>
  <c r="BS383" i="8"/>
  <c r="AJ382" i="8"/>
  <c r="P222" i="8"/>
  <c r="AQ223" i="8"/>
  <c r="S218" i="8"/>
  <c r="N218" i="8"/>
  <c r="BF219" i="8"/>
  <c r="AR218" i="8"/>
  <c r="AP219" i="8"/>
  <c r="BI63" i="8"/>
  <c r="BA46" i="8"/>
  <c r="BH45" i="8"/>
  <c r="BJ453" i="8"/>
  <c r="BE540" i="8"/>
  <c r="BF540" i="8"/>
  <c r="O457" i="8"/>
  <c r="BF469" i="8"/>
  <c r="BF462" i="8"/>
  <c r="AL451" i="8"/>
  <c r="F439" i="8"/>
  <c r="BC195" i="8"/>
  <c r="BI124" i="8"/>
  <c r="AZ38" i="8"/>
  <c r="AY466" i="8"/>
  <c r="AY482" i="8"/>
  <c r="AY488" i="8" s="1"/>
  <c r="AG503" i="8"/>
  <c r="CB73" i="8"/>
  <c r="Z73" i="8"/>
  <c r="Y74" i="8"/>
  <c r="U741" i="8"/>
  <c r="V630" i="8"/>
  <c r="U631" i="8"/>
  <c r="BU155" i="8"/>
  <c r="BU159" i="8" s="1"/>
  <c r="BU164" i="8" s="1"/>
  <c r="BU158" i="8"/>
  <c r="BU163" i="8" s="1"/>
  <c r="BV154" i="8"/>
  <c r="BV488" i="8"/>
  <c r="P423" i="8"/>
  <c r="Q423" i="8"/>
  <c r="P444" i="8"/>
  <c r="P445" i="8" s="1"/>
  <c r="S34" i="8"/>
  <c r="S46" i="8"/>
  <c r="S40" i="8"/>
  <c r="BO33" i="8"/>
  <c r="BO39" i="8"/>
  <c r="BO41" i="8" s="1"/>
  <c r="BD33" i="8"/>
  <c r="BD39" i="8"/>
  <c r="AY441" i="8"/>
  <c r="AX439" i="8"/>
  <c r="AY440" i="8"/>
  <c r="AX441" i="8"/>
  <c r="AX444" i="8"/>
  <c r="AX440" i="8"/>
  <c r="N618" i="8"/>
  <c r="N626" i="8"/>
  <c r="N29" i="8"/>
  <c r="N517" i="8"/>
  <c r="N307" i="8"/>
  <c r="N442" i="8" s="1"/>
  <c r="N447" i="8" s="1"/>
  <c r="N575" i="8"/>
  <c r="N465" i="8"/>
  <c r="N821" i="8"/>
  <c r="N494" i="8"/>
  <c r="N425" i="8"/>
  <c r="N416" i="8"/>
  <c r="N579" i="8"/>
  <c r="N488" i="8"/>
  <c r="N453" i="8"/>
  <c r="N224" i="8"/>
  <c r="N51" i="8"/>
  <c r="BL578" i="8"/>
  <c r="BL579" i="8"/>
  <c r="AM82" i="8"/>
  <c r="BV425" i="8"/>
  <c r="BV422" i="8" s="1"/>
  <c r="BV482" i="8"/>
  <c r="BV51" i="8"/>
  <c r="R153" i="8"/>
  <c r="BI146" i="8"/>
  <c r="BB146" i="8"/>
  <c r="AY65" i="8"/>
  <c r="AY103" i="8" s="1"/>
  <c r="AU193" i="8"/>
  <c r="BC354" i="8"/>
  <c r="BC364" i="8"/>
  <c r="BC374" i="8" s="1"/>
  <c r="BC319" i="8"/>
  <c r="BC322" i="8" s="1"/>
  <c r="BC324" i="8" s="1"/>
  <c r="BC717" i="8" s="1"/>
  <c r="BQ319" i="8"/>
  <c r="BQ364" i="8"/>
  <c r="BQ354" i="8"/>
  <c r="BD10" i="8"/>
  <c r="BD16" i="8" s="1"/>
  <c r="BH210" i="8"/>
  <c r="BD210" i="8"/>
  <c r="BQ210" i="8"/>
  <c r="BQ211" i="8"/>
  <c r="BQ353" i="8"/>
  <c r="BU33" i="8"/>
  <c r="BU39" i="8"/>
  <c r="W675" i="8"/>
  <c r="U728" i="8"/>
  <c r="U731" i="8" s="1"/>
  <c r="U727" i="8" s="1"/>
  <c r="AK365" i="8"/>
  <c r="AK736" i="8"/>
  <c r="AK355" i="8"/>
  <c r="AM355" i="8"/>
  <c r="AM736" i="8"/>
  <c r="AM717" i="8"/>
  <c r="BP57" i="8"/>
  <c r="BL322" i="8"/>
  <c r="AT364" i="8"/>
  <c r="AT319" i="8"/>
  <c r="AT418" i="8"/>
  <c r="AT356" i="8" s="1"/>
  <c r="AJ315" i="8"/>
  <c r="AJ353" i="8"/>
  <c r="BF315" i="8"/>
  <c r="BF353" i="8"/>
  <c r="AO315" i="8"/>
  <c r="AO353" i="8"/>
  <c r="AX138" i="8"/>
  <c r="AW144" i="8"/>
  <c r="AX211" i="8"/>
  <c r="AX10" i="8"/>
  <c r="BA146" i="8"/>
  <c r="AZ148" i="8"/>
  <c r="BA150" i="8" s="1"/>
  <c r="AZ9" i="8"/>
  <c r="BD15" i="8" s="1"/>
  <c r="BK315" i="8"/>
  <c r="BK353" i="8"/>
  <c r="AK211" i="8"/>
  <c r="AL211" i="8"/>
  <c r="AK10" i="8"/>
  <c r="AP211" i="8"/>
  <c r="AO210" i="8"/>
  <c r="AO10" i="8"/>
  <c r="O4" i="8"/>
  <c r="N5" i="8"/>
  <c r="G52" i="8"/>
  <c r="H52" i="8"/>
  <c r="AO67" i="8"/>
  <c r="AO103" i="8"/>
  <c r="AS65" i="8"/>
  <c r="AO193" i="8"/>
  <c r="AO69" i="8"/>
  <c r="AH717" i="8"/>
  <c r="AH736" i="8"/>
  <c r="AH365" i="8"/>
  <c r="BP58" i="8"/>
  <c r="BQ58" i="8"/>
  <c r="BP46" i="8"/>
  <c r="BT16" i="8"/>
  <c r="AY10" i="8"/>
  <c r="AY211" i="8"/>
  <c r="O34" i="8"/>
  <c r="P34" i="8"/>
  <c r="O40" i="8"/>
  <c r="O46" i="8"/>
  <c r="Q39" i="8"/>
  <c r="Q41" i="8" s="1"/>
  <c r="Q45" i="8"/>
  <c r="Q33" i="8"/>
  <c r="R33" i="8"/>
  <c r="BH33" i="8"/>
  <c r="BH39" i="8"/>
  <c r="BH41" i="8" s="1"/>
  <c r="AP738" i="8"/>
  <c r="AP434" i="8"/>
  <c r="AP435" i="8"/>
  <c r="AP422" i="8"/>
  <c r="AP425" i="8"/>
  <c r="AP433" i="8"/>
  <c r="BJ579" i="8"/>
  <c r="BF626" i="8"/>
  <c r="BJ29" i="8"/>
  <c r="BJ465" i="8"/>
  <c r="BF618" i="8"/>
  <c r="BJ307" i="8"/>
  <c r="BJ224" i="8"/>
  <c r="BJ51" i="8"/>
  <c r="BJ416" i="8"/>
  <c r="BJ482" i="8"/>
  <c r="BJ488" i="8" s="1"/>
  <c r="BJ425" i="8"/>
  <c r="BJ494" i="8"/>
  <c r="BJ571" i="8"/>
  <c r="BP579" i="8"/>
  <c r="BP578" i="8"/>
  <c r="K540" i="8"/>
  <c r="K822" i="8"/>
  <c r="BD822" i="8"/>
  <c r="BI113" i="8"/>
  <c r="BY75" i="8"/>
  <c r="CB194" i="8"/>
  <c r="AQ364" i="8"/>
  <c r="AQ419" i="8" s="1"/>
  <c r="AQ373" i="8" s="1"/>
  <c r="S445" i="8"/>
  <c r="X239" i="8"/>
  <c r="R162" i="8"/>
  <c r="S181" i="8"/>
  <c r="BD45" i="8"/>
  <c r="BT155" i="8"/>
  <c r="BT159" i="8" s="1"/>
  <c r="BT164" i="8" s="1"/>
  <c r="AZ211" i="8"/>
  <c r="L65" i="8"/>
  <c r="AV67" i="8"/>
  <c r="BE211" i="8"/>
  <c r="S457" i="8"/>
  <c r="R459" i="8"/>
  <c r="R457" i="8"/>
  <c r="BJ459" i="8"/>
  <c r="L319" i="8"/>
  <c r="AL446" i="8"/>
  <c r="BT564" i="8"/>
  <c r="BT445" i="8"/>
  <c r="BT446" i="8"/>
  <c r="E500" i="8"/>
  <c r="E322" i="8"/>
  <c r="AX315" i="8"/>
  <c r="AX353" i="8"/>
  <c r="AJ497" i="8"/>
  <c r="AJ503" i="8"/>
  <c r="AJ384" i="8"/>
  <c r="AJ442" i="8"/>
  <c r="AJ447" i="8" s="1"/>
  <c r="AJ56" i="8"/>
  <c r="AH53" i="8"/>
  <c r="AL52" i="8"/>
  <c r="AI53" i="8"/>
  <c r="BD459" i="8"/>
  <c r="BD490" i="8"/>
  <c r="BI40" i="8"/>
  <c r="BI41" i="8" s="1"/>
  <c r="BF440" i="8"/>
  <c r="BJ439" i="8"/>
  <c r="BF444" i="8"/>
  <c r="AF459" i="8"/>
  <c r="AF490" i="8"/>
  <c r="BV307" i="8"/>
  <c r="S210" i="8"/>
  <c r="R10" i="8"/>
  <c r="BM457" i="8"/>
  <c r="BM459" i="8"/>
  <c r="AM370" i="8"/>
  <c r="AM368" i="8"/>
  <c r="AM375" i="8"/>
  <c r="BU488" i="8"/>
  <c r="BU487" i="8"/>
  <c r="Q15" i="8"/>
  <c r="BM34" i="8"/>
  <c r="BM46" i="8"/>
  <c r="BE34" i="8"/>
  <c r="BE40" i="8"/>
  <c r="BE41" i="8" s="1"/>
  <c r="BS33" i="8"/>
  <c r="BS39" i="8"/>
  <c r="BL39" i="8"/>
  <c r="BL41" i="8" s="1"/>
  <c r="BP33" i="8"/>
  <c r="BL33" i="8"/>
  <c r="AZ39" i="8"/>
  <c r="AZ45" i="8"/>
  <c r="Q439" i="8"/>
  <c r="Q444" i="8"/>
  <c r="Q445" i="8" s="1"/>
  <c r="N454" i="8"/>
  <c r="N459" i="8" s="1"/>
  <c r="N820" i="8"/>
  <c r="N653" i="8"/>
  <c r="N466" i="8"/>
  <c r="N471" i="8" s="1"/>
  <c r="N483" i="8"/>
  <c r="N438" i="8"/>
  <c r="BB438" i="8"/>
  <c r="BC441" i="8" s="1"/>
  <c r="BB466" i="8"/>
  <c r="BB471" i="8" s="1"/>
  <c r="BB442" i="8"/>
  <c r="BB447" i="8" s="1"/>
  <c r="BB454" i="8"/>
  <c r="BB459" i="8" s="1"/>
  <c r="BB483" i="8"/>
  <c r="BB315" i="8"/>
  <c r="AJ439" i="8"/>
  <c r="AF444" i="8"/>
  <c r="AJ445" i="8" s="1"/>
  <c r="H56" i="8"/>
  <c r="H442" i="8"/>
  <c r="H384" i="8"/>
  <c r="H309" i="8"/>
  <c r="H358" i="8"/>
  <c r="H373" i="8"/>
  <c r="BT578" i="8"/>
  <c r="BT579" i="8"/>
  <c r="Q656" i="8"/>
  <c r="P657" i="8"/>
  <c r="P656" i="8"/>
  <c r="Q644" i="8"/>
  <c r="R644" i="8"/>
  <c r="O540" i="8"/>
  <c r="O564" i="8" s="1"/>
  <c r="O822" i="8"/>
  <c r="AM83" i="8"/>
  <c r="AX210" i="8"/>
  <c r="W629" i="8"/>
  <c r="BV416" i="8"/>
  <c r="AU374" i="8"/>
  <c r="R447" i="8"/>
  <c r="BN458" i="8"/>
  <c r="BV471" i="8"/>
  <c r="BV459" i="8"/>
  <c r="BV454" i="8"/>
  <c r="BV483" i="8" s="1"/>
  <c r="BV490" i="8" s="1"/>
  <c r="BV10" i="8"/>
  <c r="BR626" i="8"/>
  <c r="R192" i="8"/>
  <c r="BI16" i="8"/>
  <c r="BH145" i="8"/>
  <c r="AV146" i="8"/>
  <c r="AN469" i="8"/>
  <c r="AR469" i="8"/>
  <c r="AN470" i="8"/>
  <c r="BO469" i="8"/>
  <c r="BK470" i="8"/>
  <c r="BL470" i="8"/>
  <c r="BB653" i="8"/>
  <c r="BF564" i="8"/>
  <c r="BM540" i="8"/>
  <c r="BM564" i="8" s="1"/>
  <c r="AH500" i="8"/>
  <c r="AN353" i="8"/>
  <c r="AN315" i="8"/>
  <c r="AF503" i="8"/>
  <c r="AF497" i="8"/>
  <c r="AF56" i="8"/>
  <c r="AF442" i="8"/>
  <c r="AF447" i="8" s="1"/>
  <c r="AF309" i="8"/>
  <c r="AJ459" i="8"/>
  <c r="AJ490" i="8"/>
  <c r="AN458" i="8"/>
  <c r="AN457" i="8"/>
  <c r="L822" i="8"/>
  <c r="BK112" i="8"/>
  <c r="BK105" i="8"/>
  <c r="BK116" i="8" s="1"/>
  <c r="BK123" i="8" s="1"/>
  <c r="BK126" i="8"/>
  <c r="BG444" i="8"/>
  <c r="BG446" i="8" s="1"/>
  <c r="BG439" i="8"/>
  <c r="BH441" i="8"/>
  <c r="BG441" i="8"/>
  <c r="BK439" i="8"/>
  <c r="BH440" i="8"/>
  <c r="BG440" i="8"/>
  <c r="AG144" i="8"/>
  <c r="AH146" i="8" s="1"/>
  <c r="AK137" i="8"/>
  <c r="AG138" i="8"/>
  <c r="BH469" i="8"/>
  <c r="BD470" i="8"/>
  <c r="AT52" i="8"/>
  <c r="AX52" i="8"/>
  <c r="BT374" i="8"/>
  <c r="BK40" i="8"/>
  <c r="BU457" i="8"/>
  <c r="AK471" i="8"/>
  <c r="AK490" i="8"/>
  <c r="AS442" i="8"/>
  <c r="AS447" i="8" s="1"/>
  <c r="AS384" i="8"/>
  <c r="AS309" i="8"/>
  <c r="BE52" i="8"/>
  <c r="BA53" i="8"/>
  <c r="R439" i="8"/>
  <c r="BE424" i="8"/>
  <c r="BE444" i="8"/>
  <c r="BI423" i="8"/>
  <c r="BT424" i="8"/>
  <c r="BT423" i="8"/>
  <c r="AP458" i="8"/>
  <c r="BJ471" i="8"/>
  <c r="BC444" i="8"/>
  <c r="BC439" i="8"/>
  <c r="C56" i="8"/>
  <c r="C384" i="8"/>
  <c r="C309" i="8"/>
  <c r="BE439" i="8"/>
  <c r="BA444" i="8"/>
  <c r="AN486" i="8"/>
  <c r="AR486" i="8"/>
  <c r="AP56" i="8"/>
  <c r="AP442" i="8"/>
  <c r="AP447" i="8" s="1"/>
  <c r="AP503" i="8"/>
  <c r="R207" i="8"/>
  <c r="R309" i="8"/>
  <c r="R442" i="8"/>
  <c r="R358" i="8"/>
  <c r="R497" i="8"/>
  <c r="BN457" i="8"/>
  <c r="BK458" i="8"/>
  <c r="BJ458" i="8"/>
  <c r="Q540" i="8"/>
  <c r="Q564" i="8" s="1"/>
  <c r="Q822" i="8"/>
  <c r="AK503" i="8"/>
  <c r="AK442" i="8"/>
  <c r="AK447" i="8" s="1"/>
  <c r="AK384" i="8"/>
  <c r="AK56" i="8"/>
  <c r="BM309" i="8"/>
  <c r="BM384" i="8"/>
  <c r="BM503" i="8"/>
  <c r="BM442" i="8"/>
  <c r="BM56" i="8"/>
  <c r="BM497" i="8"/>
  <c r="AW439" i="8"/>
  <c r="AS441" i="8"/>
  <c r="AT441" i="8"/>
  <c r="AS439" i="8"/>
  <c r="AS444" i="8"/>
  <c r="BP319" i="8"/>
  <c r="BL374" i="8"/>
  <c r="BK445" i="8"/>
  <c r="BH52" i="8"/>
  <c r="BI54" i="8"/>
  <c r="AH444" i="8"/>
  <c r="AL445" i="8" s="1"/>
  <c r="AH424" i="8"/>
  <c r="BA486" i="8"/>
  <c r="BA487" i="8"/>
  <c r="BI490" i="8"/>
  <c r="AQ53" i="8"/>
  <c r="AP52" i="8"/>
  <c r="AT424" i="8"/>
  <c r="AW423" i="8"/>
  <c r="AS423" i="8"/>
  <c r="O410" i="8"/>
  <c r="O315" i="8"/>
  <c r="O353" i="8"/>
  <c r="O411" i="8"/>
  <c r="O413" i="8"/>
  <c r="AG487" i="8"/>
  <c r="AJ486" i="8"/>
  <c r="AY309" i="8"/>
  <c r="AY315" i="8" s="1"/>
  <c r="AY384" i="8"/>
  <c r="AY503" i="8"/>
  <c r="AY497" i="8"/>
  <c r="BD53" i="8"/>
  <c r="BC52" i="8"/>
  <c r="BF40" i="8"/>
  <c r="BF35" i="8"/>
  <c r="BF38" i="8"/>
  <c r="AO457" i="8"/>
  <c r="AO458" i="8"/>
  <c r="AW470" i="8"/>
  <c r="AV469" i="8"/>
  <c r="BS486" i="8"/>
  <c r="BS488" i="8"/>
  <c r="BR309" i="8"/>
  <c r="BR442" i="8"/>
  <c r="BR497" i="8"/>
  <c r="BR227" i="8"/>
  <c r="BR503" i="8"/>
  <c r="BN469" i="8"/>
  <c r="BJ469" i="8"/>
  <c r="BC458" i="8"/>
  <c r="BC457" i="8"/>
  <c r="BG457" i="8"/>
  <c r="BS450" i="8"/>
  <c r="BS454" i="8"/>
  <c r="BS483" i="8" s="1"/>
  <c r="BS490" i="8" s="1"/>
  <c r="BS456" i="8"/>
  <c r="BW457" i="8" s="1"/>
  <c r="BS451" i="8"/>
  <c r="BS452" i="8"/>
  <c r="BT452" i="8"/>
  <c r="M486" i="8"/>
  <c r="N486" i="8"/>
  <c r="J486" i="8"/>
  <c r="I486" i="8"/>
  <c r="BG487" i="8"/>
  <c r="BF487" i="8"/>
  <c r="AX486" i="8"/>
  <c r="AY487" i="8"/>
  <c r="AT486" i="8"/>
  <c r="AT487" i="8"/>
  <c r="AP487" i="8"/>
  <c r="AQ487" i="8"/>
  <c r="BS471" i="8"/>
  <c r="BT470" i="8"/>
  <c r="BS470" i="8"/>
  <c r="BC470" i="8"/>
  <c r="AY469" i="8"/>
  <c r="AZ470" i="8"/>
  <c r="BT459" i="8"/>
  <c r="BT457" i="8"/>
  <c r="BD457" i="8"/>
  <c r="BE458" i="8"/>
  <c r="AV458" i="8"/>
  <c r="AV457" i="8"/>
  <c r="AR458" i="8"/>
  <c r="AR457" i="8"/>
  <c r="O412" i="8"/>
  <c r="P400" i="8"/>
  <c r="O406" i="8"/>
  <c r="D382" i="8"/>
  <c r="E382" i="8"/>
  <c r="BN382" i="8"/>
  <c r="BN383" i="8"/>
  <c r="BO383" i="8"/>
  <c r="BJ382" i="8"/>
  <c r="BJ383" i="8"/>
  <c r="BK383" i="8"/>
  <c r="BF383" i="8"/>
  <c r="BF382" i="8"/>
  <c r="BG383" i="8"/>
  <c r="BB382" i="8"/>
  <c r="BB383" i="8"/>
  <c r="AX383" i="8"/>
  <c r="AY383" i="8"/>
  <c r="AT383" i="8"/>
  <c r="AT382" i="8"/>
  <c r="AU383" i="8"/>
  <c r="AP383" i="8"/>
  <c r="AQ383" i="8"/>
  <c r="AL382" i="8"/>
  <c r="AM383" i="8"/>
  <c r="BR269" i="8"/>
  <c r="BR271" i="8" s="1"/>
  <c r="BF222" i="8"/>
  <c r="BF223" i="8"/>
  <c r="BJ222" i="8"/>
  <c r="BF224" i="8"/>
  <c r="AX222" i="8"/>
  <c r="AX223" i="8"/>
  <c r="AT222" i="8"/>
  <c r="AT224" i="8"/>
  <c r="BR218" i="8"/>
  <c r="BS219" i="8"/>
  <c r="BR219" i="8"/>
  <c r="H206" i="8"/>
  <c r="I206" i="8"/>
  <c r="D206" i="8"/>
  <c r="E206" i="8"/>
  <c r="BR209" i="8"/>
  <c r="BS207" i="8"/>
  <c r="BR206" i="8"/>
  <c r="BN209" i="8"/>
  <c r="BN206" i="8"/>
  <c r="BJ209" i="8"/>
  <c r="BK207" i="8"/>
  <c r="BJ206" i="8"/>
  <c r="BG209" i="8"/>
  <c r="BK206" i="8"/>
  <c r="BG207" i="8"/>
  <c r="BH207" i="8"/>
  <c r="BC209" i="8"/>
  <c r="BC207" i="8"/>
  <c r="AY206" i="8"/>
  <c r="AZ207" i="8"/>
  <c r="AY207" i="8"/>
  <c r="AU207" i="8"/>
  <c r="AU209" i="8"/>
  <c r="AV207" i="8"/>
  <c r="AQ209" i="8"/>
  <c r="AR207" i="8"/>
  <c r="AQ207" i="8"/>
  <c r="AQ206" i="8"/>
  <c r="BK136" i="8"/>
  <c r="BO129" i="8"/>
  <c r="BK129" i="8"/>
  <c r="BL130" i="8"/>
  <c r="BK130" i="8"/>
  <c r="BG136" i="8"/>
  <c r="BG129" i="8"/>
  <c r="BG130" i="8"/>
  <c r="BC136" i="8"/>
  <c r="BC129" i="8"/>
  <c r="BC130" i="8"/>
  <c r="BD130" i="8"/>
  <c r="AY136" i="8"/>
  <c r="AY129" i="8"/>
  <c r="AZ130" i="8"/>
  <c r="AY130" i="8"/>
  <c r="AM129" i="8"/>
  <c r="AM130" i="8"/>
  <c r="AN130" i="8"/>
  <c r="H69" i="8"/>
  <c r="I62" i="8"/>
  <c r="BR63" i="8"/>
  <c r="BQ63" i="8"/>
  <c r="BQ69" i="8"/>
  <c r="BQ102" i="8"/>
  <c r="BN63" i="8"/>
  <c r="BM102" i="8"/>
  <c r="BM63" i="8"/>
  <c r="BF62" i="8"/>
  <c r="BJ62" i="8"/>
  <c r="BB62" i="8"/>
  <c r="BC63" i="8"/>
  <c r="BB63" i="8"/>
  <c r="BT322" i="8"/>
  <c r="AP364" i="8"/>
  <c r="BQ618" i="8"/>
  <c r="BP374" i="8"/>
  <c r="BL540" i="8"/>
  <c r="BL564" i="8" s="1"/>
  <c r="S41" i="8"/>
  <c r="BC487" i="8"/>
  <c r="BE486" i="8"/>
  <c r="AT459" i="8"/>
  <c r="AT490" i="8"/>
  <c r="BF52" i="8"/>
  <c r="BB53" i="8"/>
  <c r="BP38" i="8"/>
  <c r="BP39" i="8"/>
  <c r="K564" i="8"/>
  <c r="BS38" i="8"/>
  <c r="BS35" i="8"/>
  <c r="BS40" i="8"/>
  <c r="BD458" i="8"/>
  <c r="AV487" i="8"/>
  <c r="AU486" i="8"/>
  <c r="AU487" i="8"/>
  <c r="AX490" i="8"/>
  <c r="BN497" i="8"/>
  <c r="BN309" i="8"/>
  <c r="BN442" i="8"/>
  <c r="BN227" i="8"/>
  <c r="BN56" i="8"/>
  <c r="K471" i="8"/>
  <c r="K490" i="8"/>
  <c r="BN488" i="8"/>
  <c r="BN487" i="8"/>
  <c r="BO471" i="8"/>
  <c r="BP470" i="8"/>
  <c r="BO470" i="8"/>
  <c r="S614" i="8"/>
  <c r="S619" i="8" s="1"/>
  <c r="T619" i="8" s="1"/>
  <c r="U619" i="8" s="1"/>
  <c r="V619" i="8" s="1"/>
  <c r="W619" i="8" s="1"/>
  <c r="R619" i="8"/>
  <c r="AI458" i="8"/>
  <c r="AH458" i="8"/>
  <c r="BS53" i="8"/>
  <c r="BS54" i="8"/>
  <c r="BP564" i="8"/>
  <c r="M45" i="8"/>
  <c r="BO315" i="8"/>
  <c r="BF441" i="8"/>
  <c r="AZ41" i="8"/>
  <c r="J439" i="8"/>
  <c r="AI464" i="8"/>
  <c r="AI463" i="8"/>
  <c r="L454" i="8"/>
  <c r="L450" i="8"/>
  <c r="AJ219" i="8"/>
  <c r="AM218" i="8"/>
  <c r="AI219" i="8"/>
  <c r="BL162" i="8"/>
  <c r="BL193" i="8"/>
  <c r="BN141" i="8"/>
  <c r="BN194" i="8"/>
  <c r="BN195" i="8" s="1"/>
  <c r="BN142" i="8"/>
  <c r="BO140" i="8"/>
  <c r="O62" i="8"/>
  <c r="P62" i="8"/>
  <c r="AW102" i="8"/>
  <c r="BA126" i="8" s="1"/>
  <c r="AW63" i="8"/>
  <c r="AW62" i="8"/>
  <c r="AX63" i="8"/>
  <c r="BA62" i="8"/>
  <c r="AS102" i="8"/>
  <c r="AT63" i="8"/>
  <c r="AS62" i="8"/>
  <c r="AU422" i="8"/>
  <c r="AU434" i="8"/>
  <c r="AU435" i="8"/>
  <c r="BP439" i="8"/>
  <c r="AM438" i="8"/>
  <c r="AM483" i="8"/>
  <c r="AM454" i="8"/>
  <c r="AM459" i="8" s="1"/>
  <c r="AI653" i="8"/>
  <c r="AI454" i="8"/>
  <c r="AI459" i="8" s="1"/>
  <c r="AI438" i="8"/>
  <c r="BM571" i="8"/>
  <c r="BM51" i="8"/>
  <c r="BI618" i="8"/>
  <c r="BM425" i="8"/>
  <c r="AO51" i="8"/>
  <c r="AO29" i="8"/>
  <c r="AO482" i="8"/>
  <c r="AO488" i="8" s="1"/>
  <c r="J575" i="8"/>
  <c r="J821" i="8"/>
  <c r="J465" i="8"/>
  <c r="J29" i="8"/>
  <c r="J307" i="8"/>
  <c r="J453" i="8"/>
  <c r="J51" i="8"/>
  <c r="N731" i="8"/>
  <c r="J579" i="8"/>
  <c r="J578" i="8"/>
  <c r="BI563" i="8"/>
  <c r="BI564" i="8" s="1"/>
  <c r="BH446" i="8"/>
  <c r="C490" i="8"/>
  <c r="P457" i="8"/>
  <c r="F468" i="8"/>
  <c r="F466" i="8"/>
  <c r="F490" i="8" s="1"/>
  <c r="BP465" i="8"/>
  <c r="BP466" i="8"/>
  <c r="BP483" i="8" s="1"/>
  <c r="BP490" i="8" s="1"/>
  <c r="BL465" i="8"/>
  <c r="BL466" i="8"/>
  <c r="BA456" i="8"/>
  <c r="BE457" i="8" s="1"/>
  <c r="BA453" i="8"/>
  <c r="AO454" i="8"/>
  <c r="AO452" i="8"/>
  <c r="AG451" i="8"/>
  <c r="AG454" i="8"/>
  <c r="AH451" i="8"/>
  <c r="BK441" i="8"/>
  <c r="AS136" i="8"/>
  <c r="AW137" i="8" s="1"/>
  <c r="AS129" i="8"/>
  <c r="BB738" i="8"/>
  <c r="BB435" i="8"/>
  <c r="BB422" i="8"/>
  <c r="BB433" i="8"/>
  <c r="AX738" i="8"/>
  <c r="AX433" i="8"/>
  <c r="AX434" i="8"/>
  <c r="BL441" i="8"/>
  <c r="F307" i="8"/>
  <c r="F626" i="8"/>
  <c r="BL626" i="8"/>
  <c r="AR29" i="8"/>
  <c r="AR453" i="8"/>
  <c r="N660" i="8"/>
  <c r="AY653" i="8"/>
  <c r="O591" i="8"/>
  <c r="N592" i="8"/>
  <c r="N578" i="8"/>
  <c r="M579" i="8"/>
  <c r="M578" i="8"/>
  <c r="R563" i="8"/>
  <c r="R564" i="8" s="1"/>
  <c r="BN9" i="8"/>
  <c r="BN45" i="8" s="1"/>
  <c r="BQ57" i="8"/>
  <c r="P490" i="8"/>
  <c r="I11" i="8"/>
  <c r="H469" i="8"/>
  <c r="BQ458" i="8"/>
  <c r="BA40" i="8"/>
  <c r="BA41" i="8" s="1"/>
  <c r="R251" i="8"/>
  <c r="D490" i="8"/>
  <c r="AP483" i="8"/>
  <c r="AP490" i="8" s="1"/>
  <c r="AP480" i="8"/>
  <c r="AM480" i="8"/>
  <c r="AL483" i="8"/>
  <c r="AL490" i="8" s="1"/>
  <c r="BL450" i="8"/>
  <c r="BL454" i="8"/>
  <c r="BL453" i="8"/>
  <c r="BL456" i="8"/>
  <c r="BM458" i="8" s="1"/>
  <c r="BH453" i="8"/>
  <c r="BH454" i="8"/>
  <c r="BH456" i="8"/>
  <c r="BH450" i="8"/>
  <c r="BE452" i="8"/>
  <c r="BE451" i="8"/>
  <c r="AN209" i="8"/>
  <c r="AN207" i="8"/>
  <c r="AO207" i="8"/>
  <c r="BQ183" i="8"/>
  <c r="Q32" i="8"/>
  <c r="R32" i="8"/>
  <c r="BD32" i="8"/>
  <c r="BD38" i="8"/>
  <c r="R435" i="8"/>
  <c r="R738" i="8"/>
  <c r="R433" i="8"/>
  <c r="I738" i="8"/>
  <c r="I434" i="8"/>
  <c r="I422" i="8"/>
  <c r="I433" i="8"/>
  <c r="I435" i="8"/>
  <c r="I425" i="8"/>
  <c r="BQ435" i="8"/>
  <c r="BQ422" i="8"/>
  <c r="BQ703" i="8"/>
  <c r="BQ433" i="8"/>
  <c r="AM434" i="8"/>
  <c r="AM422" i="8"/>
  <c r="AM435" i="8"/>
  <c r="Y346" i="8"/>
  <c r="Y341" i="8"/>
  <c r="Y348" i="8" s="1"/>
  <c r="BR653" i="8"/>
  <c r="BR454" i="8"/>
  <c r="BR483" i="8" s="1"/>
  <c r="BR490" i="8" s="1"/>
  <c r="AU653" i="8"/>
  <c r="AU438" i="8"/>
  <c r="AV441" i="8" s="1"/>
  <c r="AU483" i="8"/>
  <c r="AU490" i="8" s="1"/>
  <c r="AG440" i="8"/>
  <c r="AG441" i="8"/>
  <c r="I51" i="8"/>
  <c r="I52" i="8" s="1"/>
  <c r="I29" i="8"/>
  <c r="I579" i="8"/>
  <c r="I571" i="8"/>
  <c r="I626" i="8"/>
  <c r="I618" i="8"/>
  <c r="I307" i="8"/>
  <c r="E384" i="8"/>
  <c r="E56" i="8"/>
  <c r="BO626" i="8"/>
  <c r="BS575" i="8"/>
  <c r="BS482" i="8"/>
  <c r="BO618" i="8"/>
  <c r="BS307" i="8"/>
  <c r="BS465" i="8"/>
  <c r="BG482" i="8"/>
  <c r="BG488" i="8" s="1"/>
  <c r="BG465" i="8"/>
  <c r="BG29" i="8"/>
  <c r="BG307" i="8"/>
  <c r="BG425" i="8"/>
  <c r="BG579" i="8"/>
  <c r="BG453" i="8"/>
  <c r="S668" i="8"/>
  <c r="O669" i="8"/>
  <c r="P668" i="8"/>
  <c r="O665" i="8"/>
  <c r="O664" i="8"/>
  <c r="I575" i="8"/>
  <c r="N570" i="8"/>
  <c r="N571" i="8"/>
  <c r="Z2" i="4"/>
  <c r="S563" i="8"/>
  <c r="S564" i="8" s="1"/>
  <c r="I563" i="8"/>
  <c r="I564" i="8" s="1"/>
  <c r="BE563" i="8"/>
  <c r="BE564" i="8" s="1"/>
  <c r="N564" i="8"/>
  <c r="BO227" i="8"/>
  <c r="BS494" i="8"/>
  <c r="BR451" i="8"/>
  <c r="I416" i="8"/>
  <c r="BG416" i="8"/>
  <c r="BC416" i="8"/>
  <c r="AY416" i="8"/>
  <c r="AU416" i="8"/>
  <c r="BO575" i="8"/>
  <c r="H563" i="8"/>
  <c r="H564" i="8" s="1"/>
  <c r="BC563" i="8"/>
  <c r="BC564" i="8" s="1"/>
  <c r="BG459" i="8"/>
  <c r="BO89" i="8"/>
  <c r="BO90" i="8" s="1"/>
  <c r="BO117" i="8" s="1"/>
  <c r="BG494" i="8"/>
  <c r="AR466" i="8"/>
  <c r="J459" i="8"/>
  <c r="AY453" i="8"/>
  <c r="BS70" i="8"/>
  <c r="J563" i="8"/>
  <c r="J564" i="8" s="1"/>
  <c r="AY457" i="8"/>
  <c r="BB503" i="8"/>
  <c r="BK503" i="8"/>
  <c r="F494" i="8"/>
  <c r="BE483" i="8"/>
  <c r="BE490" i="8" s="1"/>
  <c r="AU482" i="8"/>
  <c r="AU488" i="8" s="1"/>
  <c r="AI483" i="8"/>
  <c r="AI490" i="8" s="1"/>
  <c r="N468" i="8"/>
  <c r="AO416" i="8"/>
  <c r="AI383" i="8"/>
  <c r="BS218" i="8"/>
  <c r="AR206" i="8"/>
  <c r="BS563" i="8"/>
  <c r="BS564" i="8" s="1"/>
  <c r="AN83" i="8"/>
  <c r="BU210" i="8"/>
  <c r="BU10" i="8"/>
  <c r="V741" i="8"/>
  <c r="V631" i="8"/>
  <c r="BE146" i="8"/>
  <c r="BE145" i="8"/>
  <c r="S631" i="8"/>
  <c r="R181" i="8"/>
  <c r="Q162" i="8"/>
  <c r="AU146" i="8"/>
  <c r="AJ145" i="8"/>
  <c r="AN145" i="8"/>
  <c r="AV11" i="8"/>
  <c r="AM145" i="8"/>
  <c r="AJ83" i="8"/>
  <c r="AZ46" i="8"/>
  <c r="BH148" i="8"/>
  <c r="BB145" i="8"/>
  <c r="BV487" i="8"/>
  <c r="R16" i="8"/>
  <c r="BI9" i="8"/>
  <c r="AO146" i="8"/>
  <c r="BJ137" i="8"/>
  <c r="BE137" i="8"/>
  <c r="R210" i="8"/>
  <c r="BH53" i="8"/>
  <c r="BT483" i="8"/>
  <c r="BT490" i="8" s="1"/>
  <c r="BM41" i="8"/>
  <c r="AH368" i="8"/>
  <c r="Q149" i="8"/>
  <c r="BK38" i="8"/>
  <c r="BU38" i="8"/>
  <c r="AL145" i="8"/>
  <c r="I115" i="8"/>
  <c r="BF92" i="8"/>
  <c r="BT138" i="8"/>
  <c r="P564" i="8"/>
  <c r="BG195" i="8"/>
  <c r="BE195" i="8"/>
  <c r="BL440" i="8"/>
  <c r="O41" i="8"/>
  <c r="AI470" i="8"/>
  <c r="AT53" i="8"/>
  <c r="AG81" i="8"/>
  <c r="AH83" i="8" s="1"/>
  <c r="L564" i="8"/>
  <c r="N195" i="8"/>
  <c r="BL195" i="8"/>
  <c r="BL202" i="8" s="1"/>
  <c r="BL201" i="8" s="1"/>
  <c r="BL181" i="8"/>
  <c r="AV129" i="8"/>
  <c r="BS62" i="8"/>
  <c r="BQ62" i="8"/>
  <c r="BE62" i="8"/>
  <c r="BC126" i="8"/>
  <c r="BQ32" i="8"/>
  <c r="AJ440" i="8"/>
  <c r="BJ105" i="8"/>
  <c r="BN126" i="8"/>
  <c r="BJ126" i="8"/>
  <c r="BJ112" i="8"/>
  <c r="BJ113" i="8"/>
  <c r="BD126" i="8"/>
  <c r="BD112" i="8"/>
  <c r="BH120" i="8" s="1"/>
  <c r="BD105" i="8"/>
  <c r="BH126" i="8"/>
  <c r="BD113" i="8"/>
  <c r="BH121" i="8" s="1"/>
  <c r="BL116" i="8"/>
  <c r="BL90" i="8"/>
  <c r="BL117" i="8" s="1"/>
  <c r="BL95" i="8"/>
  <c r="BP116" i="8"/>
  <c r="BL125" i="8"/>
  <c r="BN89" i="8"/>
  <c r="BR77" i="8"/>
  <c r="BS73" i="8"/>
  <c r="BR74" i="8"/>
  <c r="BR75" i="8"/>
  <c r="BI120" i="8"/>
  <c r="N235" i="7"/>
  <c r="AA140" i="8"/>
  <c r="BQ104" i="8"/>
  <c r="BQ105" i="8" s="1"/>
  <c r="BP81" i="8"/>
  <c r="BQ77" i="8"/>
  <c r="BI105" i="8"/>
  <c r="BG115" i="8"/>
  <c r="N221" i="7"/>
  <c r="O61" i="7"/>
  <c r="N147" i="7"/>
  <c r="Y141" i="8"/>
  <c r="Y194" i="8"/>
  <c r="BX434" i="8"/>
  <c r="BV424" i="8"/>
  <c r="BV423" i="8"/>
  <c r="AC242" i="8"/>
  <c r="BV439" i="8"/>
  <c r="BV440" i="8"/>
  <c r="BV441" i="8"/>
  <c r="BV444" i="8"/>
  <c r="O132" i="7"/>
  <c r="O207" i="7"/>
  <c r="P46" i="7"/>
  <c r="AY69" i="8"/>
  <c r="O153" i="8"/>
  <c r="P162" i="8"/>
  <c r="AP365" i="8"/>
  <c r="AP736" i="8"/>
  <c r="AP717" i="8"/>
  <c r="AP355" i="8"/>
  <c r="AP812" i="8"/>
  <c r="AP814" i="8" s="1"/>
  <c r="AZ158" i="8"/>
  <c r="AZ155" i="8"/>
  <c r="AZ159" i="8" s="1"/>
  <c r="AK8" i="8"/>
  <c r="AK11" i="8" s="1"/>
  <c r="AL79" i="8"/>
  <c r="AK81" i="8"/>
  <c r="K77" i="8"/>
  <c r="AK79" i="8"/>
  <c r="AK78" i="8"/>
  <c r="AP374" i="8"/>
  <c r="AP419" i="8"/>
  <c r="AP373" i="8" s="1"/>
  <c r="S172" i="8"/>
  <c r="S182" i="8"/>
  <c r="K353" i="8"/>
  <c r="K315" i="8"/>
  <c r="K476" i="8"/>
  <c r="BK41" i="8"/>
  <c r="Y531" i="8"/>
  <c r="Y753" i="8" s="1"/>
  <c r="X753" i="8"/>
  <c r="X692" i="8"/>
  <c r="Y692" i="8" s="1"/>
  <c r="Z692" i="8" s="1"/>
  <c r="AA692" i="8" s="1"/>
  <c r="AB692" i="8" s="1"/>
  <c r="AC692" i="8" s="1"/>
  <c r="AD692" i="8" s="1"/>
  <c r="W698" i="8"/>
  <c r="W688" i="8" s="1"/>
  <c r="W555" i="8" s="1"/>
  <c r="BH322" i="8"/>
  <c r="BH324" i="8" s="1"/>
  <c r="BH500" i="8"/>
  <c r="AR81" i="8"/>
  <c r="AR8" i="8"/>
  <c r="AR11" i="8" s="1"/>
  <c r="AV78" i="8"/>
  <c r="AR78" i="8"/>
  <c r="BW250" i="8"/>
  <c r="BW256" i="8" s="1"/>
  <c r="BW258" i="8" s="1"/>
  <c r="BT250" i="8"/>
  <c r="BT256" i="8" s="1"/>
  <c r="BT258" i="8" s="1"/>
  <c r="BV250" i="8"/>
  <c r="BV256" i="8" s="1"/>
  <c r="BV258" i="8" s="1"/>
  <c r="BU250" i="8"/>
  <c r="BU256" i="8" s="1"/>
  <c r="BU258" i="8" s="1"/>
  <c r="T251" i="8"/>
  <c r="BO94" i="8"/>
  <c r="AW354" i="8"/>
  <c r="AW418" i="8"/>
  <c r="AW356" i="8" s="1"/>
  <c r="AW364" i="8"/>
  <c r="AW319" i="8"/>
  <c r="P186" i="8"/>
  <c r="Q87" i="8"/>
  <c r="P92" i="8"/>
  <c r="Q94" i="8"/>
  <c r="Q186" i="8"/>
  <c r="P187" i="8"/>
  <c r="P200" i="8" s="1"/>
  <c r="P86" i="8"/>
  <c r="R187" i="8"/>
  <c r="R200" i="8" s="1"/>
  <c r="Q188" i="8"/>
  <c r="R87" i="8"/>
  <c r="Q92" i="8"/>
  <c r="Q88" i="8"/>
  <c r="O186" i="8"/>
  <c r="O87" i="8"/>
  <c r="O187" i="8"/>
  <c r="O200" i="8" s="1"/>
  <c r="O86" i="8"/>
  <c r="O188" i="8"/>
  <c r="Q86" i="8"/>
  <c r="P87" i="8"/>
  <c r="P94" i="8"/>
  <c r="R188" i="8"/>
  <c r="R86" i="8"/>
  <c r="P88" i="8"/>
  <c r="R93" i="8"/>
  <c r="R88" i="8"/>
  <c r="R92" i="8"/>
  <c r="Q187" i="8"/>
  <c r="Q200" i="8" s="1"/>
  <c r="P188" i="8"/>
  <c r="R186" i="8"/>
  <c r="O94" i="8"/>
  <c r="O92" i="8"/>
  <c r="BI364" i="8"/>
  <c r="BI374" i="8" s="1"/>
  <c r="BI319" i="8"/>
  <c r="BI354" i="8"/>
  <c r="BO364" i="8"/>
  <c r="AY446" i="8"/>
  <c r="AZ446" i="8"/>
  <c r="BC445" i="8"/>
  <c r="BM295" i="8"/>
  <c r="BM202" i="8"/>
  <c r="BM201" i="8" s="1"/>
  <c r="BM203" i="8"/>
  <c r="BL145" i="8"/>
  <c r="BL148" i="8"/>
  <c r="BL9" i="8"/>
  <c r="Q364" i="8"/>
  <c r="Q374" i="8" s="1"/>
  <c r="Q319" i="8"/>
  <c r="Q354" i="8"/>
  <c r="AG79" i="8"/>
  <c r="J77" i="8"/>
  <c r="AF81" i="8"/>
  <c r="AF8" i="8"/>
  <c r="AF11" i="8" s="1"/>
  <c r="BL5" i="8"/>
  <c r="BM5" i="8" s="1"/>
  <c r="BN5" i="8" s="1"/>
  <c r="BO5" i="8" s="1"/>
  <c r="R5" i="8"/>
  <c r="BM353" i="8"/>
  <c r="BM315" i="8"/>
  <c r="AA346" i="8"/>
  <c r="AA341" i="8"/>
  <c r="AA348" i="8" s="1"/>
  <c r="AB342" i="8"/>
  <c r="BY262" i="8"/>
  <c r="BX262" i="8" s="1"/>
  <c r="BX260" i="8" s="1"/>
  <c r="BX261" i="8" s="1"/>
  <c r="BL154" i="8"/>
  <c r="BM155" i="8"/>
  <c r="BM159" i="8" s="1"/>
  <c r="BR164" i="8" s="1"/>
  <c r="BM158" i="8"/>
  <c r="BN94" i="8"/>
  <c r="CA73" i="8"/>
  <c r="BZ75" i="8"/>
  <c r="BE355" i="8"/>
  <c r="BE418" i="8"/>
  <c r="BE356" i="8" s="1"/>
  <c r="BE812" i="8"/>
  <c r="BE814" i="8" s="1"/>
  <c r="BE335" i="8"/>
  <c r="BE717" i="8"/>
  <c r="BE338" i="8"/>
  <c r="BE365" i="8"/>
  <c r="BE337" i="8"/>
  <c r="BE736" i="8"/>
  <c r="BE336" i="8"/>
  <c r="BV309" i="8"/>
  <c r="BV503" i="8"/>
  <c r="BV384" i="8"/>
  <c r="BV497" i="8"/>
  <c r="BV56" i="8"/>
  <c r="BV227" i="8"/>
  <c r="BC355" i="8"/>
  <c r="BX172" i="8"/>
  <c r="BW173" i="8"/>
  <c r="BA158" i="8"/>
  <c r="BF163" i="8" s="1"/>
  <c r="BA155" i="8"/>
  <c r="BA159" i="8" s="1"/>
  <c r="BS183" i="8"/>
  <c r="S178" i="8"/>
  <c r="BN145" i="8"/>
  <c r="BJ148" i="8"/>
  <c r="BJ145" i="8"/>
  <c r="BJ146" i="8"/>
  <c r="BJ9" i="8"/>
  <c r="U559" i="8"/>
  <c r="V728" i="8"/>
  <c r="V731" i="8" s="1"/>
  <c r="V727" i="8" s="1"/>
  <c r="BU444" i="8"/>
  <c r="BU424" i="8"/>
  <c r="BP322" i="8"/>
  <c r="BP500" i="8"/>
  <c r="BI125" i="8"/>
  <c r="BE113" i="8"/>
  <c r="BI121" i="8" s="1"/>
  <c r="AI717" i="8"/>
  <c r="AI355" i="8"/>
  <c r="AI365" i="8"/>
  <c r="AI736" i="8"/>
  <c r="Y689" i="8"/>
  <c r="N45" i="8"/>
  <c r="O15" i="8"/>
  <c r="AX364" i="8"/>
  <c r="AX418" i="8"/>
  <c r="AX356" i="8" s="1"/>
  <c r="AX319" i="8"/>
  <c r="AX354" i="8"/>
  <c r="AG446" i="8"/>
  <c r="AH446" i="8"/>
  <c r="AK445" i="8"/>
  <c r="BD354" i="8"/>
  <c r="BD364" i="8"/>
  <c r="BD374" i="8" s="1"/>
  <c r="BD319" i="8"/>
  <c r="AE6" i="7"/>
  <c r="AF6" i="7" s="1"/>
  <c r="AG6" i="7" s="1"/>
  <c r="AH6" i="7" s="1"/>
  <c r="G6" i="7"/>
  <c r="V811" i="8"/>
  <c r="W556" i="8"/>
  <c r="S261" i="8"/>
  <c r="T261" i="8"/>
  <c r="Y262" i="8"/>
  <c r="AL353" i="8"/>
  <c r="AL315" i="8"/>
  <c r="T341" i="8"/>
  <c r="T348" i="8" s="1"/>
  <c r="U342" i="8"/>
  <c r="T346" i="8"/>
  <c r="AQ9" i="8"/>
  <c r="AR146" i="8"/>
  <c r="AQ145" i="8"/>
  <c r="AQ148" i="8"/>
  <c r="AQ146" i="8"/>
  <c r="AU145" i="8"/>
  <c r="X194" i="8"/>
  <c r="AT210" i="8"/>
  <c r="BV442" i="8"/>
  <c r="W256" i="8"/>
  <c r="S32" i="7"/>
  <c r="W630" i="8"/>
  <c r="BV224" i="8"/>
  <c r="BV232" i="8"/>
  <c r="BV29" i="8"/>
  <c r="BH15" i="8"/>
  <c r="AV81" i="8"/>
  <c r="BI150" i="8"/>
  <c r="BI46" i="8"/>
  <c r="AN78" i="8"/>
  <c r="AM148" i="8"/>
  <c r="AM146" i="8"/>
  <c r="AR148" i="8"/>
  <c r="AJ78" i="8"/>
  <c r="BL16" i="8"/>
  <c r="BB148" i="8"/>
  <c r="BB9" i="8"/>
  <c r="BY230" i="8"/>
  <c r="BZ171" i="8"/>
  <c r="AU69" i="8"/>
  <c r="AU103" i="8"/>
  <c r="BV486" i="8"/>
  <c r="AL78" i="8"/>
  <c r="K66" i="8"/>
  <c r="AO70" i="8"/>
  <c r="AT65" i="8"/>
  <c r="BQ374" i="8"/>
  <c r="AK70" i="8"/>
  <c r="AP418" i="8"/>
  <c r="AP356" i="8" s="1"/>
  <c r="AP354" i="8"/>
  <c r="BD445" i="8"/>
  <c r="AO145" i="8"/>
  <c r="BC503" i="8"/>
  <c r="BK138" i="8"/>
  <c r="P497" i="8"/>
  <c r="P404" i="8"/>
  <c r="P475" i="8"/>
  <c r="P309" i="8"/>
  <c r="P406" i="8"/>
  <c r="P56" i="8"/>
  <c r="K56" i="8"/>
  <c r="BC384" i="8"/>
  <c r="BQ276" i="8"/>
  <c r="BU579" i="8"/>
  <c r="BU453" i="8"/>
  <c r="BU307" i="8"/>
  <c r="BA364" i="8"/>
  <c r="BA374" i="8" s="1"/>
  <c r="BM446" i="8"/>
  <c r="AH148" i="8"/>
  <c r="AI146" i="8"/>
  <c r="AG322" i="8"/>
  <c r="AG324" i="8" s="1"/>
  <c r="BH115" i="8"/>
  <c r="AI441" i="8"/>
  <c r="BF88" i="8"/>
  <c r="BF89" i="8" s="1"/>
  <c r="BF188" i="8"/>
  <c r="BF189" i="8" s="1"/>
  <c r="BG490" i="8"/>
  <c r="BR563" i="8"/>
  <c r="BR564" i="8" s="1"/>
  <c r="BV564" i="8"/>
  <c r="BI188" i="8"/>
  <c r="BI189" i="8" s="1"/>
  <c r="E490" i="8"/>
  <c r="BL203" i="8"/>
  <c r="AZ384" i="8"/>
  <c r="AZ497" i="8"/>
  <c r="AZ309" i="8"/>
  <c r="E8" i="4"/>
  <c r="BJ188" i="8"/>
  <c r="BJ189" i="8" s="1"/>
  <c r="BG188" i="8"/>
  <c r="BG189" i="8" s="1"/>
  <c r="N41" i="7"/>
  <c r="N55" i="7"/>
  <c r="AO445" i="8" l="1"/>
  <c r="AK446" i="8"/>
  <c r="AL469" i="8"/>
  <c r="AX469" i="8"/>
  <c r="AX470" i="8"/>
  <c r="BN471" i="8"/>
  <c r="BR469" i="8"/>
  <c r="BN470" i="8"/>
  <c r="BO57" i="8"/>
  <c r="M215" i="7"/>
  <c r="M140" i="7"/>
  <c r="BI149" i="8"/>
  <c r="BV66" i="8"/>
  <c r="F486" i="8"/>
  <c r="BD52" i="8"/>
  <c r="BE53" i="8"/>
  <c r="BO458" i="8"/>
  <c r="BO459" i="8"/>
  <c r="BO457" i="8"/>
  <c r="BM447" i="8"/>
  <c r="BN446" i="8"/>
  <c r="BM445" i="8"/>
  <c r="BR41" i="8"/>
  <c r="L145" i="8"/>
  <c r="K145" i="8"/>
  <c r="K9" i="8"/>
  <c r="BK446" i="8"/>
  <c r="BN445" i="8"/>
  <c r="AZ490" i="8"/>
  <c r="S490" i="8"/>
  <c r="AZ103" i="8"/>
  <c r="AZ69" i="8"/>
  <c r="AZ71" i="8" s="1"/>
  <c r="BD65" i="8"/>
  <c r="BF146" i="8"/>
  <c r="BE148" i="8"/>
  <c r="BE9" i="8"/>
  <c r="BI15" i="8" s="1"/>
  <c r="BM138" i="8"/>
  <c r="BM144" i="8"/>
  <c r="BN138" i="8"/>
  <c r="BM137" i="8"/>
  <c r="M476" i="8"/>
  <c r="M353" i="8"/>
  <c r="M315" i="8"/>
  <c r="BQ138" i="8"/>
  <c r="BR138" i="8"/>
  <c r="BQ137" i="8"/>
  <c r="BU137" i="8"/>
  <c r="BH202" i="8"/>
  <c r="BH201" i="8" s="1"/>
  <c r="BA354" i="8"/>
  <c r="BA319" i="8"/>
  <c r="BU35" i="8"/>
  <c r="BU40" i="8"/>
  <c r="BU41" i="8" s="1"/>
  <c r="AC347" i="8"/>
  <c r="AD343" i="8"/>
  <c r="AD347" i="8" s="1"/>
  <c r="D319" i="8"/>
  <c r="D354" i="8"/>
  <c r="Q16" i="8"/>
  <c r="Q46" i="8"/>
  <c r="AQ69" i="8"/>
  <c r="AQ193" i="8"/>
  <c r="AQ103" i="8"/>
  <c r="BI486" i="8"/>
  <c r="BE487" i="8"/>
  <c r="AV374" i="8"/>
  <c r="AV419" i="8"/>
  <c r="AV373" i="8" s="1"/>
  <c r="AN146" i="8"/>
  <c r="AM9" i="8"/>
  <c r="BD40" i="8"/>
  <c r="BD41" i="8" s="1"/>
  <c r="BD35" i="8"/>
  <c r="BH35" i="8"/>
  <c r="AW486" i="8"/>
  <c r="AW487" i="8"/>
  <c r="AR353" i="8"/>
  <c r="AR315" i="8"/>
  <c r="G315" i="8"/>
  <c r="G353" i="8"/>
  <c r="AV500" i="8"/>
  <c r="AV322" i="8"/>
  <c r="AV324" i="8" s="1"/>
  <c r="AU500" i="8"/>
  <c r="AU322" i="8"/>
  <c r="AU324" i="8" s="1"/>
  <c r="BV114" i="8"/>
  <c r="BV122" i="8" s="1"/>
  <c r="S793" i="8"/>
  <c r="AT469" i="8"/>
  <c r="AP469" i="8"/>
  <c r="AP470" i="8"/>
  <c r="BI487" i="8"/>
  <c r="BH487" i="8"/>
  <c r="BH486" i="8"/>
  <c r="BL486" i="8"/>
  <c r="BO488" i="8"/>
  <c r="BO487" i="8"/>
  <c r="BO486" i="8"/>
  <c r="BP487" i="8"/>
  <c r="T65" i="8"/>
  <c r="BI470" i="8"/>
  <c r="BL469" i="8"/>
  <c r="BT471" i="8"/>
  <c r="BT469" i="8"/>
  <c r="AP69" i="8"/>
  <c r="AP103" i="8"/>
  <c r="AP67" i="8"/>
  <c r="AP193" i="8"/>
  <c r="AQ67" i="8"/>
  <c r="AM8" i="8"/>
  <c r="AN79" i="8"/>
  <c r="AM78" i="8"/>
  <c r="BC440" i="8"/>
  <c r="AK486" i="8"/>
  <c r="AK487" i="8"/>
  <c r="AN459" i="8"/>
  <c r="AN490" i="8"/>
  <c r="BP471" i="8"/>
  <c r="BQ470" i="8"/>
  <c r="BP469" i="8"/>
  <c r="AU457" i="8"/>
  <c r="AQ457" i="8"/>
  <c r="AQ458" i="8"/>
  <c r="I459" i="8"/>
  <c r="I490" i="8"/>
  <c r="AM71" i="8"/>
  <c r="S459" i="8"/>
  <c r="T457" i="8"/>
  <c r="AO486" i="8"/>
  <c r="AS486" i="8"/>
  <c r="AO487" i="8"/>
  <c r="AQ500" i="8"/>
  <c r="AQ322" i="8"/>
  <c r="AQ324" i="8" s="1"/>
  <c r="T132" i="8"/>
  <c r="AM486" i="8"/>
  <c r="AN487" i="8"/>
  <c r="AQ486" i="8"/>
  <c r="K69" i="8"/>
  <c r="K70" i="8" s="1"/>
  <c r="K103" i="8"/>
  <c r="K114" i="8" s="1"/>
  <c r="K193" i="8"/>
  <c r="AG470" i="8"/>
  <c r="AJ469" i="8"/>
  <c r="AM458" i="8"/>
  <c r="AM457" i="8"/>
  <c r="BK486" i="8"/>
  <c r="U250" i="8"/>
  <c r="U251" i="8" s="1"/>
  <c r="CD231" i="8"/>
  <c r="BZ260" i="8"/>
  <c r="BZ261" i="8" s="1"/>
  <c r="CA231" i="8"/>
  <c r="CA260" i="8"/>
  <c r="CA261" i="8" s="1"/>
  <c r="O72" i="7"/>
  <c r="O230" i="7"/>
  <c r="O231" i="7" s="1"/>
  <c r="O156" i="7"/>
  <c r="O157" i="7" s="1"/>
  <c r="P71" i="7"/>
  <c r="N150" i="7"/>
  <c r="N224" i="7"/>
  <c r="O65" i="7"/>
  <c r="BX321" i="8"/>
  <c r="V321" i="8"/>
  <c r="CB505" i="8"/>
  <c r="BS469" i="8"/>
  <c r="BW469" i="8"/>
  <c r="S215" i="8"/>
  <c r="BF41" i="8"/>
  <c r="BW137" i="8"/>
  <c r="BS137" i="8"/>
  <c r="BS138" i="8"/>
  <c r="BT458" i="8"/>
  <c r="BU470" i="8"/>
  <c r="BU469" i="8"/>
  <c r="BV470" i="8"/>
  <c r="BU471" i="8"/>
  <c r="BW67" i="8"/>
  <c r="BW134" i="8"/>
  <c r="BV157" i="8"/>
  <c r="BV200" i="8"/>
  <c r="BV134" i="8"/>
  <c r="BV133" i="8"/>
  <c r="BU200" i="8"/>
  <c r="BU134" i="8"/>
  <c r="BU157" i="8"/>
  <c r="BU133" i="8"/>
  <c r="V231" i="8"/>
  <c r="V256" i="8"/>
  <c r="W257" i="8" s="1"/>
  <c r="V260" i="8"/>
  <c r="V261" i="8" s="1"/>
  <c r="W231" i="8"/>
  <c r="W261" i="8"/>
  <c r="CC231" i="8"/>
  <c r="V342" i="8"/>
  <c r="V343" i="8" s="1"/>
  <c r="U343" i="8"/>
  <c r="N161" i="7"/>
  <c r="BL490" i="8"/>
  <c r="BS41" i="8"/>
  <c r="AY471" i="8"/>
  <c r="AY490" i="8"/>
  <c r="AZ458" i="8"/>
  <c r="AZ457" i="8"/>
  <c r="BP458" i="8"/>
  <c r="BP459" i="8"/>
  <c r="AR470" i="8"/>
  <c r="AQ469" i="8"/>
  <c r="AQ470" i="8"/>
  <c r="BG469" i="8"/>
  <c r="BG470" i="8"/>
  <c r="BH470" i="8"/>
  <c r="BK469" i="8"/>
  <c r="J469" i="8"/>
  <c r="K469" i="8"/>
  <c r="AL487" i="8"/>
  <c r="AM487" i="8"/>
  <c r="AL486" i="8"/>
  <c r="R486" i="8"/>
  <c r="Q486" i="8"/>
  <c r="BB486" i="8"/>
  <c r="AM490" i="8"/>
  <c r="BR228" i="8"/>
  <c r="AK458" i="8"/>
  <c r="AJ457" i="8"/>
  <c r="AJ458" i="8"/>
  <c r="AM470" i="8"/>
  <c r="AM469" i="8"/>
  <c r="AU470" i="8"/>
  <c r="AV470" i="8"/>
  <c r="AU469" i="8"/>
  <c r="BC469" i="8"/>
  <c r="R471" i="8"/>
  <c r="R469" i="8"/>
  <c r="S469" i="8"/>
  <c r="AP486" i="8"/>
  <c r="BJ486" i="8"/>
  <c r="BK487" i="8"/>
  <c r="BJ487" i="8"/>
  <c r="BN486" i="8"/>
  <c r="BN202" i="8"/>
  <c r="BN201" i="8" s="1"/>
  <c r="BN203" i="8"/>
  <c r="BN295" i="8"/>
  <c r="BG40" i="8"/>
  <c r="BG38" i="8"/>
  <c r="BG35" i="8"/>
  <c r="BG39" i="8"/>
  <c r="BR424" i="8"/>
  <c r="BQ423" i="8"/>
  <c r="BQ444" i="8"/>
  <c r="BU445" i="8" s="1"/>
  <c r="BQ424" i="8"/>
  <c r="F442" i="8"/>
  <c r="F384" i="8"/>
  <c r="F56" i="8"/>
  <c r="F309" i="8"/>
  <c r="BM112" i="8"/>
  <c r="BM120" i="8" s="1"/>
  <c r="BM105" i="8"/>
  <c r="BM113" i="8"/>
  <c r="BM121" i="8" s="1"/>
  <c r="BM126" i="8"/>
  <c r="AO319" i="8"/>
  <c r="AO354" i="8"/>
  <c r="AO418" i="8"/>
  <c r="AO356" i="8" s="1"/>
  <c r="AO364" i="8"/>
  <c r="AK370" i="8"/>
  <c r="AK375" i="8"/>
  <c r="AK368" i="8"/>
  <c r="BC736" i="8"/>
  <c r="AY353" i="8"/>
  <c r="BO319" i="8"/>
  <c r="AZ67" i="8"/>
  <c r="BC65" i="8"/>
  <c r="BC69" i="8" s="1"/>
  <c r="N469" i="8"/>
  <c r="O469" i="8"/>
  <c r="I358" i="8"/>
  <c r="I309" i="8"/>
  <c r="I56" i="8"/>
  <c r="I442" i="8"/>
  <c r="I447" i="8" s="1"/>
  <c r="I384" i="8"/>
  <c r="I423" i="8"/>
  <c r="J423" i="8"/>
  <c r="BL459" i="8"/>
  <c r="BL458" i="8"/>
  <c r="BP457" i="8"/>
  <c r="BL457" i="8"/>
  <c r="AO459" i="8"/>
  <c r="AO490" i="8"/>
  <c r="G469" i="8"/>
  <c r="F469" i="8"/>
  <c r="J309" i="8"/>
  <c r="J442" i="8"/>
  <c r="J447" i="8" s="1"/>
  <c r="J358" i="8"/>
  <c r="J384" i="8"/>
  <c r="J56" i="8"/>
  <c r="BN353" i="8"/>
  <c r="BN315" i="8"/>
  <c r="BT324" i="8"/>
  <c r="BG137" i="8"/>
  <c r="BG144" i="8"/>
  <c r="BG138" i="8"/>
  <c r="BH138" i="8"/>
  <c r="BJ10" i="8"/>
  <c r="BJ210" i="8"/>
  <c r="BJ211" i="8"/>
  <c r="BK211" i="8"/>
  <c r="BM59" i="8"/>
  <c r="BM57" i="8"/>
  <c r="BL59" i="8"/>
  <c r="BO59" i="8"/>
  <c r="BM58" i="8"/>
  <c r="BA446" i="8"/>
  <c r="BA445" i="8"/>
  <c r="BG445" i="8"/>
  <c r="BD446" i="8"/>
  <c r="BE446" i="8"/>
  <c r="BE445" i="8"/>
  <c r="BI445" i="8"/>
  <c r="BK120" i="8"/>
  <c r="BK115" i="8"/>
  <c r="BO120" i="8"/>
  <c r="BV46" i="8"/>
  <c r="X629" i="8"/>
  <c r="W534" i="8"/>
  <c r="BB490" i="8"/>
  <c r="BB441" i="8"/>
  <c r="BB440" i="8"/>
  <c r="BB439" i="8"/>
  <c r="BB444" i="8"/>
  <c r="BC446" i="8" s="1"/>
  <c r="BF439" i="8"/>
  <c r="CC194" i="8"/>
  <c r="CC142" i="8"/>
  <c r="BK53" i="8"/>
  <c r="BJ53" i="8"/>
  <c r="BN52" i="8"/>
  <c r="BJ52" i="8"/>
  <c r="BJ54" i="8"/>
  <c r="BK54" i="8"/>
  <c r="BH54" i="8"/>
  <c r="AO71" i="8"/>
  <c r="AO77" i="8"/>
  <c r="N4" i="8"/>
  <c r="M5" i="8"/>
  <c r="AW148" i="8"/>
  <c r="AX146" i="8"/>
  <c r="BA145" i="8"/>
  <c r="AW146" i="8"/>
  <c r="AW9" i="8"/>
  <c r="BO116" i="8"/>
  <c r="N39" i="8"/>
  <c r="O35" i="8"/>
  <c r="N40" i="8"/>
  <c r="N38" i="8"/>
  <c r="R445" i="8"/>
  <c r="BV158" i="8"/>
  <c r="BV163" i="8" s="1"/>
  <c r="BV155" i="8"/>
  <c r="BV159" i="8" s="1"/>
  <c r="BV164" i="8" s="1"/>
  <c r="BW154" i="8"/>
  <c r="BS56" i="8"/>
  <c r="BS442" i="8"/>
  <c r="BS384" i="8"/>
  <c r="BS309" i="8"/>
  <c r="BS227" i="8"/>
  <c r="BS228" i="8" s="1"/>
  <c r="BS497" i="8"/>
  <c r="BS503" i="8"/>
  <c r="S307" i="8"/>
  <c r="AU439" i="8"/>
  <c r="AU440" i="8"/>
  <c r="AV440" i="8"/>
  <c r="AU441" i="8"/>
  <c r="AY439" i="8"/>
  <c r="AU444" i="8"/>
  <c r="L459" i="8"/>
  <c r="L490" i="8"/>
  <c r="AU10" i="8"/>
  <c r="AU210" i="8"/>
  <c r="AV211" i="8"/>
  <c r="Y239" i="8"/>
  <c r="X230" i="8"/>
  <c r="AJ364" i="8"/>
  <c r="AJ354" i="8"/>
  <c r="AJ319" i="8"/>
  <c r="AJ418" i="8"/>
  <c r="AJ356" i="8" s="1"/>
  <c r="BV53" i="8"/>
  <c r="BV52" i="8"/>
  <c r="BK35" i="8"/>
  <c r="BC500" i="8"/>
  <c r="AQ374" i="8"/>
  <c r="Z262" i="8"/>
  <c r="BC418" i="8"/>
  <c r="BC356" i="8" s="1"/>
  <c r="BC365" i="8"/>
  <c r="BC368" i="8" s="1"/>
  <c r="BV228" i="8"/>
  <c r="AY193" i="8"/>
  <c r="BK117" i="8"/>
  <c r="Z6" i="4"/>
  <c r="Z12" i="4" s="1"/>
  <c r="AN10" i="8"/>
  <c r="AN11" i="8" s="1"/>
  <c r="AN210" i="8"/>
  <c r="AO211" i="8"/>
  <c r="AR210" i="8"/>
  <c r="AN211" i="8"/>
  <c r="BH458" i="8"/>
  <c r="BI458" i="8"/>
  <c r="BH457" i="8"/>
  <c r="AG459" i="8"/>
  <c r="AG490" i="8"/>
  <c r="AJ441" i="8"/>
  <c r="AI440" i="8"/>
  <c r="AI444" i="8"/>
  <c r="BO141" i="8"/>
  <c r="BO194" i="8"/>
  <c r="BO195" i="8" s="1"/>
  <c r="R140" i="8"/>
  <c r="BO142" i="8"/>
  <c r="BO144" i="8"/>
  <c r="BO58" i="8"/>
  <c r="BN59" i="8"/>
  <c r="BN58" i="8"/>
  <c r="BR57" i="8"/>
  <c r="BQ112" i="8"/>
  <c r="BQ126" i="8"/>
  <c r="AY144" i="8"/>
  <c r="AY138" i="8"/>
  <c r="AZ138" i="8"/>
  <c r="AY137" i="8"/>
  <c r="BC144" i="8"/>
  <c r="BC137" i="8"/>
  <c r="BD138" i="8"/>
  <c r="BC138" i="8"/>
  <c r="BK144" i="8"/>
  <c r="BL138" i="8"/>
  <c r="BO137" i="8"/>
  <c r="BK137" i="8"/>
  <c r="AQ211" i="8"/>
  <c r="AR211" i="8"/>
  <c r="AQ210" i="8"/>
  <c r="AQ10" i="8"/>
  <c r="BC211" i="8"/>
  <c r="BD211" i="8"/>
  <c r="BC210" i="8"/>
  <c r="BC10" i="8"/>
  <c r="BH211" i="8"/>
  <c r="BG10" i="8"/>
  <c r="BG210" i="8"/>
  <c r="BG211" i="8"/>
  <c r="BK210" i="8"/>
  <c r="BR210" i="8"/>
  <c r="BR10" i="8"/>
  <c r="BS211" i="8"/>
  <c r="BR211" i="8"/>
  <c r="BR276" i="8"/>
  <c r="BS458" i="8"/>
  <c r="BS457" i="8"/>
  <c r="BS459" i="8"/>
  <c r="O319" i="8"/>
  <c r="O364" i="8"/>
  <c r="O374" i="8" s="1"/>
  <c r="O354" i="8"/>
  <c r="AS353" i="8"/>
  <c r="AS315" i="8"/>
  <c r="BD149" i="8"/>
  <c r="H315" i="8"/>
  <c r="H353" i="8"/>
  <c r="N439" i="8"/>
  <c r="N444" i="8"/>
  <c r="O445" i="8" s="1"/>
  <c r="O439" i="8"/>
  <c r="R46" i="8"/>
  <c r="S16" i="8"/>
  <c r="BJ445" i="8"/>
  <c r="BF446" i="8"/>
  <c r="L322" i="8"/>
  <c r="L500" i="8"/>
  <c r="L69" i="8"/>
  <c r="L103" i="8"/>
  <c r="L114" i="8" s="1"/>
  <c r="L66" i="8"/>
  <c r="L193" i="8"/>
  <c r="BV210" i="8"/>
  <c r="BJ38" i="8"/>
  <c r="BJ35" i="8"/>
  <c r="BJ40" i="8"/>
  <c r="BN35" i="8"/>
  <c r="BJ39" i="8"/>
  <c r="AY210" i="8"/>
  <c r="AH375" i="8"/>
  <c r="AH370" i="8"/>
  <c r="BK354" i="8"/>
  <c r="BK319" i="8"/>
  <c r="BK364" i="8"/>
  <c r="BK374" i="8" s="1"/>
  <c r="BF354" i="8"/>
  <c r="BF319" i="8"/>
  <c r="BF364" i="8"/>
  <c r="BF374" i="8" s="1"/>
  <c r="AT500" i="8"/>
  <c r="AT322" i="8"/>
  <c r="AT324" i="8" s="1"/>
  <c r="BQ500" i="8"/>
  <c r="BQ322" i="8"/>
  <c r="AA73" i="8"/>
  <c r="Z74" i="8"/>
  <c r="BO374" i="8"/>
  <c r="AQ423" i="8"/>
  <c r="AN424" i="8"/>
  <c r="AM423" i="8"/>
  <c r="AM424" i="8"/>
  <c r="AS52" i="8"/>
  <c r="AO53" i="8"/>
  <c r="AO52" i="8"/>
  <c r="R353" i="8"/>
  <c r="R315" i="8"/>
  <c r="AN418" i="8"/>
  <c r="AN356" i="8" s="1"/>
  <c r="AN354" i="8"/>
  <c r="AN319" i="8"/>
  <c r="AN364" i="8"/>
  <c r="BB364" i="8"/>
  <c r="BB374" i="8" s="1"/>
  <c r="BB354" i="8"/>
  <c r="BB319" i="8"/>
  <c r="BL324" i="8"/>
  <c r="X675" i="8"/>
  <c r="W552" i="8"/>
  <c r="O52" i="8"/>
  <c r="N52" i="8"/>
  <c r="BU423" i="8"/>
  <c r="BC812" i="8"/>
  <c r="BC814" i="8" s="1"/>
  <c r="BO354" i="8"/>
  <c r="AR471" i="8"/>
  <c r="AR490" i="8"/>
  <c r="BG497" i="8"/>
  <c r="BG384" i="8"/>
  <c r="BG503" i="8"/>
  <c r="BG442" i="8"/>
  <c r="BG447" i="8" s="1"/>
  <c r="BG56" i="8"/>
  <c r="BG309" i="8"/>
  <c r="BH459" i="8"/>
  <c r="BH490" i="8"/>
  <c r="BF423" i="8"/>
  <c r="BB423" i="8"/>
  <c r="BB424" i="8"/>
  <c r="AT138" i="8"/>
  <c r="AS144" i="8"/>
  <c r="AW145" i="8" s="1"/>
  <c r="AS138" i="8"/>
  <c r="AS137" i="8"/>
  <c r="BB458" i="8"/>
  <c r="BA457" i="8"/>
  <c r="BA458" i="8"/>
  <c r="K52" i="8"/>
  <c r="J52" i="8"/>
  <c r="BN53" i="8"/>
  <c r="BM53" i="8"/>
  <c r="BO54" i="8"/>
  <c r="BN54" i="8"/>
  <c r="BM52" i="8"/>
  <c r="BL54" i="8"/>
  <c r="BM54" i="8"/>
  <c r="BQ52" i="8"/>
  <c r="AQ439" i="8"/>
  <c r="AM439" i="8"/>
  <c r="AM444" i="8"/>
  <c r="AM440" i="8"/>
  <c r="AN440" i="8"/>
  <c r="AN441" i="8"/>
  <c r="AM441" i="8"/>
  <c r="AU424" i="8"/>
  <c r="AV424" i="8"/>
  <c r="AY423" i="8"/>
  <c r="AU423" i="8"/>
  <c r="BC424" i="8"/>
  <c r="BP41" i="8"/>
  <c r="BQ71" i="8"/>
  <c r="BR71" i="8"/>
  <c r="BU70" i="8"/>
  <c r="H77" i="8"/>
  <c r="H8" i="8" s="1"/>
  <c r="H11" i="8" s="1"/>
  <c r="AF71" i="8"/>
  <c r="I70" i="8"/>
  <c r="AI70" i="8"/>
  <c r="BN10" i="8"/>
  <c r="BN210" i="8"/>
  <c r="BO211" i="8"/>
  <c r="BN276" i="8"/>
  <c r="BN211" i="8"/>
  <c r="BR315" i="8"/>
  <c r="BR353" i="8"/>
  <c r="AP53" i="8"/>
  <c r="AT446" i="8"/>
  <c r="AS445" i="8"/>
  <c r="AW445" i="8"/>
  <c r="AS446" i="8"/>
  <c r="C353" i="8"/>
  <c r="C315" i="8"/>
  <c r="AK145" i="8"/>
  <c r="AG146" i="8"/>
  <c r="AG9" i="8"/>
  <c r="AG11" i="8" s="1"/>
  <c r="AG148" i="8"/>
  <c r="AF353" i="8"/>
  <c r="AF315" i="8"/>
  <c r="N490" i="8"/>
  <c r="AU211" i="8"/>
  <c r="E324" i="8"/>
  <c r="E331" i="8"/>
  <c r="BJ56" i="8"/>
  <c r="BN57" i="8" s="1"/>
  <c r="BJ442" i="8"/>
  <c r="BJ447" i="8" s="1"/>
  <c r="BJ384" i="8"/>
  <c r="BJ503" i="8"/>
  <c r="BJ309" i="8"/>
  <c r="BJ497" i="8"/>
  <c r="AP424" i="8"/>
  <c r="AQ424" i="8"/>
  <c r="AP444" i="8"/>
  <c r="AP423" i="8"/>
  <c r="AT423" i="8"/>
  <c r="AS67" i="8"/>
  <c r="AS193" i="8"/>
  <c r="AS69" i="8"/>
  <c r="AW65" i="8"/>
  <c r="AS103" i="8"/>
  <c r="AT374" i="8"/>
  <c r="AT419" i="8"/>
  <c r="AT373" i="8" s="1"/>
  <c r="BH16" i="8"/>
  <c r="BD46" i="8"/>
  <c r="N475" i="8"/>
  <c r="N497" i="8"/>
  <c r="N309" i="8"/>
  <c r="N503" i="8"/>
  <c r="N56" i="8"/>
  <c r="O57" i="8" s="1"/>
  <c r="N384" i="8"/>
  <c r="N358" i="8"/>
  <c r="AX446" i="8"/>
  <c r="AX445" i="8"/>
  <c r="CB75" i="8"/>
  <c r="CB74" i="8"/>
  <c r="CC73" i="8"/>
  <c r="BF94" i="8"/>
  <c r="BF95" i="8" s="1"/>
  <c r="BI45" i="8"/>
  <c r="BH149" i="8"/>
  <c r="BU16" i="8"/>
  <c r="BU46" i="8"/>
  <c r="BN90" i="8"/>
  <c r="BN117" i="8" s="1"/>
  <c r="BN116" i="8"/>
  <c r="BP123" i="8"/>
  <c r="BP115" i="8"/>
  <c r="BL115" i="8"/>
  <c r="BL123" i="8"/>
  <c r="BN120" i="8"/>
  <c r="BJ120" i="8"/>
  <c r="BJ117" i="8"/>
  <c r="BJ116" i="8"/>
  <c r="BJ115" i="8" s="1"/>
  <c r="N128" i="7"/>
  <c r="O41" i="7"/>
  <c r="N203" i="7"/>
  <c r="BJ203" i="8"/>
  <c r="BJ202" i="8"/>
  <c r="BJ201" i="8" s="1"/>
  <c r="BF203" i="8"/>
  <c r="BF202" i="8"/>
  <c r="BF201" i="8" s="1"/>
  <c r="BF90" i="8"/>
  <c r="BF117" i="8" s="1"/>
  <c r="BF116" i="8"/>
  <c r="BU384" i="8"/>
  <c r="BU503" i="8"/>
  <c r="BU497" i="8"/>
  <c r="BU309" i="8"/>
  <c r="BU442" i="8"/>
  <c r="BU227" i="8"/>
  <c r="BU228" i="8" s="1"/>
  <c r="BU56" i="8"/>
  <c r="BV58" i="8" s="1"/>
  <c r="AU67" i="8"/>
  <c r="M65" i="8"/>
  <c r="AX65" i="8"/>
  <c r="AT69" i="8"/>
  <c r="AU71" i="8" s="1"/>
  <c r="AT67" i="8"/>
  <c r="AT103" i="8"/>
  <c r="AT193" i="8"/>
  <c r="CA171" i="8"/>
  <c r="CB171" i="8" s="1"/>
  <c r="CC171" i="8" s="1"/>
  <c r="CD171" i="8" s="1"/>
  <c r="CE171" i="8" s="1"/>
  <c r="BF15" i="8"/>
  <c r="BB45" i="8"/>
  <c r="AV82" i="8"/>
  <c r="BV39" i="8"/>
  <c r="BV35" i="8"/>
  <c r="BV40" i="8"/>
  <c r="BV38" i="8"/>
  <c r="X630" i="8"/>
  <c r="W741" i="8"/>
  <c r="W631" i="8"/>
  <c r="W250" i="8"/>
  <c r="U341" i="8"/>
  <c r="U348" i="8" s="1"/>
  <c r="BX342" i="8"/>
  <c r="U346" i="8"/>
  <c r="CB342" i="8"/>
  <c r="CC342" i="8" s="1"/>
  <c r="BQ94" i="8"/>
  <c r="AL364" i="8"/>
  <c r="AL319" i="8"/>
  <c r="AL418" i="8"/>
  <c r="AL356" i="8" s="1"/>
  <c r="AL354" i="8"/>
  <c r="X556" i="8"/>
  <c r="W811" i="8"/>
  <c r="AI6" i="7"/>
  <c r="AJ6" i="7" s="1"/>
  <c r="AK6" i="7" s="1"/>
  <c r="AL6" i="7" s="1"/>
  <c r="H6" i="7"/>
  <c r="BD500" i="8"/>
  <c r="BD322" i="8"/>
  <c r="BD324" i="8" s="1"/>
  <c r="Z689" i="8"/>
  <c r="Y698" i="8"/>
  <c r="Y688" i="8" s="1"/>
  <c r="Y555" i="8" s="1"/>
  <c r="AI368" i="8"/>
  <c r="AI370" i="8"/>
  <c r="AI375" i="8"/>
  <c r="BP324" i="8"/>
  <c r="W728" i="8"/>
  <c r="W731" i="8" s="1"/>
  <c r="W727" i="8" s="1"/>
  <c r="V559" i="8"/>
  <c r="BJ150" i="8"/>
  <c r="BJ149" i="8"/>
  <c r="S173" i="8"/>
  <c r="S183" i="8"/>
  <c r="BX173" i="8"/>
  <c r="BY172" i="8"/>
  <c r="BX250" i="8"/>
  <c r="BV57" i="8"/>
  <c r="BV353" i="8"/>
  <c r="BV315" i="8"/>
  <c r="BE368" i="8"/>
  <c r="BE369" i="8"/>
  <c r="BE375" i="8"/>
  <c r="BE367" i="8"/>
  <c r="BE419" i="8"/>
  <c r="BE373" i="8" s="1"/>
  <c r="BE370" i="8"/>
  <c r="BN113" i="8"/>
  <c r="BN125" i="8"/>
  <c r="BN95" i="8"/>
  <c r="BR163" i="8"/>
  <c r="BK154" i="8"/>
  <c r="BL155" i="8"/>
  <c r="BL159" i="8" s="1"/>
  <c r="BL158" i="8"/>
  <c r="BM319" i="8"/>
  <c r="BM364" i="8"/>
  <c r="BM354" i="8"/>
  <c r="S5" i="8"/>
  <c r="BP5" i="8"/>
  <c r="BQ5" i="8" s="1"/>
  <c r="BR5" i="8" s="1"/>
  <c r="BS5" i="8" s="1"/>
  <c r="J8" i="8"/>
  <c r="J11" i="8" s="1"/>
  <c r="J73" i="8"/>
  <c r="AY319" i="8"/>
  <c r="AY354" i="8"/>
  <c r="AY364" i="8"/>
  <c r="AY418" i="8"/>
  <c r="AY356" i="8" s="1"/>
  <c r="BL15" i="8"/>
  <c r="BL45" i="8"/>
  <c r="R89" i="8"/>
  <c r="R90" i="8" s="1"/>
  <c r="R124" i="8"/>
  <c r="R102" i="8"/>
  <c r="P125" i="8"/>
  <c r="Q102" i="8"/>
  <c r="Q89" i="8"/>
  <c r="Q90" i="8" s="1"/>
  <c r="Q124" i="8"/>
  <c r="O102" i="8"/>
  <c r="Q125" i="8"/>
  <c r="AW322" i="8"/>
  <c r="AW324" i="8" s="1"/>
  <c r="AW500" i="8"/>
  <c r="BO113" i="8"/>
  <c r="BO125" i="8"/>
  <c r="BO95" i="8"/>
  <c r="Z531" i="8"/>
  <c r="K8" i="8"/>
  <c r="K78" i="8"/>
  <c r="O159" i="8"/>
  <c r="O155" i="8" s="1"/>
  <c r="BC103" i="8"/>
  <c r="P207" i="7"/>
  <c r="Q46" i="7"/>
  <c r="P132" i="7"/>
  <c r="O147" i="7"/>
  <c r="O221" i="7"/>
  <c r="P61" i="7"/>
  <c r="BI116" i="8"/>
  <c r="BI117" i="8"/>
  <c r="BQ117" i="8"/>
  <c r="BQ116" i="8"/>
  <c r="BR79" i="8"/>
  <c r="BR81" i="8"/>
  <c r="N215" i="7"/>
  <c r="O55" i="7"/>
  <c r="N140" i="7"/>
  <c r="BG202" i="8"/>
  <c r="BG201" i="8" s="1"/>
  <c r="BG203" i="8"/>
  <c r="F8" i="4"/>
  <c r="E7" i="4"/>
  <c r="AZ353" i="8"/>
  <c r="AZ315" i="8"/>
  <c r="BI202" i="8"/>
  <c r="BI201" i="8" s="1"/>
  <c r="BI203" i="8"/>
  <c r="BD188" i="8"/>
  <c r="BD189" i="8" s="1"/>
  <c r="BE188" i="8"/>
  <c r="BE189" i="8" s="1"/>
  <c r="BE88" i="8"/>
  <c r="BE89" i="8" s="1"/>
  <c r="AG717" i="8"/>
  <c r="AG365" i="8"/>
  <c r="AG736" i="8"/>
  <c r="AG355" i="8"/>
  <c r="P57" i="8"/>
  <c r="Q57" i="8"/>
  <c r="P412" i="8"/>
  <c r="P476" i="8"/>
  <c r="P411" i="8"/>
  <c r="P353" i="8"/>
  <c r="P315" i="8"/>
  <c r="P410" i="8"/>
  <c r="P413" i="8"/>
  <c r="AU77" i="8"/>
  <c r="AV71" i="8"/>
  <c r="AU70" i="8"/>
  <c r="BY260" i="8"/>
  <c r="BY261" i="8" s="1"/>
  <c r="BY231" i="8"/>
  <c r="BF149" i="8"/>
  <c r="BB150" i="8"/>
  <c r="S195" i="7"/>
  <c r="S120" i="7"/>
  <c r="AA262" i="8"/>
  <c r="BN149" i="8"/>
  <c r="AX500" i="8"/>
  <c r="AX322" i="8"/>
  <c r="AX324" i="8" s="1"/>
  <c r="AX419" i="8"/>
  <c r="AX373" i="8" s="1"/>
  <c r="AX374" i="8"/>
  <c r="X698" i="8"/>
  <c r="X688" i="8" s="1"/>
  <c r="X555" i="8" s="1"/>
  <c r="BU447" i="8"/>
  <c r="BU446" i="8"/>
  <c r="BJ15" i="8"/>
  <c r="BJ45" i="8"/>
  <c r="BN15" i="8"/>
  <c r="K73" i="8"/>
  <c r="CA75" i="8"/>
  <c r="AC342" i="8"/>
  <c r="AB341" i="8"/>
  <c r="AB348" i="8" s="1"/>
  <c r="AB346" i="8"/>
  <c r="AJ82" i="8"/>
  <c r="AG83" i="8"/>
  <c r="Q500" i="8"/>
  <c r="Q322" i="8"/>
  <c r="BL149" i="8"/>
  <c r="BO322" i="8"/>
  <c r="BO500" i="8"/>
  <c r="BI322" i="8"/>
  <c r="BI324" i="8" s="1"/>
  <c r="BI500" i="8"/>
  <c r="R189" i="8"/>
  <c r="R199" i="8"/>
  <c r="O199" i="8"/>
  <c r="O189" i="8"/>
  <c r="P102" i="8"/>
  <c r="P89" i="8"/>
  <c r="P90" i="8" s="1"/>
  <c r="P124" i="8"/>
  <c r="Q199" i="8"/>
  <c r="Q189" i="8"/>
  <c r="P189" i="8"/>
  <c r="P199" i="8"/>
  <c r="AW419" i="8"/>
  <c r="AW373" i="8" s="1"/>
  <c r="AW374" i="8"/>
  <c r="AR82" i="8"/>
  <c r="BH355" i="8"/>
  <c r="BH812" i="8"/>
  <c r="BH814" i="8" s="1"/>
  <c r="BH736" i="8"/>
  <c r="BH338" i="8"/>
  <c r="BH717" i="8"/>
  <c r="BH336" i="8"/>
  <c r="BH335" i="8"/>
  <c r="BH337" i="8"/>
  <c r="BH418" i="8"/>
  <c r="BH356" i="8" s="1"/>
  <c r="BH365" i="8"/>
  <c r="K319" i="8"/>
  <c r="K364" i="8"/>
  <c r="K418" i="8"/>
  <c r="K356" i="8" s="1"/>
  <c r="K354" i="8"/>
  <c r="AK83" i="8"/>
  <c r="AK82" i="8"/>
  <c r="AL83" i="8"/>
  <c r="O158" i="8"/>
  <c r="AP375" i="8"/>
  <c r="AP370" i="8"/>
  <c r="AP368" i="8"/>
  <c r="AY77" i="8"/>
  <c r="AY70" i="8"/>
  <c r="BV445" i="8"/>
  <c r="BV447" i="8"/>
  <c r="BV446" i="8"/>
  <c r="AD242" i="8"/>
  <c r="BX435" i="8"/>
  <c r="BY434" i="8"/>
  <c r="BQ79" i="8"/>
  <c r="BQ81" i="8"/>
  <c r="BP8" i="8"/>
  <c r="BP83" i="8"/>
  <c r="BP289" i="8"/>
  <c r="AA194" i="8"/>
  <c r="AA141" i="8"/>
  <c r="AB140" i="8"/>
  <c r="BS74" i="8"/>
  <c r="BS77" i="8"/>
  <c r="BS75" i="8"/>
  <c r="BA322" i="8" l="1"/>
  <c r="BA324" i="8" s="1"/>
  <c r="BA500" i="8"/>
  <c r="BZ250" i="8"/>
  <c r="BZ256" i="8" s="1"/>
  <c r="BY250" i="8"/>
  <c r="L70" i="8"/>
  <c r="AM11" i="8"/>
  <c r="AR71" i="8"/>
  <c r="AQ70" i="8"/>
  <c r="AQ77" i="8"/>
  <c r="D500" i="8"/>
  <c r="D322" i="8"/>
  <c r="M364" i="8"/>
  <c r="M418" i="8"/>
  <c r="M356" i="8" s="1"/>
  <c r="M354" i="8"/>
  <c r="M319" i="8"/>
  <c r="BE149" i="8"/>
  <c r="BF150" i="8"/>
  <c r="BE150" i="8"/>
  <c r="BC369" i="8"/>
  <c r="CA250" i="8"/>
  <c r="G319" i="8"/>
  <c r="G354" i="8"/>
  <c r="BH65" i="8"/>
  <c r="BH67" i="8" s="1"/>
  <c r="BD69" i="8"/>
  <c r="BD71" i="8" s="1"/>
  <c r="BD103" i="8"/>
  <c r="BD114" i="8" s="1"/>
  <c r="AU355" i="8"/>
  <c r="AU717" i="8"/>
  <c r="AU365" i="8"/>
  <c r="AU736" i="8"/>
  <c r="AU812" i="8"/>
  <c r="AU814" i="8" s="1"/>
  <c r="BN146" i="8"/>
  <c r="BM148" i="8"/>
  <c r="BM9" i="8"/>
  <c r="BM146" i="8"/>
  <c r="BM145" i="8"/>
  <c r="K11" i="8"/>
  <c r="AV355" i="8"/>
  <c r="AV812" i="8"/>
  <c r="AV814" i="8" s="1"/>
  <c r="AV717" i="8"/>
  <c r="AV365" i="8"/>
  <c r="AV736" i="8"/>
  <c r="AR418" i="8"/>
  <c r="AR356" i="8" s="1"/>
  <c r="AR319" i="8"/>
  <c r="AR364" i="8"/>
  <c r="AR354" i="8"/>
  <c r="BE15" i="8"/>
  <c r="BE45" i="8"/>
  <c r="AZ77" i="8"/>
  <c r="AZ79" i="8" s="1"/>
  <c r="AZ70" i="8"/>
  <c r="T133" i="8"/>
  <c r="T136" i="8"/>
  <c r="T137" i="8" s="1"/>
  <c r="AP77" i="8"/>
  <c r="AQ71" i="8"/>
  <c r="AP70" i="8"/>
  <c r="AP71" i="8"/>
  <c r="AQ355" i="8"/>
  <c r="AQ717" i="8"/>
  <c r="AQ736" i="8"/>
  <c r="AQ365" i="8"/>
  <c r="AQ812" i="8"/>
  <c r="AQ814" i="8" s="1"/>
  <c r="T66" i="8"/>
  <c r="T69" i="8"/>
  <c r="P156" i="7"/>
  <c r="P157" i="7" s="1"/>
  <c r="Q71" i="7"/>
  <c r="P72" i="7"/>
  <c r="P230" i="7"/>
  <c r="P231" i="7" s="1"/>
  <c r="O150" i="7"/>
  <c r="O224" i="7"/>
  <c r="W321" i="8"/>
  <c r="X505" i="8"/>
  <c r="CC505" i="8"/>
  <c r="CB321" i="8"/>
  <c r="BY321" i="8"/>
  <c r="BU193" i="8"/>
  <c r="BU162" i="8"/>
  <c r="BV193" i="8"/>
  <c r="BV162" i="8"/>
  <c r="S77" i="8"/>
  <c r="BF445" i="8"/>
  <c r="V250" i="8"/>
  <c r="V257" i="8"/>
  <c r="O235" i="7"/>
  <c r="O161" i="7"/>
  <c r="CB341" i="8"/>
  <c r="CB348" i="8" s="1"/>
  <c r="CB346" i="8"/>
  <c r="BO324" i="8"/>
  <c r="AS71" i="8"/>
  <c r="AS70" i="8"/>
  <c r="AS77" i="8"/>
  <c r="BN16" i="8"/>
  <c r="BN46" i="8"/>
  <c r="BB322" i="8"/>
  <c r="BB324" i="8" s="1"/>
  <c r="BB500" i="8"/>
  <c r="BQ324" i="8"/>
  <c r="BJ41" i="8"/>
  <c r="L324" i="8"/>
  <c r="L331" i="8"/>
  <c r="L333" i="8" s="1"/>
  <c r="H354" i="8"/>
  <c r="H319" i="8"/>
  <c r="H364" i="8"/>
  <c r="H374" i="8" s="1"/>
  <c r="AS354" i="8"/>
  <c r="AS364" i="8"/>
  <c r="AS418" i="8"/>
  <c r="AS356" i="8" s="1"/>
  <c r="AS319" i="8"/>
  <c r="BG16" i="8"/>
  <c r="BC46" i="8"/>
  <c r="AJ374" i="8"/>
  <c r="AJ419" i="8"/>
  <c r="AJ373" i="8" s="1"/>
  <c r="AV446" i="8"/>
  <c r="AU445" i="8"/>
  <c r="AU446" i="8"/>
  <c r="AY445" i="8"/>
  <c r="BW155" i="8"/>
  <c r="BX154" i="8"/>
  <c r="BO123" i="8"/>
  <c r="BO115" i="8"/>
  <c r="N87" i="8"/>
  <c r="N187" i="8"/>
  <c r="N200" i="8" s="1"/>
  <c r="N94" i="8"/>
  <c r="O125" i="8" s="1"/>
  <c r="N188" i="8"/>
  <c r="N92" i="8"/>
  <c r="N88" i="8"/>
  <c r="N86" i="8"/>
  <c r="N186" i="8"/>
  <c r="I353" i="8"/>
  <c r="I315" i="8"/>
  <c r="AO500" i="8"/>
  <c r="AO322" i="8"/>
  <c r="AO324" i="8" s="1"/>
  <c r="BC419" i="8"/>
  <c r="BC373" i="8" s="1"/>
  <c r="BC370" i="8"/>
  <c r="BG65" i="8"/>
  <c r="N476" i="8"/>
  <c r="N353" i="8"/>
  <c r="N315" i="8"/>
  <c r="AT445" i="8"/>
  <c r="AQ446" i="8"/>
  <c r="AP446" i="8"/>
  <c r="AP445" i="8"/>
  <c r="BJ315" i="8"/>
  <c r="BJ353" i="8"/>
  <c r="BR319" i="8"/>
  <c r="BR364" i="8"/>
  <c r="BR354" i="8"/>
  <c r="Y675" i="8"/>
  <c r="X552" i="8"/>
  <c r="BK322" i="8"/>
  <c r="BK324" i="8" s="1"/>
  <c r="BK500" i="8"/>
  <c r="BR16" i="8"/>
  <c r="BR46" i="8"/>
  <c r="BU120" i="8"/>
  <c r="BQ120" i="8"/>
  <c r="BP141" i="8"/>
  <c r="BP144" i="8"/>
  <c r="BP142" i="8"/>
  <c r="BQ140" i="8"/>
  <c r="BP194" i="8"/>
  <c r="BP195" i="8" s="1"/>
  <c r="AJ446" i="8"/>
  <c r="AI446" i="8"/>
  <c r="X256" i="8"/>
  <c r="X231" i="8"/>
  <c r="X260" i="8"/>
  <c r="X261" i="8" s="1"/>
  <c r="AO8" i="8"/>
  <c r="AO11" i="8" s="1"/>
  <c r="AO81" i="8"/>
  <c r="AO79" i="8"/>
  <c r="AO78" i="8"/>
  <c r="Y629" i="8"/>
  <c r="X534" i="8"/>
  <c r="BT717" i="8"/>
  <c r="BT736" i="8"/>
  <c r="BT812" i="8"/>
  <c r="BT814" i="8" s="1"/>
  <c r="BT337" i="8"/>
  <c r="BT365" i="8"/>
  <c r="BT335" i="8"/>
  <c r="BT418" i="8"/>
  <c r="BT356" i="8" s="1"/>
  <c r="BT355" i="8"/>
  <c r="BT338" i="8"/>
  <c r="AO374" i="8"/>
  <c r="AO419" i="8"/>
  <c r="AO373" i="8" s="1"/>
  <c r="F353" i="8"/>
  <c r="F315" i="8"/>
  <c r="BG41" i="8"/>
  <c r="BC375" i="8"/>
  <c r="BC367" i="8"/>
  <c r="BD67" i="8"/>
  <c r="CC74" i="8"/>
  <c r="CD73" i="8"/>
  <c r="CC75" i="8"/>
  <c r="BL335" i="8"/>
  <c r="BL736" i="8"/>
  <c r="BL812" i="8"/>
  <c r="BL814" i="8" s="1"/>
  <c r="BL337" i="8"/>
  <c r="BL418" i="8"/>
  <c r="BL356" i="8" s="1"/>
  <c r="BL355" i="8"/>
  <c r="BL717" i="8"/>
  <c r="BL338" i="8"/>
  <c r="BL365" i="8"/>
  <c r="BL336" i="8"/>
  <c r="BF500" i="8"/>
  <c r="BF322" i="8"/>
  <c r="BF324" i="8" s="1"/>
  <c r="O322" i="8"/>
  <c r="O500" i="8"/>
  <c r="BG46" i="8"/>
  <c r="BK16" i="8"/>
  <c r="R144" i="8"/>
  <c r="R194" i="8"/>
  <c r="R195" i="8" s="1"/>
  <c r="R141" i="8"/>
  <c r="R142" i="8"/>
  <c r="CD342" i="8"/>
  <c r="CC346" i="8"/>
  <c r="CC341" i="8"/>
  <c r="CC348" i="8" s="1"/>
  <c r="CD262" i="8"/>
  <c r="CE260" i="8"/>
  <c r="CE261" i="8" s="1"/>
  <c r="AJ500" i="8"/>
  <c r="AJ322" i="8"/>
  <c r="AJ324" i="8" s="1"/>
  <c r="Y230" i="8"/>
  <c r="Z239" i="8"/>
  <c r="S497" i="8"/>
  <c r="S503" i="8"/>
  <c r="S384" i="8"/>
  <c r="S358" i="8"/>
  <c r="S207" i="8"/>
  <c r="S56" i="8"/>
  <c r="S57" i="8" s="1"/>
  <c r="S442" i="8"/>
  <c r="BS246" i="8"/>
  <c r="BS353" i="8"/>
  <c r="BS315" i="8"/>
  <c r="S315" i="8" s="1"/>
  <c r="S309" i="8"/>
  <c r="N41" i="8"/>
  <c r="CD194" i="8"/>
  <c r="CD142" i="8"/>
  <c r="BV16" i="8"/>
  <c r="BG148" i="8"/>
  <c r="BG145" i="8"/>
  <c r="BG146" i="8"/>
  <c r="BG9" i="8"/>
  <c r="BH146" i="8"/>
  <c r="BN354" i="8"/>
  <c r="BN319" i="8"/>
  <c r="BN364" i="8"/>
  <c r="J315" i="8"/>
  <c r="J353" i="8"/>
  <c r="BR446" i="8"/>
  <c r="BQ445" i="8"/>
  <c r="BQ446" i="8"/>
  <c r="BQ447" i="8"/>
  <c r="AN500" i="8"/>
  <c r="AN322" i="8"/>
  <c r="AN324" i="8" s="1"/>
  <c r="BM374" i="8"/>
  <c r="BV41" i="8"/>
  <c r="BA65" i="8"/>
  <c r="AW69" i="8"/>
  <c r="AW67" i="8"/>
  <c r="AW103" i="8"/>
  <c r="AW193" i="8"/>
  <c r="E355" i="8"/>
  <c r="E736" i="8"/>
  <c r="E717" i="8"/>
  <c r="AF354" i="8"/>
  <c r="AF364" i="8"/>
  <c r="AF418" i="8"/>
  <c r="AF356" i="8" s="1"/>
  <c r="AF319" i="8"/>
  <c r="C354" i="8"/>
  <c r="C319" i="8"/>
  <c r="AQ445" i="8"/>
  <c r="AM446" i="8"/>
  <c r="AM445" i="8"/>
  <c r="AN446" i="8"/>
  <c r="AS9" i="8"/>
  <c r="AS148" i="8"/>
  <c r="AT146" i="8"/>
  <c r="AS146" i="8"/>
  <c r="AS145" i="8"/>
  <c r="BG353" i="8"/>
  <c r="BG315" i="8"/>
  <c r="AN419" i="8"/>
  <c r="AN373" i="8" s="1"/>
  <c r="AN374" i="8"/>
  <c r="R364" i="8"/>
  <c r="R354" i="8"/>
  <c r="R319" i="8"/>
  <c r="AB73" i="8"/>
  <c r="AA74" i="8"/>
  <c r="AT736" i="8"/>
  <c r="AT355" i="8"/>
  <c r="AT717" i="8"/>
  <c r="AT365" i="8"/>
  <c r="AT812" i="8"/>
  <c r="AT814" i="8" s="1"/>
  <c r="BK148" i="8"/>
  <c r="BK9" i="8"/>
  <c r="BK145" i="8"/>
  <c r="BL146" i="8"/>
  <c r="BK146" i="8"/>
  <c r="BC148" i="8"/>
  <c r="BC9" i="8"/>
  <c r="BC45" i="8" s="1"/>
  <c r="BC145" i="8"/>
  <c r="BD146" i="8"/>
  <c r="BC146" i="8"/>
  <c r="AY9" i="8"/>
  <c r="AY146" i="8"/>
  <c r="AZ146" i="8"/>
  <c r="AY148" i="8"/>
  <c r="AY145" i="8"/>
  <c r="BO145" i="8"/>
  <c r="BO9" i="8"/>
  <c r="BO146" i="8"/>
  <c r="BO148" i="8"/>
  <c r="BO150" i="8" s="1"/>
  <c r="BO295" i="8"/>
  <c r="BO268" i="8" s="1"/>
  <c r="BO202" i="8"/>
  <c r="BO201" i="8" s="1"/>
  <c r="BO203" i="8"/>
  <c r="BS57" i="8"/>
  <c r="BS58" i="8"/>
  <c r="BT58" i="8"/>
  <c r="BP59" i="8"/>
  <c r="BR59" i="8"/>
  <c r="BS59" i="8"/>
  <c r="BQ59" i="8"/>
  <c r="L5" i="8"/>
  <c r="M4" i="8"/>
  <c r="BB446" i="8"/>
  <c r="BB445" i="8"/>
  <c r="BJ46" i="8"/>
  <c r="BJ16" i="8"/>
  <c r="BM117" i="8"/>
  <c r="BM116" i="8"/>
  <c r="BM115" i="8" s="1"/>
  <c r="R94" i="8"/>
  <c r="R125" i="8" s="1"/>
  <c r="BF113" i="8"/>
  <c r="BJ121" i="8" s="1"/>
  <c r="BJ125" i="8"/>
  <c r="BN115" i="8"/>
  <c r="BN123" i="8"/>
  <c r="S81" i="8"/>
  <c r="S8" i="8"/>
  <c r="S73" i="8"/>
  <c r="BP44" i="8"/>
  <c r="O154" i="8"/>
  <c r="P163" i="8"/>
  <c r="P203" i="8"/>
  <c r="P202" i="8"/>
  <c r="P201" i="8" s="1"/>
  <c r="Q331" i="8"/>
  <c r="Q333" i="8" s="1"/>
  <c r="Q324" i="8"/>
  <c r="AC341" i="8"/>
  <c r="AC348" i="8" s="1"/>
  <c r="AD342" i="8"/>
  <c r="AC346" i="8"/>
  <c r="AU78" i="8"/>
  <c r="AU8" i="8"/>
  <c r="AU11" i="8" s="1"/>
  <c r="AV79" i="8"/>
  <c r="AU81" i="8"/>
  <c r="BD202" i="8"/>
  <c r="BD201" i="8" s="1"/>
  <c r="BD203" i="8"/>
  <c r="G8" i="4"/>
  <c r="BR83" i="8"/>
  <c r="BR116" i="8"/>
  <c r="BR8" i="8"/>
  <c r="BR289" i="8"/>
  <c r="BI115" i="8"/>
  <c r="Q61" i="7"/>
  <c r="P147" i="7"/>
  <c r="P221" i="7"/>
  <c r="BC70" i="8"/>
  <c r="BC77" i="8"/>
  <c r="AA531" i="8"/>
  <c r="AA753" i="8" s="1"/>
  <c r="BS121" i="8"/>
  <c r="BO121" i="8"/>
  <c r="AW365" i="8"/>
  <c r="AW717" i="8"/>
  <c r="AW355" i="8"/>
  <c r="AW736" i="8"/>
  <c r="AW812" i="8"/>
  <c r="AW814" i="8" s="1"/>
  <c r="O112" i="8"/>
  <c r="O113" i="8"/>
  <c r="J104" i="8"/>
  <c r="J105" i="8" s="1"/>
  <c r="J116" i="8" s="1"/>
  <c r="J115" i="8" s="1"/>
  <c r="J194" i="8"/>
  <c r="J195" i="8" s="1"/>
  <c r="BM322" i="8"/>
  <c r="BM500" i="8"/>
  <c r="BQ164" i="8"/>
  <c r="R159" i="8"/>
  <c r="BV319" i="8"/>
  <c r="BV354" i="8"/>
  <c r="BV364" i="8"/>
  <c r="BX256" i="8"/>
  <c r="BX251" i="8"/>
  <c r="BZ172" i="8"/>
  <c r="BY173" i="8"/>
  <c r="W559" i="8"/>
  <c r="X728" i="8"/>
  <c r="X731" i="8" s="1"/>
  <c r="X727" i="8" s="1"/>
  <c r="BP717" i="8"/>
  <c r="BP736" i="8"/>
  <c r="BP365" i="8"/>
  <c r="BP812" i="8"/>
  <c r="BP814" i="8" s="1"/>
  <c r="BP418" i="8"/>
  <c r="BP356" i="8" s="1"/>
  <c r="BP336" i="8"/>
  <c r="BP335" i="8"/>
  <c r="BP355" i="8"/>
  <c r="X811" i="8"/>
  <c r="Y556" i="8"/>
  <c r="AL374" i="8"/>
  <c r="AL419" i="8"/>
  <c r="AL373" i="8" s="1"/>
  <c r="BQ125" i="8"/>
  <c r="BQ95" i="8"/>
  <c r="BQ113" i="8"/>
  <c r="BX343" i="8"/>
  <c r="U347" i="8"/>
  <c r="X741" i="8"/>
  <c r="Y630" i="8"/>
  <c r="Z630" i="8" s="1"/>
  <c r="AA630" i="8" s="1"/>
  <c r="AB630" i="8" s="1"/>
  <c r="AC630" i="8" s="1"/>
  <c r="AD630" i="8" s="1"/>
  <c r="X631" i="8"/>
  <c r="AT77" i="8"/>
  <c r="AU79" i="8" s="1"/>
  <c r="AT71" i="8"/>
  <c r="AT70" i="8"/>
  <c r="M69" i="8"/>
  <c r="M103" i="8"/>
  <c r="M114" i="8" s="1"/>
  <c r="M193" i="8"/>
  <c r="M66" i="8"/>
  <c r="BU353" i="8"/>
  <c r="BU315" i="8"/>
  <c r="BS81" i="8"/>
  <c r="BS78" i="8"/>
  <c r="BS79" i="8"/>
  <c r="K322" i="8"/>
  <c r="K500" i="8"/>
  <c r="O203" i="8"/>
  <c r="O202" i="8"/>
  <c r="O201" i="8" s="1"/>
  <c r="P354" i="8"/>
  <c r="P364" i="8"/>
  <c r="P319" i="8"/>
  <c r="BE90" i="8"/>
  <c r="BE117" i="8" s="1"/>
  <c r="BE95" i="8"/>
  <c r="BE116" i="8"/>
  <c r="BE115" i="8" s="1"/>
  <c r="O215" i="7"/>
  <c r="P55" i="7"/>
  <c r="O140" i="7"/>
  <c r="AB141" i="8"/>
  <c r="AC140" i="8"/>
  <c r="AB194" i="8"/>
  <c r="BQ8" i="8"/>
  <c r="BQ289" i="8"/>
  <c r="BQ83" i="8"/>
  <c r="BY435" i="8"/>
  <c r="BZ434" i="8"/>
  <c r="AY81" i="8"/>
  <c r="AY78" i="8"/>
  <c r="AY8" i="8"/>
  <c r="K374" i="8"/>
  <c r="K419" i="8"/>
  <c r="K373" i="8" s="1"/>
  <c r="BH419" i="8"/>
  <c r="BH373" i="8" s="1"/>
  <c r="BH375" i="8"/>
  <c r="BH367" i="8"/>
  <c r="BH368" i="8"/>
  <c r="BH370" i="8"/>
  <c r="BH369" i="8"/>
  <c r="Q203" i="8"/>
  <c r="Q202" i="8"/>
  <c r="Q201" i="8" s="1"/>
  <c r="P112" i="8"/>
  <c r="P113" i="8"/>
  <c r="P121" i="8" s="1"/>
  <c r="P126" i="8"/>
  <c r="R203" i="8"/>
  <c r="R202" i="8"/>
  <c r="R201" i="8" s="1"/>
  <c r="BI336" i="8"/>
  <c r="BI335" i="8"/>
  <c r="BI812" i="8"/>
  <c r="BI814" i="8" s="1"/>
  <c r="BI355" i="8"/>
  <c r="BI736" i="8"/>
  <c r="BI717" i="8"/>
  <c r="BI418" i="8"/>
  <c r="BI356" i="8" s="1"/>
  <c r="BI337" i="8"/>
  <c r="BI365" i="8"/>
  <c r="BI338" i="8"/>
  <c r="BO365" i="8"/>
  <c r="BO355" i="8"/>
  <c r="BO812" i="8"/>
  <c r="BO814" i="8" s="1"/>
  <c r="BO418" i="8"/>
  <c r="BO356" i="8" s="1"/>
  <c r="BO736" i="8"/>
  <c r="BO717" i="8"/>
  <c r="K194" i="8"/>
  <c r="K195" i="8" s="1"/>
  <c r="K104" i="8"/>
  <c r="K105" i="8" s="1"/>
  <c r="K116" i="8" s="1"/>
  <c r="K115" i="8" s="1"/>
  <c r="AX355" i="8"/>
  <c r="AX736" i="8"/>
  <c r="AX365" i="8"/>
  <c r="AX717" i="8"/>
  <c r="AX812" i="8"/>
  <c r="AX814" i="8" s="1"/>
  <c r="AB262" i="8"/>
  <c r="AG375" i="8"/>
  <c r="AG370" i="8"/>
  <c r="AG368" i="8"/>
  <c r="BD88" i="8"/>
  <c r="BD89" i="8" s="1"/>
  <c r="BE203" i="8"/>
  <c r="BE202" i="8"/>
  <c r="BE201" i="8" s="1"/>
  <c r="AZ319" i="8"/>
  <c r="AZ364" i="8"/>
  <c r="AZ374" i="8" s="1"/>
  <c r="AZ354" i="8"/>
  <c r="BQ115" i="8"/>
  <c r="Q207" i="7"/>
  <c r="R46" i="7"/>
  <c r="Q132" i="7"/>
  <c r="BG103" i="8"/>
  <c r="BG114" i="8" s="1"/>
  <c r="BK65" i="8"/>
  <c r="BG69" i="8"/>
  <c r="Z753" i="8"/>
  <c r="Q112" i="8"/>
  <c r="Q126" i="8"/>
  <c r="Q113" i="8"/>
  <c r="R112" i="8"/>
  <c r="R126" i="8"/>
  <c r="AY419" i="8"/>
  <c r="AY373" i="8" s="1"/>
  <c r="AY374" i="8"/>
  <c r="AY322" i="8"/>
  <c r="AY324" i="8" s="1"/>
  <c r="AY500" i="8"/>
  <c r="S4" i="8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T5" i="8"/>
  <c r="T4" i="8" s="1"/>
  <c r="BL163" i="8"/>
  <c r="BQ163" i="8"/>
  <c r="BJ154" i="8"/>
  <c r="BK155" i="8"/>
  <c r="BK159" i="8" s="1"/>
  <c r="BP164" i="8" s="1"/>
  <c r="BK158" i="8"/>
  <c r="BR121" i="8"/>
  <c r="BN121" i="8"/>
  <c r="BZ251" i="8"/>
  <c r="CA256" i="8"/>
  <c r="CA251" i="8"/>
  <c r="AA689" i="8"/>
  <c r="Z698" i="8"/>
  <c r="Z688" i="8" s="1"/>
  <c r="Z555" i="8" s="1"/>
  <c r="BD338" i="8"/>
  <c r="BD365" i="8"/>
  <c r="BD717" i="8"/>
  <c r="BD418" i="8"/>
  <c r="BD356" i="8" s="1"/>
  <c r="BD355" i="8"/>
  <c r="BD337" i="8"/>
  <c r="BD736" i="8"/>
  <c r="BD812" i="8"/>
  <c r="BD814" i="8" s="1"/>
  <c r="BD336" i="8"/>
  <c r="BD335" i="8"/>
  <c r="I6" i="7"/>
  <c r="H5" i="7"/>
  <c r="AM6" i="7"/>
  <c r="AN6" i="7" s="1"/>
  <c r="AO6" i="7" s="1"/>
  <c r="AP6" i="7" s="1"/>
  <c r="AL322" i="8"/>
  <c r="AL324" i="8" s="1"/>
  <c r="AL500" i="8"/>
  <c r="V341" i="8"/>
  <c r="V348" i="8" s="1"/>
  <c r="V346" i="8"/>
  <c r="BX341" i="8"/>
  <c r="BX348" i="8" s="1"/>
  <c r="BY342" i="8"/>
  <c r="BX346" i="8"/>
  <c r="W251" i="8"/>
  <c r="BB65" i="8"/>
  <c r="AX67" i="8"/>
  <c r="AX193" i="8"/>
  <c r="AX69" i="8"/>
  <c r="AX103" i="8"/>
  <c r="N65" i="8"/>
  <c r="AY67" i="8"/>
  <c r="BU58" i="8"/>
  <c r="BU57" i="8"/>
  <c r="BP94" i="8"/>
  <c r="BF115" i="8"/>
  <c r="BJ123" i="8"/>
  <c r="O128" i="7"/>
  <c r="P41" i="7"/>
  <c r="O203" i="7"/>
  <c r="R113" i="8" l="1"/>
  <c r="AZ81" i="8"/>
  <c r="AZ78" i="8"/>
  <c r="AR374" i="8"/>
  <c r="AR419" i="8"/>
  <c r="AR373" i="8" s="1"/>
  <c r="AV368" i="8"/>
  <c r="AV375" i="8"/>
  <c r="AV370" i="8"/>
  <c r="BN150" i="8"/>
  <c r="BM149" i="8"/>
  <c r="BM150" i="8"/>
  <c r="AU370" i="8"/>
  <c r="AU375" i="8"/>
  <c r="AU368" i="8"/>
  <c r="BD70" i="8"/>
  <c r="BD77" i="8"/>
  <c r="BD79" i="8" s="1"/>
  <c r="M374" i="8"/>
  <c r="M419" i="8"/>
  <c r="M373" i="8" s="1"/>
  <c r="BY251" i="8"/>
  <c r="BY256" i="8"/>
  <c r="AR322" i="8"/>
  <c r="AR324" i="8" s="1"/>
  <c r="AR500" i="8"/>
  <c r="BL65" i="8"/>
  <c r="BH103" i="8"/>
  <c r="BH114" i="8" s="1"/>
  <c r="BH122" i="8" s="1"/>
  <c r="BH69" i="8"/>
  <c r="M322" i="8"/>
  <c r="M500" i="8"/>
  <c r="D331" i="8"/>
  <c r="D324" i="8"/>
  <c r="AY11" i="8"/>
  <c r="BQ123" i="8"/>
  <c r="BM45" i="8"/>
  <c r="BM15" i="8"/>
  <c r="G322" i="8"/>
  <c r="G500" i="8"/>
  <c r="AQ81" i="8"/>
  <c r="AQ78" i="8"/>
  <c r="AR79" i="8"/>
  <c r="AQ8" i="8"/>
  <c r="AQ11" i="8" s="1"/>
  <c r="BA812" i="8"/>
  <c r="BA814" i="8" s="1"/>
  <c r="BA355" i="8"/>
  <c r="BA717" i="8"/>
  <c r="BA365" i="8"/>
  <c r="BA418" i="8"/>
  <c r="BA356" i="8" s="1"/>
  <c r="BA736" i="8"/>
  <c r="T70" i="8"/>
  <c r="AQ368" i="8"/>
  <c r="AQ370" i="8"/>
  <c r="AQ375" i="8"/>
  <c r="AP8" i="8"/>
  <c r="AP11" i="8" s="1"/>
  <c r="AP79" i="8"/>
  <c r="AP81" i="8"/>
  <c r="AP78" i="8"/>
  <c r="L77" i="8"/>
  <c r="AQ79" i="8"/>
  <c r="R71" i="7"/>
  <c r="Q156" i="7"/>
  <c r="Q157" i="7" s="1"/>
  <c r="Q230" i="7"/>
  <c r="Q231" i="7" s="1"/>
  <c r="Q72" i="7"/>
  <c r="P224" i="7"/>
  <c r="P150" i="7"/>
  <c r="Y505" i="8"/>
  <c r="X321" i="8"/>
  <c r="BZ321" i="8"/>
  <c r="CA505" i="8"/>
  <c r="CA321" i="8" s="1"/>
  <c r="CD505" i="8"/>
  <c r="CD321" i="8" s="1"/>
  <c r="CC321" i="8"/>
  <c r="BM123" i="8"/>
  <c r="CB250" i="8"/>
  <c r="CE250" i="8"/>
  <c r="CD250" i="8"/>
  <c r="CC250" i="8"/>
  <c r="V251" i="8"/>
  <c r="P235" i="7"/>
  <c r="P161" i="7"/>
  <c r="V347" i="8"/>
  <c r="CB343" i="8"/>
  <c r="S354" i="8"/>
  <c r="S364" i="8"/>
  <c r="C500" i="8"/>
  <c r="C322" i="8"/>
  <c r="CC262" i="8"/>
  <c r="CD260" i="8"/>
  <c r="CD261" i="8" s="1"/>
  <c r="BY154" i="8"/>
  <c r="BX155" i="8"/>
  <c r="AS374" i="8"/>
  <c r="AS419" i="8"/>
  <c r="AS373" i="8" s="1"/>
  <c r="BP338" i="8"/>
  <c r="BO11" i="8"/>
  <c r="BO45" i="8"/>
  <c r="BO15" i="8"/>
  <c r="AT375" i="8"/>
  <c r="AT368" i="8"/>
  <c r="AT370" i="8"/>
  <c r="AW77" i="8"/>
  <c r="AW71" i="8"/>
  <c r="AW70" i="8"/>
  <c r="AN736" i="8"/>
  <c r="AN717" i="8"/>
  <c r="AN355" i="8"/>
  <c r="AN812" i="8"/>
  <c r="AN814" i="8" s="1"/>
  <c r="AN815" i="8" s="1"/>
  <c r="AN365" i="8"/>
  <c r="BN374" i="8"/>
  <c r="BG150" i="8"/>
  <c r="BG149" i="8"/>
  <c r="BH150" i="8"/>
  <c r="CE194" i="8"/>
  <c r="CE142" i="8"/>
  <c r="Z230" i="8"/>
  <c r="AA239" i="8"/>
  <c r="BL367" i="8"/>
  <c r="BL368" i="8"/>
  <c r="BL419" i="8"/>
  <c r="BL370" i="8"/>
  <c r="BL375" i="8"/>
  <c r="BL369" i="8"/>
  <c r="AO83" i="8"/>
  <c r="AO82" i="8"/>
  <c r="BK812" i="8"/>
  <c r="BK814" i="8" s="1"/>
  <c r="BK365" i="8"/>
  <c r="BK336" i="8"/>
  <c r="BK355" i="8"/>
  <c r="BK736" i="8"/>
  <c r="BK717" i="8"/>
  <c r="BK335" i="8"/>
  <c r="BK418" i="8"/>
  <c r="BK356" i="8" s="1"/>
  <c r="BK337" i="8"/>
  <c r="BK338" i="8"/>
  <c r="BR322" i="8"/>
  <c r="BR500" i="8"/>
  <c r="BQ717" i="8"/>
  <c r="BQ335" i="8"/>
  <c r="BQ355" i="8"/>
  <c r="BQ418" i="8"/>
  <c r="BQ356" i="8" s="1"/>
  <c r="BQ365" i="8"/>
  <c r="BQ812" i="8"/>
  <c r="BQ814" i="8" s="1"/>
  <c r="BQ336" i="8"/>
  <c r="BQ736" i="8"/>
  <c r="AF374" i="8"/>
  <c r="AF419" i="8"/>
  <c r="AF373" i="8" s="1"/>
  <c r="J319" i="8"/>
  <c r="J418" i="8"/>
  <c r="J356" i="8" s="1"/>
  <c r="J354" i="8"/>
  <c r="J364" i="8"/>
  <c r="BR374" i="8"/>
  <c r="BJ354" i="8"/>
  <c r="BJ364" i="8"/>
  <c r="BJ374" i="8" s="1"/>
  <c r="BJ319" i="8"/>
  <c r="I319" i="8"/>
  <c r="I364" i="8"/>
  <c r="I418" i="8"/>
  <c r="I356" i="8" s="1"/>
  <c r="I354" i="8"/>
  <c r="AS79" i="8"/>
  <c r="AS8" i="8"/>
  <c r="AS11" i="8" s="1"/>
  <c r="AS78" i="8"/>
  <c r="AS81" i="8"/>
  <c r="BO270" i="8"/>
  <c r="BD150" i="8"/>
  <c r="BC150" i="8"/>
  <c r="BK45" i="8"/>
  <c r="BK15" i="8"/>
  <c r="AC73" i="8"/>
  <c r="AB74" i="8"/>
  <c r="R374" i="8"/>
  <c r="AF500" i="8"/>
  <c r="AF322" i="8"/>
  <c r="AF324" i="8" s="1"/>
  <c r="BE65" i="8"/>
  <c r="BA103" i="8"/>
  <c r="BA69" i="8"/>
  <c r="BA67" i="8"/>
  <c r="BN322" i="8"/>
  <c r="BN500" i="8"/>
  <c r="BG45" i="8"/>
  <c r="BG15" i="8"/>
  <c r="S353" i="8"/>
  <c r="Y231" i="8"/>
  <c r="Y260" i="8"/>
  <c r="Y261" i="8" s="1"/>
  <c r="Y256" i="8"/>
  <c r="Y534" i="8"/>
  <c r="Z629" i="8"/>
  <c r="BP202" i="8"/>
  <c r="BP201" i="8" s="1"/>
  <c r="BP203" i="8"/>
  <c r="BP295" i="8"/>
  <c r="BP268" i="8" s="1"/>
  <c r="BP145" i="8"/>
  <c r="BP146" i="8"/>
  <c r="BP148" i="8"/>
  <c r="BP9" i="8"/>
  <c r="AO736" i="8"/>
  <c r="AO717" i="8"/>
  <c r="AO355" i="8"/>
  <c r="AO365" i="8"/>
  <c r="AO812" i="8"/>
  <c r="AO814" i="8" s="1"/>
  <c r="N199" i="8"/>
  <c r="N189" i="8"/>
  <c r="AS500" i="8"/>
  <c r="AS322" i="8"/>
  <c r="AS324" i="8" s="1"/>
  <c r="L365" i="8"/>
  <c r="L812" i="8"/>
  <c r="L814" i="8" s="1"/>
  <c r="L355" i="8"/>
  <c r="L335" i="8"/>
  <c r="L338" i="8"/>
  <c r="L337" i="8"/>
  <c r="L736" i="8"/>
  <c r="L761" i="8" s="1"/>
  <c r="L793" i="8" s="1"/>
  <c r="L336" i="8"/>
  <c r="L717" i="8"/>
  <c r="BP337" i="8"/>
  <c r="K5" i="8"/>
  <c r="L4" i="8"/>
  <c r="BS247" i="8"/>
  <c r="BT248" i="8" s="1"/>
  <c r="BF355" i="8"/>
  <c r="BF736" i="8"/>
  <c r="BF812" i="8"/>
  <c r="BF814" i="8" s="1"/>
  <c r="BF338" i="8"/>
  <c r="BF337" i="8"/>
  <c r="BF717" i="8"/>
  <c r="BF335" i="8"/>
  <c r="BF365" i="8"/>
  <c r="BF336" i="8"/>
  <c r="BF418" i="8"/>
  <c r="BF356" i="8" s="1"/>
  <c r="CE73" i="8"/>
  <c r="CD75" i="8"/>
  <c r="CD74" i="8"/>
  <c r="BM324" i="8"/>
  <c r="BO149" i="8"/>
  <c r="BK149" i="8"/>
  <c r="BK150" i="8"/>
  <c r="BL150" i="8"/>
  <c r="R322" i="8"/>
  <c r="R500" i="8"/>
  <c r="BG364" i="8"/>
  <c r="BG374" i="8" s="1"/>
  <c r="BG354" i="8"/>
  <c r="BG319" i="8"/>
  <c r="BS364" i="8"/>
  <c r="BS319" i="8"/>
  <c r="S319" i="8" s="1"/>
  <c r="BS354" i="8"/>
  <c r="AJ355" i="8"/>
  <c r="AJ717" i="8"/>
  <c r="AJ736" i="8"/>
  <c r="AJ365" i="8"/>
  <c r="CE342" i="8"/>
  <c r="CD346" i="8"/>
  <c r="CD341" i="8"/>
  <c r="CD348" i="8" s="1"/>
  <c r="R9" i="8"/>
  <c r="R148" i="8"/>
  <c r="R149" i="8" s="1"/>
  <c r="R145" i="8"/>
  <c r="O324" i="8"/>
  <c r="O331" i="8"/>
  <c r="O333" i="8" s="1"/>
  <c r="F319" i="8"/>
  <c r="F354" i="8"/>
  <c r="BT368" i="8"/>
  <c r="BT369" i="8"/>
  <c r="BT375" i="8"/>
  <c r="BT419" i="8"/>
  <c r="BT367" i="8"/>
  <c r="X250" i="8"/>
  <c r="X257" i="8"/>
  <c r="BQ141" i="8"/>
  <c r="BQ194" i="8"/>
  <c r="BQ195" i="8" s="1"/>
  <c r="BQ144" i="8"/>
  <c r="BQ142" i="8"/>
  <c r="BR140" i="8"/>
  <c r="Z675" i="8"/>
  <c r="Y552" i="8"/>
  <c r="N364" i="8"/>
  <c r="N374" i="8" s="1"/>
  <c r="N354" i="8"/>
  <c r="N319" i="8"/>
  <c r="N102" i="8"/>
  <c r="O124" i="8"/>
  <c r="H500" i="8"/>
  <c r="H322" i="8"/>
  <c r="BB812" i="8"/>
  <c r="BB814" i="8" s="1"/>
  <c r="BB418" i="8"/>
  <c r="BB356" i="8" s="1"/>
  <c r="BB355" i="8"/>
  <c r="BB736" i="8"/>
  <c r="BB717" i="8"/>
  <c r="BB365" i="8"/>
  <c r="Q121" i="8"/>
  <c r="P128" i="7"/>
  <c r="Q41" i="7"/>
  <c r="P203" i="7"/>
  <c r="BY346" i="8"/>
  <c r="BY341" i="8"/>
  <c r="BY348" i="8" s="1"/>
  <c r="BZ342" i="8"/>
  <c r="AL365" i="8"/>
  <c r="AL355" i="8"/>
  <c r="AL736" i="8"/>
  <c r="AL717" i="8"/>
  <c r="BD367" i="8"/>
  <c r="BD375" i="8"/>
  <c r="BD419" i="8"/>
  <c r="BD373" i="8" s="1"/>
  <c r="BD370" i="8"/>
  <c r="BD369" i="8"/>
  <c r="BD368" i="8"/>
  <c r="S120" i="8"/>
  <c r="R120" i="8"/>
  <c r="BG77" i="8"/>
  <c r="BH71" i="8"/>
  <c r="BG70" i="8"/>
  <c r="AZ500" i="8"/>
  <c r="AZ322" i="8"/>
  <c r="AZ324" i="8" s="1"/>
  <c r="O88" i="8"/>
  <c r="O89" i="8" s="1"/>
  <c r="O90" i="8" s="1"/>
  <c r="AX375" i="8"/>
  <c r="AX370" i="8"/>
  <c r="AX368" i="8"/>
  <c r="P120" i="8"/>
  <c r="CA434" i="8"/>
  <c r="BZ435" i="8"/>
  <c r="BQ44" i="8"/>
  <c r="P322" i="8"/>
  <c r="P500" i="8"/>
  <c r="BS82" i="8"/>
  <c r="BS116" i="8"/>
  <c r="BS83" i="8"/>
  <c r="BS8" i="8"/>
  <c r="BU319" i="8"/>
  <c r="BU354" i="8"/>
  <c r="BU364" i="8"/>
  <c r="M70" i="8"/>
  <c r="BU121" i="8"/>
  <c r="BQ121" i="8"/>
  <c r="X559" i="8"/>
  <c r="Y728" i="8"/>
  <c r="Y731" i="8" s="1"/>
  <c r="Y727" i="8" s="1"/>
  <c r="BV374" i="8"/>
  <c r="BV322" i="8"/>
  <c r="BV500" i="8"/>
  <c r="BM355" i="8"/>
  <c r="BM335" i="8"/>
  <c r="BM337" i="8"/>
  <c r="BM418" i="8"/>
  <c r="BM356" i="8" s="1"/>
  <c r="BM736" i="8"/>
  <c r="AB531" i="8"/>
  <c r="Q147" i="7"/>
  <c r="Q221" i="7"/>
  <c r="R61" i="7"/>
  <c r="BR115" i="8"/>
  <c r="BR123" i="8"/>
  <c r="BR117" i="8"/>
  <c r="AD346" i="8"/>
  <c r="AD341" i="8"/>
  <c r="AD348" i="8" s="1"/>
  <c r="Q418" i="8"/>
  <c r="Q356" i="8" s="1"/>
  <c r="Q336" i="8"/>
  <c r="Q812" i="8"/>
  <c r="Q814" i="8" s="1"/>
  <c r="Q717" i="8"/>
  <c r="Q718" i="8" s="1"/>
  <c r="Q365" i="8"/>
  <c r="Q355" i="8"/>
  <c r="Q335" i="8"/>
  <c r="Q736" i="8"/>
  <c r="Q761" i="8" s="1"/>
  <c r="Q793" i="8" s="1"/>
  <c r="Q338" i="8"/>
  <c r="Q337" i="8"/>
  <c r="S116" i="8"/>
  <c r="BP125" i="8"/>
  <c r="BP95" i="8"/>
  <c r="BP113" i="8"/>
  <c r="N69" i="8"/>
  <c r="N66" i="8"/>
  <c r="N103" i="8"/>
  <c r="N114" i="8" s="1"/>
  <c r="AX71" i="8"/>
  <c r="AX77" i="8"/>
  <c r="AX70" i="8"/>
  <c r="AY71" i="8"/>
  <c r="BF65" i="8"/>
  <c r="BB67" i="8"/>
  <c r="BB69" i="8"/>
  <c r="O65" i="8"/>
  <c r="BB103" i="8"/>
  <c r="BC67" i="8"/>
  <c r="J6" i="7"/>
  <c r="AQ6" i="7"/>
  <c r="AR6" i="7" s="1"/>
  <c r="AS6" i="7" s="1"/>
  <c r="AT6" i="7" s="1"/>
  <c r="AA698" i="8"/>
  <c r="AA688" i="8" s="1"/>
  <c r="AA555" i="8" s="1"/>
  <c r="AB689" i="8"/>
  <c r="CA257" i="8"/>
  <c r="CA258" i="8"/>
  <c r="BZ257" i="8"/>
  <c r="BZ258" i="8"/>
  <c r="BK163" i="8"/>
  <c r="BP163" i="8"/>
  <c r="BJ155" i="8"/>
  <c r="BJ159" i="8" s="1"/>
  <c r="BO164" i="8" s="1"/>
  <c r="BJ158" i="8"/>
  <c r="BI154" i="8"/>
  <c r="U5" i="8"/>
  <c r="AY355" i="8"/>
  <c r="AY717" i="8"/>
  <c r="AY365" i="8"/>
  <c r="AY812" i="8"/>
  <c r="AY814" i="8" s="1"/>
  <c r="AY736" i="8"/>
  <c r="S121" i="8"/>
  <c r="R121" i="8"/>
  <c r="Q120" i="8"/>
  <c r="BK69" i="8"/>
  <c r="BK103" i="8"/>
  <c r="BK114" i="8" s="1"/>
  <c r="BO66" i="8"/>
  <c r="BL67" i="8"/>
  <c r="R207" i="7"/>
  <c r="S46" i="7"/>
  <c r="R132" i="7"/>
  <c r="BD90" i="8"/>
  <c r="BD117" i="8" s="1"/>
  <c r="BD95" i="8"/>
  <c r="BD116" i="8"/>
  <c r="AC262" i="8"/>
  <c r="BO368" i="8"/>
  <c r="BO367" i="8"/>
  <c r="BO419" i="8"/>
  <c r="BO369" i="8"/>
  <c r="BO370" i="8"/>
  <c r="BO375" i="8"/>
  <c r="BI419" i="8"/>
  <c r="BI373" i="8" s="1"/>
  <c r="BI375" i="8"/>
  <c r="BI369" i="8"/>
  <c r="BI368" i="8"/>
  <c r="BI367" i="8"/>
  <c r="BI370" i="8"/>
  <c r="AZ83" i="8"/>
  <c r="AY82" i="8"/>
  <c r="AC194" i="8"/>
  <c r="AD140" i="8"/>
  <c r="AC141" i="8"/>
  <c r="P215" i="7"/>
  <c r="Q55" i="7"/>
  <c r="P140" i="7"/>
  <c r="P374" i="8"/>
  <c r="K331" i="8"/>
  <c r="K333" i="8" s="1"/>
  <c r="K324" i="8"/>
  <c r="AT79" i="8"/>
  <c r="AT81" i="8"/>
  <c r="AU83" i="8" s="1"/>
  <c r="AT78" i="8"/>
  <c r="M77" i="8"/>
  <c r="M73" i="8" s="1"/>
  <c r="AT8" i="8"/>
  <c r="AT11" i="8" s="1"/>
  <c r="BY343" i="8"/>
  <c r="BX347" i="8"/>
  <c r="Y811" i="8"/>
  <c r="Z556" i="8"/>
  <c r="BP375" i="8"/>
  <c r="BP369" i="8"/>
  <c r="BP370" i="8"/>
  <c r="BP367" i="8"/>
  <c r="BP419" i="8"/>
  <c r="BP368" i="8"/>
  <c r="CA172" i="8"/>
  <c r="CB172" i="8" s="1"/>
  <c r="CC172" i="8" s="1"/>
  <c r="CD172" i="8" s="1"/>
  <c r="CE172" i="8" s="1"/>
  <c r="BZ173" i="8"/>
  <c r="BX258" i="8"/>
  <c r="BX257" i="8"/>
  <c r="R155" i="8"/>
  <c r="S164" i="8"/>
  <c r="AW368" i="8"/>
  <c r="AW370" i="8"/>
  <c r="AW375" i="8"/>
  <c r="BC78" i="8"/>
  <c r="BC81" i="8"/>
  <c r="BI123" i="8"/>
  <c r="BR44" i="8"/>
  <c r="G7" i="4"/>
  <c r="H8" i="4"/>
  <c r="AV83" i="8"/>
  <c r="S44" i="8"/>
  <c r="D736" i="8" l="1"/>
  <c r="D717" i="8"/>
  <c r="D355" i="8"/>
  <c r="BH77" i="8"/>
  <c r="BH79" i="8" s="1"/>
  <c r="BH70" i="8"/>
  <c r="AR365" i="8"/>
  <c r="AR717" i="8"/>
  <c r="AR355" i="8"/>
  <c r="AR812" i="8"/>
  <c r="AR814" i="8" s="1"/>
  <c r="AR736" i="8"/>
  <c r="BA368" i="8"/>
  <c r="BA369" i="8"/>
  <c r="BA370" i="8"/>
  <c r="BA367" i="8"/>
  <c r="BA419" i="8"/>
  <c r="BA373" i="8" s="1"/>
  <c r="BA375" i="8"/>
  <c r="BL103" i="8"/>
  <c r="BL114" i="8" s="1"/>
  <c r="BL69" i="8"/>
  <c r="BP66" i="8"/>
  <c r="AR83" i="8"/>
  <c r="AQ82" i="8"/>
  <c r="BY257" i="8"/>
  <c r="BY258" i="8"/>
  <c r="BD78" i="8"/>
  <c r="BD81" i="8"/>
  <c r="AU82" i="8"/>
  <c r="AO761" i="8"/>
  <c r="G331" i="8"/>
  <c r="G324" i="8"/>
  <c r="M324" i="8"/>
  <c r="M331" i="8"/>
  <c r="M333" i="8" s="1"/>
  <c r="AZ8" i="8"/>
  <c r="AZ82" i="8"/>
  <c r="L78" i="8"/>
  <c r="L8" i="8"/>
  <c r="L11" i="8" s="1"/>
  <c r="L73" i="8"/>
  <c r="BM338" i="8"/>
  <c r="BM812" i="8"/>
  <c r="BM814" i="8" s="1"/>
  <c r="BM336" i="8"/>
  <c r="AP82" i="8"/>
  <c r="AP83" i="8"/>
  <c r="AQ83" i="8"/>
  <c r="BM365" i="8"/>
  <c r="BM717" i="8"/>
  <c r="R156" i="7"/>
  <c r="R157" i="7" s="1"/>
  <c r="R72" i="7"/>
  <c r="S71" i="7"/>
  <c r="R230" i="7"/>
  <c r="R231" i="7" s="1"/>
  <c r="Q224" i="7"/>
  <c r="Q150" i="7"/>
  <c r="CE321" i="8"/>
  <c r="Z505" i="8"/>
  <c r="Y321" i="8"/>
  <c r="CC251" i="8"/>
  <c r="CC256" i="8"/>
  <c r="CD256" i="8"/>
  <c r="CD251" i="8"/>
  <c r="CE251" i="8"/>
  <c r="CE256" i="8"/>
  <c r="CB251" i="8"/>
  <c r="CB256" i="8"/>
  <c r="Q161" i="7"/>
  <c r="Q235" i="7"/>
  <c r="CC343" i="8"/>
  <c r="CB347" i="8"/>
  <c r="AM761" i="8"/>
  <c r="S500" i="8"/>
  <c r="BB368" i="8"/>
  <c r="BB370" i="8"/>
  <c r="BB367" i="8"/>
  <c r="BB419" i="8"/>
  <c r="BB373" i="8" s="1"/>
  <c r="BB375" i="8"/>
  <c r="BB369" i="8"/>
  <c r="AA675" i="8"/>
  <c r="Z552" i="8"/>
  <c r="O337" i="8"/>
  <c r="O338" i="8"/>
  <c r="O355" i="8"/>
  <c r="O812" i="8"/>
  <c r="O814" i="8" s="1"/>
  <c r="O736" i="8"/>
  <c r="O761" i="8" s="1"/>
  <c r="O793" i="8" s="1"/>
  <c r="O798" i="8" s="1"/>
  <c r="O365" i="8"/>
  <c r="O717" i="8"/>
  <c r="O718" i="8" s="1"/>
  <c r="O336" i="8"/>
  <c r="O335" i="8"/>
  <c r="O418" i="8"/>
  <c r="O356" i="8" s="1"/>
  <c r="AH761" i="8"/>
  <c r="AG761" i="8"/>
  <c r="BI65" i="8"/>
  <c r="BE103" i="8"/>
  <c r="BE114" i="8" s="1"/>
  <c r="BE67" i="8"/>
  <c r="BE69" i="8"/>
  <c r="BR324" i="8"/>
  <c r="AN370" i="8"/>
  <c r="AN368" i="8"/>
  <c r="AN375" i="8"/>
  <c r="C331" i="8"/>
  <c r="C324" i="8"/>
  <c r="BP373" i="8"/>
  <c r="CA435" i="8"/>
  <c r="CB434" i="8"/>
  <c r="N113" i="8"/>
  <c r="O121" i="8" s="1"/>
  <c r="N112" i="8"/>
  <c r="O120" i="8" s="1"/>
  <c r="O126" i="8"/>
  <c r="BR144" i="8"/>
  <c r="BR141" i="8"/>
  <c r="BS140" i="8"/>
  <c r="S140" i="8" s="1"/>
  <c r="BR194" i="8"/>
  <c r="BR195" i="8" s="1"/>
  <c r="BR142" i="8"/>
  <c r="BS374" i="8"/>
  <c r="BF367" i="8"/>
  <c r="BF375" i="8"/>
  <c r="BF419" i="8"/>
  <c r="BF373" i="8" s="1"/>
  <c r="BF370" i="8"/>
  <c r="BF369" i="8"/>
  <c r="BF368" i="8"/>
  <c r="K4" i="8"/>
  <c r="J5" i="8"/>
  <c r="L368" i="8"/>
  <c r="L370" i="8"/>
  <c r="L375" i="8"/>
  <c r="BP150" i="8"/>
  <c r="BP149" i="8"/>
  <c r="AF736" i="8"/>
  <c r="AF717" i="8"/>
  <c r="AF365" i="8"/>
  <c r="AF355" i="8"/>
  <c r="AS82" i="8"/>
  <c r="AS83" i="8"/>
  <c r="BJ322" i="8"/>
  <c r="BJ324" i="8" s="1"/>
  <c r="BJ500" i="8"/>
  <c r="J374" i="8"/>
  <c r="J419" i="8"/>
  <c r="J373" i="8" s="1"/>
  <c r="BQ337" i="8"/>
  <c r="BL373" i="8"/>
  <c r="AA230" i="8"/>
  <c r="AB239" i="8"/>
  <c r="AN816" i="8"/>
  <c r="AO810" i="8"/>
  <c r="AO815" i="8" s="1"/>
  <c r="S374" i="8"/>
  <c r="BQ202" i="8"/>
  <c r="BQ201" i="8" s="1"/>
  <c r="BQ295" i="8"/>
  <c r="BQ268" i="8" s="1"/>
  <c r="BQ203" i="8"/>
  <c r="N203" i="8"/>
  <c r="N202" i="8"/>
  <c r="N201" i="8" s="1"/>
  <c r="BP45" i="8"/>
  <c r="BP15" i="8"/>
  <c r="BP11" i="8"/>
  <c r="BO373" i="8"/>
  <c r="BV324" i="8"/>
  <c r="H324" i="8"/>
  <c r="H331" i="8"/>
  <c r="H333" i="8" s="1"/>
  <c r="F322" i="8"/>
  <c r="F500" i="8"/>
  <c r="CE346" i="8"/>
  <c r="CE341" i="8"/>
  <c r="CE348" i="8" s="1"/>
  <c r="CE75" i="8"/>
  <c r="CE74" i="8"/>
  <c r="AS812" i="8"/>
  <c r="AS814" i="8" s="1"/>
  <c r="AS355" i="8"/>
  <c r="AS717" i="8"/>
  <c r="AS736" i="8"/>
  <c r="AS365" i="8"/>
  <c r="Y257" i="8"/>
  <c r="Y250" i="8"/>
  <c r="BA70" i="8"/>
  <c r="BA77" i="8"/>
  <c r="BA71" i="8"/>
  <c r="BQ375" i="8"/>
  <c r="BQ367" i="8"/>
  <c r="BQ370" i="8"/>
  <c r="BQ368" i="8"/>
  <c r="BQ419" i="8"/>
  <c r="BQ369" i="8"/>
  <c r="BK368" i="8"/>
  <c r="BK367" i="8"/>
  <c r="BK370" i="8"/>
  <c r="BK369" i="8"/>
  <c r="BK419" i="8"/>
  <c r="BK373" i="8" s="1"/>
  <c r="BK375" i="8"/>
  <c r="Z256" i="8"/>
  <c r="Z231" i="8"/>
  <c r="Z260" i="8"/>
  <c r="Z261" i="8" s="1"/>
  <c r="BS322" i="8"/>
  <c r="S322" i="8" s="1"/>
  <c r="BS500" i="8"/>
  <c r="R324" i="8"/>
  <c r="R331" i="8"/>
  <c r="R333" i="8" s="1"/>
  <c r="BN324" i="8"/>
  <c r="I500" i="8"/>
  <c r="I322" i="8"/>
  <c r="J500" i="8"/>
  <c r="J322" i="8"/>
  <c r="BQ338" i="8"/>
  <c r="CB173" i="8"/>
  <c r="N322" i="8"/>
  <c r="N500" i="8"/>
  <c r="BQ145" i="8"/>
  <c r="BQ146" i="8"/>
  <c r="BQ9" i="8"/>
  <c r="BQ148" i="8"/>
  <c r="X251" i="8"/>
  <c r="BT373" i="8"/>
  <c r="R15" i="8"/>
  <c r="R45" i="8"/>
  <c r="AJ375" i="8"/>
  <c r="AJ370" i="8"/>
  <c r="AJ368" i="8"/>
  <c r="BG322" i="8"/>
  <c r="BG324" i="8" s="1"/>
  <c r="BG500" i="8"/>
  <c r="AO375" i="8"/>
  <c r="AO370" i="8"/>
  <c r="AO368" i="8"/>
  <c r="Z534" i="8"/>
  <c r="AA629" i="8"/>
  <c r="AC74" i="8"/>
  <c r="AD73" i="8"/>
  <c r="AD74" i="8" s="1"/>
  <c r="I419" i="8"/>
  <c r="I373" i="8" s="1"/>
  <c r="I374" i="8"/>
  <c r="AW81" i="8"/>
  <c r="AW79" i="8"/>
  <c r="AW78" i="8"/>
  <c r="AW8" i="8"/>
  <c r="AW11" i="8" s="1"/>
  <c r="BO21" i="8"/>
  <c r="BO22" i="8"/>
  <c r="BO20" i="8"/>
  <c r="BO47" i="8"/>
  <c r="BZ154" i="8"/>
  <c r="BY155" i="8"/>
  <c r="CB262" i="8"/>
  <c r="CB260" i="8" s="1"/>
  <c r="CB261" i="8" s="1"/>
  <c r="CC260" i="8"/>
  <c r="CC261" i="8" s="1"/>
  <c r="M194" i="8"/>
  <c r="M195" i="8" s="1"/>
  <c r="M104" i="8"/>
  <c r="M105" i="8" s="1"/>
  <c r="M116" i="8" s="1"/>
  <c r="M115" i="8" s="1"/>
  <c r="CA173" i="8"/>
  <c r="AD141" i="8"/>
  <c r="AD194" i="8"/>
  <c r="BH123" i="8"/>
  <c r="BD115" i="8"/>
  <c r="BH154" i="8"/>
  <c r="BI155" i="8"/>
  <c r="BI159" i="8" s="1"/>
  <c r="BN164" i="8" s="1"/>
  <c r="BI158" i="8"/>
  <c r="BI163" i="8" s="1"/>
  <c r="O69" i="8"/>
  <c r="O66" i="8"/>
  <c r="O103" i="8"/>
  <c r="O114" i="8" s="1"/>
  <c r="O122" i="8" s="1"/>
  <c r="AX78" i="8"/>
  <c r="N77" i="8"/>
  <c r="N73" i="8" s="1"/>
  <c r="N104" i="8" s="1"/>
  <c r="N105" i="8" s="1"/>
  <c r="AX81" i="8"/>
  <c r="AX79" i="8"/>
  <c r="AY79" i="8"/>
  <c r="AX8" i="8"/>
  <c r="AX11" i="8" s="1"/>
  <c r="N70" i="8"/>
  <c r="BT121" i="8"/>
  <c r="BP121" i="8"/>
  <c r="Q370" i="8"/>
  <c r="Q375" i="8"/>
  <c r="Q419" i="8"/>
  <c r="Q367" i="8"/>
  <c r="Q368" i="8"/>
  <c r="Q369" i="8"/>
  <c r="AC531" i="8"/>
  <c r="AC753" i="8" s="1"/>
  <c r="BM367" i="8"/>
  <c r="Z728" i="8"/>
  <c r="Z731" i="8" s="1"/>
  <c r="Z727" i="8" s="1"/>
  <c r="Y559" i="8"/>
  <c r="BU374" i="8"/>
  <c r="BU322" i="8"/>
  <c r="BU500" i="8"/>
  <c r="BS115" i="8"/>
  <c r="BS117" i="8"/>
  <c r="BS123" i="8"/>
  <c r="P324" i="8"/>
  <c r="P331" i="8"/>
  <c r="P333" i="8" s="1"/>
  <c r="AZ717" i="8"/>
  <c r="AZ418" i="8"/>
  <c r="AZ356" i="8" s="1"/>
  <c r="AZ365" i="8"/>
  <c r="AZ736" i="8"/>
  <c r="AZ812" i="8"/>
  <c r="AZ814" i="8" s="1"/>
  <c r="AZ355" i="8"/>
  <c r="BG78" i="8"/>
  <c r="BG81" i="8"/>
  <c r="BZ341" i="8"/>
  <c r="BZ348" i="8" s="1"/>
  <c r="BZ346" i="8"/>
  <c r="CA342" i="8"/>
  <c r="BC8" i="8"/>
  <c r="BC82" i="8"/>
  <c r="BD83" i="8"/>
  <c r="AA556" i="8"/>
  <c r="Z811" i="8"/>
  <c r="BK122" i="8"/>
  <c r="BO122" i="8"/>
  <c r="AY375" i="8"/>
  <c r="AY368" i="8"/>
  <c r="AY370" i="8"/>
  <c r="I8" i="4"/>
  <c r="H7" i="4"/>
  <c r="BY347" i="8"/>
  <c r="BZ343" i="8"/>
  <c r="M78" i="8"/>
  <c r="M8" i="8"/>
  <c r="AT82" i="8"/>
  <c r="AT83" i="8"/>
  <c r="K717" i="8"/>
  <c r="K335" i="8"/>
  <c r="K337" i="8"/>
  <c r="K336" i="8"/>
  <c r="K365" i="8"/>
  <c r="K355" i="8"/>
  <c r="K338" i="8"/>
  <c r="K736" i="8"/>
  <c r="K761" i="8" s="1"/>
  <c r="K793" i="8" s="1"/>
  <c r="K812" i="8"/>
  <c r="K814" i="8" s="1"/>
  <c r="Q215" i="7"/>
  <c r="Q140" i="7"/>
  <c r="AD262" i="8"/>
  <c r="S207" i="7"/>
  <c r="S132" i="7"/>
  <c r="BO70" i="8"/>
  <c r="BK77" i="8"/>
  <c r="BK70" i="8"/>
  <c r="BL71" i="8"/>
  <c r="U4" i="8"/>
  <c r="V5" i="8"/>
  <c r="BJ163" i="8"/>
  <c r="BO163" i="8"/>
  <c r="BN158" i="8"/>
  <c r="AC689" i="8"/>
  <c r="AB698" i="8"/>
  <c r="AB688" i="8" s="1"/>
  <c r="AB555" i="8" s="1"/>
  <c r="K6" i="7"/>
  <c r="J5" i="7"/>
  <c r="BB77" i="8"/>
  <c r="BB71" i="8"/>
  <c r="BB70" i="8"/>
  <c r="BC71" i="8"/>
  <c r="BF69" i="8"/>
  <c r="BF103" i="8"/>
  <c r="BF114" i="8" s="1"/>
  <c r="BF67" i="8"/>
  <c r="BJ65" i="8"/>
  <c r="P65" i="8"/>
  <c r="BG67" i="8"/>
  <c r="S117" i="8"/>
  <c r="S115" i="8"/>
  <c r="Q798" i="8"/>
  <c r="R147" i="7"/>
  <c r="R221" i="7"/>
  <c r="AB753" i="8"/>
  <c r="BV355" i="8"/>
  <c r="BV335" i="8"/>
  <c r="BV717" i="8"/>
  <c r="BV418" i="8"/>
  <c r="BV356" i="8" s="1"/>
  <c r="BV337" i="8"/>
  <c r="BV736" i="8"/>
  <c r="BV812" i="8"/>
  <c r="BV814" i="8" s="1"/>
  <c r="BV365" i="8"/>
  <c r="BS14" i="8"/>
  <c r="BS44" i="8"/>
  <c r="AL761" i="8"/>
  <c r="AK761" i="8"/>
  <c r="AI761" i="8"/>
  <c r="AL375" i="8"/>
  <c r="AL370" i="8"/>
  <c r="AL368" i="8"/>
  <c r="Q128" i="7"/>
  <c r="Q203" i="7"/>
  <c r="R41" i="7"/>
  <c r="BM369" i="8" l="1"/>
  <c r="AZ44" i="8"/>
  <c r="AZ11" i="8"/>
  <c r="BH78" i="8"/>
  <c r="BH81" i="8"/>
  <c r="BM370" i="8"/>
  <c r="BM375" i="8"/>
  <c r="M336" i="8"/>
  <c r="M812" i="8"/>
  <c r="M814" i="8" s="1"/>
  <c r="M338" i="8"/>
  <c r="M355" i="8"/>
  <c r="M337" i="8"/>
  <c r="M736" i="8"/>
  <c r="M761" i="8" s="1"/>
  <c r="M793" i="8" s="1"/>
  <c r="M717" i="8"/>
  <c r="M365" i="8"/>
  <c r="M335" i="8"/>
  <c r="BP70" i="8"/>
  <c r="BL77" i="8"/>
  <c r="BL70" i="8"/>
  <c r="AR368" i="8"/>
  <c r="AR370" i="8"/>
  <c r="AR375" i="8"/>
  <c r="BM419" i="8"/>
  <c r="BM368" i="8"/>
  <c r="G355" i="8"/>
  <c r="G736" i="8"/>
  <c r="G717" i="8"/>
  <c r="BD8" i="8"/>
  <c r="BD82" i="8"/>
  <c r="BL122" i="8"/>
  <c r="BP122" i="8"/>
  <c r="L194" i="8"/>
  <c r="L195" i="8" s="1"/>
  <c r="L104" i="8"/>
  <c r="L105" i="8" s="1"/>
  <c r="L116" i="8" s="1"/>
  <c r="L115" i="8" s="1"/>
  <c r="S72" i="7"/>
  <c r="S156" i="7"/>
  <c r="S157" i="7" s="1"/>
  <c r="S230" i="7"/>
  <c r="S231" i="7" s="1"/>
  <c r="R150" i="7"/>
  <c r="R224" i="7"/>
  <c r="Z321" i="8"/>
  <c r="AA505" i="8"/>
  <c r="CB257" i="8"/>
  <c r="CB258" i="8"/>
  <c r="CD257" i="8"/>
  <c r="CD258" i="8"/>
  <c r="CE258" i="8"/>
  <c r="CE257" i="8"/>
  <c r="CC258" i="8"/>
  <c r="CC257" i="8"/>
  <c r="R161" i="7"/>
  <c r="R235" i="7"/>
  <c r="CD343" i="8"/>
  <c r="CC347" i="8"/>
  <c r="S331" i="8"/>
  <c r="S333" i="8" s="1"/>
  <c r="S142" i="8"/>
  <c r="S144" i="8"/>
  <c r="S141" i="8"/>
  <c r="S194" i="8"/>
  <c r="S195" i="8" s="1"/>
  <c r="S203" i="8" s="1"/>
  <c r="CA154" i="8"/>
  <c r="CB154" i="8" s="1"/>
  <c r="CC154" i="8" s="1"/>
  <c r="CD154" i="8" s="1"/>
  <c r="CE154" i="8" s="1"/>
  <c r="BZ155" i="8"/>
  <c r="BQ45" i="8"/>
  <c r="BQ15" i="8"/>
  <c r="BQ11" i="8"/>
  <c r="N331" i="8"/>
  <c r="N333" i="8" s="1"/>
  <c r="N324" i="8"/>
  <c r="J324" i="8"/>
  <c r="J331" i="8"/>
  <c r="J333" i="8" s="1"/>
  <c r="AQ761" i="8"/>
  <c r="AP761" i="8"/>
  <c r="F324" i="8"/>
  <c r="F331" i="8"/>
  <c r="BP20" i="8"/>
  <c r="BP22" i="8"/>
  <c r="BP21" i="8"/>
  <c r="BP47" i="8"/>
  <c r="BR295" i="8"/>
  <c r="BR268" i="8" s="1"/>
  <c r="BR203" i="8"/>
  <c r="CC173" i="8"/>
  <c r="I331" i="8"/>
  <c r="I333" i="8" s="1"/>
  <c r="I324" i="8"/>
  <c r="BS324" i="8"/>
  <c r="S324" i="8" s="1"/>
  <c r="H365" i="8"/>
  <c r="H355" i="8"/>
  <c r="H336" i="8"/>
  <c r="H736" i="8"/>
  <c r="H761" i="8" s="1"/>
  <c r="H793" i="8" s="1"/>
  <c r="H795" i="8" s="1"/>
  <c r="I794" i="8" s="1"/>
  <c r="H717" i="8"/>
  <c r="H337" i="8"/>
  <c r="H335" i="8"/>
  <c r="H338" i="8"/>
  <c r="AA256" i="8"/>
  <c r="AA231" i="8"/>
  <c r="AA260" i="8"/>
  <c r="AA261" i="8" s="1"/>
  <c r="BJ355" i="8"/>
  <c r="BJ335" i="8"/>
  <c r="BJ337" i="8"/>
  <c r="BJ338" i="8"/>
  <c r="BJ717" i="8"/>
  <c r="BJ812" i="8"/>
  <c r="BJ814" i="8" s="1"/>
  <c r="BJ365" i="8"/>
  <c r="BJ418" i="8"/>
  <c r="BJ356" i="8" s="1"/>
  <c r="BJ336" i="8"/>
  <c r="BJ736" i="8"/>
  <c r="AF375" i="8"/>
  <c r="AF368" i="8"/>
  <c r="AF370" i="8"/>
  <c r="BR418" i="8"/>
  <c r="BR356" i="8" s="1"/>
  <c r="BR335" i="8"/>
  <c r="BR365" i="8"/>
  <c r="BR336" i="8"/>
  <c r="BR355" i="8"/>
  <c r="BR812" i="8"/>
  <c r="BR814" i="8" s="1"/>
  <c r="BR736" i="8"/>
  <c r="BR717" i="8"/>
  <c r="BI103" i="8"/>
  <c r="BI114" i="8" s="1"/>
  <c r="BI122" i="8" s="1"/>
  <c r="BM65" i="8"/>
  <c r="BI69" i="8"/>
  <c r="BI67" i="8"/>
  <c r="O367" i="8"/>
  <c r="O370" i="8"/>
  <c r="O375" i="8"/>
  <c r="O369" i="8"/>
  <c r="O419" i="8"/>
  <c r="O373" i="8" s="1"/>
  <c r="O368" i="8"/>
  <c r="AW83" i="8"/>
  <c r="AW82" i="8"/>
  <c r="BG355" i="8"/>
  <c r="BG736" i="8"/>
  <c r="BG717" i="8"/>
  <c r="BG812" i="8"/>
  <c r="BG814" i="8" s="1"/>
  <c r="BG365" i="8"/>
  <c r="BG338" i="8"/>
  <c r="BG335" i="8"/>
  <c r="BG336" i="8"/>
  <c r="BG337" i="8"/>
  <c r="BG418" i="8"/>
  <c r="BG356" i="8" s="1"/>
  <c r="BN812" i="8"/>
  <c r="BN814" i="8" s="1"/>
  <c r="BN418" i="8"/>
  <c r="BN356" i="8" s="1"/>
  <c r="BN736" i="8"/>
  <c r="BN355" i="8"/>
  <c r="BN335" i="8"/>
  <c r="BN717" i="8"/>
  <c r="BN337" i="8"/>
  <c r="BN365" i="8"/>
  <c r="Z250" i="8"/>
  <c r="Z257" i="8"/>
  <c r="BQ373" i="8"/>
  <c r="Y251" i="8"/>
  <c r="AC239" i="8"/>
  <c r="AB230" i="8"/>
  <c r="BS141" i="8"/>
  <c r="BS144" i="8"/>
  <c r="BS142" i="8"/>
  <c r="BS194" i="8"/>
  <c r="BS195" i="8" s="1"/>
  <c r="BS203" i="8" s="1"/>
  <c r="BU324" i="8"/>
  <c r="AA534" i="8"/>
  <c r="AB629" i="8"/>
  <c r="BQ150" i="8"/>
  <c r="BQ149" i="8"/>
  <c r="R717" i="8"/>
  <c r="R718" i="8" s="1"/>
  <c r="R812" i="8"/>
  <c r="R814" i="8" s="1"/>
  <c r="R365" i="8"/>
  <c r="R335" i="8"/>
  <c r="R736" i="8"/>
  <c r="R418" i="8"/>
  <c r="R356" i="8" s="1"/>
  <c r="R338" i="8"/>
  <c r="R336" i="8"/>
  <c r="R355" i="8"/>
  <c r="R337" i="8"/>
  <c r="BA78" i="8"/>
  <c r="BA79" i="8"/>
  <c r="BA81" i="8"/>
  <c r="AS370" i="8"/>
  <c r="AS375" i="8"/>
  <c r="AS368" i="8"/>
  <c r="AP810" i="8"/>
  <c r="AP815" i="8" s="1"/>
  <c r="AO816" i="8"/>
  <c r="J4" i="8"/>
  <c r="I5" i="8"/>
  <c r="BR9" i="8"/>
  <c r="BR148" i="8"/>
  <c r="BR146" i="8"/>
  <c r="BR145" i="8"/>
  <c r="CB435" i="8"/>
  <c r="CC434" i="8"/>
  <c r="C355" i="8"/>
  <c r="C736" i="8"/>
  <c r="C717" i="8"/>
  <c r="BE77" i="8"/>
  <c r="BE70" i="8"/>
  <c r="BE71" i="8"/>
  <c r="BP270" i="8"/>
  <c r="AB675" i="8"/>
  <c r="AA552" i="8"/>
  <c r="R128" i="7"/>
  <c r="R203" i="7"/>
  <c r="S41" i="7"/>
  <c r="S221" i="7"/>
  <c r="S147" i="7"/>
  <c r="P103" i="8"/>
  <c r="P114" i="8" s="1"/>
  <c r="P122" i="8" s="1"/>
  <c r="P66" i="8"/>
  <c r="P69" i="8"/>
  <c r="BF70" i="8"/>
  <c r="BF77" i="8"/>
  <c r="BF71" i="8"/>
  <c r="BG71" i="8"/>
  <c r="O77" i="8"/>
  <c r="BB78" i="8"/>
  <c r="BB81" i="8"/>
  <c r="BB79" i="8"/>
  <c r="BC79" i="8"/>
  <c r="L6" i="7"/>
  <c r="K5" i="7"/>
  <c r="AD689" i="8"/>
  <c r="AD698" i="8" s="1"/>
  <c r="AD688" i="8" s="1"/>
  <c r="AD555" i="8" s="1"/>
  <c r="AC698" i="8"/>
  <c r="AC688" i="8" s="1"/>
  <c r="AC555" i="8" s="1"/>
  <c r="W5" i="8"/>
  <c r="V4" i="8"/>
  <c r="BO78" i="8"/>
  <c r="BK81" i="8"/>
  <c r="BK78" i="8"/>
  <c r="BL79" i="8"/>
  <c r="M44" i="8"/>
  <c r="M11" i="8"/>
  <c r="M47" i="8" s="1"/>
  <c r="CA343" i="8"/>
  <c r="CA347" i="8" s="1"/>
  <c r="BZ347" i="8"/>
  <c r="J8" i="4"/>
  <c r="I7" i="4"/>
  <c r="AB556" i="8"/>
  <c r="AA811" i="8"/>
  <c r="BC11" i="8"/>
  <c r="BC20" i="8" s="1"/>
  <c r="BC44" i="8"/>
  <c r="CA341" i="8"/>
  <c r="CA348" i="8" s="1"/>
  <c r="CA346" i="8"/>
  <c r="BG8" i="8"/>
  <c r="BH83" i="8"/>
  <c r="BG82" i="8"/>
  <c r="P812" i="8"/>
  <c r="P814" i="8" s="1"/>
  <c r="P338" i="8"/>
  <c r="P736" i="8"/>
  <c r="P761" i="8" s="1"/>
  <c r="P793" i="8" s="1"/>
  <c r="P336" i="8"/>
  <c r="P418" i="8"/>
  <c r="P356" i="8" s="1"/>
  <c r="P335" i="8"/>
  <c r="P365" i="8"/>
  <c r="P717" i="8"/>
  <c r="P718" i="8" s="1"/>
  <c r="P355" i="8"/>
  <c r="P337" i="8"/>
  <c r="AD531" i="8"/>
  <c r="AD753" i="8" s="1"/>
  <c r="Q373" i="8"/>
  <c r="N117" i="8"/>
  <c r="N116" i="8"/>
  <c r="N115" i="8" s="1"/>
  <c r="N78" i="8"/>
  <c r="N81" i="8"/>
  <c r="N8" i="8"/>
  <c r="BH155" i="8"/>
  <c r="BH159" i="8" s="1"/>
  <c r="Q159" i="8" s="1"/>
  <c r="BH158" i="8"/>
  <c r="BV367" i="8"/>
  <c r="BV419" i="8"/>
  <c r="BV369" i="8"/>
  <c r="BV375" i="8"/>
  <c r="BN65" i="8"/>
  <c r="BJ69" i="8"/>
  <c r="BJ67" i="8"/>
  <c r="BJ103" i="8"/>
  <c r="BJ114" i="8" s="1"/>
  <c r="BJ122" i="8" s="1"/>
  <c r="Q65" i="8"/>
  <c r="BK67" i="8"/>
  <c r="BS163" i="8"/>
  <c r="R158" i="8"/>
  <c r="R215" i="7"/>
  <c r="R140" i="7"/>
  <c r="K370" i="8"/>
  <c r="K375" i="8"/>
  <c r="K368" i="8"/>
  <c r="AZ419" i="8"/>
  <c r="AZ373" i="8" s="1"/>
  <c r="AZ370" i="8"/>
  <c r="AZ369" i="8"/>
  <c r="AZ368" i="8"/>
  <c r="AZ367" i="8"/>
  <c r="AZ375" i="8"/>
  <c r="BU365" i="8"/>
  <c r="BU418" i="8"/>
  <c r="BU356" i="8" s="1"/>
  <c r="BU338" i="8"/>
  <c r="BU717" i="8"/>
  <c r="BU812" i="8"/>
  <c r="BU814" i="8" s="1"/>
  <c r="BU736" i="8"/>
  <c r="BU337" i="8"/>
  <c r="BU335" i="8"/>
  <c r="BU355" i="8"/>
  <c r="AA728" i="8"/>
  <c r="AA731" i="8" s="1"/>
  <c r="AA727" i="8" s="1"/>
  <c r="Z559" i="8"/>
  <c r="AX82" i="8"/>
  <c r="AX83" i="8"/>
  <c r="AY83" i="8"/>
  <c r="O70" i="8"/>
  <c r="O73" i="8"/>
  <c r="U384" i="8"/>
  <c r="BM373" i="8" l="1"/>
  <c r="BD14" i="8"/>
  <c r="BD44" i="8"/>
  <c r="BD11" i="8"/>
  <c r="M375" i="8"/>
  <c r="M370" i="8"/>
  <c r="M368" i="8"/>
  <c r="AZ20" i="8"/>
  <c r="AZ47" i="8"/>
  <c r="AZ22" i="8"/>
  <c r="AZ21" i="8"/>
  <c r="BL81" i="8"/>
  <c r="BL83" i="8" s="1"/>
  <c r="BL78" i="8"/>
  <c r="BP78" i="8"/>
  <c r="BH8" i="8"/>
  <c r="BH82" i="8"/>
  <c r="S224" i="7"/>
  <c r="S150" i="7"/>
  <c r="AB505" i="8"/>
  <c r="AA321" i="8"/>
  <c r="S161" i="7"/>
  <c r="S235" i="7"/>
  <c r="CE343" i="8"/>
  <c r="CE347" i="8" s="1"/>
  <c r="CD347" i="8"/>
  <c r="BM103" i="8"/>
  <c r="BM114" i="8" s="1"/>
  <c r="BQ66" i="8"/>
  <c r="BM69" i="8"/>
  <c r="BM67" i="8"/>
  <c r="AA250" i="8"/>
  <c r="AA257" i="8"/>
  <c r="F717" i="8"/>
  <c r="F355" i="8"/>
  <c r="F736" i="8"/>
  <c r="J736" i="8"/>
  <c r="J761" i="8" s="1"/>
  <c r="J793" i="8" s="1"/>
  <c r="J365" i="8"/>
  <c r="J336" i="8"/>
  <c r="J717" i="8"/>
  <c r="J338" i="8"/>
  <c r="J355" i="8"/>
  <c r="J337" i="8"/>
  <c r="J812" i="8"/>
  <c r="J814" i="8" s="1"/>
  <c r="J815" i="8" s="1"/>
  <c r="J335" i="8"/>
  <c r="AQ810" i="8"/>
  <c r="AQ815" i="8" s="1"/>
  <c r="AP816" i="8"/>
  <c r="BA83" i="8"/>
  <c r="BA8" i="8"/>
  <c r="BA82" i="8"/>
  <c r="BS9" i="8"/>
  <c r="BS148" i="8"/>
  <c r="BS146" i="8"/>
  <c r="BS145" i="8"/>
  <c r="Z251" i="8"/>
  <c r="BG419" i="8"/>
  <c r="BG373" i="8" s="1"/>
  <c r="BG367" i="8"/>
  <c r="BG370" i="8"/>
  <c r="BG368" i="8"/>
  <c r="BG369" i="8"/>
  <c r="BG375" i="8"/>
  <c r="BR337" i="8"/>
  <c r="I337" i="8"/>
  <c r="I355" i="8"/>
  <c r="I338" i="8"/>
  <c r="I736" i="8"/>
  <c r="I761" i="8" s="1"/>
  <c r="I793" i="8" s="1"/>
  <c r="I795" i="8" s="1"/>
  <c r="I717" i="8"/>
  <c r="I335" i="8"/>
  <c r="I365" i="8"/>
  <c r="I336" i="8"/>
  <c r="CD173" i="8"/>
  <c r="N336" i="8"/>
  <c r="N365" i="8"/>
  <c r="N717" i="8"/>
  <c r="N718" i="8" s="1"/>
  <c r="N355" i="8"/>
  <c r="N418" i="8"/>
  <c r="N356" i="8" s="1"/>
  <c r="N337" i="8"/>
  <c r="N812" i="8"/>
  <c r="N814" i="8" s="1"/>
  <c r="N338" i="8"/>
  <c r="N335" i="8"/>
  <c r="N736" i="8"/>
  <c r="N761" i="8" s="1"/>
  <c r="N793" i="8" s="1"/>
  <c r="N798" i="8" s="1"/>
  <c r="R367" i="8"/>
  <c r="R369" i="8"/>
  <c r="R419" i="8"/>
  <c r="R375" i="8"/>
  <c r="H368" i="8"/>
  <c r="H370" i="8"/>
  <c r="H375" i="8"/>
  <c r="BV373" i="8"/>
  <c r="AC675" i="8"/>
  <c r="AB552" i="8"/>
  <c r="BE79" i="8"/>
  <c r="BE78" i="8"/>
  <c r="BE81" i="8"/>
  <c r="CD434" i="8"/>
  <c r="CC435" i="8"/>
  <c r="BR149" i="8"/>
  <c r="BR202" i="8"/>
  <c r="BR201" i="8" s="1"/>
  <c r="BR150" i="8"/>
  <c r="R761" i="8"/>
  <c r="AB256" i="8"/>
  <c r="AB231" i="8"/>
  <c r="AB260" i="8"/>
  <c r="AB261" i="8" s="1"/>
  <c r="S337" i="8"/>
  <c r="S365" i="8"/>
  <c r="S336" i="8"/>
  <c r="S355" i="8"/>
  <c r="S736" i="8"/>
  <c r="S812" i="8"/>
  <c r="S814" i="8" s="1"/>
  <c r="S335" i="8"/>
  <c r="S338" i="8"/>
  <c r="S418" i="8"/>
  <c r="S356" i="8" s="1"/>
  <c r="S717" i="8"/>
  <c r="S718" i="8" s="1"/>
  <c r="BJ369" i="8"/>
  <c r="BJ368" i="8"/>
  <c r="BJ367" i="8"/>
  <c r="BJ419" i="8"/>
  <c r="BJ373" i="8" s="1"/>
  <c r="BJ370" i="8"/>
  <c r="BJ375" i="8"/>
  <c r="H5" i="8"/>
  <c r="I4" i="8"/>
  <c r="BN419" i="8"/>
  <c r="BN369" i="8"/>
  <c r="BN368" i="8"/>
  <c r="BN367" i="8"/>
  <c r="BN375" i="8"/>
  <c r="BR367" i="8"/>
  <c r="BR370" i="8"/>
  <c r="BR419" i="8"/>
  <c r="BR375" i="8"/>
  <c r="BR368" i="8"/>
  <c r="BR369" i="8"/>
  <c r="S9" i="8"/>
  <c r="S145" i="8"/>
  <c r="S148" i="8"/>
  <c r="BR45" i="8"/>
  <c r="BR15" i="8"/>
  <c r="BR11" i="8"/>
  <c r="BR21" i="8" s="1"/>
  <c r="AB534" i="8"/>
  <c r="AC629" i="8"/>
  <c r="AD239" i="8"/>
  <c r="AD230" i="8" s="1"/>
  <c r="AC230" i="8"/>
  <c r="BI70" i="8"/>
  <c r="BI71" i="8"/>
  <c r="BI77" i="8"/>
  <c r="BR338" i="8"/>
  <c r="BS335" i="8"/>
  <c r="BS812" i="8"/>
  <c r="BS814" i="8" s="1"/>
  <c r="BS365" i="8"/>
  <c r="BS355" i="8"/>
  <c r="BS418" i="8"/>
  <c r="BS356" i="8" s="1"/>
  <c r="BS736" i="8"/>
  <c r="BS717" i="8"/>
  <c r="BQ47" i="8"/>
  <c r="BQ20" i="8"/>
  <c r="BQ21" i="8"/>
  <c r="BQ22" i="8"/>
  <c r="BQ270" i="8"/>
  <c r="CA155" i="8"/>
  <c r="J816" i="8"/>
  <c r="K810" i="8"/>
  <c r="K815" i="8" s="1"/>
  <c r="AA559" i="8"/>
  <c r="AB728" i="8"/>
  <c r="AB731" i="8" s="1"/>
  <c r="AB727" i="8" s="1"/>
  <c r="R154" i="8"/>
  <c r="S163" i="8"/>
  <c r="BJ70" i="8"/>
  <c r="BJ71" i="8"/>
  <c r="BJ77" i="8"/>
  <c r="BK71" i="8"/>
  <c r="Q155" i="8"/>
  <c r="R164" i="8"/>
  <c r="BC21" i="8"/>
  <c r="BC47" i="8"/>
  <c r="BC22" i="8"/>
  <c r="J7" i="4"/>
  <c r="K8" i="4"/>
  <c r="BK8" i="8"/>
  <c r="BO82" i="8"/>
  <c r="BK82" i="8"/>
  <c r="BB83" i="8"/>
  <c r="BB8" i="8"/>
  <c r="BB82" i="8"/>
  <c r="BC83" i="8"/>
  <c r="O81" i="8"/>
  <c r="O82" i="8" s="1"/>
  <c r="O78" i="8"/>
  <c r="O8" i="8"/>
  <c r="S128" i="7"/>
  <c r="S203" i="7"/>
  <c r="O104" i="8"/>
  <c r="O105" i="8" s="1"/>
  <c r="O74" i="8"/>
  <c r="BU375" i="8"/>
  <c r="BU419" i="8"/>
  <c r="BU369" i="8"/>
  <c r="BU367" i="8"/>
  <c r="S215" i="7"/>
  <c r="S140" i="7"/>
  <c r="Q66" i="8"/>
  <c r="Q103" i="8"/>
  <c r="Q114" i="8" s="1"/>
  <c r="Q122" i="8" s="1"/>
  <c r="Q69" i="8"/>
  <c r="BO67" i="8"/>
  <c r="BN103" i="8"/>
  <c r="BN114" i="8" s="1"/>
  <c r="BR66" i="8"/>
  <c r="BN69" i="8"/>
  <c r="BN67" i="8"/>
  <c r="R65" i="8"/>
  <c r="Q158" i="8"/>
  <c r="BH163" i="8"/>
  <c r="BM163" i="8"/>
  <c r="N11" i="8"/>
  <c r="N20" i="8" s="1"/>
  <c r="N44" i="8"/>
  <c r="P419" i="8"/>
  <c r="P373" i="8" s="1"/>
  <c r="P367" i="8"/>
  <c r="P369" i="8"/>
  <c r="P370" i="8"/>
  <c r="P368" i="8"/>
  <c r="P375" i="8"/>
  <c r="P798" i="8"/>
  <c r="BG44" i="8"/>
  <c r="BG11" i="8"/>
  <c r="BG20" i="8" s="1"/>
  <c r="BG14" i="8"/>
  <c r="AC556" i="8"/>
  <c r="AB811" i="8"/>
  <c r="X5" i="8"/>
  <c r="W4" i="8"/>
  <c r="M6" i="7"/>
  <c r="L5" i="7"/>
  <c r="P77" i="8"/>
  <c r="P73" i="8" s="1"/>
  <c r="BF79" i="8"/>
  <c r="BF78" i="8"/>
  <c r="BF81" i="8"/>
  <c r="BG79" i="8"/>
  <c r="P70" i="8"/>
  <c r="V384" i="8"/>
  <c r="BL82" i="8" l="1"/>
  <c r="BP82" i="8"/>
  <c r="BL8" i="8"/>
  <c r="BD20" i="8"/>
  <c r="BD17" i="8"/>
  <c r="BD47" i="8"/>
  <c r="BD22" i="8"/>
  <c r="BD21" i="8"/>
  <c r="BH14" i="8"/>
  <c r="BH44" i="8"/>
  <c r="BH11" i="8"/>
  <c r="BH20" i="8"/>
  <c r="AB321" i="8"/>
  <c r="AC505" i="8"/>
  <c r="BR270" i="8"/>
  <c r="S202" i="8"/>
  <c r="S201" i="8" s="1"/>
  <c r="S149" i="8"/>
  <c r="AC552" i="8"/>
  <c r="AD675" i="8"/>
  <c r="AD552" i="8" s="1"/>
  <c r="CE173" i="8"/>
  <c r="BM77" i="8"/>
  <c r="BM70" i="8"/>
  <c r="BQ70" i="8"/>
  <c r="BM71" i="8"/>
  <c r="BI79" i="8"/>
  <c r="BI78" i="8"/>
  <c r="BI81" i="8"/>
  <c r="AC256" i="8"/>
  <c r="AC231" i="8"/>
  <c r="AC260" i="8"/>
  <c r="AC261" i="8" s="1"/>
  <c r="AB250" i="8"/>
  <c r="AB257" i="8"/>
  <c r="I799" i="8"/>
  <c r="J794" i="8"/>
  <c r="J795" i="8" s="1"/>
  <c r="BS150" i="8"/>
  <c r="BS149" i="8"/>
  <c r="BS202" i="8"/>
  <c r="BS201" i="8" s="1"/>
  <c r="BN373" i="8"/>
  <c r="BE8" i="8"/>
  <c r="BE82" i="8"/>
  <c r="BE83" i="8"/>
  <c r="N375" i="8"/>
  <c r="N370" i="8"/>
  <c r="N367" i="8"/>
  <c r="N369" i="8"/>
  <c r="N368" i="8"/>
  <c r="N419" i="8"/>
  <c r="N373" i="8" s="1"/>
  <c r="BA44" i="8"/>
  <c r="BA11" i="8"/>
  <c r="BS337" i="8"/>
  <c r="AD256" i="8"/>
  <c r="AD231" i="8"/>
  <c r="AD260" i="8"/>
  <c r="BR20" i="8"/>
  <c r="BR22" i="8"/>
  <c r="BR47" i="8"/>
  <c r="S15" i="8"/>
  <c r="S45" i="8"/>
  <c r="S11" i="8"/>
  <c r="S21" i="8" s="1"/>
  <c r="S375" i="8"/>
  <c r="S369" i="8"/>
  <c r="S367" i="8"/>
  <c r="S419" i="8"/>
  <c r="I370" i="8"/>
  <c r="I375" i="8"/>
  <c r="I368" i="8"/>
  <c r="BS45" i="8"/>
  <c r="BS15" i="8"/>
  <c r="BS11" i="8"/>
  <c r="BS21" i="8" s="1"/>
  <c r="AA251" i="8"/>
  <c r="BQ122" i="8"/>
  <c r="BM122" i="8"/>
  <c r="BU373" i="8"/>
  <c r="CB155" i="8"/>
  <c r="BS369" i="8"/>
  <c r="BS367" i="8"/>
  <c r="BS375" i="8"/>
  <c r="BS419" i="8"/>
  <c r="AD629" i="8"/>
  <c r="AD534" i="8" s="1"/>
  <c r="AC534" i="8"/>
  <c r="BR373" i="8"/>
  <c r="G5" i="8"/>
  <c r="H4" i="8"/>
  <c r="S761" i="8"/>
  <c r="CE434" i="8"/>
  <c r="CE435" i="8" s="1"/>
  <c r="CD435" i="8"/>
  <c r="R373" i="8"/>
  <c r="AR810" i="8"/>
  <c r="AR815" i="8" s="1"/>
  <c r="AQ816" i="8"/>
  <c r="J370" i="8"/>
  <c r="J368" i="8"/>
  <c r="J375" i="8"/>
  <c r="P104" i="8"/>
  <c r="P105" i="8" s="1"/>
  <c r="P74" i="8"/>
  <c r="BF82" i="8"/>
  <c r="BF83" i="8"/>
  <c r="BF8" i="8"/>
  <c r="BG83" i="8"/>
  <c r="AD556" i="8"/>
  <c r="AD811" i="8" s="1"/>
  <c r="AC811" i="8"/>
  <c r="N22" i="8"/>
  <c r="N47" i="8"/>
  <c r="N21" i="8"/>
  <c r="R69" i="8"/>
  <c r="R103" i="8"/>
  <c r="R114" i="8" s="1"/>
  <c r="R66" i="8"/>
  <c r="S66" i="8"/>
  <c r="BR70" i="8"/>
  <c r="BN71" i="8"/>
  <c r="BN77" i="8"/>
  <c r="BN70" i="8"/>
  <c r="BO71" i="8"/>
  <c r="BN122" i="8"/>
  <c r="BR122" i="8"/>
  <c r="Q70" i="8"/>
  <c r="O116" i="8"/>
  <c r="O117" i="8"/>
  <c r="O44" i="8"/>
  <c r="O11" i="8"/>
  <c r="O20" i="8" s="1"/>
  <c r="O14" i="8"/>
  <c r="K7" i="4"/>
  <c r="L8" i="4"/>
  <c r="P81" i="8"/>
  <c r="P82" i="8" s="1"/>
  <c r="P78" i="8"/>
  <c r="P8" i="8"/>
  <c r="M5" i="7"/>
  <c r="N6" i="7"/>
  <c r="Y5" i="8"/>
  <c r="X4" i="8"/>
  <c r="BG17" i="8"/>
  <c r="BG21" i="8"/>
  <c r="BG22" i="8"/>
  <c r="BG47" i="8"/>
  <c r="Q154" i="8"/>
  <c r="Q163" i="8"/>
  <c r="BB11" i="8"/>
  <c r="BB20" i="8" s="1"/>
  <c r="BB44" i="8"/>
  <c r="BK44" i="8"/>
  <c r="BK11" i="8"/>
  <c r="BK20" i="8" s="1"/>
  <c r="BO14" i="8"/>
  <c r="BK14" i="8"/>
  <c r="BJ81" i="8"/>
  <c r="BJ78" i="8"/>
  <c r="BJ79" i="8"/>
  <c r="Q77" i="8"/>
  <c r="BK79" i="8"/>
  <c r="R163" i="8"/>
  <c r="AB559" i="8"/>
  <c r="AC728" i="8"/>
  <c r="AC731" i="8" s="1"/>
  <c r="AC727" i="8" s="1"/>
  <c r="L810" i="8"/>
  <c r="L815" i="8" s="1"/>
  <c r="K816" i="8"/>
  <c r="W384" i="8"/>
  <c r="BH21" i="8" l="1"/>
  <c r="BH47" i="8"/>
  <c r="BH22" i="8"/>
  <c r="BH17" i="8"/>
  <c r="BL14" i="8"/>
  <c r="BL11" i="8"/>
  <c r="BL44" i="8"/>
  <c r="BP14" i="8"/>
  <c r="AD505" i="8"/>
  <c r="AD321" i="8" s="1"/>
  <c r="AC321" i="8"/>
  <c r="AD261" i="8"/>
  <c r="J799" i="8"/>
  <c r="K794" i="8"/>
  <c r="K795" i="8" s="1"/>
  <c r="S373" i="8"/>
  <c r="BM81" i="8"/>
  <c r="BQ78" i="8"/>
  <c r="BM78" i="8"/>
  <c r="BM79" i="8"/>
  <c r="AD250" i="8"/>
  <c r="AD257" i="8"/>
  <c r="BA47" i="8"/>
  <c r="BA22" i="8"/>
  <c r="BA21" i="8"/>
  <c r="AB251" i="8"/>
  <c r="AC257" i="8"/>
  <c r="AC250" i="8"/>
  <c r="BI82" i="8"/>
  <c r="BI83" i="8"/>
  <c r="BI8" i="8"/>
  <c r="AR816" i="8"/>
  <c r="AS810" i="8"/>
  <c r="AS815" i="8" s="1"/>
  <c r="F5" i="8"/>
  <c r="G4" i="8"/>
  <c r="BS20" i="8"/>
  <c r="BS47" i="8"/>
  <c r="BS17" i="8"/>
  <c r="BS22" i="8"/>
  <c r="BA20" i="8"/>
  <c r="CC155" i="8"/>
  <c r="S774" i="8"/>
  <c r="BS373" i="8"/>
  <c r="S22" i="8"/>
  <c r="S20" i="8"/>
  <c r="S47" i="8"/>
  <c r="BE44" i="8"/>
  <c r="BE11" i="8"/>
  <c r="BE14" i="8"/>
  <c r="L816" i="8"/>
  <c r="M810" i="8"/>
  <c r="M815" i="8" s="1"/>
  <c r="BJ8" i="8"/>
  <c r="BJ83" i="8"/>
  <c r="BJ82" i="8"/>
  <c r="BK83" i="8"/>
  <c r="N5" i="7"/>
  <c r="O6" i="7"/>
  <c r="P14" i="8"/>
  <c r="P44" i="8"/>
  <c r="P11" i="8"/>
  <c r="P20" i="8" s="1"/>
  <c r="AD728" i="8"/>
  <c r="AD731" i="8" s="1"/>
  <c r="AD727" i="8" s="1"/>
  <c r="AD559" i="8" s="1"/>
  <c r="AC559" i="8"/>
  <c r="Q81" i="8"/>
  <c r="Q82" i="8" s="1"/>
  <c r="Q78" i="8"/>
  <c r="Q8" i="8"/>
  <c r="BK17" i="8"/>
  <c r="BK22" i="8"/>
  <c r="BO17" i="8"/>
  <c r="BK47" i="8"/>
  <c r="BK21" i="8"/>
  <c r="BB22" i="8"/>
  <c r="BB47" i="8"/>
  <c r="BB21" i="8"/>
  <c r="Z5" i="8"/>
  <c r="Y4" i="8"/>
  <c r="M8" i="4"/>
  <c r="L7" i="4"/>
  <c r="O22" i="8"/>
  <c r="O47" i="8"/>
  <c r="O17" i="8"/>
  <c r="O21" i="8"/>
  <c r="O123" i="8"/>
  <c r="O115" i="8"/>
  <c r="Q73" i="8"/>
  <c r="BN79" i="8"/>
  <c r="BO79" i="8"/>
  <c r="BN78" i="8"/>
  <c r="BN81" i="8"/>
  <c r="BR78" i="8"/>
  <c r="R77" i="8"/>
  <c r="R73" i="8" s="1"/>
  <c r="S122" i="8"/>
  <c r="R122" i="8"/>
  <c r="S70" i="8"/>
  <c r="R70" i="8"/>
  <c r="BF11" i="8"/>
  <c r="BF20" i="8" s="1"/>
  <c r="BF14" i="8"/>
  <c r="BF44" i="8"/>
  <c r="P116" i="8"/>
  <c r="P117" i="8"/>
  <c r="X384" i="8"/>
  <c r="BL20" i="8" l="1"/>
  <c r="BL47" i="8"/>
  <c r="BL21" i="8"/>
  <c r="BL17" i="8"/>
  <c r="BP17" i="8"/>
  <c r="BL22" i="8"/>
  <c r="BI44" i="8"/>
  <c r="BI11" i="8"/>
  <c r="BI14" i="8"/>
  <c r="S798" i="8"/>
  <c r="F4" i="8"/>
  <c r="E5" i="8"/>
  <c r="CD155" i="8"/>
  <c r="AT810" i="8"/>
  <c r="AT815" i="8" s="1"/>
  <c r="AS816" i="8"/>
  <c r="L794" i="8"/>
  <c r="L795" i="8" s="1"/>
  <c r="K799" i="8"/>
  <c r="BE20" i="8"/>
  <c r="BE17" i="8"/>
  <c r="BE21" i="8"/>
  <c r="BE22" i="8"/>
  <c r="BE47" i="8"/>
  <c r="AC251" i="8"/>
  <c r="AD251" i="8"/>
  <c r="BM289" i="8"/>
  <c r="BM268" i="8" s="1"/>
  <c r="BM8" i="8"/>
  <c r="BM82" i="8"/>
  <c r="BQ82" i="8"/>
  <c r="BM83" i="8"/>
  <c r="P123" i="8"/>
  <c r="P115" i="8"/>
  <c r="BF47" i="8"/>
  <c r="BF22" i="8"/>
  <c r="BF21" i="8"/>
  <c r="BF17" i="8"/>
  <c r="R104" i="8"/>
  <c r="R105" i="8" s="1"/>
  <c r="R74" i="8"/>
  <c r="S74" i="8"/>
  <c r="R81" i="8"/>
  <c r="R78" i="8"/>
  <c r="S78" i="8"/>
  <c r="R8" i="8"/>
  <c r="BO83" i="8"/>
  <c r="BN8" i="8"/>
  <c r="BN289" i="8"/>
  <c r="BN268" i="8" s="1"/>
  <c r="BN83" i="8"/>
  <c r="BN82" i="8"/>
  <c r="BR82" i="8"/>
  <c r="Q104" i="8"/>
  <c r="Q105" i="8" s="1"/>
  <c r="Q74" i="8"/>
  <c r="BJ14" i="8"/>
  <c r="BJ11" i="8"/>
  <c r="BJ44" i="8"/>
  <c r="M7" i="4"/>
  <c r="N8" i="4"/>
  <c r="Z4" i="8"/>
  <c r="AA5" i="8"/>
  <c r="Q11" i="8"/>
  <c r="Q44" i="8"/>
  <c r="Q14" i="8"/>
  <c r="P47" i="8"/>
  <c r="P21" i="8"/>
  <c r="P22" i="8"/>
  <c r="P17" i="8"/>
  <c r="O5" i="7"/>
  <c r="P6" i="7"/>
  <c r="M816" i="8"/>
  <c r="N810" i="8"/>
  <c r="N815" i="8" s="1"/>
  <c r="Y384" i="8"/>
  <c r="BM44" i="8" l="1"/>
  <c r="BM11" i="8"/>
  <c r="BM20" i="8"/>
  <c r="BM14" i="8"/>
  <c r="BQ14" i="8"/>
  <c r="BM270" i="8"/>
  <c r="L799" i="8"/>
  <c r="M794" i="8"/>
  <c r="M795" i="8" s="1"/>
  <c r="D5" i="8"/>
  <c r="E4" i="8"/>
  <c r="BI22" i="8"/>
  <c r="BI47" i="8"/>
  <c r="BI17" i="8"/>
  <c r="BI21" i="8"/>
  <c r="CE155" i="8"/>
  <c r="AT816" i="8"/>
  <c r="AU810" i="8"/>
  <c r="AU815" i="8" s="1"/>
  <c r="BI20" i="8"/>
  <c r="N816" i="8"/>
  <c r="O810" i="8"/>
  <c r="O815" i="8" s="1"/>
  <c r="Q21" i="8"/>
  <c r="Q17" i="8"/>
  <c r="Q47" i="8"/>
  <c r="Q22" i="8"/>
  <c r="AA4" i="8"/>
  <c r="AB5" i="8"/>
  <c r="BJ22" i="8"/>
  <c r="BJ47" i="8"/>
  <c r="BJ17" i="8"/>
  <c r="BJ21" i="8"/>
  <c r="Q116" i="8"/>
  <c r="Q117" i="8"/>
  <c r="R82" i="8"/>
  <c r="S82" i="8"/>
  <c r="Q6" i="7"/>
  <c r="P5" i="7"/>
  <c r="Q20" i="8"/>
  <c r="O8" i="4"/>
  <c r="N7" i="4"/>
  <c r="BJ20" i="8"/>
  <c r="BN14" i="8"/>
  <c r="BN44" i="8"/>
  <c r="BN11" i="8"/>
  <c r="BR14" i="8"/>
  <c r="R14" i="8"/>
  <c r="R44" i="8"/>
  <c r="R11" i="8"/>
  <c r="R20" i="8" s="1"/>
  <c r="S14" i="8"/>
  <c r="R117" i="8"/>
  <c r="R116" i="8"/>
  <c r="Z384" i="8"/>
  <c r="BM22" i="8" l="1"/>
  <c r="BM21" i="8"/>
  <c r="BM47" i="8"/>
  <c r="BM17" i="8"/>
  <c r="BQ17" i="8"/>
  <c r="D4" i="8"/>
  <c r="C5" i="8"/>
  <c r="C4" i="8" s="1"/>
  <c r="AU816" i="8"/>
  <c r="AV810" i="8"/>
  <c r="AV815" i="8" s="1"/>
  <c r="N794" i="8"/>
  <c r="N795" i="8" s="1"/>
  <c r="M799" i="8"/>
  <c r="R123" i="8"/>
  <c r="R115" i="8"/>
  <c r="S123" i="8"/>
  <c r="BN21" i="8"/>
  <c r="BN47" i="8"/>
  <c r="BN17" i="8"/>
  <c r="BN22" i="8"/>
  <c r="BR17" i="8"/>
  <c r="BN20" i="8"/>
  <c r="Q5" i="7"/>
  <c r="R6" i="7"/>
  <c r="AB4" i="8"/>
  <c r="AC5" i="8"/>
  <c r="R22" i="8"/>
  <c r="R47" i="8"/>
  <c r="R17" i="8"/>
  <c r="R21" i="8"/>
  <c r="S17" i="8"/>
  <c r="P8" i="4"/>
  <c r="P7" i="4" s="1"/>
  <c r="O7" i="4"/>
  <c r="BN270" i="8"/>
  <c r="Q123" i="8"/>
  <c r="Q115" i="8"/>
  <c r="P810" i="8"/>
  <c r="P815" i="8" s="1"/>
  <c r="O816" i="8"/>
  <c r="AA384" i="8"/>
  <c r="I111" i="7" l="1"/>
  <c r="I127" i="7"/>
  <c r="I143" i="7"/>
  <c r="I177" i="7"/>
  <c r="I194" i="7"/>
  <c r="I210" i="7"/>
  <c r="I223" i="7"/>
  <c r="I22" i="7"/>
  <c r="I40" i="7"/>
  <c r="I58" i="7"/>
  <c r="J58" i="7" s="1"/>
  <c r="I70" i="7"/>
  <c r="I115" i="7"/>
  <c r="I131" i="7"/>
  <c r="I146" i="7"/>
  <c r="I198" i="7"/>
  <c r="I229" i="7"/>
  <c r="I27" i="7"/>
  <c r="I45" i="7"/>
  <c r="J45" i="7" s="1"/>
  <c r="K45" i="7" s="1"/>
  <c r="I60" i="7"/>
  <c r="I102" i="7"/>
  <c r="I119" i="7"/>
  <c r="I135" i="7"/>
  <c r="I149" i="7"/>
  <c r="I186" i="7"/>
  <c r="I202" i="7"/>
  <c r="I218" i="7"/>
  <c r="I31" i="7"/>
  <c r="I49" i="7"/>
  <c r="I64" i="7"/>
  <c r="I123" i="7"/>
  <c r="I155" i="7"/>
  <c r="I190" i="7"/>
  <c r="I206" i="7"/>
  <c r="I220" i="7"/>
  <c r="I85" i="7"/>
  <c r="I35" i="7"/>
  <c r="I68" i="7"/>
  <c r="I12" i="7"/>
  <c r="O794" i="8"/>
  <c r="O795" i="8" s="1"/>
  <c r="N799" i="8"/>
  <c r="AV816" i="8"/>
  <c r="AW810" i="8"/>
  <c r="AW815" i="8" s="1"/>
  <c r="C98" i="7"/>
  <c r="E45" i="7"/>
  <c r="G163" i="7"/>
  <c r="E220" i="7"/>
  <c r="F149" i="7"/>
  <c r="E98" i="7"/>
  <c r="F234" i="7"/>
  <c r="E149" i="7"/>
  <c r="E70" i="7"/>
  <c r="F111" i="7"/>
  <c r="C236" i="7"/>
  <c r="E146" i="7"/>
  <c r="D123" i="7"/>
  <c r="C35" i="7"/>
  <c r="G85" i="7"/>
  <c r="F70" i="7"/>
  <c r="F206" i="7"/>
  <c r="C156" i="7"/>
  <c r="G206" i="7"/>
  <c r="F123" i="7"/>
  <c r="F198" i="7"/>
  <c r="C22" i="7"/>
  <c r="D102" i="7"/>
  <c r="D72" i="7"/>
  <c r="E111" i="7"/>
  <c r="E127" i="7"/>
  <c r="F163" i="7"/>
  <c r="C8" i="7"/>
  <c r="D58" i="7"/>
  <c r="C214" i="7"/>
  <c r="E177" i="7"/>
  <c r="D223" i="7"/>
  <c r="F186" i="7"/>
  <c r="G161" i="7"/>
  <c r="G77" i="7"/>
  <c r="E131" i="7"/>
  <c r="E17" i="7"/>
  <c r="E230" i="7"/>
  <c r="C17" i="4"/>
  <c r="F80" i="7"/>
  <c r="D107" i="7"/>
  <c r="C58" i="7"/>
  <c r="D8" i="7"/>
  <c r="D237" i="7"/>
  <c r="D83" i="7"/>
  <c r="C71" i="7"/>
  <c r="G234" i="7"/>
  <c r="G60" i="7"/>
  <c r="G45" i="7"/>
  <c r="D76" i="7"/>
  <c r="F155" i="7"/>
  <c r="C73" i="7"/>
  <c r="G232" i="7"/>
  <c r="E135" i="7"/>
  <c r="G82" i="7"/>
  <c r="E35" i="7"/>
  <c r="E218" i="7"/>
  <c r="G79" i="7"/>
  <c r="G80" i="7"/>
  <c r="C111" i="7"/>
  <c r="D177" i="7"/>
  <c r="D22" i="7"/>
  <c r="F35" i="7"/>
  <c r="E49" i="7"/>
  <c r="F232" i="7"/>
  <c r="D231" i="7"/>
  <c r="C40" i="7"/>
  <c r="D206" i="7"/>
  <c r="G131" i="7"/>
  <c r="F107" i="7"/>
  <c r="C72" i="7"/>
  <c r="D220" i="7"/>
  <c r="G156" i="7"/>
  <c r="C79" i="7"/>
  <c r="E232" i="7"/>
  <c r="G139" i="7"/>
  <c r="C143" i="7"/>
  <c r="C54" i="7"/>
  <c r="E206" i="7"/>
  <c r="C107" i="7"/>
  <c r="E60" i="7"/>
  <c r="G49" i="7"/>
  <c r="G12" i="7"/>
  <c r="E160" i="7"/>
  <c r="F78" i="7"/>
  <c r="F8" i="7"/>
  <c r="F58" i="7"/>
  <c r="D156" i="7"/>
  <c r="C45" i="7"/>
  <c r="C84" i="7"/>
  <c r="C210" i="7"/>
  <c r="D79" i="7"/>
  <c r="E173" i="7"/>
  <c r="G236" i="7"/>
  <c r="C77" i="7"/>
  <c r="D158" i="7"/>
  <c r="D12" i="7"/>
  <c r="E229" i="7"/>
  <c r="C12" i="7"/>
  <c r="C123" i="7"/>
  <c r="F161" i="7"/>
  <c r="C160" i="7"/>
  <c r="D111" i="7"/>
  <c r="F64" i="7"/>
  <c r="F146" i="7"/>
  <c r="E76" i="7"/>
  <c r="D161" i="7"/>
  <c r="C232" i="7"/>
  <c r="G158" i="7"/>
  <c r="E102" i="7"/>
  <c r="C149" i="7"/>
  <c r="G218" i="7"/>
  <c r="C85" i="7"/>
  <c r="E210" i="7"/>
  <c r="D45" i="7"/>
  <c r="G135" i="7"/>
  <c r="G146" i="7"/>
  <c r="D210" i="7"/>
  <c r="G102" i="7"/>
  <c r="F139" i="7"/>
  <c r="G111" i="7"/>
  <c r="G231" i="7"/>
  <c r="G143" i="7"/>
  <c r="C220" i="7"/>
  <c r="G35" i="7"/>
  <c r="G71" i="7"/>
  <c r="D26" i="4"/>
  <c r="F98" i="7"/>
  <c r="G70" i="7"/>
  <c r="G22" i="7"/>
  <c r="F22" i="7"/>
  <c r="E155" i="7"/>
  <c r="C237" i="7"/>
  <c r="F182" i="7"/>
  <c r="D160" i="7"/>
  <c r="C70" i="7"/>
  <c r="C157" i="7"/>
  <c r="C202" i="7"/>
  <c r="F230" i="7"/>
  <c r="E186" i="7"/>
  <c r="G155" i="7"/>
  <c r="C64" i="7"/>
  <c r="G237" i="7"/>
  <c r="F72" i="7"/>
  <c r="E123" i="7"/>
  <c r="G127" i="7"/>
  <c r="E158" i="7"/>
  <c r="E73" i="7"/>
  <c r="G17" i="7"/>
  <c r="C83" i="7"/>
  <c r="E8" i="7"/>
  <c r="C76" i="7"/>
  <c r="C80" i="7"/>
  <c r="G160" i="7"/>
  <c r="D157" i="7"/>
  <c r="C78" i="7"/>
  <c r="C17" i="7"/>
  <c r="G223" i="7"/>
  <c r="F77" i="7"/>
  <c r="F156" i="7"/>
  <c r="D77" i="7"/>
  <c r="C218" i="7"/>
  <c r="F71" i="7"/>
  <c r="D75" i="7"/>
  <c r="F158" i="7"/>
  <c r="F220" i="7"/>
  <c r="E143" i="7"/>
  <c r="D17" i="4"/>
  <c r="F236" i="7"/>
  <c r="D78" i="7"/>
  <c r="E54" i="7"/>
  <c r="F131" i="7"/>
  <c r="C75" i="7"/>
  <c r="G123" i="7"/>
  <c r="F157" i="7"/>
  <c r="C49" i="7"/>
  <c r="E202" i="7"/>
  <c r="D40" i="7"/>
  <c r="G40" i="7"/>
  <c r="F202" i="7"/>
  <c r="C127" i="7"/>
  <c r="C223" i="7"/>
  <c r="G54" i="7"/>
  <c r="E182" i="7"/>
  <c r="D73" i="7"/>
  <c r="C82" i="7"/>
  <c r="D186" i="7"/>
  <c r="F76" i="7"/>
  <c r="E214" i="7"/>
  <c r="C139" i="7"/>
  <c r="G72" i="7"/>
  <c r="G162" i="7"/>
  <c r="D155" i="7"/>
  <c r="D149" i="7"/>
  <c r="G149" i="7"/>
  <c r="F214" i="7"/>
  <c r="E198" i="7"/>
  <c r="G210" i="7"/>
  <c r="E156" i="7"/>
  <c r="D182" i="7"/>
  <c r="G157" i="7"/>
  <c r="G230" i="7"/>
  <c r="F40" i="7"/>
  <c r="G98" i="7"/>
  <c r="G76" i="7"/>
  <c r="C102" i="7"/>
  <c r="C146" i="7"/>
  <c r="D162" i="7"/>
  <c r="G229" i="7"/>
  <c r="E71" i="7"/>
  <c r="D35" i="7"/>
  <c r="C10" i="4"/>
  <c r="E58" i="7"/>
  <c r="D218" i="7"/>
  <c r="F162" i="7"/>
  <c r="F223" i="7"/>
  <c r="D234" i="7"/>
  <c r="F237" i="7"/>
  <c r="E12" i="7"/>
  <c r="C161" i="7"/>
  <c r="G202" i="7"/>
  <c r="G182" i="7"/>
  <c r="C60" i="7"/>
  <c r="C173" i="7"/>
  <c r="D198" i="7"/>
  <c r="E139" i="7"/>
  <c r="D229" i="7"/>
  <c r="C162" i="7"/>
  <c r="D98" i="7"/>
  <c r="G186" i="7"/>
  <c r="C163" i="7"/>
  <c r="D80" i="7"/>
  <c r="F231" i="7"/>
  <c r="D143" i="7"/>
  <c r="D60" i="7"/>
  <c r="G220" i="7"/>
  <c r="D82" i="7"/>
  <c r="G177" i="7"/>
  <c r="F177" i="7"/>
  <c r="D49" i="7"/>
  <c r="G198" i="7"/>
  <c r="G8" i="7"/>
  <c r="F54" i="7"/>
  <c r="G64" i="7"/>
  <c r="G65" i="7" s="1"/>
  <c r="F218" i="7"/>
  <c r="D232" i="7"/>
  <c r="F210" i="7"/>
  <c r="F211" i="7" s="1"/>
  <c r="C131" i="7"/>
  <c r="F135" i="7"/>
  <c r="E107" i="7"/>
  <c r="D139" i="7"/>
  <c r="E223" i="7"/>
  <c r="D131" i="7"/>
  <c r="F143" i="7"/>
  <c r="C182" i="7"/>
  <c r="D10" i="4"/>
  <c r="D173" i="7"/>
  <c r="F229" i="7"/>
  <c r="E75" i="7"/>
  <c r="G73" i="7"/>
  <c r="F160" i="7"/>
  <c r="F12" i="7"/>
  <c r="C158" i="7"/>
  <c r="G75" i="7"/>
  <c r="F17" i="7"/>
  <c r="G78" i="7"/>
  <c r="D230" i="7"/>
  <c r="C234" i="7"/>
  <c r="C186" i="7"/>
  <c r="D127" i="7"/>
  <c r="G58" i="7"/>
  <c r="C231" i="7"/>
  <c r="C229" i="7"/>
  <c r="F49" i="7"/>
  <c r="F45" i="7"/>
  <c r="G107" i="7"/>
  <c r="D70" i="7"/>
  <c r="D17" i="7"/>
  <c r="D18" i="7" s="1"/>
  <c r="C198" i="7"/>
  <c r="E22" i="7"/>
  <c r="G173" i="7"/>
  <c r="F75" i="7"/>
  <c r="C230" i="7"/>
  <c r="F173" i="7"/>
  <c r="D64" i="7"/>
  <c r="D65" i="7" s="1"/>
  <c r="E64" i="7"/>
  <c r="D214" i="7"/>
  <c r="D54" i="7"/>
  <c r="F79" i="7"/>
  <c r="D135" i="7"/>
  <c r="C155" i="7"/>
  <c r="D236" i="7"/>
  <c r="E234" i="7"/>
  <c r="D146" i="7"/>
  <c r="D163" i="7"/>
  <c r="D202" i="7"/>
  <c r="C206" i="7"/>
  <c r="F127" i="7"/>
  <c r="G214" i="7"/>
  <c r="F73" i="7"/>
  <c r="C135" i="7"/>
  <c r="C177" i="7"/>
  <c r="C178" i="7" s="1"/>
  <c r="F60" i="7"/>
  <c r="F102" i="7"/>
  <c r="E40" i="7"/>
  <c r="D71" i="7"/>
  <c r="E161" i="7"/>
  <c r="D23" i="4"/>
  <c r="E231" i="7"/>
  <c r="D84" i="7"/>
  <c r="E236" i="7"/>
  <c r="E72" i="7"/>
  <c r="G83" i="7"/>
  <c r="E157" i="7"/>
  <c r="E77" i="7"/>
  <c r="E162" i="7"/>
  <c r="H8" i="7"/>
  <c r="H49" i="7"/>
  <c r="H155" i="7"/>
  <c r="H115" i="7"/>
  <c r="H156" i="7"/>
  <c r="H232" i="7"/>
  <c r="H157" i="7"/>
  <c r="H77" i="7"/>
  <c r="H194" i="7"/>
  <c r="H70" i="7"/>
  <c r="H111" i="7"/>
  <c r="H202" i="7"/>
  <c r="H107" i="7"/>
  <c r="H75" i="7"/>
  <c r="H139" i="7"/>
  <c r="H78" i="7"/>
  <c r="H162" i="7"/>
  <c r="C27" i="7"/>
  <c r="E80" i="7"/>
  <c r="H60" i="7"/>
  <c r="H149" i="7"/>
  <c r="I150" i="7" s="1"/>
  <c r="H71" i="7"/>
  <c r="H119" i="7"/>
  <c r="H143" i="7"/>
  <c r="H73" i="7"/>
  <c r="F82" i="7"/>
  <c r="E10" i="4"/>
  <c r="H85" i="7"/>
  <c r="H135" i="7"/>
  <c r="H146" i="7"/>
  <c r="H214" i="7"/>
  <c r="H223" i="7"/>
  <c r="H218" i="7"/>
  <c r="H231" i="7"/>
  <c r="H236" i="7"/>
  <c r="H163" i="7"/>
  <c r="H58" i="7"/>
  <c r="H229" i="7"/>
  <c r="H40" i="7"/>
  <c r="I41" i="7" s="1"/>
  <c r="H102" i="7"/>
  <c r="I104" i="7" s="1"/>
  <c r="H17" i="7"/>
  <c r="H161" i="7"/>
  <c r="H12" i="7"/>
  <c r="H80" i="7"/>
  <c r="H31" i="7"/>
  <c r="E78" i="7"/>
  <c r="H22" i="7"/>
  <c r="H158" i="7"/>
  <c r="H98" i="7"/>
  <c r="H190" i="7"/>
  <c r="H160" i="7"/>
  <c r="E17" i="4"/>
  <c r="H220" i="7"/>
  <c r="H68" i="7"/>
  <c r="H67" i="7" s="1"/>
  <c r="I67" i="7" s="1"/>
  <c r="H173" i="7"/>
  <c r="H54" i="7"/>
  <c r="H76" i="7"/>
  <c r="H186" i="7"/>
  <c r="H131" i="7"/>
  <c r="H82" i="7"/>
  <c r="H79" i="7"/>
  <c r="H64" i="7"/>
  <c r="H123" i="7"/>
  <c r="H127" i="7"/>
  <c r="H230" i="7"/>
  <c r="H177" i="7"/>
  <c r="H198" i="7"/>
  <c r="H182" i="7"/>
  <c r="H206" i="7"/>
  <c r="H237" i="7"/>
  <c r="E163" i="7"/>
  <c r="G84" i="7"/>
  <c r="C190" i="7"/>
  <c r="E26" i="4"/>
  <c r="D9" i="4"/>
  <c r="H35" i="7"/>
  <c r="H234" i="7"/>
  <c r="H45" i="7"/>
  <c r="H27" i="7"/>
  <c r="H210" i="7"/>
  <c r="H72" i="7"/>
  <c r="E237" i="7"/>
  <c r="C115" i="7"/>
  <c r="D115" i="7"/>
  <c r="F83" i="7"/>
  <c r="E23" i="4"/>
  <c r="D190" i="7"/>
  <c r="C194" i="7"/>
  <c r="C119" i="7"/>
  <c r="D27" i="7"/>
  <c r="C31" i="7"/>
  <c r="C23" i="4"/>
  <c r="F17" i="4"/>
  <c r="E79" i="7"/>
  <c r="H91" i="7"/>
  <c r="D31" i="7"/>
  <c r="D119" i="7"/>
  <c r="E27" i="7"/>
  <c r="C9" i="4"/>
  <c r="F84" i="7"/>
  <c r="H17" i="4"/>
  <c r="E115" i="7"/>
  <c r="D194" i="7"/>
  <c r="E190" i="7"/>
  <c r="H84" i="7"/>
  <c r="E9" i="4"/>
  <c r="G17" i="4"/>
  <c r="E82" i="7"/>
  <c r="F85" i="7"/>
  <c r="C26" i="4"/>
  <c r="D85" i="7"/>
  <c r="F190" i="7"/>
  <c r="E31" i="7"/>
  <c r="F27" i="7"/>
  <c r="E83" i="7"/>
  <c r="E194" i="7"/>
  <c r="F115" i="7"/>
  <c r="E119" i="7"/>
  <c r="E85" i="7"/>
  <c r="E84" i="7"/>
  <c r="G27" i="7"/>
  <c r="F119" i="7"/>
  <c r="F194" i="7"/>
  <c r="H83" i="7"/>
  <c r="I17" i="4"/>
  <c r="F31" i="7"/>
  <c r="G190" i="7"/>
  <c r="G115" i="7"/>
  <c r="J17" i="4"/>
  <c r="G31" i="7"/>
  <c r="G119" i="7"/>
  <c r="G194" i="7"/>
  <c r="H90" i="7"/>
  <c r="K17" i="4"/>
  <c r="L17" i="4"/>
  <c r="M17" i="4"/>
  <c r="AD5" i="8"/>
  <c r="AD4" i="8" s="1"/>
  <c r="AC4" i="8"/>
  <c r="AP12" i="7" s="1"/>
  <c r="Q810" i="8"/>
  <c r="Q815" i="8" s="1"/>
  <c r="P816" i="8"/>
  <c r="S6" i="7"/>
  <c r="S5" i="7" s="1"/>
  <c r="R5" i="7"/>
  <c r="N17" i="4"/>
  <c r="BY213" i="8"/>
  <c r="AB384" i="8"/>
  <c r="BX213" i="8"/>
  <c r="BZ213" i="8"/>
  <c r="I147" i="7" l="1"/>
  <c r="I132" i="7"/>
  <c r="I207" i="7"/>
  <c r="I203" i="7"/>
  <c r="I120" i="7"/>
  <c r="I112" i="7"/>
  <c r="I211" i="7"/>
  <c r="I124" i="7"/>
  <c r="I14" i="7"/>
  <c r="I46" i="7"/>
  <c r="I128" i="7"/>
  <c r="I179" i="7"/>
  <c r="I23" i="7"/>
  <c r="I191" i="7"/>
  <c r="I116" i="7"/>
  <c r="I199" i="7"/>
  <c r="I224" i="7"/>
  <c r="I61" i="7"/>
  <c r="I32" i="7"/>
  <c r="AP220" i="7"/>
  <c r="AP85" i="7"/>
  <c r="AP218" i="7"/>
  <c r="AP194" i="7"/>
  <c r="AP102" i="7"/>
  <c r="AP35" i="7"/>
  <c r="G28" i="7"/>
  <c r="F195" i="7"/>
  <c r="I221" i="7"/>
  <c r="I136" i="7"/>
  <c r="I195" i="7"/>
  <c r="AP119" i="7"/>
  <c r="AP60" i="7"/>
  <c r="AP115" i="7"/>
  <c r="AP64" i="7"/>
  <c r="AP229" i="7"/>
  <c r="AP111" i="7"/>
  <c r="AP210" i="7"/>
  <c r="AP155" i="7"/>
  <c r="I36" i="7"/>
  <c r="AP22" i="7"/>
  <c r="AP206" i="7"/>
  <c r="AP149" i="7"/>
  <c r="AP31" i="7"/>
  <c r="AP202" i="7"/>
  <c r="AP146" i="7"/>
  <c r="AP27" i="7"/>
  <c r="AP70" i="7"/>
  <c r="AP198" i="7"/>
  <c r="AP143" i="7"/>
  <c r="AP58" i="7"/>
  <c r="AP177" i="7"/>
  <c r="AP123" i="7"/>
  <c r="K58" i="7"/>
  <c r="J143" i="7"/>
  <c r="J218" i="7"/>
  <c r="I28" i="7"/>
  <c r="I65" i="7"/>
  <c r="I187" i="7"/>
  <c r="AP45" i="7"/>
  <c r="AP190" i="7"/>
  <c r="AP135" i="7"/>
  <c r="AP40" i="7"/>
  <c r="AP186" i="7"/>
  <c r="AP131" i="7"/>
  <c r="AP49" i="7"/>
  <c r="AP127" i="7"/>
  <c r="AP223" i="7"/>
  <c r="H50" i="7"/>
  <c r="I50" i="7"/>
  <c r="H211" i="7"/>
  <c r="D140" i="7"/>
  <c r="D50" i="7"/>
  <c r="G199" i="7"/>
  <c r="D195" i="7"/>
  <c r="F61" i="7"/>
  <c r="G99" i="7"/>
  <c r="D32" i="7"/>
  <c r="F174" i="7"/>
  <c r="F18" i="7"/>
  <c r="C103" i="7"/>
  <c r="D203" i="7"/>
  <c r="D215" i="7"/>
  <c r="F132" i="7"/>
  <c r="D128" i="7"/>
  <c r="F191" i="7"/>
  <c r="E207" i="7"/>
  <c r="C13" i="4"/>
  <c r="F50" i="7"/>
  <c r="G9" i="7"/>
  <c r="H36" i="7"/>
  <c r="H124" i="7"/>
  <c r="H18" i="7"/>
  <c r="E108" i="7"/>
  <c r="D28" i="7"/>
  <c r="H199" i="7"/>
  <c r="E235" i="7"/>
  <c r="D36" i="7"/>
  <c r="D150" i="7"/>
  <c r="F99" i="7"/>
  <c r="G112" i="7"/>
  <c r="H187" i="7"/>
  <c r="D112" i="7"/>
  <c r="F28" i="7"/>
  <c r="E191" i="7"/>
  <c r="E116" i="7"/>
  <c r="G207" i="7"/>
  <c r="D132" i="7"/>
  <c r="D61" i="7"/>
  <c r="G147" i="7"/>
  <c r="F36" i="7"/>
  <c r="F203" i="7"/>
  <c r="E211" i="7"/>
  <c r="F116" i="7"/>
  <c r="G195" i="7"/>
  <c r="G191" i="7"/>
  <c r="H174" i="7"/>
  <c r="D174" i="7"/>
  <c r="D99" i="7"/>
  <c r="D9" i="7"/>
  <c r="E120" i="7"/>
  <c r="D13" i="4"/>
  <c r="H9" i="7"/>
  <c r="E41" i="7"/>
  <c r="E65" i="7"/>
  <c r="C235" i="7"/>
  <c r="F55" i="7"/>
  <c r="G183" i="7"/>
  <c r="C13" i="7"/>
  <c r="D23" i="7"/>
  <c r="E13" i="4"/>
  <c r="H23" i="7"/>
  <c r="G215" i="7"/>
  <c r="D211" i="7"/>
  <c r="G120" i="7"/>
  <c r="H99" i="7"/>
  <c r="H108" i="7"/>
  <c r="F46" i="7"/>
  <c r="G221" i="7"/>
  <c r="D199" i="7"/>
  <c r="D183" i="7"/>
  <c r="E215" i="7"/>
  <c r="G41" i="7"/>
  <c r="G224" i="7"/>
  <c r="E9" i="7"/>
  <c r="F23" i="7"/>
  <c r="F140" i="7"/>
  <c r="G136" i="7"/>
  <c r="E61" i="7"/>
  <c r="E136" i="7"/>
  <c r="E128" i="7"/>
  <c r="E147" i="7"/>
  <c r="E150" i="7"/>
  <c r="E221" i="7"/>
  <c r="G203" i="7"/>
  <c r="D41" i="7"/>
  <c r="G116" i="7"/>
  <c r="E28" i="7"/>
  <c r="H235" i="7"/>
  <c r="H112" i="7"/>
  <c r="D55" i="7"/>
  <c r="G187" i="7"/>
  <c r="G150" i="7"/>
  <c r="G124" i="7"/>
  <c r="E124" i="7"/>
  <c r="G36" i="7"/>
  <c r="D46" i="7"/>
  <c r="CB214" i="8"/>
  <c r="CC214" i="8"/>
  <c r="CD214" i="8"/>
  <c r="H28" i="7"/>
  <c r="H65" i="7"/>
  <c r="H103" i="7"/>
  <c r="H104" i="7"/>
  <c r="H224" i="7"/>
  <c r="J223" i="7"/>
  <c r="K223" i="7" s="1"/>
  <c r="U223" i="7" s="1"/>
  <c r="J194" i="7"/>
  <c r="K194" i="7" s="1"/>
  <c r="L194" i="7" s="1"/>
  <c r="M194" i="7" s="1"/>
  <c r="N194" i="7" s="1"/>
  <c r="O194" i="7" s="1"/>
  <c r="P194" i="7" s="1"/>
  <c r="Q194" i="7" s="1"/>
  <c r="R194" i="7" s="1"/>
  <c r="S194" i="7" s="1"/>
  <c r="H195" i="7"/>
  <c r="E199" i="7"/>
  <c r="E32" i="7"/>
  <c r="H179" i="7"/>
  <c r="H178" i="7"/>
  <c r="P17" i="4"/>
  <c r="O17" i="4"/>
  <c r="D191" i="7"/>
  <c r="D116" i="7"/>
  <c r="H183" i="7"/>
  <c r="H128" i="7"/>
  <c r="H55" i="7"/>
  <c r="H147" i="7"/>
  <c r="J146" i="7"/>
  <c r="K146" i="7" s="1"/>
  <c r="U146" i="7" s="1"/>
  <c r="H61" i="7"/>
  <c r="H140" i="7"/>
  <c r="F103" i="7"/>
  <c r="F104" i="7"/>
  <c r="D136" i="7"/>
  <c r="E23" i="7"/>
  <c r="F13" i="7"/>
  <c r="F14" i="7"/>
  <c r="G178" i="7"/>
  <c r="G179" i="7"/>
  <c r="F224" i="7"/>
  <c r="D187" i="7"/>
  <c r="E183" i="7"/>
  <c r="E203" i="7"/>
  <c r="G18" i="7"/>
  <c r="F147" i="7"/>
  <c r="D14" i="7"/>
  <c r="D13" i="7"/>
  <c r="E174" i="7"/>
  <c r="F9" i="7"/>
  <c r="G14" i="7"/>
  <c r="G13" i="7"/>
  <c r="D207" i="7"/>
  <c r="E50" i="7"/>
  <c r="E36" i="7"/>
  <c r="G61" i="7"/>
  <c r="D108" i="7"/>
  <c r="E112" i="7"/>
  <c r="F199" i="7"/>
  <c r="F207" i="7"/>
  <c r="F112" i="7"/>
  <c r="E99" i="7"/>
  <c r="O799" i="8"/>
  <c r="P794" i="8"/>
  <c r="P795" i="8" s="1"/>
  <c r="G32" i="7"/>
  <c r="D120" i="7"/>
  <c r="H132" i="7"/>
  <c r="J131" i="7"/>
  <c r="K131" i="7" s="1"/>
  <c r="L131" i="7" s="1"/>
  <c r="M131" i="7" s="1"/>
  <c r="N131" i="7" s="1"/>
  <c r="O131" i="7" s="1"/>
  <c r="P131" i="7" s="1"/>
  <c r="Q131" i="7" s="1"/>
  <c r="R131" i="7" s="1"/>
  <c r="S131" i="7" s="1"/>
  <c r="H191" i="7"/>
  <c r="H32" i="7"/>
  <c r="H136" i="7"/>
  <c r="J119" i="7"/>
  <c r="K119" i="7" s="1"/>
  <c r="L119" i="7" s="1"/>
  <c r="M119" i="7" s="1"/>
  <c r="N119" i="7" s="1"/>
  <c r="O119" i="7" s="1"/>
  <c r="P119" i="7" s="1"/>
  <c r="Q119" i="7" s="1"/>
  <c r="R119" i="7" s="1"/>
  <c r="S119" i="7" s="1"/>
  <c r="H120" i="7"/>
  <c r="F128" i="7"/>
  <c r="G108" i="7"/>
  <c r="E140" i="7"/>
  <c r="E13" i="7"/>
  <c r="E14" i="7"/>
  <c r="G211" i="7"/>
  <c r="G55" i="7"/>
  <c r="F221" i="7"/>
  <c r="E187" i="7"/>
  <c r="E104" i="7"/>
  <c r="E103" i="7"/>
  <c r="F65" i="7"/>
  <c r="G50" i="7"/>
  <c r="G235" i="7"/>
  <c r="E18" i="7"/>
  <c r="F187" i="7"/>
  <c r="F124" i="7"/>
  <c r="D124" i="7"/>
  <c r="F150" i="7"/>
  <c r="E46" i="7"/>
  <c r="G140" i="7"/>
  <c r="F108" i="7"/>
  <c r="E132" i="7"/>
  <c r="D224" i="7"/>
  <c r="D103" i="7"/>
  <c r="D104" i="7"/>
  <c r="F32" i="7"/>
  <c r="F120" i="7"/>
  <c r="E195" i="7"/>
  <c r="H46" i="7"/>
  <c r="H207" i="7"/>
  <c r="J206" i="7"/>
  <c r="K206" i="7" s="1"/>
  <c r="L206" i="7" s="1"/>
  <c r="M206" i="7" s="1"/>
  <c r="N206" i="7" s="1"/>
  <c r="O206" i="7" s="1"/>
  <c r="P206" i="7" s="1"/>
  <c r="Q206" i="7" s="1"/>
  <c r="R206" i="7" s="1"/>
  <c r="S206" i="7" s="1"/>
  <c r="J220" i="7"/>
  <c r="K220" i="7" s="1"/>
  <c r="U220" i="7" s="1"/>
  <c r="H221" i="7"/>
  <c r="H14" i="7"/>
  <c r="H13" i="7"/>
  <c r="H41" i="7"/>
  <c r="H215" i="7"/>
  <c r="H150" i="7"/>
  <c r="J149" i="7"/>
  <c r="K149" i="7" s="1"/>
  <c r="U149" i="7" s="1"/>
  <c r="H203" i="7"/>
  <c r="H116" i="7"/>
  <c r="D147" i="7"/>
  <c r="G174" i="7"/>
  <c r="E224" i="7"/>
  <c r="F136" i="7"/>
  <c r="F179" i="7"/>
  <c r="F178" i="7"/>
  <c r="D235" i="7"/>
  <c r="F41" i="7"/>
  <c r="F215" i="7"/>
  <c r="E55" i="7"/>
  <c r="G128" i="7"/>
  <c r="F183" i="7"/>
  <c r="G23" i="7"/>
  <c r="G104" i="7"/>
  <c r="G103" i="7"/>
  <c r="D221" i="7"/>
  <c r="G132" i="7"/>
  <c r="D178" i="7"/>
  <c r="D179" i="7"/>
  <c r="G46" i="7"/>
  <c r="E179" i="7"/>
  <c r="E178" i="7"/>
  <c r="F235" i="7"/>
  <c r="AX810" i="8"/>
  <c r="AX815" i="8" s="1"/>
  <c r="AW816" i="8"/>
  <c r="BZ215" i="8"/>
  <c r="BZ214" i="8"/>
  <c r="BX214" i="8"/>
  <c r="BY214" i="8"/>
  <c r="BY215" i="8"/>
  <c r="AE236" i="7"/>
  <c r="AA157" i="7"/>
  <c r="AE206" i="7"/>
  <c r="AE230" i="7"/>
  <c r="AJ186" i="7"/>
  <c r="Y234" i="7"/>
  <c r="AN173" i="7"/>
  <c r="AO131" i="7"/>
  <c r="AN210" i="7"/>
  <c r="AB80" i="7"/>
  <c r="AJ27" i="7"/>
  <c r="AH77" i="7"/>
  <c r="AA177" i="7"/>
  <c r="AM49" i="7"/>
  <c r="AH76" i="7"/>
  <c r="AI123" i="7"/>
  <c r="AK232" i="7"/>
  <c r="AD149" i="7"/>
  <c r="Y190" i="7"/>
  <c r="AC98" i="7"/>
  <c r="AF64" i="7"/>
  <c r="AL82" i="7"/>
  <c r="Y45" i="7"/>
  <c r="AD49" i="7"/>
  <c r="AN45" i="7"/>
  <c r="AN76" i="7"/>
  <c r="AD27" i="7"/>
  <c r="AK160" i="7"/>
  <c r="Y139" i="7"/>
  <c r="Z12" i="7"/>
  <c r="Z78" i="7"/>
  <c r="AH218" i="7"/>
  <c r="AM80" i="7"/>
  <c r="AO60" i="7"/>
  <c r="AB214" i="7"/>
  <c r="AC149" i="7"/>
  <c r="AK155" i="7"/>
  <c r="AN98" i="7"/>
  <c r="AM198" i="7"/>
  <c r="AN155" i="7"/>
  <c r="AB58" i="7"/>
  <c r="AI79" i="7"/>
  <c r="W35" i="7"/>
  <c r="AL198" i="7"/>
  <c r="AB232" i="7"/>
  <c r="AA111" i="7"/>
  <c r="AE72" i="7"/>
  <c r="AB12" i="7"/>
  <c r="AH64" i="7"/>
  <c r="AE156" i="7"/>
  <c r="Z190" i="7"/>
  <c r="AJ223" i="7"/>
  <c r="AG234" i="7"/>
  <c r="AN71" i="7"/>
  <c r="AN72" i="7" s="1"/>
  <c r="AL206" i="7"/>
  <c r="Y60" i="7"/>
  <c r="AL218" i="7"/>
  <c r="AM162" i="7"/>
  <c r="AJ8" i="7"/>
  <c r="AK85" i="7"/>
  <c r="AB82" i="7"/>
  <c r="Y198" i="7"/>
  <c r="AO82" i="7"/>
  <c r="W31" i="7"/>
  <c r="AE173" i="7"/>
  <c r="AI77" i="7"/>
  <c r="Z161" i="7"/>
  <c r="AB83" i="7"/>
  <c r="AG162" i="7"/>
  <c r="AK163" i="7"/>
  <c r="AA234" i="7"/>
  <c r="AI83" i="7"/>
  <c r="AJ146" i="7"/>
  <c r="X223" i="7"/>
  <c r="AE127" i="7"/>
  <c r="X80" i="7"/>
  <c r="AF58" i="7"/>
  <c r="AJ115" i="7"/>
  <c r="AD31" i="7"/>
  <c r="AO163" i="7"/>
  <c r="AM123" i="7"/>
  <c r="AO198" i="7"/>
  <c r="Z123" i="7"/>
  <c r="AC223" i="7"/>
  <c r="W60" i="7"/>
  <c r="AA210" i="7"/>
  <c r="AC177" i="7"/>
  <c r="AJ75" i="7"/>
  <c r="AL139" i="7"/>
  <c r="AJ182" i="7"/>
  <c r="AC31" i="7"/>
  <c r="AG80" i="7"/>
  <c r="X146" i="7"/>
  <c r="AC8" i="7"/>
  <c r="AJ54" i="7"/>
  <c r="AB98" i="7"/>
  <c r="AB111" i="7"/>
  <c r="AK45" i="7"/>
  <c r="AO49" i="7"/>
  <c r="AH202" i="7"/>
  <c r="AJ60" i="7"/>
  <c r="AK202" i="7"/>
  <c r="AM163" i="7"/>
  <c r="AD54" i="7"/>
  <c r="Z198" i="7"/>
  <c r="AB198" i="7"/>
  <c r="AF82" i="7"/>
  <c r="W131" i="7"/>
  <c r="AD160" i="7"/>
  <c r="AF160" i="7"/>
  <c r="AE60" i="7"/>
  <c r="AB155" i="7"/>
  <c r="AE123" i="7"/>
  <c r="AB231" i="7"/>
  <c r="AD22" i="7"/>
  <c r="AN111" i="7"/>
  <c r="AM190" i="7"/>
  <c r="AN146" i="7"/>
  <c r="AA80" i="7"/>
  <c r="AF182" i="7"/>
  <c r="W210" i="7"/>
  <c r="AM54" i="7"/>
  <c r="Y83" i="7"/>
  <c r="AC190" i="7"/>
  <c r="AK177" i="7"/>
  <c r="AD80" i="7"/>
  <c r="AG223" i="7"/>
  <c r="AJ206" i="7"/>
  <c r="AL49" i="7"/>
  <c r="AO76" i="7"/>
  <c r="Z111" i="7"/>
  <c r="AF231" i="7"/>
  <c r="Y218" i="7"/>
  <c r="AD82" i="7"/>
  <c r="AL98" i="7"/>
  <c r="Y230" i="7"/>
  <c r="AE164" i="7"/>
  <c r="AK119" i="7"/>
  <c r="AL160" i="7"/>
  <c r="AL155" i="7"/>
  <c r="AB54" i="7"/>
  <c r="AN8" i="7"/>
  <c r="AF162" i="7"/>
  <c r="AF76" i="7"/>
  <c r="AO229" i="7"/>
  <c r="AO123" i="7"/>
  <c r="AN218" i="7"/>
  <c r="Y158" i="7"/>
  <c r="AM164" i="7"/>
  <c r="AG54" i="7"/>
  <c r="AI75" i="7"/>
  <c r="AE64" i="7"/>
  <c r="Y210" i="7"/>
  <c r="Z230" i="7"/>
  <c r="AH182" i="7"/>
  <c r="AE98" i="7"/>
  <c r="Z223" i="7"/>
  <c r="AJ202" i="7"/>
  <c r="AG58" i="7"/>
  <c r="AE160" i="7"/>
  <c r="AF161" i="7"/>
  <c r="AM160" i="7"/>
  <c r="AM232" i="7"/>
  <c r="AI229" i="7"/>
  <c r="AE70" i="7"/>
  <c r="AH127" i="7"/>
  <c r="AM45" i="7"/>
  <c r="AB149" i="7"/>
  <c r="AL115" i="7"/>
  <c r="AK70" i="7"/>
  <c r="AL71" i="7"/>
  <c r="AL72" i="7" s="1"/>
  <c r="AF131" i="7"/>
  <c r="AJ155" i="7"/>
  <c r="W123" i="7"/>
  <c r="AC206" i="7"/>
  <c r="W230" i="7"/>
  <c r="Z35" i="7"/>
  <c r="AA158" i="7"/>
  <c r="Y194" i="7"/>
  <c r="AA78" i="7"/>
  <c r="AJ229" i="7"/>
  <c r="Y115" i="7"/>
  <c r="X83" i="7"/>
  <c r="AO27" i="7"/>
  <c r="AC158" i="7"/>
  <c r="AJ12" i="7"/>
  <c r="AM186" i="7"/>
  <c r="AN143" i="7"/>
  <c r="AM220" i="7"/>
  <c r="AE82" i="7"/>
  <c r="Z54" i="7"/>
  <c r="Y220" i="7"/>
  <c r="X82" i="7"/>
  <c r="X218" i="7"/>
  <c r="AC135" i="7"/>
  <c r="AK234" i="7"/>
  <c r="Z149" i="7"/>
  <c r="AK149" i="7"/>
  <c r="X234" i="7"/>
  <c r="AH190" i="7"/>
  <c r="AB236" i="7"/>
  <c r="X98" i="7"/>
  <c r="AC111" i="7"/>
  <c r="AL186" i="7"/>
  <c r="AB76" i="7"/>
  <c r="X161" i="7"/>
  <c r="AH160" i="7"/>
  <c r="AI234" i="7"/>
  <c r="Y173" i="7"/>
  <c r="AI143" i="7"/>
  <c r="AK206" i="7"/>
  <c r="Y76" i="7"/>
  <c r="AO83" i="7"/>
  <c r="AI146" i="7"/>
  <c r="AO64" i="7"/>
  <c r="AJ49" i="7"/>
  <c r="AK115" i="7"/>
  <c r="AE111" i="7"/>
  <c r="AK78" i="7"/>
  <c r="AL220" i="7"/>
  <c r="AN83" i="7"/>
  <c r="AB73" i="7"/>
  <c r="AO218" i="7"/>
  <c r="AO164" i="7"/>
  <c r="AN123" i="7"/>
  <c r="AG64" i="7"/>
  <c r="AK231" i="7"/>
  <c r="Z73" i="7"/>
  <c r="AD214" i="7"/>
  <c r="AG98" i="7"/>
  <c r="AC49" i="7"/>
  <c r="AM77" i="7"/>
  <c r="Z71" i="7"/>
  <c r="AC80" i="7"/>
  <c r="Z119" i="7"/>
  <c r="AK71" i="7"/>
  <c r="AK72" i="7" s="1"/>
  <c r="AL12" i="7"/>
  <c r="AP14" i="7" s="1"/>
  <c r="W158" i="7"/>
  <c r="AG82" i="7"/>
  <c r="AC131" i="7"/>
  <c r="AA131" i="7"/>
  <c r="AF206" i="7"/>
  <c r="Z232" i="7"/>
  <c r="AC198" i="7"/>
  <c r="W78" i="7"/>
  <c r="AI58" i="7"/>
  <c r="AI40" i="7"/>
  <c r="AL40" i="7"/>
  <c r="AE54" i="7"/>
  <c r="Y119" i="7"/>
  <c r="AC58" i="7"/>
  <c r="AA85" i="7"/>
  <c r="AC77" i="7"/>
  <c r="AJ177" i="7"/>
  <c r="Y73" i="7"/>
  <c r="AE79" i="7"/>
  <c r="AI198" i="7"/>
  <c r="AC173" i="7"/>
  <c r="AN198" i="7"/>
  <c r="AM156" i="7"/>
  <c r="AM157" i="7" s="1"/>
  <c r="AM98" i="7"/>
  <c r="AN230" i="7"/>
  <c r="AN162" i="7"/>
  <c r="AD45" i="7"/>
  <c r="AI80" i="7"/>
  <c r="AG71" i="7"/>
  <c r="AG72" i="7" s="1"/>
  <c r="Y77" i="7"/>
  <c r="AE49" i="7"/>
  <c r="AL161" i="7"/>
  <c r="AA182" i="7"/>
  <c r="AI164" i="7"/>
  <c r="AL119" i="7"/>
  <c r="AG102" i="7"/>
  <c r="AI214" i="7"/>
  <c r="AB156" i="7"/>
  <c r="AD177" i="7"/>
  <c r="AD206" i="7"/>
  <c r="W164" i="7"/>
  <c r="W70" i="7"/>
  <c r="AD229" i="7"/>
  <c r="AB202" i="7"/>
  <c r="AC229" i="7"/>
  <c r="W182" i="7"/>
  <c r="AJ230" i="7"/>
  <c r="AB135" i="7"/>
  <c r="AB146" i="7"/>
  <c r="AG45" i="7"/>
  <c r="Z177" i="7"/>
  <c r="AD119" i="7"/>
  <c r="AB160" i="7"/>
  <c r="AJ102" i="7"/>
  <c r="Y40" i="7"/>
  <c r="AM218" i="7"/>
  <c r="AO230" i="7"/>
  <c r="AM127" i="7"/>
  <c r="W155" i="7"/>
  <c r="AF155" i="7"/>
  <c r="AH115" i="7"/>
  <c r="AG135" i="7"/>
  <c r="AF194" i="7"/>
  <c r="AK49" i="7"/>
  <c r="Y214" i="7"/>
  <c r="AE71" i="7"/>
  <c r="Z40" i="7"/>
  <c r="Z42" i="7" s="1"/>
  <c r="AF54" i="7"/>
  <c r="AO77" i="7"/>
  <c r="AD107" i="7"/>
  <c r="AF45" i="7"/>
  <c r="Y35" i="7"/>
  <c r="W72" i="7"/>
  <c r="AF143" i="7"/>
  <c r="Y54" i="7"/>
  <c r="AE139" i="7"/>
  <c r="AE163" i="7"/>
  <c r="AM12" i="7"/>
  <c r="AL162" i="7"/>
  <c r="AF163" i="7"/>
  <c r="Z206" i="7"/>
  <c r="AJ58" i="7"/>
  <c r="AI163" i="7"/>
  <c r="AJ173" i="7"/>
  <c r="AJ98" i="7"/>
  <c r="W139" i="7"/>
  <c r="AC119" i="7"/>
  <c r="AO186" i="7"/>
  <c r="AM146" i="7"/>
  <c r="AO111" i="7"/>
  <c r="AG164" i="7"/>
  <c r="AN232" i="7"/>
  <c r="AH31" i="7"/>
  <c r="AE194" i="7"/>
  <c r="W163" i="7"/>
  <c r="AD60" i="7"/>
  <c r="AH146" i="7"/>
  <c r="AD77" i="7"/>
  <c r="AJ161" i="7"/>
  <c r="AL85" i="7"/>
  <c r="AK111" i="7"/>
  <c r="AI186" i="7"/>
  <c r="W17" i="7"/>
  <c r="AD115" i="7"/>
  <c r="AL60" i="7"/>
  <c r="AG156" i="7"/>
  <c r="AG157" i="7" s="1"/>
  <c r="AK12" i="7"/>
  <c r="AK218" i="7"/>
  <c r="W135" i="7"/>
  <c r="W64" i="7"/>
  <c r="X131" i="7"/>
  <c r="AI85" i="7"/>
  <c r="AK79" i="7"/>
  <c r="AI162" i="7"/>
  <c r="X158" i="7"/>
  <c r="AN40" i="7"/>
  <c r="X102" i="7"/>
  <c r="X111" i="7"/>
  <c r="AH54" i="7"/>
  <c r="AE177" i="7"/>
  <c r="AH194" i="7"/>
  <c r="AD164" i="7"/>
  <c r="Y157" i="7"/>
  <c r="AL214" i="7"/>
  <c r="AI127" i="7"/>
  <c r="AB102" i="7"/>
  <c r="AF146" i="7"/>
  <c r="AD85" i="7"/>
  <c r="AD102" i="7"/>
  <c r="AL78" i="7"/>
  <c r="AN206" i="7"/>
  <c r="AO156" i="7"/>
  <c r="AO157" i="7" s="1"/>
  <c r="AN115" i="7"/>
  <c r="AJ139" i="7"/>
  <c r="AE186" i="7"/>
  <c r="AE31" i="7"/>
  <c r="AF164" i="7"/>
  <c r="Z127" i="7"/>
  <c r="AF223" i="7"/>
  <c r="X177" i="7"/>
  <c r="AB60" i="7"/>
  <c r="AM71" i="7"/>
  <c r="AM72" i="7" s="1"/>
  <c r="AG194" i="7"/>
  <c r="AF173" i="7"/>
  <c r="AE232" i="7"/>
  <c r="AO40" i="7"/>
  <c r="AA232" i="7"/>
  <c r="AE12" i="7"/>
  <c r="X127" i="7"/>
  <c r="AO79" i="7"/>
  <c r="W102" i="7"/>
  <c r="AI76" i="7"/>
  <c r="AE161" i="7"/>
  <c r="AC155" i="7"/>
  <c r="AI173" i="7"/>
  <c r="AF198" i="7"/>
  <c r="AD158" i="7"/>
  <c r="AD173" i="7"/>
  <c r="Z107" i="7"/>
  <c r="AC146" i="7"/>
  <c r="AA73" i="7"/>
  <c r="AF186" i="7"/>
  <c r="W161" i="7"/>
  <c r="AE119" i="7"/>
  <c r="AD79" i="7"/>
  <c r="AC231" i="7"/>
  <c r="AK186" i="7"/>
  <c r="AH186" i="7"/>
  <c r="AO194" i="7"/>
  <c r="AP196" i="7" s="1"/>
  <c r="AM155" i="7"/>
  <c r="AO98" i="7"/>
  <c r="AA35" i="7"/>
  <c r="AJ232" i="7"/>
  <c r="AJ164" i="7"/>
  <c r="AI206" i="7"/>
  <c r="AB177" i="7"/>
  <c r="AG8" i="7"/>
  <c r="AA40" i="7"/>
  <c r="AM161" i="7"/>
  <c r="AM75" i="7"/>
  <c r="AB40" i="7"/>
  <c r="AE198" i="7"/>
  <c r="AJ71" i="7"/>
  <c r="AJ72" i="7" s="1"/>
  <c r="X22" i="7"/>
  <c r="AK190" i="7"/>
  <c r="AF27" i="7"/>
  <c r="AE157" i="7"/>
  <c r="X164" i="7"/>
  <c r="Z155" i="7"/>
  <c r="AC72" i="7"/>
  <c r="W223" i="7"/>
  <c r="AN31" i="7"/>
  <c r="AA12" i="7"/>
  <c r="AG123" i="7"/>
  <c r="AH79" i="7"/>
  <c r="AD76" i="7"/>
  <c r="AM210" i="7"/>
  <c r="AO173" i="7"/>
  <c r="AM135" i="7"/>
  <c r="Y70" i="7"/>
  <c r="Z143" i="7"/>
  <c r="AK161" i="7"/>
  <c r="AA27" i="7"/>
  <c r="AC210" i="7"/>
  <c r="AF70" i="7"/>
  <c r="Z186" i="7"/>
  <c r="AE73" i="7"/>
  <c r="AD135" i="7"/>
  <c r="Z85" i="7"/>
  <c r="AD157" i="7"/>
  <c r="Y231" i="7"/>
  <c r="AC82" i="7"/>
  <c r="AL102" i="7"/>
  <c r="AP104" i="7" s="1"/>
  <c r="AG143" i="7"/>
  <c r="AA77" i="7"/>
  <c r="Y202" i="7"/>
  <c r="W22" i="7"/>
  <c r="AC115" i="7"/>
  <c r="AF149" i="7"/>
  <c r="AG186" i="7"/>
  <c r="AL190" i="7"/>
  <c r="AO71" i="7"/>
  <c r="AO72" i="7" s="1"/>
  <c r="AK164" i="7"/>
  <c r="X8" i="7"/>
  <c r="X107" i="7"/>
  <c r="X70" i="7"/>
  <c r="W80" i="7"/>
  <c r="AA230" i="7"/>
  <c r="AH149" i="7"/>
  <c r="AN75" i="7"/>
  <c r="AF123" i="7"/>
  <c r="AK58" i="7"/>
  <c r="AK162" i="7"/>
  <c r="AE80" i="7"/>
  <c r="AJ231" i="7"/>
  <c r="AO223" i="7"/>
  <c r="AN177" i="7"/>
  <c r="AO135" i="7"/>
  <c r="AJ83" i="7"/>
  <c r="AG214" i="7"/>
  <c r="AC102" i="7"/>
  <c r="AL173" i="7"/>
  <c r="AH12" i="7"/>
  <c r="AN35" i="7"/>
  <c r="AJ82" i="7"/>
  <c r="Y102" i="7"/>
  <c r="AK123" i="7"/>
  <c r="AL123" i="7"/>
  <c r="AD72" i="7"/>
  <c r="X76" i="7"/>
  <c r="AH123" i="7"/>
  <c r="AH102" i="7"/>
  <c r="AM40" i="7"/>
  <c r="AF83" i="7"/>
  <c r="Y162" i="7"/>
  <c r="Z82" i="7"/>
  <c r="AD71" i="7"/>
  <c r="AG177" i="7"/>
  <c r="AN78" i="7"/>
  <c r="AN49" i="7"/>
  <c r="Y135" i="7"/>
  <c r="AK102" i="7"/>
  <c r="AA45" i="7"/>
  <c r="AB31" i="7"/>
  <c r="AA220" i="7"/>
  <c r="AE146" i="7"/>
  <c r="AF85" i="7"/>
  <c r="AJ119" i="7"/>
  <c r="AM177" i="7"/>
  <c r="AN135" i="7"/>
  <c r="AO206" i="7"/>
  <c r="AA115" i="7"/>
  <c r="AH143" i="7"/>
  <c r="W236" i="7"/>
  <c r="Z229" i="7"/>
  <c r="AC79" i="7"/>
  <c r="AB182" i="7"/>
  <c r="AJ35" i="7"/>
  <c r="AM8" i="7"/>
  <c r="X160" i="7"/>
  <c r="X220" i="7"/>
  <c r="AK22" i="7"/>
  <c r="AI71" i="7"/>
  <c r="AI72" i="7" s="1"/>
  <c r="AG182" i="7"/>
  <c r="AG22" i="7"/>
  <c r="AO31" i="7"/>
  <c r="AP33" i="7" s="1"/>
  <c r="AD146" i="7"/>
  <c r="X206" i="7"/>
  <c r="W85" i="7"/>
  <c r="X115" i="7"/>
  <c r="AD194" i="7"/>
  <c r="AE162" i="7"/>
  <c r="Z158" i="7"/>
  <c r="AF78" i="7"/>
  <c r="Z173" i="7"/>
  <c r="X85" i="7"/>
  <c r="AC164" i="7"/>
  <c r="Z22" i="7"/>
  <c r="Z115" i="7"/>
  <c r="AA70" i="7"/>
  <c r="AH45" i="7"/>
  <c r="AE143" i="7"/>
  <c r="AN22" i="7"/>
  <c r="AM115" i="7"/>
  <c r="AN186" i="7"/>
  <c r="AO143" i="7"/>
  <c r="Y163" i="7"/>
  <c r="AF31" i="7"/>
  <c r="AE85" i="7"/>
  <c r="AD161" i="7"/>
  <c r="AE182" i="7"/>
  <c r="W173" i="7"/>
  <c r="AC45" i="7"/>
  <c r="AI223" i="7"/>
  <c r="AF77" i="7"/>
  <c r="AB35" i="7"/>
  <c r="AC85" i="7"/>
  <c r="AA164" i="7"/>
  <c r="X64" i="7"/>
  <c r="AL75" i="7"/>
  <c r="Z75" i="7"/>
  <c r="AA186" i="7"/>
  <c r="AH119" i="7"/>
  <c r="AH80" i="7"/>
  <c r="X231" i="7"/>
  <c r="W119" i="7"/>
  <c r="AC236" i="7"/>
  <c r="AE40" i="7"/>
  <c r="AL232" i="7"/>
  <c r="AH223" i="7"/>
  <c r="AJ234" i="7"/>
  <c r="AI98" i="7"/>
  <c r="AD155" i="7"/>
  <c r="AC76" i="7"/>
  <c r="AB70" i="7"/>
  <c r="AG35" i="7"/>
  <c r="W45" i="7"/>
  <c r="AL135" i="7"/>
  <c r="AH173" i="7"/>
  <c r="AG75" i="7"/>
  <c r="AJ123" i="7"/>
  <c r="W143" i="7"/>
  <c r="Z146" i="7"/>
  <c r="W190" i="7"/>
  <c r="AL230" i="7"/>
  <c r="X60" i="7"/>
  <c r="AL223" i="7"/>
  <c r="AP224" i="7" s="1"/>
  <c r="AB190" i="7"/>
  <c r="AD210" i="7"/>
  <c r="Y161" i="7"/>
  <c r="AC218" i="7"/>
  <c r="AI139" i="7"/>
  <c r="AG40" i="7"/>
  <c r="AG76" i="7"/>
  <c r="AC35" i="7"/>
  <c r="AO182" i="7"/>
  <c r="AN70" i="7"/>
  <c r="W220" i="7"/>
  <c r="AJ163" i="7"/>
  <c r="Y206" i="7"/>
  <c r="AJ64" i="7"/>
  <c r="AA60" i="7"/>
  <c r="AA79" i="7"/>
  <c r="X230" i="7"/>
  <c r="AL234" i="7"/>
  <c r="AH27" i="7"/>
  <c r="AB22" i="7"/>
  <c r="AK76" i="7"/>
  <c r="AI8" i="7"/>
  <c r="AF234" i="7"/>
  <c r="AI202" i="7"/>
  <c r="AL229" i="7"/>
  <c r="AH58" i="7"/>
  <c r="W71" i="7"/>
  <c r="AE102" i="7"/>
  <c r="AA214" i="7"/>
  <c r="AA173" i="7"/>
  <c r="X232" i="7"/>
  <c r="AJ79" i="7"/>
  <c r="AM119" i="7"/>
  <c r="AO160" i="7"/>
  <c r="AO202" i="7"/>
  <c r="AL111" i="7"/>
  <c r="W40" i="7"/>
  <c r="AH230" i="7"/>
  <c r="AD78" i="7"/>
  <c r="AM27" i="7"/>
  <c r="AK223" i="7"/>
  <c r="AB139" i="7"/>
  <c r="AI218" i="7"/>
  <c r="AB75" i="7"/>
  <c r="Z139" i="7"/>
  <c r="AG202" i="7"/>
  <c r="AC156" i="7"/>
  <c r="AC22" i="7"/>
  <c r="Y8" i="7"/>
  <c r="W49" i="7"/>
  <c r="AM229" i="7"/>
  <c r="AM231" i="7"/>
  <c r="AM173" i="7"/>
  <c r="AO231" i="7"/>
  <c r="AD35" i="7"/>
  <c r="AN60" i="7"/>
  <c r="AF8" i="7"/>
  <c r="AA64" i="7"/>
  <c r="AB79" i="7"/>
  <c r="AD127" i="7"/>
  <c r="AM22" i="7"/>
  <c r="AC64" i="7"/>
  <c r="AI149" i="7"/>
  <c r="AJ198" i="7"/>
  <c r="AL8" i="7"/>
  <c r="AG31" i="7"/>
  <c r="AH131" i="7"/>
  <c r="AC202" i="7"/>
  <c r="X149" i="7"/>
  <c r="AO58" i="7"/>
  <c r="AI177" i="7"/>
  <c r="AJ77" i="7"/>
  <c r="AE234" i="7"/>
  <c r="W177" i="7"/>
  <c r="X186" i="7"/>
  <c r="Y143" i="7"/>
  <c r="AB107" i="7"/>
  <c r="W206" i="7"/>
  <c r="Y164" i="7"/>
  <c r="AF135" i="7"/>
  <c r="AB8" i="7"/>
  <c r="X156" i="7"/>
  <c r="AO54" i="7"/>
  <c r="Z77" i="7"/>
  <c r="Z98" i="7"/>
  <c r="W146" i="7"/>
  <c r="AH70" i="7"/>
  <c r="AK35" i="7"/>
  <c r="W214" i="7"/>
  <c r="X214" i="7"/>
  <c r="AO162" i="7"/>
  <c r="AF22" i="7"/>
  <c r="AL27" i="7"/>
  <c r="X202" i="7"/>
  <c r="AF75" i="7"/>
  <c r="AH35" i="7"/>
  <c r="AG231" i="7"/>
  <c r="W115" i="7"/>
  <c r="AA143" i="7"/>
  <c r="AB164" i="7"/>
  <c r="AL146" i="7"/>
  <c r="AA160" i="7"/>
  <c r="Y107" i="7"/>
  <c r="X12" i="7"/>
  <c r="AN163" i="7"/>
  <c r="AE202" i="7"/>
  <c r="Z131" i="7"/>
  <c r="Y236" i="7"/>
  <c r="AF98" i="7"/>
  <c r="Y160" i="7"/>
  <c r="AL80" i="7"/>
  <c r="Z182" i="7"/>
  <c r="Z49" i="7"/>
  <c r="AN102" i="7"/>
  <c r="AN149" i="7"/>
  <c r="AM194" i="7"/>
  <c r="AJ214" i="7"/>
  <c r="AN229" i="7"/>
  <c r="AB229" i="7"/>
  <c r="AC75" i="7"/>
  <c r="AM82" i="7"/>
  <c r="AI131" i="7"/>
  <c r="Y31" i="7"/>
  <c r="X173" i="7"/>
  <c r="AI49" i="7"/>
  <c r="AN80" i="7"/>
  <c r="AH85" i="7"/>
  <c r="AC163" i="7"/>
  <c r="AG229" i="7"/>
  <c r="W157" i="7"/>
  <c r="AF202" i="7"/>
  <c r="AK146" i="7"/>
  <c r="AM111" i="7"/>
  <c r="AM202" i="7"/>
  <c r="W12" i="7"/>
  <c r="AI35" i="7"/>
  <c r="AC232" i="7"/>
  <c r="Z80" i="7"/>
  <c r="AK75" i="7"/>
  <c r="AG49" i="7"/>
  <c r="AN12" i="7"/>
  <c r="AF119" i="7"/>
  <c r="Z60" i="7"/>
  <c r="Z76" i="7"/>
  <c r="AD218" i="7"/>
  <c r="AK135" i="7"/>
  <c r="AK143" i="7"/>
  <c r="AJ162" i="7"/>
  <c r="AC160" i="7"/>
  <c r="Z79" i="7"/>
  <c r="AK64" i="7"/>
  <c r="AE158" i="7"/>
  <c r="AO12" i="7"/>
  <c r="AP15" i="7" s="1"/>
  <c r="AG127" i="7"/>
  <c r="W107" i="7"/>
  <c r="Z64" i="7"/>
  <c r="AH60" i="7"/>
  <c r="AF71" i="7"/>
  <c r="AF72" i="7" s="1"/>
  <c r="AB115" i="7"/>
  <c r="AL131" i="7"/>
  <c r="AE210" i="7"/>
  <c r="AG161" i="7"/>
  <c r="X27" i="7"/>
  <c r="AE58" i="7"/>
  <c r="W234" i="7"/>
  <c r="AG232" i="7"/>
  <c r="X135" i="7"/>
  <c r="AD17" i="7"/>
  <c r="AI156" i="7"/>
  <c r="AI157" i="7" s="1"/>
  <c r="AG83" i="7"/>
  <c r="AN127" i="7"/>
  <c r="AN82" i="7"/>
  <c r="W149" i="7"/>
  <c r="Y98" i="7"/>
  <c r="AE22" i="7"/>
  <c r="AB194" i="7"/>
  <c r="AH22" i="7"/>
  <c r="AD190" i="7"/>
  <c r="AF139" i="7"/>
  <c r="W160" i="7"/>
  <c r="AN160" i="7"/>
  <c r="AJ220" i="7"/>
  <c r="AK131" i="7"/>
  <c r="AE223" i="7"/>
  <c r="AH198" i="7"/>
  <c r="X143" i="7"/>
  <c r="AE218" i="7"/>
  <c r="AL177" i="7"/>
  <c r="X182" i="7"/>
  <c r="W186" i="7"/>
  <c r="AD234" i="7"/>
  <c r="AB119" i="7"/>
  <c r="AL202" i="7"/>
  <c r="AC194" i="7"/>
  <c r="AB157" i="7"/>
  <c r="AL70" i="7"/>
  <c r="Y82" i="7"/>
  <c r="Z218" i="7"/>
  <c r="AO220" i="7"/>
  <c r="AO139" i="7"/>
  <c r="AN182" i="7"/>
  <c r="AA229" i="7"/>
  <c r="AH163" i="7"/>
  <c r="AH139" i="7"/>
  <c r="AD198" i="7"/>
  <c r="AA72" i="7"/>
  <c r="AM78" i="7"/>
  <c r="AB206" i="7"/>
  <c r="AB218" i="7"/>
  <c r="AD162" i="7"/>
  <c r="AE214" i="7"/>
  <c r="Z8" i="7"/>
  <c r="AH177" i="7"/>
  <c r="AG70" i="7"/>
  <c r="AE8" i="7"/>
  <c r="W127" i="7"/>
  <c r="AG218" i="7"/>
  <c r="Z72" i="7"/>
  <c r="AE229" i="7"/>
  <c r="AB77" i="7"/>
  <c r="AM139" i="7"/>
  <c r="X157" i="7"/>
  <c r="AH49" i="7"/>
  <c r="AG77" i="7"/>
  <c r="AH210" i="7"/>
  <c r="AB78" i="7"/>
  <c r="AD139" i="7"/>
  <c r="AJ40" i="7"/>
  <c r="AD220" i="7"/>
  <c r="AB127" i="7"/>
  <c r="AA17" i="7"/>
  <c r="Y12" i="7"/>
  <c r="AL210" i="7"/>
  <c r="AA202" i="7"/>
  <c r="AG160" i="7"/>
  <c r="Z31" i="7"/>
  <c r="Z135" i="7"/>
  <c r="AK173" i="7"/>
  <c r="AH220" i="7"/>
  <c r="W111" i="7"/>
  <c r="AJ85" i="7"/>
  <c r="AJ156" i="7"/>
  <c r="AJ157" i="7" s="1"/>
  <c r="AH83" i="7"/>
  <c r="AH232" i="7"/>
  <c r="AK98" i="7"/>
  <c r="AB49" i="7"/>
  <c r="AI54" i="7"/>
  <c r="AC17" i="7"/>
  <c r="AD156" i="7"/>
  <c r="AI70" i="7"/>
  <c r="AL143" i="7"/>
  <c r="AF12" i="7"/>
  <c r="AE149" i="7"/>
  <c r="AB162" i="7"/>
  <c r="AO146" i="7"/>
  <c r="AD163" i="7"/>
  <c r="AF49" i="7"/>
  <c r="AI182" i="7"/>
  <c r="AH111" i="7"/>
  <c r="AL182" i="7"/>
  <c r="AB27" i="7"/>
  <c r="AL58" i="7"/>
  <c r="X155" i="7"/>
  <c r="AD12" i="7"/>
  <c r="AN164" i="7"/>
  <c r="AG60" i="7"/>
  <c r="AE75" i="7"/>
  <c r="AI161" i="7"/>
  <c r="AA75" i="7"/>
  <c r="X75" i="7"/>
  <c r="X194" i="7"/>
  <c r="Y232" i="7"/>
  <c r="AN231" i="7"/>
  <c r="Z210" i="7"/>
  <c r="AG131" i="7"/>
  <c r="AA218" i="7"/>
  <c r="AG115" i="7"/>
  <c r="Z83" i="7"/>
  <c r="Z156" i="7"/>
  <c r="AK82" i="7"/>
  <c r="AM214" i="7"/>
  <c r="AM131" i="7"/>
  <c r="AO234" i="7"/>
  <c r="AF80" i="7"/>
  <c r="X190" i="7"/>
  <c r="AF230" i="7"/>
  <c r="AH71" i="7"/>
  <c r="AH72" i="7" s="1"/>
  <c r="AC186" i="7"/>
  <c r="AI64" i="7"/>
  <c r="AK27" i="7"/>
  <c r="W27" i="7"/>
  <c r="AG119" i="7"/>
  <c r="AF229" i="7"/>
  <c r="X236" i="7"/>
  <c r="AG149" i="7"/>
  <c r="Y111" i="7"/>
  <c r="X198" i="7"/>
  <c r="AC161" i="7"/>
  <c r="AG220" i="7"/>
  <c r="X139" i="7"/>
  <c r="AM83" i="7"/>
  <c r="AI220" i="7"/>
  <c r="AN194" i="7"/>
  <c r="AO177" i="7"/>
  <c r="AP180" i="7" s="1"/>
  <c r="AC83" i="7"/>
  <c r="Z27" i="7"/>
  <c r="Y72" i="7"/>
  <c r="AG12" i="7"/>
  <c r="AE135" i="7"/>
  <c r="W194" i="7"/>
  <c r="Z58" i="7"/>
  <c r="Y186" i="7"/>
  <c r="AJ45" i="7"/>
  <c r="AK210" i="7"/>
  <c r="AG163" i="7"/>
  <c r="AI111" i="7"/>
  <c r="X78" i="7"/>
  <c r="Y155" i="7"/>
  <c r="AM58" i="7"/>
  <c r="AM64" i="7"/>
  <c r="Z160" i="7"/>
  <c r="AJ76" i="7"/>
  <c r="AA236" i="7"/>
  <c r="AA223" i="7"/>
  <c r="AE155" i="7"/>
  <c r="AI230" i="7"/>
  <c r="AH8" i="7"/>
  <c r="AF35" i="7"/>
  <c r="AK60" i="7"/>
  <c r="AH214" i="7"/>
  <c r="AD58" i="7"/>
  <c r="AD64" i="7"/>
  <c r="AC107" i="7"/>
  <c r="AM143" i="7"/>
  <c r="AO210" i="7"/>
  <c r="AP212" i="7" s="1"/>
  <c r="AE45" i="7"/>
  <c r="AG111" i="7"/>
  <c r="AD202" i="7"/>
  <c r="X31" i="7"/>
  <c r="Y229" i="7"/>
  <c r="AB186" i="7"/>
  <c r="AB71" i="7"/>
  <c r="AL127" i="7"/>
  <c r="AP128" i="7" s="1"/>
  <c r="AC182" i="7"/>
  <c r="AA194" i="7"/>
  <c r="AE231" i="7"/>
  <c r="Y58" i="7"/>
  <c r="X71" i="7"/>
  <c r="X58" i="7"/>
  <c r="AM70" i="7"/>
  <c r="AA31" i="7"/>
  <c r="W202" i="7"/>
  <c r="AG206" i="7"/>
  <c r="AM60" i="7"/>
  <c r="AA22" i="7"/>
  <c r="W232" i="7"/>
  <c r="AA231" i="7"/>
  <c r="AA155" i="7"/>
  <c r="AG85" i="7"/>
  <c r="AL22" i="7"/>
  <c r="AP23" i="7" s="1"/>
  <c r="Y149" i="7"/>
  <c r="AC54" i="7"/>
  <c r="AK139" i="7"/>
  <c r="AN202" i="7"/>
  <c r="AN119" i="7"/>
  <c r="AO161" i="7"/>
  <c r="AA107" i="7"/>
  <c r="AJ194" i="7"/>
  <c r="AI31" i="7"/>
  <c r="AG198" i="7"/>
  <c r="Y146" i="7"/>
  <c r="AD111" i="7"/>
  <c r="AI232" i="7"/>
  <c r="AE78" i="7"/>
  <c r="AO8" i="7"/>
  <c r="AE131" i="7"/>
  <c r="AD143" i="7"/>
  <c r="AH164" i="7"/>
  <c r="AL77" i="7"/>
  <c r="AG78" i="7"/>
  <c r="X229" i="7"/>
  <c r="AM230" i="7"/>
  <c r="AC73" i="7"/>
  <c r="AJ160" i="7"/>
  <c r="AI60" i="7"/>
  <c r="Z234" i="7"/>
  <c r="AE115" i="7"/>
  <c r="AN131" i="7"/>
  <c r="AN220" i="7"/>
  <c r="AC220" i="7"/>
  <c r="W8" i="7"/>
  <c r="AB143" i="7"/>
  <c r="AB230" i="7"/>
  <c r="AJ131" i="7"/>
  <c r="AK54" i="7"/>
  <c r="AD98" i="7"/>
  <c r="AI231" i="7"/>
  <c r="Y177" i="7"/>
  <c r="AJ78" i="7"/>
  <c r="Z194" i="7"/>
  <c r="W54" i="7"/>
  <c r="AL194" i="7"/>
  <c r="AP195" i="7" s="1"/>
  <c r="AI82" i="7"/>
  <c r="Z162" i="7"/>
  <c r="AA146" i="7"/>
  <c r="AJ143" i="7"/>
  <c r="W77" i="7"/>
  <c r="Y71" i="7"/>
  <c r="X123" i="7"/>
  <c r="AD70" i="7"/>
  <c r="X73" i="7"/>
  <c r="AA198" i="7"/>
  <c r="AK31" i="7"/>
  <c r="AM79" i="7"/>
  <c r="Y80" i="7"/>
  <c r="AB131" i="7"/>
  <c r="AB163" i="7"/>
  <c r="AK8" i="7"/>
  <c r="AJ135" i="7"/>
  <c r="AF232" i="7"/>
  <c r="AK40" i="7"/>
  <c r="AH234" i="7"/>
  <c r="AO45" i="7"/>
  <c r="AP47" i="7" s="1"/>
  <c r="Z231" i="7"/>
  <c r="AH231" i="7"/>
  <c r="AK156" i="7"/>
  <c r="AK157" i="7" s="1"/>
  <c r="AC214" i="7"/>
  <c r="AO119" i="7"/>
  <c r="AM102" i="7"/>
  <c r="AC139" i="7"/>
  <c r="AJ127" i="7"/>
  <c r="AH206" i="7"/>
  <c r="AC127" i="7"/>
  <c r="AB161" i="7"/>
  <c r="AA119" i="7"/>
  <c r="AC70" i="7"/>
  <c r="AE77" i="7"/>
  <c r="AH161" i="7"/>
  <c r="Y85" i="7"/>
  <c r="AO75" i="7"/>
  <c r="X35" i="7"/>
  <c r="AL231" i="7"/>
  <c r="W73" i="7"/>
  <c r="AD231" i="7"/>
  <c r="AE35" i="7"/>
  <c r="Y79" i="7"/>
  <c r="AM85" i="7"/>
  <c r="AN64" i="7"/>
  <c r="X54" i="7"/>
  <c r="AJ80" i="7"/>
  <c r="AC71" i="7"/>
  <c r="AC12" i="7"/>
  <c r="AA162" i="7"/>
  <c r="AE220" i="7"/>
  <c r="AB17" i="7"/>
  <c r="Z202" i="7"/>
  <c r="AM149" i="7"/>
  <c r="AO190" i="7"/>
  <c r="AP192" i="7" s="1"/>
  <c r="AO102" i="7"/>
  <c r="AP105" i="7" s="1"/>
  <c r="AK214" i="7"/>
  <c r="AJ218" i="7"/>
  <c r="AI27" i="7"/>
  <c r="Z102" i="7"/>
  <c r="AJ31" i="7"/>
  <c r="AJ111" i="7"/>
  <c r="AM234" i="7"/>
  <c r="X40" i="7"/>
  <c r="AN77" i="7"/>
  <c r="W218" i="7"/>
  <c r="AK198" i="7"/>
  <c r="AA135" i="7"/>
  <c r="Y156" i="7"/>
  <c r="AC157" i="7"/>
  <c r="AI12" i="7"/>
  <c r="AB210" i="7"/>
  <c r="AF60" i="7"/>
  <c r="AN156" i="7"/>
  <c r="AN157" i="7" s="1"/>
  <c r="AO155" i="7"/>
  <c r="AA163" i="7"/>
  <c r="AL156" i="7"/>
  <c r="AL157" i="7" s="1"/>
  <c r="AJ210" i="7"/>
  <c r="AF79" i="7"/>
  <c r="AO78" i="7"/>
  <c r="AB85" i="7"/>
  <c r="AD236" i="7"/>
  <c r="AL76" i="7"/>
  <c r="AH75" i="7"/>
  <c r="AK194" i="7"/>
  <c r="AK230" i="7"/>
  <c r="AK229" i="7"/>
  <c r="AB173" i="7"/>
  <c r="X45" i="7"/>
  <c r="Y78" i="7"/>
  <c r="Y223" i="7"/>
  <c r="AI102" i="7"/>
  <c r="AD40" i="7"/>
  <c r="AI194" i="7"/>
  <c r="AG173" i="7"/>
  <c r="AK127" i="7"/>
  <c r="AN27" i="7"/>
  <c r="AL79" i="7"/>
  <c r="AA139" i="7"/>
  <c r="AC230" i="7"/>
  <c r="AD182" i="7"/>
  <c r="AC78" i="7"/>
  <c r="AO22" i="7"/>
  <c r="AP24" i="7" s="1"/>
  <c r="AA54" i="7"/>
  <c r="AI155" i="7"/>
  <c r="AO35" i="7"/>
  <c r="AM35" i="7"/>
  <c r="AL45" i="7"/>
  <c r="AP46" i="7" s="1"/>
  <c r="AE83" i="7"/>
  <c r="X210" i="7"/>
  <c r="AI22" i="7"/>
  <c r="AD73" i="7"/>
  <c r="AA76" i="7"/>
  <c r="W156" i="7"/>
  <c r="AN223" i="7"/>
  <c r="Y131" i="7"/>
  <c r="AD8" i="7"/>
  <c r="AH98" i="7"/>
  <c r="AJ22" i="7"/>
  <c r="AL149" i="7"/>
  <c r="AB158" i="7"/>
  <c r="AO80" i="7"/>
  <c r="AM76" i="7"/>
  <c r="AA83" i="7"/>
  <c r="AN234" i="7"/>
  <c r="W98" i="7"/>
  <c r="X72" i="7"/>
  <c r="AF127" i="7"/>
  <c r="AA190" i="7"/>
  <c r="AF156" i="7"/>
  <c r="AF157" i="7" s="1"/>
  <c r="AC162" i="7"/>
  <c r="AG190" i="7"/>
  <c r="Y127" i="7"/>
  <c r="AL164" i="7"/>
  <c r="AA156" i="7"/>
  <c r="AA58" i="7"/>
  <c r="Y17" i="7"/>
  <c r="AG146" i="7"/>
  <c r="AB220" i="7"/>
  <c r="Z164" i="7"/>
  <c r="AI135" i="7"/>
  <c r="AN139" i="7"/>
  <c r="AM182" i="7"/>
  <c r="AM223" i="7"/>
  <c r="AJ70" i="7"/>
  <c r="AH162" i="7"/>
  <c r="AI210" i="7"/>
  <c r="AN58" i="7"/>
  <c r="AA102" i="7"/>
  <c r="W75" i="7"/>
  <c r="AL163" i="7"/>
  <c r="AA123" i="7"/>
  <c r="AD186" i="7"/>
  <c r="AF214" i="7"/>
  <c r="AN79" i="7"/>
  <c r="AB223" i="7"/>
  <c r="AD123" i="7"/>
  <c r="W198" i="7"/>
  <c r="AO214" i="7"/>
  <c r="AN190" i="7"/>
  <c r="X77" i="7"/>
  <c r="AK77" i="7"/>
  <c r="AF111" i="7"/>
  <c r="AL54" i="7"/>
  <c r="X49" i="7"/>
  <c r="AH156" i="7"/>
  <c r="AH157" i="7" s="1"/>
  <c r="AI115" i="7"/>
  <c r="AK83" i="7"/>
  <c r="X119" i="7"/>
  <c r="Z45" i="7"/>
  <c r="AC234" i="7"/>
  <c r="AO70" i="7"/>
  <c r="AC143" i="7"/>
  <c r="AB64" i="7"/>
  <c r="AH229" i="7"/>
  <c r="AI45" i="7"/>
  <c r="AD232" i="7"/>
  <c r="AL35" i="7"/>
  <c r="X162" i="7"/>
  <c r="AO85" i="7"/>
  <c r="AC123" i="7"/>
  <c r="Z70" i="7"/>
  <c r="W162" i="7"/>
  <c r="AA206" i="7"/>
  <c r="AC27" i="7"/>
  <c r="AF190" i="7"/>
  <c r="AA71" i="7"/>
  <c r="AB234" i="7"/>
  <c r="AH40" i="7"/>
  <c r="AG139" i="7"/>
  <c r="X17" i="7"/>
  <c r="AA161" i="7"/>
  <c r="AN85" i="7"/>
  <c r="AM206" i="7"/>
  <c r="W82" i="7"/>
  <c r="AB123" i="7"/>
  <c r="AK182" i="7"/>
  <c r="AL64" i="7"/>
  <c r="AG79" i="7"/>
  <c r="AF210" i="7"/>
  <c r="Z236" i="7"/>
  <c r="Y64" i="7"/>
  <c r="AG27" i="7"/>
  <c r="AN161" i="7"/>
  <c r="AG155" i="7"/>
  <c r="AL83" i="7"/>
  <c r="AF220" i="7"/>
  <c r="AD75" i="7"/>
  <c r="AD223" i="7"/>
  <c r="AI78" i="7"/>
  <c r="AI160" i="7"/>
  <c r="Y49" i="7"/>
  <c r="Y27" i="7"/>
  <c r="AM31" i="7"/>
  <c r="AF218" i="7"/>
  <c r="AD83" i="7"/>
  <c r="AA127" i="7"/>
  <c r="AE107" i="7"/>
  <c r="Z214" i="7"/>
  <c r="AO127" i="7"/>
  <c r="AO232" i="7"/>
  <c r="AN214" i="7"/>
  <c r="AJ149" i="7"/>
  <c r="AF177" i="7"/>
  <c r="Y75" i="7"/>
  <c r="AL31" i="7"/>
  <c r="AF115" i="7"/>
  <c r="Y123" i="7"/>
  <c r="X163" i="7"/>
  <c r="W83" i="7"/>
  <c r="AF40" i="7"/>
  <c r="AB45" i="7"/>
  <c r="W229" i="7"/>
  <c r="AH78" i="7"/>
  <c r="Y22" i="7"/>
  <c r="Z163" i="7"/>
  <c r="AI190" i="7"/>
  <c r="AN54" i="7"/>
  <c r="AA49" i="7"/>
  <c r="AO149" i="7"/>
  <c r="AO115" i="7"/>
  <c r="AE190" i="7"/>
  <c r="AJ190" i="7"/>
  <c r="AD131" i="7"/>
  <c r="AK220" i="7"/>
  <c r="AG230" i="7"/>
  <c r="W79" i="7"/>
  <c r="W58" i="7"/>
  <c r="AF102" i="7"/>
  <c r="AH155" i="7"/>
  <c r="AC60" i="7"/>
  <c r="AE76" i="7"/>
  <c r="X79" i="7"/>
  <c r="AG210" i="7"/>
  <c r="Z220" i="7"/>
  <c r="AC40" i="7"/>
  <c r="AA82" i="7"/>
  <c r="Y182" i="7"/>
  <c r="AH135" i="7"/>
  <c r="Z157" i="7"/>
  <c r="W231" i="7"/>
  <c r="AH82" i="7"/>
  <c r="W76" i="7"/>
  <c r="AE27" i="7"/>
  <c r="AA149" i="7"/>
  <c r="AA8" i="7"/>
  <c r="Z17" i="7"/>
  <c r="AB72" i="7"/>
  <c r="AI119" i="7"/>
  <c r="AA98" i="7"/>
  <c r="AK80" i="7"/>
  <c r="AD230" i="7"/>
  <c r="Q816" i="8"/>
  <c r="R810" i="8"/>
  <c r="R815" i="8" s="1"/>
  <c r="AD384" i="8"/>
  <c r="AC384" i="8"/>
  <c r="U213" i="8"/>
  <c r="AP117" i="7" l="1"/>
  <c r="AP211" i="7"/>
  <c r="AP208" i="7"/>
  <c r="AP116" i="7"/>
  <c r="AP132" i="7"/>
  <c r="AP191" i="7"/>
  <c r="AP65" i="7"/>
  <c r="AP137" i="7"/>
  <c r="AP51" i="7"/>
  <c r="U214" i="8"/>
  <c r="AP32" i="7"/>
  <c r="AP121" i="7"/>
  <c r="AP179" i="7"/>
  <c r="AP203" i="7"/>
  <c r="AP221" i="7"/>
  <c r="AP120" i="7"/>
  <c r="AP204" i="7"/>
  <c r="AP200" i="7"/>
  <c r="AP199" i="7"/>
  <c r="AP37" i="7"/>
  <c r="AP112" i="7"/>
  <c r="AP61" i="7"/>
  <c r="AP29" i="7"/>
  <c r="AP129" i="7"/>
  <c r="AP36" i="7"/>
  <c r="AP28" i="7"/>
  <c r="AP113" i="7"/>
  <c r="AP41" i="7"/>
  <c r="AP42" i="7"/>
  <c r="AP207" i="7"/>
  <c r="AP133" i="7"/>
  <c r="AP136" i="7"/>
  <c r="AP50" i="7"/>
  <c r="AP124" i="7"/>
  <c r="AP187" i="7"/>
  <c r="AP188" i="7"/>
  <c r="AP125" i="7"/>
  <c r="K143" i="7"/>
  <c r="K218" i="7"/>
  <c r="L58" i="7"/>
  <c r="Z141" i="7"/>
  <c r="Z196" i="7"/>
  <c r="AF221" i="7"/>
  <c r="Y29" i="7"/>
  <c r="Z33" i="7"/>
  <c r="AL150" i="7"/>
  <c r="AP150" i="7"/>
  <c r="AL147" i="7"/>
  <c r="AP147" i="7"/>
  <c r="Y129" i="7"/>
  <c r="AB147" i="7"/>
  <c r="AG224" i="7"/>
  <c r="AA65" i="7"/>
  <c r="Y125" i="7"/>
  <c r="AF236" i="7"/>
  <c r="AF237" i="7" s="1"/>
  <c r="Y109" i="7"/>
  <c r="AD84" i="7"/>
  <c r="AE84" i="7"/>
  <c r="AD65" i="7"/>
  <c r="AB65" i="7"/>
  <c r="AN235" i="7"/>
  <c r="X184" i="7"/>
  <c r="AG147" i="7"/>
  <c r="Z235" i="7"/>
  <c r="AO235" i="7"/>
  <c r="AG84" i="7"/>
  <c r="AC61" i="7"/>
  <c r="Z216" i="7"/>
  <c r="AF61" i="7"/>
  <c r="X125" i="7"/>
  <c r="AI236" i="7"/>
  <c r="AI237" i="7" s="1"/>
  <c r="X137" i="7"/>
  <c r="AK224" i="7"/>
  <c r="AH150" i="7"/>
  <c r="Y24" i="7"/>
  <c r="AL65" i="7"/>
  <c r="X51" i="7"/>
  <c r="AC221" i="7"/>
  <c r="X141" i="7"/>
  <c r="AK65" i="7"/>
  <c r="Z175" i="7"/>
  <c r="Z192" i="7"/>
  <c r="Y184" i="7"/>
  <c r="AH235" i="7"/>
  <c r="X33" i="7"/>
  <c r="AA237" i="7"/>
  <c r="X237" i="7"/>
  <c r="AD235" i="7"/>
  <c r="AJ65" i="7"/>
  <c r="Z117" i="7"/>
  <c r="AN84" i="7"/>
  <c r="X121" i="7"/>
  <c r="AI61" i="7"/>
  <c r="AI65" i="7"/>
  <c r="Z84" i="7"/>
  <c r="Y10" i="7"/>
  <c r="AF150" i="7"/>
  <c r="X133" i="7"/>
  <c r="W237" i="7"/>
  <c r="AL235" i="7"/>
  <c r="AC235" i="7"/>
  <c r="AB221" i="7"/>
  <c r="X212" i="7"/>
  <c r="X42" i="7"/>
  <c r="Z204" i="7"/>
  <c r="AA147" i="7"/>
  <c r="Y188" i="7"/>
  <c r="AC84" i="7"/>
  <c r="Y113" i="7"/>
  <c r="X192" i="7"/>
  <c r="Z137" i="7"/>
  <c r="AL224" i="7"/>
  <c r="AO236" i="7"/>
  <c r="AO237" i="7" s="1"/>
  <c r="AB235" i="7"/>
  <c r="AB224" i="7"/>
  <c r="AK61" i="7"/>
  <c r="AM84" i="7"/>
  <c r="AG150" i="7"/>
  <c r="Z212" i="7"/>
  <c r="W178" i="7"/>
  <c r="AF235" i="7"/>
  <c r="Y208" i="7"/>
  <c r="AJ235" i="7"/>
  <c r="AJ84" i="7"/>
  <c r="Z200" i="7"/>
  <c r="AK221" i="7"/>
  <c r="AD224" i="7"/>
  <c r="X19" i="7"/>
  <c r="Z47" i="7"/>
  <c r="AE221" i="7"/>
  <c r="X37" i="7"/>
  <c r="AA224" i="7"/>
  <c r="W235" i="7"/>
  <c r="X175" i="7"/>
  <c r="Z10" i="7"/>
  <c r="AG236" i="7"/>
  <c r="AG237" i="7" s="1"/>
  <c r="AH61" i="7"/>
  <c r="AE235" i="7"/>
  <c r="AA150" i="7"/>
  <c r="Z19" i="7"/>
  <c r="AJ150" i="7"/>
  <c r="AK84" i="7"/>
  <c r="X47" i="7"/>
  <c r="AA61" i="7"/>
  <c r="AF147" i="7"/>
  <c r="AL84" i="7"/>
  <c r="Y133" i="7"/>
  <c r="W84" i="7"/>
  <c r="Z237" i="7"/>
  <c r="Y100" i="7"/>
  <c r="T200" i="8"/>
  <c r="T114" i="8"/>
  <c r="T122" i="8" s="1"/>
  <c r="T10" i="8"/>
  <c r="AX816" i="8"/>
  <c r="AY810" i="8"/>
  <c r="AY815" i="8" s="1"/>
  <c r="J202" i="7"/>
  <c r="J40" i="7"/>
  <c r="J35" i="7" s="1"/>
  <c r="L146" i="7"/>
  <c r="M146" i="7" s="1"/>
  <c r="N146" i="7" s="1"/>
  <c r="J127" i="7"/>
  <c r="L220" i="7"/>
  <c r="M220" i="7" s="1"/>
  <c r="N220" i="7" s="1"/>
  <c r="J190" i="7"/>
  <c r="Q794" i="8"/>
  <c r="P799" i="8"/>
  <c r="J27" i="7"/>
  <c r="Y51" i="7"/>
  <c r="J115" i="7"/>
  <c r="L149" i="7"/>
  <c r="M149" i="7" s="1"/>
  <c r="N149" i="7" s="1"/>
  <c r="J31" i="7"/>
  <c r="J60" i="7"/>
  <c r="L223" i="7"/>
  <c r="M223" i="7" s="1"/>
  <c r="N223" i="7" s="1"/>
  <c r="J64" i="7"/>
  <c r="X56" i="7"/>
  <c r="X216" i="7"/>
  <c r="S810" i="8"/>
  <c r="S815" i="8" s="1"/>
  <c r="R816" i="8"/>
  <c r="AI121" i="7"/>
  <c r="AI120" i="7"/>
  <c r="AA9" i="7"/>
  <c r="AA10" i="7"/>
  <c r="AE29" i="7"/>
  <c r="AE28" i="7"/>
  <c r="AH136" i="7"/>
  <c r="AH137" i="7"/>
  <c r="AC42" i="7"/>
  <c r="AC41" i="7"/>
  <c r="AF104" i="7"/>
  <c r="AF105" i="7"/>
  <c r="AF107" i="7"/>
  <c r="AF103" i="7"/>
  <c r="AD133" i="7"/>
  <c r="AD132" i="7"/>
  <c r="AO116" i="7"/>
  <c r="AS115" i="7"/>
  <c r="AW115" i="7" s="1"/>
  <c r="AO117" i="7"/>
  <c r="AA51" i="7"/>
  <c r="AA50" i="7"/>
  <c r="AI192" i="7"/>
  <c r="AI191" i="7"/>
  <c r="AF116" i="7"/>
  <c r="AF117" i="7"/>
  <c r="AR214" i="7"/>
  <c r="AV214" i="7" s="1"/>
  <c r="AN215" i="7"/>
  <c r="AN216" i="7"/>
  <c r="AS127" i="7"/>
  <c r="AW127" i="7" s="1"/>
  <c r="AO129" i="7"/>
  <c r="AO128" i="7"/>
  <c r="AE108" i="7"/>
  <c r="AE109" i="7"/>
  <c r="AG28" i="7"/>
  <c r="AG29" i="7"/>
  <c r="AF212" i="7"/>
  <c r="AF211" i="7"/>
  <c r="AK184" i="7"/>
  <c r="AK183" i="7"/>
  <c r="AM207" i="7"/>
  <c r="AM208" i="7"/>
  <c r="AQ206" i="7"/>
  <c r="AU206" i="7" s="1"/>
  <c r="AF191" i="7"/>
  <c r="AF192" i="7"/>
  <c r="AC29" i="7"/>
  <c r="AC28" i="7"/>
  <c r="AA208" i="7"/>
  <c r="AA207" i="7"/>
  <c r="AL37" i="7"/>
  <c r="AL36" i="7"/>
  <c r="AI46" i="7"/>
  <c r="AI47" i="7"/>
  <c r="AO216" i="7"/>
  <c r="AO215" i="7"/>
  <c r="AS214" i="7"/>
  <c r="AW214" i="7" s="1"/>
  <c r="AD124" i="7"/>
  <c r="AD125" i="7"/>
  <c r="AF215" i="7"/>
  <c r="AF216" i="7"/>
  <c r="AA125" i="7"/>
  <c r="AA124" i="7"/>
  <c r="AI212" i="7"/>
  <c r="AI211" i="7"/>
  <c r="AM184" i="7"/>
  <c r="AM183" i="7"/>
  <c r="Y19" i="7"/>
  <c r="AF129" i="7"/>
  <c r="AF128" i="7"/>
  <c r="AA84" i="7"/>
  <c r="AJ24" i="7"/>
  <c r="AJ23" i="7"/>
  <c r="AD9" i="7"/>
  <c r="AD10" i="7"/>
  <c r="AR223" i="7"/>
  <c r="AV223" i="7" s="1"/>
  <c r="AN224" i="7"/>
  <c r="AI23" i="7"/>
  <c r="AI24" i="7"/>
  <c r="AM37" i="7"/>
  <c r="AM36" i="7"/>
  <c r="AO23" i="7"/>
  <c r="AO24" i="7"/>
  <c r="AD184" i="7"/>
  <c r="AD183" i="7"/>
  <c r="AA141" i="7"/>
  <c r="AA140" i="7"/>
  <c r="AK128" i="7"/>
  <c r="AK129" i="7"/>
  <c r="AI195" i="7"/>
  <c r="AI196" i="7"/>
  <c r="AD41" i="7"/>
  <c r="AD42" i="7"/>
  <c r="AB174" i="7"/>
  <c r="AB175" i="7"/>
  <c r="AD237" i="7"/>
  <c r="AA136" i="7"/>
  <c r="AA137" i="7"/>
  <c r="AJ112" i="7"/>
  <c r="AJ113" i="7"/>
  <c r="Z103" i="7"/>
  <c r="Z105" i="7"/>
  <c r="AI28" i="7"/>
  <c r="AI29" i="7"/>
  <c r="AO103" i="7"/>
  <c r="AO104" i="7"/>
  <c r="AO107" i="7"/>
  <c r="AO105" i="7"/>
  <c r="AQ149" i="7"/>
  <c r="AU149" i="7" s="1"/>
  <c r="AM150" i="7"/>
  <c r="AB18" i="7"/>
  <c r="AB19" i="7"/>
  <c r="AR64" i="7"/>
  <c r="AV64" i="7" s="1"/>
  <c r="AN65" i="7"/>
  <c r="AE36" i="7"/>
  <c r="AE37" i="7"/>
  <c r="AA120" i="7"/>
  <c r="AA121" i="7"/>
  <c r="AH207" i="7"/>
  <c r="AH208" i="7"/>
  <c r="AC140" i="7"/>
  <c r="AC141" i="7"/>
  <c r="AO120" i="7"/>
  <c r="AS119" i="7"/>
  <c r="AW119" i="7" s="1"/>
  <c r="AO121" i="7"/>
  <c r="AO47" i="7"/>
  <c r="AO46" i="7"/>
  <c r="AS45" i="7"/>
  <c r="AW45" i="7" s="1"/>
  <c r="AJ137" i="7"/>
  <c r="AJ136" i="7"/>
  <c r="AB132" i="7"/>
  <c r="AB133" i="7"/>
  <c r="AA199" i="7"/>
  <c r="AA200" i="7"/>
  <c r="AK55" i="7"/>
  <c r="AK56" i="7"/>
  <c r="AN221" i="7"/>
  <c r="AR220" i="7"/>
  <c r="AV220" i="7" s="1"/>
  <c r="AD113" i="7"/>
  <c r="AD112" i="7"/>
  <c r="AG199" i="7"/>
  <c r="AG200" i="7"/>
  <c r="AI33" i="7"/>
  <c r="AI32" i="7"/>
  <c r="AR202" i="7"/>
  <c r="AV202" i="7" s="1"/>
  <c r="AN203" i="7"/>
  <c r="AN204" i="7"/>
  <c r="AC55" i="7"/>
  <c r="AC56" i="7"/>
  <c r="AL24" i="7"/>
  <c r="AL23" i="7"/>
  <c r="AA23" i="7"/>
  <c r="AA24" i="7"/>
  <c r="AG208" i="7"/>
  <c r="AG207" i="7"/>
  <c r="AA195" i="7"/>
  <c r="AA196" i="7"/>
  <c r="AL129" i="7"/>
  <c r="AL128" i="7"/>
  <c r="AB188" i="7"/>
  <c r="AB187" i="7"/>
  <c r="AD203" i="7"/>
  <c r="AD204" i="7"/>
  <c r="AG112" i="7"/>
  <c r="AG113" i="7"/>
  <c r="AO212" i="7"/>
  <c r="AO211" i="7"/>
  <c r="AC108" i="7"/>
  <c r="AC109" i="7"/>
  <c r="AH10" i="7"/>
  <c r="AH9" i="7"/>
  <c r="AQ64" i="7"/>
  <c r="AU64" i="7" s="1"/>
  <c r="AM65" i="7"/>
  <c r="AJ47" i="7"/>
  <c r="AJ46" i="7"/>
  <c r="AE136" i="7"/>
  <c r="AE137" i="7"/>
  <c r="Z29" i="7"/>
  <c r="AO180" i="7"/>
  <c r="AO179" i="7"/>
  <c r="AO178" i="7"/>
  <c r="AI221" i="7"/>
  <c r="AG221" i="7"/>
  <c r="X200" i="7"/>
  <c r="AG120" i="7"/>
  <c r="AG121" i="7"/>
  <c r="AK29" i="7"/>
  <c r="AK28" i="7"/>
  <c r="AC188" i="7"/>
  <c r="AC187" i="7"/>
  <c r="AM215" i="7"/>
  <c r="AM216" i="7"/>
  <c r="AQ214" i="7"/>
  <c r="AU214" i="7" s="1"/>
  <c r="AG61" i="7"/>
  <c r="AD15" i="7"/>
  <c r="AD14" i="7"/>
  <c r="AD13" i="7"/>
  <c r="AL183" i="7"/>
  <c r="AL184" i="7"/>
  <c r="AH112" i="7"/>
  <c r="AH113" i="7"/>
  <c r="AI184" i="7"/>
  <c r="AI183" i="7"/>
  <c r="AO147" i="7"/>
  <c r="AS146" i="7"/>
  <c r="AW146" i="7" s="1"/>
  <c r="AE150" i="7"/>
  <c r="AC19" i="7"/>
  <c r="AC18" i="7"/>
  <c r="AB51" i="7"/>
  <c r="AB50" i="7"/>
  <c r="AH236" i="7"/>
  <c r="AH237" i="7" s="1"/>
  <c r="AH221" i="7"/>
  <c r="Y13" i="7"/>
  <c r="Y15" i="7"/>
  <c r="AA19" i="7"/>
  <c r="AA18" i="7"/>
  <c r="AB128" i="7"/>
  <c r="AB129" i="7"/>
  <c r="AD141" i="7"/>
  <c r="AD140" i="7"/>
  <c r="AH180" i="7"/>
  <c r="AH178" i="7"/>
  <c r="AH179" i="7"/>
  <c r="AE215" i="7"/>
  <c r="AE216" i="7"/>
  <c r="AD200" i="7"/>
  <c r="AD199" i="7"/>
  <c r="AH141" i="7"/>
  <c r="AH140" i="7"/>
  <c r="AO140" i="7"/>
  <c r="AS139" i="7"/>
  <c r="AW139" i="7" s="1"/>
  <c r="AO141" i="7"/>
  <c r="AC196" i="7"/>
  <c r="AC195" i="7"/>
  <c r="AL204" i="7"/>
  <c r="AL203" i="7"/>
  <c r="AK133" i="7"/>
  <c r="AK132" i="7"/>
  <c r="AD192" i="7"/>
  <c r="AD191" i="7"/>
  <c r="AH24" i="7"/>
  <c r="AH23" i="7"/>
  <c r="AE24" i="7"/>
  <c r="AE23" i="7"/>
  <c r="AD19" i="7"/>
  <c r="AD18" i="7"/>
  <c r="X29" i="7"/>
  <c r="AE212" i="7"/>
  <c r="AE211" i="7"/>
  <c r="AB116" i="7"/>
  <c r="AB117" i="7"/>
  <c r="AG128" i="7"/>
  <c r="AG129" i="7"/>
  <c r="AK137" i="7"/>
  <c r="AK136" i="7"/>
  <c r="AF120" i="7"/>
  <c r="AF121" i="7"/>
  <c r="AG50" i="7"/>
  <c r="AG51" i="7"/>
  <c r="AI36" i="7"/>
  <c r="AI37" i="7"/>
  <c r="W13" i="7"/>
  <c r="AM203" i="7"/>
  <c r="AQ202" i="7"/>
  <c r="AU202" i="7" s="1"/>
  <c r="AM204" i="7"/>
  <c r="AK147" i="7"/>
  <c r="AI50" i="7"/>
  <c r="AI51" i="7"/>
  <c r="AI132" i="7"/>
  <c r="AI133" i="7"/>
  <c r="AQ194" i="7"/>
  <c r="AU194" i="7" s="1"/>
  <c r="AM195" i="7"/>
  <c r="AM196" i="7"/>
  <c r="AN107" i="7"/>
  <c r="AN103" i="7"/>
  <c r="AN104" i="7"/>
  <c r="AN105" i="7"/>
  <c r="Z184" i="7"/>
  <c r="Y237" i="7"/>
  <c r="Z133" i="7"/>
  <c r="AL29" i="7"/>
  <c r="AL28" i="7"/>
  <c r="Z100" i="7"/>
  <c r="AF136" i="7"/>
  <c r="AF137" i="7"/>
  <c r="AI178" i="7"/>
  <c r="AI179" i="7"/>
  <c r="AI180" i="7"/>
  <c r="AH133" i="7"/>
  <c r="AH132" i="7"/>
  <c r="AL10" i="7"/>
  <c r="AL9" i="7"/>
  <c r="AI150" i="7"/>
  <c r="AM24" i="7"/>
  <c r="AM23" i="7"/>
  <c r="AF9" i="7"/>
  <c r="AF10" i="7"/>
  <c r="AD36" i="7"/>
  <c r="AD37" i="7"/>
  <c r="AM174" i="7"/>
  <c r="AM175" i="7"/>
  <c r="AS202" i="7"/>
  <c r="AW202" i="7" s="1"/>
  <c r="AO203" i="7"/>
  <c r="AO204" i="7"/>
  <c r="AM121" i="7"/>
  <c r="AM120" i="7"/>
  <c r="AQ119" i="7"/>
  <c r="AU119" i="7" s="1"/>
  <c r="AA215" i="7"/>
  <c r="AA216" i="7"/>
  <c r="AI204" i="7"/>
  <c r="AI203" i="7"/>
  <c r="AI9" i="7"/>
  <c r="AI10" i="7"/>
  <c r="AH28" i="7"/>
  <c r="AH29" i="7"/>
  <c r="AO184" i="7"/>
  <c r="AO183" i="7"/>
  <c r="AC36" i="7"/>
  <c r="AC37" i="7"/>
  <c r="AG42" i="7"/>
  <c r="AG41" i="7"/>
  <c r="AI140" i="7"/>
  <c r="AI141" i="7"/>
  <c r="AD212" i="7"/>
  <c r="AD211" i="7"/>
  <c r="AI100" i="7"/>
  <c r="AI99" i="7"/>
  <c r="AL236" i="7"/>
  <c r="AL237" i="7" s="1"/>
  <c r="AH121" i="7"/>
  <c r="AH120" i="7"/>
  <c r="AA188" i="7"/>
  <c r="AA187" i="7"/>
  <c r="AC47" i="7"/>
  <c r="AC46" i="7"/>
  <c r="AE183" i="7"/>
  <c r="AE184" i="7"/>
  <c r="AN187" i="7"/>
  <c r="AN188" i="7"/>
  <c r="AN23" i="7"/>
  <c r="AN24" i="7"/>
  <c r="AH47" i="7"/>
  <c r="AH46" i="7"/>
  <c r="Z24" i="7"/>
  <c r="AD196" i="7"/>
  <c r="AD195" i="7"/>
  <c r="AD147" i="7"/>
  <c r="AS31" i="7"/>
  <c r="AW31" i="7" s="1"/>
  <c r="AO33" i="7"/>
  <c r="AO32" i="7"/>
  <c r="AG184" i="7"/>
  <c r="AG183" i="7"/>
  <c r="AK23" i="7"/>
  <c r="AK24" i="7"/>
  <c r="AJ37" i="7"/>
  <c r="AJ36" i="7"/>
  <c r="AA117" i="7"/>
  <c r="AA116" i="7"/>
  <c r="AN136" i="7"/>
  <c r="AN137" i="7"/>
  <c r="AJ121" i="7"/>
  <c r="AJ120" i="7"/>
  <c r="AE147" i="7"/>
  <c r="AB32" i="7"/>
  <c r="AB33" i="7"/>
  <c r="AK104" i="7"/>
  <c r="AK103" i="7"/>
  <c r="AK107" i="7"/>
  <c r="AK105" i="7"/>
  <c r="AN51" i="7"/>
  <c r="AN50" i="7"/>
  <c r="AG179" i="7"/>
  <c r="AG178" i="7"/>
  <c r="AG180" i="7"/>
  <c r="AF84" i="7"/>
  <c r="AQ40" i="7"/>
  <c r="AM41" i="7"/>
  <c r="AM42" i="7"/>
  <c r="AL124" i="7"/>
  <c r="AL125" i="7"/>
  <c r="Y103" i="7"/>
  <c r="Y105" i="7"/>
  <c r="AN37" i="7"/>
  <c r="AN36" i="7"/>
  <c r="AL174" i="7"/>
  <c r="AL175" i="7"/>
  <c r="AG216" i="7"/>
  <c r="AG215" i="7"/>
  <c r="AO137" i="7"/>
  <c r="AO136" i="7"/>
  <c r="AO224" i="7"/>
  <c r="AS223" i="7"/>
  <c r="AW223" i="7" s="1"/>
  <c r="AF124" i="7"/>
  <c r="AF125" i="7"/>
  <c r="X109" i="7"/>
  <c r="AL191" i="7"/>
  <c r="AL192" i="7"/>
  <c r="AG187" i="7"/>
  <c r="AG188" i="7"/>
  <c r="AL105" i="7"/>
  <c r="AL107" i="7"/>
  <c r="AL104" i="7"/>
  <c r="AL103" i="7"/>
  <c r="AA28" i="7"/>
  <c r="AA29" i="7"/>
  <c r="AO174" i="7"/>
  <c r="AO175" i="7"/>
  <c r="AG124" i="7"/>
  <c r="AG125" i="7"/>
  <c r="AN33" i="7"/>
  <c r="AN32" i="7"/>
  <c r="AR31" i="7"/>
  <c r="AV31" i="7" s="1"/>
  <c r="AA42" i="7"/>
  <c r="AA41" i="7"/>
  <c r="AG10" i="7"/>
  <c r="AG9" i="7"/>
  <c r="AI207" i="7"/>
  <c r="AI208" i="7"/>
  <c r="AJ236" i="7"/>
  <c r="AJ237" i="7" s="1"/>
  <c r="AA37" i="7"/>
  <c r="AA36" i="7"/>
  <c r="AO99" i="7"/>
  <c r="AO100" i="7"/>
  <c r="AO195" i="7"/>
  <c r="AS194" i="7"/>
  <c r="AW194" i="7" s="1"/>
  <c r="AO196" i="7"/>
  <c r="AK187" i="7"/>
  <c r="AK188" i="7"/>
  <c r="AE121" i="7"/>
  <c r="AE120" i="7"/>
  <c r="AF187" i="7"/>
  <c r="AF188" i="7"/>
  <c r="AC147" i="7"/>
  <c r="AF200" i="7"/>
  <c r="AF199" i="7"/>
  <c r="AE14" i="7"/>
  <c r="AE13" i="7"/>
  <c r="AE15" i="7"/>
  <c r="AE17" i="7"/>
  <c r="AO42" i="7"/>
  <c r="AO41" i="7"/>
  <c r="AS40" i="7"/>
  <c r="AW40" i="7" s="1"/>
  <c r="AG195" i="7"/>
  <c r="AG196" i="7"/>
  <c r="AB61" i="7"/>
  <c r="AF224" i="7"/>
  <c r="AE188" i="7"/>
  <c r="AE187" i="7"/>
  <c r="AJ141" i="7"/>
  <c r="AJ140" i="7"/>
  <c r="AI129" i="7"/>
  <c r="AI128" i="7"/>
  <c r="AL216" i="7"/>
  <c r="AL215" i="7"/>
  <c r="AH195" i="7"/>
  <c r="AH196" i="7"/>
  <c r="AE180" i="7"/>
  <c r="AE178" i="7"/>
  <c r="AE179" i="7"/>
  <c r="AK17" i="7"/>
  <c r="AK15" i="7"/>
  <c r="AK14" i="7"/>
  <c r="AK13" i="7"/>
  <c r="AD116" i="7"/>
  <c r="AD117" i="7"/>
  <c r="AI187" i="7"/>
  <c r="AI188" i="7"/>
  <c r="AD61" i="7"/>
  <c r="AH32" i="7"/>
  <c r="AH33" i="7"/>
  <c r="AM147" i="7"/>
  <c r="AQ146" i="7"/>
  <c r="AU146" i="7" s="1"/>
  <c r="AJ100" i="7"/>
  <c r="AJ99" i="7"/>
  <c r="AM15" i="7"/>
  <c r="AM14" i="7"/>
  <c r="AM17" i="7"/>
  <c r="AM13" i="7"/>
  <c r="Y56" i="7"/>
  <c r="AD108" i="7"/>
  <c r="AD109" i="7"/>
  <c r="AF56" i="7"/>
  <c r="AF55" i="7"/>
  <c r="Y216" i="7"/>
  <c r="AF196" i="7"/>
  <c r="AF195" i="7"/>
  <c r="AG137" i="7"/>
  <c r="AG136" i="7"/>
  <c r="AH117" i="7"/>
  <c r="AH116" i="7"/>
  <c r="AM129" i="7"/>
  <c r="AM128" i="7"/>
  <c r="AQ127" i="7"/>
  <c r="AU127" i="7" s="1"/>
  <c r="Y42" i="7"/>
  <c r="AG46" i="7"/>
  <c r="AG47" i="7"/>
  <c r="AB136" i="7"/>
  <c r="AB137" i="7"/>
  <c r="AB203" i="7"/>
  <c r="AB204" i="7"/>
  <c r="AD208" i="7"/>
  <c r="AD207" i="7"/>
  <c r="AG104" i="7"/>
  <c r="AG107" i="7"/>
  <c r="AG103" i="7"/>
  <c r="AG105" i="7"/>
  <c r="AM99" i="7"/>
  <c r="AM100" i="7"/>
  <c r="AN200" i="7"/>
  <c r="AN199" i="7"/>
  <c r="AI199" i="7"/>
  <c r="AI200" i="7"/>
  <c r="AI42" i="7"/>
  <c r="AI41" i="7"/>
  <c r="AC199" i="7"/>
  <c r="AC200" i="7"/>
  <c r="AF208" i="7"/>
  <c r="AF207" i="7"/>
  <c r="AC132" i="7"/>
  <c r="AC133" i="7"/>
  <c r="AG99" i="7"/>
  <c r="AG100" i="7"/>
  <c r="AL221" i="7"/>
  <c r="AK116" i="7"/>
  <c r="AK117" i="7"/>
  <c r="AJ50" i="7"/>
  <c r="AJ51" i="7"/>
  <c r="AI147" i="7"/>
  <c r="AI235" i="7"/>
  <c r="AL188" i="7"/>
  <c r="AL187" i="7"/>
  <c r="X100" i="7"/>
  <c r="AH192" i="7"/>
  <c r="AH191" i="7"/>
  <c r="AK150" i="7"/>
  <c r="AK235" i="7"/>
  <c r="Z56" i="7"/>
  <c r="AM221" i="7"/>
  <c r="AQ220" i="7"/>
  <c r="AU220" i="7" s="1"/>
  <c r="AM187" i="7"/>
  <c r="AM188" i="7"/>
  <c r="X84" i="7"/>
  <c r="Y196" i="7"/>
  <c r="Z37" i="7"/>
  <c r="AC207" i="7"/>
  <c r="AC208" i="7"/>
  <c r="AB150" i="7"/>
  <c r="AH129" i="7"/>
  <c r="AH128" i="7"/>
  <c r="AJ204" i="7"/>
  <c r="AJ203" i="7"/>
  <c r="AE100" i="7"/>
  <c r="AE99" i="7"/>
  <c r="AO124" i="7"/>
  <c r="AO125" i="7"/>
  <c r="AB55" i="7"/>
  <c r="AB56" i="7"/>
  <c r="AK121" i="7"/>
  <c r="AK120" i="7"/>
  <c r="Z113" i="7"/>
  <c r="AK179" i="7"/>
  <c r="AK178" i="7"/>
  <c r="AK180" i="7"/>
  <c r="Y84" i="7"/>
  <c r="AM56" i="7"/>
  <c r="AQ54" i="7"/>
  <c r="AU54" i="7" s="1"/>
  <c r="AM55" i="7"/>
  <c r="AF183" i="7"/>
  <c r="AF184" i="7"/>
  <c r="AM192" i="7"/>
  <c r="AM191" i="7"/>
  <c r="AQ190" i="7"/>
  <c r="AU190" i="7" s="1"/>
  <c r="AD24" i="7"/>
  <c r="AD23" i="7"/>
  <c r="AE124" i="7"/>
  <c r="AE125" i="7"/>
  <c r="AB199" i="7"/>
  <c r="AB200" i="7"/>
  <c r="AD56" i="7"/>
  <c r="AD55" i="7"/>
  <c r="AJ61" i="7"/>
  <c r="AH204" i="7"/>
  <c r="AH203" i="7"/>
  <c r="AK46" i="7"/>
  <c r="AK47" i="7"/>
  <c r="AB112" i="7"/>
  <c r="AB113" i="7"/>
  <c r="AJ56" i="7"/>
  <c r="AJ55" i="7"/>
  <c r="AC32" i="7"/>
  <c r="AC33" i="7"/>
  <c r="AJ183" i="7"/>
  <c r="AJ184" i="7"/>
  <c r="AC179" i="7"/>
  <c r="AC180" i="7"/>
  <c r="AC178" i="7"/>
  <c r="AC224" i="7"/>
  <c r="AO199" i="7"/>
  <c r="AO200" i="7"/>
  <c r="AJ117" i="7"/>
  <c r="AJ116" i="7"/>
  <c r="AJ147" i="7"/>
  <c r="AA235" i="7"/>
  <c r="AE175" i="7"/>
  <c r="AE174" i="7"/>
  <c r="AG235" i="7"/>
  <c r="AB15" i="7"/>
  <c r="AB14" i="7"/>
  <c r="AB13" i="7"/>
  <c r="AA112" i="7"/>
  <c r="AA113" i="7"/>
  <c r="AL199" i="7"/>
  <c r="AL200" i="7"/>
  <c r="AM200" i="7"/>
  <c r="AM199" i="7"/>
  <c r="AB215" i="7"/>
  <c r="AB216" i="7"/>
  <c r="AO61" i="7"/>
  <c r="AS60" i="7"/>
  <c r="AW60" i="7" s="1"/>
  <c r="Y141" i="7"/>
  <c r="AR45" i="7"/>
  <c r="AV45" i="7" s="1"/>
  <c r="AN47" i="7"/>
  <c r="AN46" i="7"/>
  <c r="AC100" i="7"/>
  <c r="AC99" i="7"/>
  <c r="AD150" i="7"/>
  <c r="AK236" i="7"/>
  <c r="AK237" i="7" s="1"/>
  <c r="AM50" i="7"/>
  <c r="AM51" i="7"/>
  <c r="AJ28" i="7"/>
  <c r="AJ29" i="7"/>
  <c r="AN212" i="7"/>
  <c r="AN211" i="7"/>
  <c r="AN175" i="7"/>
  <c r="AN174" i="7"/>
  <c r="AJ187" i="7"/>
  <c r="AJ188" i="7"/>
  <c r="AE207" i="7"/>
  <c r="AE208" i="7"/>
  <c r="AE237" i="7"/>
  <c r="AA99" i="7"/>
  <c r="AA100" i="7"/>
  <c r="AG211" i="7"/>
  <c r="AG212" i="7"/>
  <c r="AJ192" i="7"/>
  <c r="AJ191" i="7"/>
  <c r="AE191" i="7"/>
  <c r="AE192" i="7"/>
  <c r="AO150" i="7"/>
  <c r="AS149" i="7"/>
  <c r="AW149" i="7" s="1"/>
  <c r="AR54" i="7"/>
  <c r="AV54" i="7" s="1"/>
  <c r="AN55" i="7"/>
  <c r="AN56" i="7"/>
  <c r="AB46" i="7"/>
  <c r="AB47" i="7"/>
  <c r="AF42" i="7"/>
  <c r="AF41" i="7"/>
  <c r="AL32" i="7"/>
  <c r="AL33" i="7"/>
  <c r="AF179" i="7"/>
  <c r="AF178" i="7"/>
  <c r="AF180" i="7"/>
  <c r="AA129" i="7"/>
  <c r="AA128" i="7"/>
  <c r="AM33" i="7"/>
  <c r="AQ31" i="7"/>
  <c r="AU31" i="7" s="1"/>
  <c r="AM32" i="7"/>
  <c r="AB124" i="7"/>
  <c r="AB125" i="7"/>
  <c r="AG141" i="7"/>
  <c r="AG140" i="7"/>
  <c r="AH41" i="7"/>
  <c r="AH42" i="7"/>
  <c r="AC125" i="7"/>
  <c r="AC124" i="7"/>
  <c r="AI116" i="7"/>
  <c r="AI117" i="7"/>
  <c r="AL55" i="7"/>
  <c r="AL56" i="7"/>
  <c r="AF112" i="7"/>
  <c r="AF113" i="7"/>
  <c r="AN191" i="7"/>
  <c r="AN192" i="7"/>
  <c r="AR190" i="7"/>
  <c r="AV190" i="7" s="1"/>
  <c r="AD188" i="7"/>
  <c r="AD187" i="7"/>
  <c r="AA105" i="7"/>
  <c r="AA103" i="7"/>
  <c r="AA104" i="7"/>
  <c r="AQ223" i="7"/>
  <c r="AU223" i="7" s="1"/>
  <c r="AM224" i="7"/>
  <c r="AR139" i="7"/>
  <c r="AV139" i="7" s="1"/>
  <c r="AN140" i="7"/>
  <c r="AN141" i="7"/>
  <c r="AI136" i="7"/>
  <c r="AI137" i="7"/>
  <c r="AG192" i="7"/>
  <c r="AG191" i="7"/>
  <c r="AA192" i="7"/>
  <c r="AA191" i="7"/>
  <c r="AH100" i="7"/>
  <c r="AH99" i="7"/>
  <c r="AL46" i="7"/>
  <c r="AL47" i="7"/>
  <c r="AO37" i="7"/>
  <c r="AO36" i="7"/>
  <c r="AA55" i="7"/>
  <c r="AA56" i="7"/>
  <c r="AN28" i="7"/>
  <c r="AN29" i="7"/>
  <c r="AR27" i="7"/>
  <c r="AV27" i="7" s="1"/>
  <c r="AG175" i="7"/>
  <c r="AG174" i="7"/>
  <c r="AI103" i="7"/>
  <c r="AI105" i="7"/>
  <c r="AI104" i="7"/>
  <c r="AI107" i="7"/>
  <c r="AK195" i="7"/>
  <c r="AK196" i="7"/>
  <c r="AJ211" i="7"/>
  <c r="AJ212" i="7"/>
  <c r="AB211" i="7"/>
  <c r="AB212" i="7"/>
  <c r="AI17" i="7"/>
  <c r="AI14" i="7"/>
  <c r="AI13" i="7"/>
  <c r="AI15" i="7"/>
  <c r="AK200" i="7"/>
  <c r="AK199" i="7"/>
  <c r="AM235" i="7"/>
  <c r="AJ33" i="7"/>
  <c r="AJ32" i="7"/>
  <c r="AK216" i="7"/>
  <c r="AK215" i="7"/>
  <c r="AO192" i="7"/>
  <c r="AO191" i="7"/>
  <c r="AS190" i="7"/>
  <c r="AW190" i="7" s="1"/>
  <c r="AC15" i="7"/>
  <c r="AC13" i="7"/>
  <c r="AC14" i="7"/>
  <c r="AC129" i="7"/>
  <c r="AC128" i="7"/>
  <c r="AJ129" i="7"/>
  <c r="AJ128" i="7"/>
  <c r="AM105" i="7"/>
  <c r="AM107" i="7"/>
  <c r="AM103" i="7"/>
  <c r="AM104" i="7"/>
  <c r="AC215" i="7"/>
  <c r="AC216" i="7"/>
  <c r="AK42" i="7"/>
  <c r="AK41" i="7"/>
  <c r="AK10" i="7"/>
  <c r="AK9" i="7"/>
  <c r="AK32" i="7"/>
  <c r="AK33" i="7"/>
  <c r="AL196" i="7"/>
  <c r="AL195" i="7"/>
  <c r="Y180" i="7"/>
  <c r="Y178" i="7"/>
  <c r="AD100" i="7"/>
  <c r="AD99" i="7"/>
  <c r="AJ133" i="7"/>
  <c r="AJ132" i="7"/>
  <c r="AN132" i="7"/>
  <c r="AR131" i="7"/>
  <c r="AV131" i="7" s="1"/>
  <c r="AN133" i="7"/>
  <c r="AE117" i="7"/>
  <c r="AE116" i="7"/>
  <c r="AE132" i="7"/>
  <c r="AE133" i="7"/>
  <c r="AO10" i="7"/>
  <c r="AO9" i="7"/>
  <c r="AJ195" i="7"/>
  <c r="AJ196" i="7"/>
  <c r="AA109" i="7"/>
  <c r="AA108" i="7"/>
  <c r="AN120" i="7"/>
  <c r="AR119" i="7"/>
  <c r="AN121" i="7"/>
  <c r="AK141" i="7"/>
  <c r="AK140" i="7"/>
  <c r="AM61" i="7"/>
  <c r="AQ60" i="7"/>
  <c r="AU60" i="7" s="1"/>
  <c r="AA32" i="7"/>
  <c r="AA33" i="7"/>
  <c r="AC184" i="7"/>
  <c r="AC183" i="7"/>
  <c r="AE47" i="7"/>
  <c r="AE46" i="7"/>
  <c r="AH216" i="7"/>
  <c r="AH215" i="7"/>
  <c r="AF37" i="7"/>
  <c r="AF36" i="7"/>
  <c r="AI112" i="7"/>
  <c r="AI113" i="7"/>
  <c r="AK212" i="7"/>
  <c r="AK211" i="7"/>
  <c r="AG14" i="7"/>
  <c r="AG13" i="7"/>
  <c r="AG17" i="7"/>
  <c r="AG15" i="7"/>
  <c r="AN195" i="7"/>
  <c r="AR194" i="7"/>
  <c r="AV194" i="7" s="1"/>
  <c r="AN196" i="7"/>
  <c r="AM133" i="7"/>
  <c r="AQ131" i="7"/>
  <c r="AU131" i="7" s="1"/>
  <c r="AM132" i="7"/>
  <c r="AG116" i="7"/>
  <c r="AG117" i="7"/>
  <c r="AG133" i="7"/>
  <c r="AG132" i="7"/>
  <c r="X196" i="7"/>
  <c r="AB29" i="7"/>
  <c r="AB28" i="7"/>
  <c r="AF51" i="7"/>
  <c r="AF50" i="7"/>
  <c r="AF13" i="7"/>
  <c r="AF17" i="7"/>
  <c r="AF14" i="7"/>
  <c r="AF15" i="7"/>
  <c r="AI56" i="7"/>
  <c r="AI55" i="7"/>
  <c r="AK100" i="7"/>
  <c r="AK99" i="7"/>
  <c r="AH84" i="7"/>
  <c r="AK175" i="7"/>
  <c r="AK174" i="7"/>
  <c r="AA203" i="7"/>
  <c r="AA204" i="7"/>
  <c r="AL211" i="7"/>
  <c r="AL212" i="7"/>
  <c r="AD221" i="7"/>
  <c r="AJ41" i="7"/>
  <c r="AJ42" i="7"/>
  <c r="AH212" i="7"/>
  <c r="AH211" i="7"/>
  <c r="AH51" i="7"/>
  <c r="AH50" i="7"/>
  <c r="AM141" i="7"/>
  <c r="AM140" i="7"/>
  <c r="AQ139" i="7"/>
  <c r="AU139" i="7" s="1"/>
  <c r="AE10" i="7"/>
  <c r="AE9" i="7"/>
  <c r="AB208" i="7"/>
  <c r="AB207" i="7"/>
  <c r="AN183" i="7"/>
  <c r="AN184" i="7"/>
  <c r="AO221" i="7"/>
  <c r="AS220" i="7"/>
  <c r="AW220" i="7" s="1"/>
  <c r="AB121" i="7"/>
  <c r="AB120" i="7"/>
  <c r="AL180" i="7"/>
  <c r="AL179" i="7"/>
  <c r="AL178" i="7"/>
  <c r="AH200" i="7"/>
  <c r="AH199" i="7"/>
  <c r="AE224" i="7"/>
  <c r="AJ221" i="7"/>
  <c r="AF141" i="7"/>
  <c r="AF140" i="7"/>
  <c r="AB196" i="7"/>
  <c r="AB195" i="7"/>
  <c r="AN129" i="7"/>
  <c r="AN128" i="7"/>
  <c r="AR127" i="7"/>
  <c r="AV127" i="7" s="1"/>
  <c r="AL133" i="7"/>
  <c r="AL132" i="7"/>
  <c r="AO17" i="7"/>
  <c r="AO13" i="7"/>
  <c r="AO14" i="7"/>
  <c r="AO15" i="7"/>
  <c r="AN13" i="7"/>
  <c r="AN15" i="7"/>
  <c r="AN17" i="7"/>
  <c r="AN14" i="7"/>
  <c r="AM112" i="7"/>
  <c r="AM113" i="7"/>
  <c r="AF203" i="7"/>
  <c r="AF204" i="7"/>
  <c r="Y33" i="7"/>
  <c r="AJ216" i="7"/>
  <c r="AJ215" i="7"/>
  <c r="AR149" i="7"/>
  <c r="AV149" i="7" s="1"/>
  <c r="AN150" i="7"/>
  <c r="Z51" i="7"/>
  <c r="AF100" i="7"/>
  <c r="AF99" i="7"/>
  <c r="AE203" i="7"/>
  <c r="AE204" i="7"/>
  <c r="X13" i="7"/>
  <c r="X15" i="7"/>
  <c r="AH36" i="7"/>
  <c r="AH37" i="7"/>
  <c r="X204" i="7"/>
  <c r="AF23" i="7"/>
  <c r="AF24" i="7"/>
  <c r="AK37" i="7"/>
  <c r="AK36" i="7"/>
  <c r="AO56" i="7"/>
  <c r="AS54" i="7"/>
  <c r="AW54" i="7" s="1"/>
  <c r="AO55" i="7"/>
  <c r="AB10" i="7"/>
  <c r="AB9" i="7"/>
  <c r="AB109" i="7"/>
  <c r="AB108" i="7"/>
  <c r="X188" i="7"/>
  <c r="AC204" i="7"/>
  <c r="AC203" i="7"/>
  <c r="AG33" i="7"/>
  <c r="AG32" i="7"/>
  <c r="AJ199" i="7"/>
  <c r="AJ200" i="7"/>
  <c r="AC65" i="7"/>
  <c r="AD128" i="7"/>
  <c r="AD129" i="7"/>
  <c r="AR60" i="7"/>
  <c r="AV60" i="7" s="1"/>
  <c r="AN61" i="7"/>
  <c r="AC23" i="7"/>
  <c r="AC24" i="7"/>
  <c r="AG203" i="7"/>
  <c r="AG204" i="7"/>
  <c r="AB140" i="7"/>
  <c r="AB141" i="7"/>
  <c r="AQ27" i="7"/>
  <c r="AU27" i="7" s="1"/>
  <c r="AM28" i="7"/>
  <c r="AM29" i="7"/>
  <c r="AL113" i="7"/>
  <c r="AL112" i="7"/>
  <c r="AA174" i="7"/>
  <c r="AA175" i="7"/>
  <c r="AE105" i="7"/>
  <c r="AE104" i="7"/>
  <c r="AE103" i="7"/>
  <c r="AB23" i="7"/>
  <c r="AB24" i="7"/>
  <c r="AB192" i="7"/>
  <c r="AB191" i="7"/>
  <c r="AJ125" i="7"/>
  <c r="AJ124" i="7"/>
  <c r="AH175" i="7"/>
  <c r="AH174" i="7"/>
  <c r="AL137" i="7"/>
  <c r="AL136" i="7"/>
  <c r="AG36" i="7"/>
  <c r="AG37" i="7"/>
  <c r="AH224" i="7"/>
  <c r="AE41" i="7"/>
  <c r="AE42" i="7"/>
  <c r="AC237" i="7"/>
  <c r="AB37" i="7"/>
  <c r="AB36" i="7"/>
  <c r="AI224" i="7"/>
  <c r="AF32" i="7"/>
  <c r="AF33" i="7"/>
  <c r="AQ115" i="7"/>
  <c r="AU115" i="7" s="1"/>
  <c r="AM117" i="7"/>
  <c r="AM116" i="7"/>
  <c r="X117" i="7"/>
  <c r="X208" i="7"/>
  <c r="AG23" i="7"/>
  <c r="AG24" i="7"/>
  <c r="AM9" i="7"/>
  <c r="AM10" i="7"/>
  <c r="AB183" i="7"/>
  <c r="AB184" i="7"/>
  <c r="AO208" i="7"/>
  <c r="AS206" i="7"/>
  <c r="AW206" i="7" s="1"/>
  <c r="AO207" i="7"/>
  <c r="AM179" i="7"/>
  <c r="AM178" i="7"/>
  <c r="AM180" i="7"/>
  <c r="AA221" i="7"/>
  <c r="AA47" i="7"/>
  <c r="AA46" i="7"/>
  <c r="Y137" i="7"/>
  <c r="AH107" i="7"/>
  <c r="AH104" i="7"/>
  <c r="AH103" i="7"/>
  <c r="AH105" i="7"/>
  <c r="AH124" i="7"/>
  <c r="AH125" i="7"/>
  <c r="AK125" i="7"/>
  <c r="AK124" i="7"/>
  <c r="AH15" i="7"/>
  <c r="AH14" i="7"/>
  <c r="AH17" i="7"/>
  <c r="AH13" i="7"/>
  <c r="AC105" i="7"/>
  <c r="AC103" i="7"/>
  <c r="AC104" i="7"/>
  <c r="AN179" i="7"/>
  <c r="AN178" i="7"/>
  <c r="AN180" i="7"/>
  <c r="X10" i="7"/>
  <c r="AC117" i="7"/>
  <c r="AC116" i="7"/>
  <c r="Y204" i="7"/>
  <c r="AD137" i="7"/>
  <c r="AD136" i="7"/>
  <c r="Z188" i="7"/>
  <c r="AC211" i="7"/>
  <c r="AC212" i="7"/>
  <c r="AM136" i="7"/>
  <c r="AM137" i="7"/>
  <c r="AM212" i="7"/>
  <c r="AM211" i="7"/>
  <c r="AA13" i="7"/>
  <c r="AA14" i="7"/>
  <c r="AA15" i="7"/>
  <c r="AF28" i="7"/>
  <c r="AF29" i="7"/>
  <c r="AK191" i="7"/>
  <c r="AK192" i="7"/>
  <c r="X24" i="7"/>
  <c r="AE200" i="7"/>
  <c r="AE199" i="7"/>
  <c r="AB41" i="7"/>
  <c r="AB42" i="7"/>
  <c r="AB179" i="7"/>
  <c r="AB178" i="7"/>
  <c r="AB180" i="7"/>
  <c r="AH188" i="7"/>
  <c r="AH187" i="7"/>
  <c r="Z109" i="7"/>
  <c r="AD175" i="7"/>
  <c r="AD174" i="7"/>
  <c r="AI174" i="7"/>
  <c r="AI175" i="7"/>
  <c r="W103" i="7"/>
  <c r="X129" i="7"/>
  <c r="AF175" i="7"/>
  <c r="AF174" i="7"/>
  <c r="X178" i="7"/>
  <c r="X180" i="7"/>
  <c r="Z129" i="7"/>
  <c r="AE32" i="7"/>
  <c r="AE33" i="7"/>
  <c r="AR115" i="7"/>
  <c r="AV115" i="7" s="1"/>
  <c r="AN117" i="7"/>
  <c r="AN116" i="7"/>
  <c r="AN207" i="7"/>
  <c r="AR206" i="7"/>
  <c r="AN208" i="7"/>
  <c r="AD104" i="7"/>
  <c r="AD105" i="7"/>
  <c r="AD103" i="7"/>
  <c r="AB104" i="7"/>
  <c r="AB103" i="7"/>
  <c r="AB105" i="7"/>
  <c r="AH56" i="7"/>
  <c r="AH55" i="7"/>
  <c r="X113" i="7"/>
  <c r="X105" i="7"/>
  <c r="X103" i="7"/>
  <c r="AN42" i="7"/>
  <c r="AN41" i="7"/>
  <c r="AR40" i="7"/>
  <c r="AL61" i="7"/>
  <c r="AK112" i="7"/>
  <c r="AK113" i="7"/>
  <c r="AH147" i="7"/>
  <c r="AE195" i="7"/>
  <c r="AE196" i="7"/>
  <c r="AN236" i="7"/>
  <c r="AN237" i="7" s="1"/>
  <c r="AO112" i="7"/>
  <c r="AO113" i="7"/>
  <c r="AO187" i="7"/>
  <c r="AO188" i="7"/>
  <c r="AC120" i="7"/>
  <c r="AC121" i="7"/>
  <c r="AJ174" i="7"/>
  <c r="AJ175" i="7"/>
  <c r="Z208" i="7"/>
  <c r="AE141" i="7"/>
  <c r="AE140" i="7"/>
  <c r="Y37" i="7"/>
  <c r="AF47" i="7"/>
  <c r="AF46" i="7"/>
  <c r="AK51" i="7"/>
  <c r="AK50" i="7"/>
  <c r="AJ103" i="7"/>
  <c r="AJ107" i="7"/>
  <c r="AJ104" i="7"/>
  <c r="AJ105" i="7"/>
  <c r="AD121" i="7"/>
  <c r="AD120" i="7"/>
  <c r="Z180" i="7"/>
  <c r="Z178" i="7"/>
  <c r="AD178" i="7"/>
  <c r="AD180" i="7"/>
  <c r="AD179" i="7"/>
  <c r="AI215" i="7"/>
  <c r="AI216" i="7"/>
  <c r="AL121" i="7"/>
  <c r="AL120" i="7"/>
  <c r="AA183" i="7"/>
  <c r="AA184" i="7"/>
  <c r="AE51" i="7"/>
  <c r="AE50" i="7"/>
  <c r="AD46" i="7"/>
  <c r="AD47" i="7"/>
  <c r="AC175" i="7"/>
  <c r="AC174" i="7"/>
  <c r="AJ180" i="7"/>
  <c r="AJ179" i="7"/>
  <c r="AJ178" i="7"/>
  <c r="Y121" i="7"/>
  <c r="AE55" i="7"/>
  <c r="AE56" i="7"/>
  <c r="AL41" i="7"/>
  <c r="AL42" i="7"/>
  <c r="AA132" i="7"/>
  <c r="AA133" i="7"/>
  <c r="AL14" i="7"/>
  <c r="AL15" i="7"/>
  <c r="AL17" i="7"/>
  <c r="AL13" i="7"/>
  <c r="Z121" i="7"/>
  <c r="AC50" i="7"/>
  <c r="AC51" i="7"/>
  <c r="AD216" i="7"/>
  <c r="AD215" i="7"/>
  <c r="AG65" i="7"/>
  <c r="AN125" i="7"/>
  <c r="AN124" i="7"/>
  <c r="AE112" i="7"/>
  <c r="AE113" i="7"/>
  <c r="AO65" i="7"/>
  <c r="AS64" i="7"/>
  <c r="AW64" i="7" s="1"/>
  <c r="AO84" i="7"/>
  <c r="AK208" i="7"/>
  <c r="AK207" i="7"/>
  <c r="Y175" i="7"/>
  <c r="AC112" i="7"/>
  <c r="AC113" i="7"/>
  <c r="AB237" i="7"/>
  <c r="X235" i="7"/>
  <c r="AC137" i="7"/>
  <c r="AC136" i="7"/>
  <c r="AJ13" i="7"/>
  <c r="AJ14" i="7"/>
  <c r="AJ15" i="7"/>
  <c r="AJ17" i="7"/>
  <c r="AO28" i="7"/>
  <c r="AS27" i="7"/>
  <c r="AW27" i="7" s="1"/>
  <c r="AO29" i="7"/>
  <c r="Y117" i="7"/>
  <c r="AF133" i="7"/>
  <c r="AF132" i="7"/>
  <c r="AL116" i="7"/>
  <c r="AL117" i="7"/>
  <c r="AM47" i="7"/>
  <c r="AQ45" i="7"/>
  <c r="AU45" i="7" s="1"/>
  <c r="AM46" i="7"/>
  <c r="AM236" i="7"/>
  <c r="AM237" i="7" s="1"/>
  <c r="AH184" i="7"/>
  <c r="AH183" i="7"/>
  <c r="Y212" i="7"/>
  <c r="AE65" i="7"/>
  <c r="AG56" i="7"/>
  <c r="AG55" i="7"/>
  <c r="AN9" i="7"/>
  <c r="AN10" i="7"/>
  <c r="AL99" i="7"/>
  <c r="AL100" i="7"/>
  <c r="AL51" i="7"/>
  <c r="AL50" i="7"/>
  <c r="AJ207" i="7"/>
  <c r="AJ208" i="7"/>
  <c r="AC191" i="7"/>
  <c r="AC192" i="7"/>
  <c r="AR146" i="7"/>
  <c r="AV146" i="7" s="1"/>
  <c r="AN147" i="7"/>
  <c r="AN112" i="7"/>
  <c r="AN113" i="7"/>
  <c r="AE61" i="7"/>
  <c r="AK203" i="7"/>
  <c r="AK204" i="7"/>
  <c r="AO51" i="7"/>
  <c r="AO50" i="7"/>
  <c r="AB99" i="7"/>
  <c r="AB100" i="7"/>
  <c r="AC9" i="7"/>
  <c r="AC10" i="7"/>
  <c r="AL141" i="7"/>
  <c r="AL140" i="7"/>
  <c r="AA212" i="7"/>
  <c r="AA211" i="7"/>
  <c r="Z125" i="7"/>
  <c r="AM125" i="7"/>
  <c r="AM124" i="7"/>
  <c r="AD32" i="7"/>
  <c r="AD33" i="7"/>
  <c r="AE128" i="7"/>
  <c r="AE129" i="7"/>
  <c r="AI84" i="7"/>
  <c r="AB84" i="7"/>
  <c r="Y200" i="7"/>
  <c r="AJ9" i="7"/>
  <c r="AJ10" i="7"/>
  <c r="AL207" i="7"/>
  <c r="AL208" i="7"/>
  <c r="AJ224" i="7"/>
  <c r="AH65" i="7"/>
  <c r="AN99" i="7"/>
  <c r="AN100" i="7"/>
  <c r="AC150" i="7"/>
  <c r="Z13" i="7"/>
  <c r="Z15" i="7"/>
  <c r="AD29" i="7"/>
  <c r="AD28" i="7"/>
  <c r="AD51" i="7"/>
  <c r="AD50" i="7"/>
  <c r="Y47" i="7"/>
  <c r="AF65" i="7"/>
  <c r="Y192" i="7"/>
  <c r="AI124" i="7"/>
  <c r="AI125" i="7"/>
  <c r="AA179" i="7"/>
  <c r="AA180" i="7"/>
  <c r="AA178" i="7"/>
  <c r="AO132" i="7"/>
  <c r="AO133" i="7"/>
  <c r="AS131" i="7"/>
  <c r="Y235" i="7"/>
  <c r="BX221" i="8"/>
  <c r="CD209" i="8"/>
  <c r="BY217" i="8"/>
  <c r="CB136" i="8"/>
  <c r="BX65" i="8"/>
  <c r="V213" i="8"/>
  <c r="BX136" i="8"/>
  <c r="BZ65" i="8"/>
  <c r="CC221" i="8"/>
  <c r="CB221" i="8"/>
  <c r="CC65" i="8"/>
  <c r="U132" i="8"/>
  <c r="BX217" i="8"/>
  <c r="BZ217" i="8"/>
  <c r="BX132" i="8"/>
  <c r="BY136" i="8"/>
  <c r="BY221" i="8"/>
  <c r="BZ221" i="8"/>
  <c r="BY209" i="8"/>
  <c r="CC217" i="8"/>
  <c r="BZ209" i="8"/>
  <c r="CD69" i="8"/>
  <c r="CD65" i="8"/>
  <c r="CC209" i="8"/>
  <c r="CB209" i="8"/>
  <c r="CD221" i="8"/>
  <c r="U217" i="8"/>
  <c r="BZ69" i="8"/>
  <c r="U65" i="8"/>
  <c r="CD217" i="8"/>
  <c r="CB65" i="8"/>
  <c r="BZ136" i="8"/>
  <c r="BX69" i="8"/>
  <c r="BY132" i="8"/>
  <c r="BY69" i="8"/>
  <c r="BY65" i="8"/>
  <c r="BZ132" i="8"/>
  <c r="CD132" i="8"/>
  <c r="BX209" i="8"/>
  <c r="U69" i="8"/>
  <c r="U221" i="8"/>
  <c r="CB217" i="8"/>
  <c r="U136" i="8"/>
  <c r="CB69" i="8"/>
  <c r="V214" i="8" l="1"/>
  <c r="U128" i="8"/>
  <c r="L218" i="7"/>
  <c r="M58" i="7"/>
  <c r="L143" i="7"/>
  <c r="I139" i="7"/>
  <c r="I214" i="7"/>
  <c r="I54" i="7"/>
  <c r="AV40" i="7"/>
  <c r="AW42" i="7" s="1"/>
  <c r="AR35" i="7"/>
  <c r="AU40" i="7"/>
  <c r="AU35" i="7" s="1"/>
  <c r="AQ35" i="7"/>
  <c r="AQ208" i="7"/>
  <c r="AX149" i="7"/>
  <c r="AX146" i="7"/>
  <c r="AV47" i="7"/>
  <c r="AU22" i="7"/>
  <c r="AW47" i="7"/>
  <c r="AV216" i="7"/>
  <c r="AV210" i="7"/>
  <c r="O223" i="7"/>
  <c r="P223" i="7" s="1"/>
  <c r="Q223" i="7" s="1"/>
  <c r="R223" i="7" s="1"/>
  <c r="S223" i="7" s="1"/>
  <c r="AX223" i="7"/>
  <c r="O149" i="7"/>
  <c r="P149" i="7" s="1"/>
  <c r="Q149" i="7" s="1"/>
  <c r="R149" i="7" s="1"/>
  <c r="S149" i="7" s="1"/>
  <c r="O220" i="7"/>
  <c r="P220" i="7" s="1"/>
  <c r="Q220" i="7" s="1"/>
  <c r="R220" i="7" s="1"/>
  <c r="S220" i="7" s="1"/>
  <c r="AX220" i="7"/>
  <c r="AR208" i="7"/>
  <c r="AV206" i="7"/>
  <c r="AV117" i="7"/>
  <c r="AV129" i="7"/>
  <c r="AV123" i="7"/>
  <c r="AV196" i="7"/>
  <c r="AW192" i="7"/>
  <c r="AW186" i="7"/>
  <c r="AW196" i="7"/>
  <c r="AW141" i="7"/>
  <c r="AW135" i="7"/>
  <c r="AV204" i="7"/>
  <c r="AW129" i="7"/>
  <c r="AW117" i="7"/>
  <c r="AW111" i="7"/>
  <c r="O146" i="7"/>
  <c r="P146" i="7" s="1"/>
  <c r="Q146" i="7" s="1"/>
  <c r="R146" i="7" s="1"/>
  <c r="S146" i="7" s="1"/>
  <c r="AW29" i="7"/>
  <c r="AW22" i="7"/>
  <c r="AW35" i="7"/>
  <c r="AU198" i="7"/>
  <c r="AS133" i="7"/>
  <c r="AW131" i="7"/>
  <c r="AU111" i="7"/>
  <c r="AU135" i="7"/>
  <c r="AR121" i="7"/>
  <c r="AV119" i="7"/>
  <c r="AV141" i="7"/>
  <c r="AV135" i="7"/>
  <c r="AV192" i="7"/>
  <c r="AV186" i="7"/>
  <c r="AV33" i="7"/>
  <c r="AW33" i="7"/>
  <c r="AW216" i="7"/>
  <c r="AW210" i="7"/>
  <c r="AW56" i="7"/>
  <c r="AW49" i="7"/>
  <c r="AV133" i="7"/>
  <c r="AV22" i="7"/>
  <c r="AV29" i="7"/>
  <c r="AV49" i="7"/>
  <c r="AV56" i="7"/>
  <c r="AU186" i="7"/>
  <c r="AU49" i="7"/>
  <c r="AU123" i="7"/>
  <c r="AW204" i="7"/>
  <c r="AW198" i="7"/>
  <c r="AU210" i="7"/>
  <c r="AT223" i="7"/>
  <c r="AT224" i="7" s="1"/>
  <c r="CB144" i="8"/>
  <c r="CB137" i="8"/>
  <c r="CB114" i="8"/>
  <c r="CB66" i="8"/>
  <c r="CB61" i="8"/>
  <c r="U218" i="8"/>
  <c r="U302" i="8"/>
  <c r="CD303" i="8"/>
  <c r="CD223" i="8"/>
  <c r="CD222" i="8"/>
  <c r="CC302" i="8"/>
  <c r="CC219" i="8"/>
  <c r="CC218" i="8"/>
  <c r="CD211" i="8"/>
  <c r="CD210" i="8"/>
  <c r="CD205" i="8"/>
  <c r="CD10" i="8"/>
  <c r="U303" i="8"/>
  <c r="U222" i="8"/>
  <c r="U77" i="8"/>
  <c r="U70" i="8"/>
  <c r="U114" i="8"/>
  <c r="U122" i="8" s="1"/>
  <c r="U66" i="8"/>
  <c r="U61" i="8"/>
  <c r="CD114" i="8"/>
  <c r="CD67" i="8"/>
  <c r="CD66" i="8"/>
  <c r="CD61" i="8"/>
  <c r="CB218" i="8"/>
  <c r="CB302" i="8"/>
  <c r="CC114" i="8"/>
  <c r="CC66" i="8"/>
  <c r="CC67" i="8"/>
  <c r="CB77" i="8"/>
  <c r="CB70" i="8"/>
  <c r="CC210" i="8"/>
  <c r="CC205" i="8"/>
  <c r="CC211" i="8"/>
  <c r="CC10" i="8"/>
  <c r="CD302" i="8"/>
  <c r="CD219" i="8"/>
  <c r="CD218" i="8"/>
  <c r="CD77" i="8"/>
  <c r="CD70" i="8"/>
  <c r="CC303" i="8"/>
  <c r="CC222" i="8"/>
  <c r="CC223" i="8"/>
  <c r="U137" i="8"/>
  <c r="U133" i="8"/>
  <c r="U200" i="8"/>
  <c r="CB222" i="8"/>
  <c r="CB303" i="8"/>
  <c r="CB210" i="8"/>
  <c r="CB205" i="8"/>
  <c r="CB10" i="8"/>
  <c r="CD200" i="8"/>
  <c r="CD133" i="8"/>
  <c r="CD157" i="8"/>
  <c r="CD158" i="8"/>
  <c r="CD159" i="8"/>
  <c r="K60" i="7"/>
  <c r="K64" i="7"/>
  <c r="K31" i="7"/>
  <c r="J186" i="7"/>
  <c r="K190" i="7"/>
  <c r="K27" i="7"/>
  <c r="AX27" i="7" s="1"/>
  <c r="J22" i="7"/>
  <c r="J198" i="7"/>
  <c r="J199" i="7" s="1"/>
  <c r="K202" i="7"/>
  <c r="AZ810" i="8"/>
  <c r="AZ815" i="8" s="1"/>
  <c r="AY816" i="8"/>
  <c r="AR196" i="7"/>
  <c r="K127" i="7"/>
  <c r="AX127" i="7" s="1"/>
  <c r="J123" i="7"/>
  <c r="J124" i="7" s="1"/>
  <c r="K40" i="7"/>
  <c r="K35" i="7" s="1"/>
  <c r="J36" i="7"/>
  <c r="T16" i="8"/>
  <c r="K115" i="7"/>
  <c r="AX115" i="7" s="1"/>
  <c r="J111" i="7"/>
  <c r="Q795" i="8"/>
  <c r="BX137" i="8"/>
  <c r="BZ67" i="8"/>
  <c r="BZ114" i="8"/>
  <c r="BZ122" i="8" s="1"/>
  <c r="BZ61" i="8"/>
  <c r="BZ66" i="8"/>
  <c r="BY158" i="8"/>
  <c r="BY163" i="8" s="1"/>
  <c r="BY128" i="8"/>
  <c r="BY134" i="8"/>
  <c r="BY133" i="8"/>
  <c r="BY200" i="8"/>
  <c r="BY157" i="8"/>
  <c r="BY159" i="8"/>
  <c r="BY164" i="8" s="1"/>
  <c r="BX114" i="8"/>
  <c r="BX122" i="8" s="1"/>
  <c r="BX66" i="8"/>
  <c r="BX67" i="8"/>
  <c r="BX61" i="8"/>
  <c r="BX218" i="8"/>
  <c r="BX219" i="8"/>
  <c r="BX302" i="8"/>
  <c r="BY61" i="8"/>
  <c r="BY66" i="8"/>
  <c r="BY114" i="8"/>
  <c r="BY122" i="8" s="1"/>
  <c r="BY67" i="8"/>
  <c r="BX70" i="8"/>
  <c r="BX77" i="8"/>
  <c r="BY210" i="8"/>
  <c r="BY205" i="8"/>
  <c r="BY211" i="8"/>
  <c r="BY10" i="8"/>
  <c r="BW10" i="8"/>
  <c r="BX10" i="8"/>
  <c r="BX210" i="8"/>
  <c r="BX211" i="8"/>
  <c r="BX205" i="8"/>
  <c r="BZ133" i="8"/>
  <c r="BZ134" i="8"/>
  <c r="BZ158" i="8"/>
  <c r="BZ163" i="8" s="1"/>
  <c r="BZ200" i="8"/>
  <c r="BZ128" i="8"/>
  <c r="BZ157" i="8"/>
  <c r="BZ159" i="8"/>
  <c r="BZ164" i="8" s="1"/>
  <c r="BW159" i="8"/>
  <c r="BW158" i="8"/>
  <c r="BW200" i="8"/>
  <c r="BW157" i="8"/>
  <c r="BZ137" i="8"/>
  <c r="BZ138" i="8"/>
  <c r="BZ222" i="8"/>
  <c r="BZ303" i="8"/>
  <c r="BZ223" i="8"/>
  <c r="BW114" i="8"/>
  <c r="BW122" i="8" s="1"/>
  <c r="BY219" i="8"/>
  <c r="BY302" i="8"/>
  <c r="BY218" i="8"/>
  <c r="BZ210" i="8"/>
  <c r="BZ205" i="8"/>
  <c r="BZ211" i="8"/>
  <c r="BZ10" i="8"/>
  <c r="BY138" i="8"/>
  <c r="BY137" i="8"/>
  <c r="BZ302" i="8"/>
  <c r="BZ219" i="8"/>
  <c r="BZ218" i="8"/>
  <c r="BY71" i="8"/>
  <c r="BY77" i="8"/>
  <c r="BY70" i="8"/>
  <c r="BX134" i="8"/>
  <c r="BX200" i="8"/>
  <c r="BX128" i="8"/>
  <c r="BX158" i="8"/>
  <c r="BX163" i="8" s="1"/>
  <c r="BX159" i="8"/>
  <c r="BX164" i="8" s="1"/>
  <c r="BX157" i="8"/>
  <c r="BX133" i="8"/>
  <c r="BZ70" i="8"/>
  <c r="BZ77" i="8"/>
  <c r="BZ71" i="8"/>
  <c r="BW222" i="8"/>
  <c r="BW223" i="8"/>
  <c r="BX222" i="8"/>
  <c r="BX223" i="8"/>
  <c r="BX303" i="8"/>
  <c r="BY303" i="8"/>
  <c r="BY223" i="8"/>
  <c r="BY222" i="8"/>
  <c r="AS29" i="7"/>
  <c r="AS22" i="7"/>
  <c r="AJ19" i="7"/>
  <c r="AJ18" i="7"/>
  <c r="AJ73" i="7"/>
  <c r="AR42" i="7"/>
  <c r="AH73" i="7"/>
  <c r="AH18" i="7"/>
  <c r="AH19" i="7"/>
  <c r="AH108" i="7"/>
  <c r="AH109" i="7"/>
  <c r="AH158" i="7"/>
  <c r="AS208" i="7"/>
  <c r="AQ117" i="7"/>
  <c r="AQ111" i="7"/>
  <c r="AT115" i="7"/>
  <c r="AU117" i="7" s="1"/>
  <c r="AQ22" i="7"/>
  <c r="AQ29" i="7"/>
  <c r="AT27" i="7"/>
  <c r="AU29" i="7" s="1"/>
  <c r="AO73" i="7"/>
  <c r="AO18" i="7"/>
  <c r="AO19" i="7"/>
  <c r="AR129" i="7"/>
  <c r="AR123" i="7"/>
  <c r="AT60" i="7"/>
  <c r="AR133" i="7"/>
  <c r="AM158" i="7"/>
  <c r="AM108" i="7"/>
  <c r="AM109" i="7"/>
  <c r="AI109" i="7"/>
  <c r="AI108" i="7"/>
  <c r="AI158" i="7"/>
  <c r="AR29" i="7"/>
  <c r="AR22" i="7"/>
  <c r="AR49" i="7"/>
  <c r="AR56" i="7"/>
  <c r="AQ192" i="7"/>
  <c r="AQ186" i="7"/>
  <c r="AT190" i="7"/>
  <c r="AU192" i="7" s="1"/>
  <c r="AQ49" i="7"/>
  <c r="AT220" i="7"/>
  <c r="AT221" i="7" s="1"/>
  <c r="AG109" i="7"/>
  <c r="AG108" i="7"/>
  <c r="AG158" i="7"/>
  <c r="AQ129" i="7"/>
  <c r="AQ123" i="7"/>
  <c r="AT127" i="7"/>
  <c r="AT129" i="7" s="1"/>
  <c r="AS42" i="7"/>
  <c r="AS35" i="7"/>
  <c r="AS204" i="7"/>
  <c r="AS198" i="7"/>
  <c r="AN108" i="7"/>
  <c r="AN158" i="7"/>
  <c r="AN109" i="7"/>
  <c r="AS141" i="7"/>
  <c r="AS135" i="7"/>
  <c r="AQ210" i="7"/>
  <c r="AS47" i="7"/>
  <c r="AS121" i="7"/>
  <c r="AT149" i="7"/>
  <c r="AT150" i="7" s="1"/>
  <c r="AO108" i="7"/>
  <c r="AO158" i="7"/>
  <c r="AO109" i="7"/>
  <c r="AS129" i="7"/>
  <c r="AS123" i="7"/>
  <c r="AS111" i="7"/>
  <c r="AS117" i="7"/>
  <c r="AF158" i="7"/>
  <c r="AF109" i="7"/>
  <c r="AF108" i="7"/>
  <c r="T810" i="8"/>
  <c r="S816" i="8"/>
  <c r="AL18" i="7"/>
  <c r="AL19" i="7"/>
  <c r="AL73" i="7"/>
  <c r="AJ109" i="7"/>
  <c r="AJ108" i="7"/>
  <c r="AJ158" i="7"/>
  <c r="AR111" i="7"/>
  <c r="AR117" i="7"/>
  <c r="AS56" i="7"/>
  <c r="AS49" i="7"/>
  <c r="AQ121" i="7"/>
  <c r="AN19" i="7"/>
  <c r="AN73" i="7"/>
  <c r="AN18" i="7"/>
  <c r="AQ135" i="7"/>
  <c r="AF18" i="7"/>
  <c r="AF19" i="7"/>
  <c r="AF73" i="7"/>
  <c r="AG18" i="7"/>
  <c r="AG19" i="7"/>
  <c r="AG73" i="7"/>
  <c r="AS192" i="7"/>
  <c r="AS186" i="7"/>
  <c r="AI19" i="7"/>
  <c r="AI73" i="7"/>
  <c r="AI18" i="7"/>
  <c r="AR141" i="7"/>
  <c r="AR135" i="7"/>
  <c r="AR192" i="7"/>
  <c r="AR186" i="7"/>
  <c r="AR47" i="7"/>
  <c r="AM73" i="7"/>
  <c r="AM18" i="7"/>
  <c r="AM19" i="7"/>
  <c r="AT146" i="7"/>
  <c r="AT147" i="7" s="1"/>
  <c r="AK73" i="7"/>
  <c r="AK18" i="7"/>
  <c r="AK19" i="7"/>
  <c r="AE18" i="7"/>
  <c r="AE19" i="7"/>
  <c r="AS196" i="7"/>
  <c r="AR33" i="7"/>
  <c r="AL158" i="7"/>
  <c r="AL109" i="7"/>
  <c r="AL108" i="7"/>
  <c r="AQ42" i="7"/>
  <c r="AT40" i="7"/>
  <c r="AK158" i="7"/>
  <c r="AK108" i="7"/>
  <c r="AK109" i="7"/>
  <c r="AS33" i="7"/>
  <c r="AQ198" i="7"/>
  <c r="AQ204" i="7"/>
  <c r="AT202" i="7"/>
  <c r="AU204" i="7" s="1"/>
  <c r="AT64" i="7"/>
  <c r="AR198" i="7"/>
  <c r="AR204" i="7"/>
  <c r="AS210" i="7"/>
  <c r="AS216" i="7"/>
  <c r="AR216" i="7"/>
  <c r="AR210" i="7"/>
  <c r="V221" i="8"/>
  <c r="CA132" i="8"/>
  <c r="V69" i="8"/>
  <c r="CA221" i="8"/>
  <c r="CD136" i="8"/>
  <c r="CC69" i="8"/>
  <c r="CB132" i="8"/>
  <c r="V65" i="8"/>
  <c r="V136" i="8"/>
  <c r="CA65" i="8"/>
  <c r="CC132" i="8"/>
  <c r="CC136" i="8"/>
  <c r="V217" i="8"/>
  <c r="V132" i="8"/>
  <c r="CA217" i="8"/>
  <c r="W213" i="8"/>
  <c r="W214" i="8" l="1"/>
  <c r="V128" i="8"/>
  <c r="AV35" i="7"/>
  <c r="AW37" i="7" s="1"/>
  <c r="AV42" i="7"/>
  <c r="I55" i="7"/>
  <c r="J54" i="7"/>
  <c r="I215" i="7"/>
  <c r="J214" i="7"/>
  <c r="AP139" i="7"/>
  <c r="AP214" i="7"/>
  <c r="AP54" i="7"/>
  <c r="I140" i="7"/>
  <c r="J139" i="7"/>
  <c r="M218" i="7"/>
  <c r="N58" i="7"/>
  <c r="M143" i="7"/>
  <c r="AU42" i="7"/>
  <c r="AX40" i="7"/>
  <c r="CC200" i="8"/>
  <c r="CC159" i="8"/>
  <c r="CC164" i="8" s="1"/>
  <c r="CC133" i="8"/>
  <c r="CC157" i="8"/>
  <c r="CC193" i="8" s="1"/>
  <c r="CC158" i="8"/>
  <c r="CC163" i="8" s="1"/>
  <c r="CD134" i="8"/>
  <c r="CB200" i="8"/>
  <c r="CB158" i="8"/>
  <c r="CB163" i="8" s="1"/>
  <c r="CB133" i="8"/>
  <c r="CB159" i="8"/>
  <c r="CB164" i="8" s="1"/>
  <c r="CB128" i="8"/>
  <c r="CB129" i="8" s="1"/>
  <c r="CB157" i="8"/>
  <c r="CB193" i="8" s="1"/>
  <c r="CC134" i="8"/>
  <c r="CB9" i="8"/>
  <c r="CC77" i="8"/>
  <c r="CC81" i="8" s="1"/>
  <c r="CC70" i="8"/>
  <c r="CC61" i="8"/>
  <c r="CC299" i="8" s="1"/>
  <c r="CC71" i="8"/>
  <c r="CD71" i="8"/>
  <c r="CD144" i="8"/>
  <c r="CD9" i="8" s="1"/>
  <c r="CD128" i="8"/>
  <c r="CD300" i="8" s="1"/>
  <c r="CD137" i="8"/>
  <c r="AV121" i="7"/>
  <c r="AW133" i="7"/>
  <c r="CD138" i="8"/>
  <c r="CC138" i="8"/>
  <c r="CC128" i="8"/>
  <c r="CC129" i="8" s="1"/>
  <c r="CC144" i="8"/>
  <c r="CC9" i="8" s="1"/>
  <c r="CC137" i="8"/>
  <c r="AV208" i="7"/>
  <c r="AX64" i="7"/>
  <c r="U64" i="7"/>
  <c r="AX60" i="7"/>
  <c r="U60" i="7"/>
  <c r="AW208" i="7"/>
  <c r="AV198" i="7"/>
  <c r="AW200" i="7" s="1"/>
  <c r="AU129" i="7"/>
  <c r="AU36" i="7"/>
  <c r="AV111" i="7"/>
  <c r="AW199" i="7"/>
  <c r="AU50" i="7"/>
  <c r="AV24" i="7"/>
  <c r="AV23" i="7"/>
  <c r="AW51" i="7"/>
  <c r="AW50" i="7"/>
  <c r="AW121" i="7"/>
  <c r="AV137" i="7"/>
  <c r="AV136" i="7"/>
  <c r="AU136" i="7"/>
  <c r="AW36" i="7"/>
  <c r="AX147" i="7"/>
  <c r="AW123" i="7"/>
  <c r="AW137" i="7"/>
  <c r="AW136" i="7"/>
  <c r="AW188" i="7"/>
  <c r="AW187" i="7"/>
  <c r="AW173" i="7"/>
  <c r="AV125" i="7"/>
  <c r="AV124" i="7"/>
  <c r="AX221" i="7"/>
  <c r="AX224" i="7"/>
  <c r="AV51" i="7"/>
  <c r="AV50" i="7"/>
  <c r="AU23" i="7"/>
  <c r="AU8" i="7"/>
  <c r="AU211" i="7"/>
  <c r="AU124" i="7"/>
  <c r="AU187" i="7"/>
  <c r="AU173" i="7"/>
  <c r="AW212" i="7"/>
  <c r="AW211" i="7"/>
  <c r="AV188" i="7"/>
  <c r="AV187" i="7"/>
  <c r="AU112" i="7"/>
  <c r="AU98" i="7"/>
  <c r="AU199" i="7"/>
  <c r="AW8" i="7"/>
  <c r="AW24" i="7"/>
  <c r="AW23" i="7"/>
  <c r="AW112" i="7"/>
  <c r="AX150" i="7"/>
  <c r="AV212" i="7"/>
  <c r="AV211" i="7"/>
  <c r="CD122" i="8"/>
  <c r="CB122" i="8"/>
  <c r="CB223" i="8"/>
  <c r="CB134" i="8"/>
  <c r="CB219" i="8"/>
  <c r="CB67" i="8"/>
  <c r="V66" i="8"/>
  <c r="V114" i="8"/>
  <c r="V122" i="8" s="1"/>
  <c r="V61" i="8"/>
  <c r="V144" i="8"/>
  <c r="V137" i="8"/>
  <c r="V77" i="8"/>
  <c r="V70" i="8"/>
  <c r="V200" i="8"/>
  <c r="V133" i="8"/>
  <c r="V303" i="8"/>
  <c r="V222" i="8"/>
  <c r="V218" i="8"/>
  <c r="V302" i="8"/>
  <c r="T27" i="8"/>
  <c r="L27" i="7"/>
  <c r="K22" i="7"/>
  <c r="U299" i="8"/>
  <c r="U62" i="8"/>
  <c r="CG302" i="8"/>
  <c r="L45" i="7"/>
  <c r="L31" i="7"/>
  <c r="CD193" i="8"/>
  <c r="CD162" i="8"/>
  <c r="CC301" i="8"/>
  <c r="CC27" i="8" s="1"/>
  <c r="CC206" i="8"/>
  <c r="CC207" i="8"/>
  <c r="CB81" i="8"/>
  <c r="CB78" i="8"/>
  <c r="CC122" i="8"/>
  <c r="CD299" i="8"/>
  <c r="CD62" i="8"/>
  <c r="CB299" i="8"/>
  <c r="CB62" i="8"/>
  <c r="Q799" i="8"/>
  <c r="R794" i="8"/>
  <c r="L40" i="7"/>
  <c r="BA810" i="8"/>
  <c r="BA815" i="8" s="1"/>
  <c r="AZ816" i="8"/>
  <c r="L64" i="7"/>
  <c r="L60" i="7"/>
  <c r="U300" i="8"/>
  <c r="U129" i="8"/>
  <c r="CG303" i="8"/>
  <c r="CD16" i="8"/>
  <c r="T199" i="8"/>
  <c r="T26" i="8"/>
  <c r="K111" i="7"/>
  <c r="U111" i="7" s="1"/>
  <c r="L115" i="7"/>
  <c r="T25" i="8"/>
  <c r="T113" i="8"/>
  <c r="T121" i="8" s="1"/>
  <c r="T305" i="8"/>
  <c r="T112" i="8"/>
  <c r="K123" i="7"/>
  <c r="U123" i="7" s="1"/>
  <c r="L127" i="7"/>
  <c r="J187" i="7"/>
  <c r="CD163" i="8"/>
  <c r="CB206" i="8"/>
  <c r="CB301" i="8"/>
  <c r="CB27" i="8" s="1"/>
  <c r="CD81" i="8"/>
  <c r="CD78" i="8"/>
  <c r="U81" i="8"/>
  <c r="J112" i="7"/>
  <c r="K198" i="7"/>
  <c r="U198" i="7" s="1"/>
  <c r="L202" i="7"/>
  <c r="J23" i="7"/>
  <c r="L190" i="7"/>
  <c r="K186" i="7"/>
  <c r="U186" i="7" s="1"/>
  <c r="CD164" i="8"/>
  <c r="CB16" i="8"/>
  <c r="CC16" i="8"/>
  <c r="U8" i="8"/>
  <c r="CD301" i="8"/>
  <c r="CD27" i="8" s="1"/>
  <c r="CD207" i="8"/>
  <c r="CD206" i="8"/>
  <c r="CB148" i="8"/>
  <c r="CA223" i="8"/>
  <c r="CA303" i="8"/>
  <c r="CA222" i="8"/>
  <c r="CA218" i="8"/>
  <c r="CA302" i="8"/>
  <c r="CA219" i="8"/>
  <c r="CA157" i="8"/>
  <c r="CA134" i="8"/>
  <c r="CA200" i="8"/>
  <c r="CA133" i="8"/>
  <c r="CA158" i="8"/>
  <c r="CA163" i="8" s="1"/>
  <c r="CA159" i="8"/>
  <c r="CA164" i="8" s="1"/>
  <c r="CA67" i="8"/>
  <c r="CA66" i="8"/>
  <c r="CA114" i="8"/>
  <c r="CA122" i="8" s="1"/>
  <c r="AT65" i="7"/>
  <c r="AT203" i="7"/>
  <c r="AT204" i="7"/>
  <c r="AQ199" i="7"/>
  <c r="AQ200" i="7"/>
  <c r="AT198" i="7"/>
  <c r="AU200" i="7" s="1"/>
  <c r="AQ36" i="7"/>
  <c r="AQ37" i="7"/>
  <c r="AT35" i="7"/>
  <c r="AU37" i="7" s="1"/>
  <c r="AR188" i="7"/>
  <c r="AR187" i="7"/>
  <c r="AR173" i="7"/>
  <c r="AR136" i="7"/>
  <c r="AR137" i="7"/>
  <c r="AS51" i="7"/>
  <c r="AS50" i="7"/>
  <c r="AS125" i="7"/>
  <c r="AS124" i="7"/>
  <c r="AQ212" i="7"/>
  <c r="AQ211" i="7"/>
  <c r="AS136" i="7"/>
  <c r="AS137" i="7"/>
  <c r="AS36" i="7"/>
  <c r="AS37" i="7"/>
  <c r="AT191" i="7"/>
  <c r="AT192" i="7"/>
  <c r="AQ33" i="7"/>
  <c r="AR23" i="7"/>
  <c r="AR24" i="7"/>
  <c r="AR8" i="7"/>
  <c r="AT61" i="7"/>
  <c r="AR124" i="7"/>
  <c r="AR125" i="7"/>
  <c r="AT117" i="7"/>
  <c r="AT116" i="7"/>
  <c r="AS23" i="7"/>
  <c r="AS8" i="7"/>
  <c r="AS24" i="7"/>
  <c r="BZ81" i="8"/>
  <c r="BZ79" i="8"/>
  <c r="BX193" i="8"/>
  <c r="BX162" i="8"/>
  <c r="BZ16" i="8"/>
  <c r="BZ301" i="8"/>
  <c r="BZ206" i="8"/>
  <c r="BZ207" i="8"/>
  <c r="BW193" i="8"/>
  <c r="T157" i="8"/>
  <c r="BW162" i="8"/>
  <c r="BZ300" i="8"/>
  <c r="BZ130" i="8"/>
  <c r="BZ129" i="8"/>
  <c r="BX16" i="8"/>
  <c r="BW16" i="8"/>
  <c r="BX81" i="8"/>
  <c r="BY193" i="8"/>
  <c r="BY162" i="8"/>
  <c r="BZ63" i="8"/>
  <c r="BZ62" i="8"/>
  <c r="BZ299" i="8"/>
  <c r="AR212" i="7"/>
  <c r="AR211" i="7"/>
  <c r="AS212" i="7"/>
  <c r="AS211" i="7"/>
  <c r="AR199" i="7"/>
  <c r="AR200" i="7"/>
  <c r="AT42" i="7"/>
  <c r="AT41" i="7"/>
  <c r="AT128" i="7" s="1"/>
  <c r="AS188" i="7"/>
  <c r="AS187" i="7"/>
  <c r="AS173" i="7"/>
  <c r="AQ137" i="7"/>
  <c r="AQ136" i="7"/>
  <c r="AR113" i="7"/>
  <c r="AR98" i="7"/>
  <c r="AR112" i="7"/>
  <c r="AS113" i="7"/>
  <c r="AS98" i="7"/>
  <c r="AS112" i="7"/>
  <c r="AS199" i="7"/>
  <c r="AS200" i="7"/>
  <c r="AQ125" i="7"/>
  <c r="AQ124" i="7"/>
  <c r="AT123" i="7"/>
  <c r="AU125" i="7" s="1"/>
  <c r="AQ51" i="7"/>
  <c r="AQ50" i="7"/>
  <c r="AQ187" i="7"/>
  <c r="AQ173" i="7"/>
  <c r="AQ188" i="7"/>
  <c r="AT186" i="7"/>
  <c r="AU188" i="7" s="1"/>
  <c r="AR50" i="7"/>
  <c r="AR51" i="7"/>
  <c r="AT29" i="7"/>
  <c r="AT28" i="7"/>
  <c r="AQ23" i="7"/>
  <c r="AQ8" i="7"/>
  <c r="AQ24" i="7"/>
  <c r="AT22" i="7"/>
  <c r="AU24" i="7" s="1"/>
  <c r="AQ112" i="7"/>
  <c r="AQ98" i="7"/>
  <c r="AQ113" i="7"/>
  <c r="AT111" i="7"/>
  <c r="AU113" i="7" s="1"/>
  <c r="AR36" i="7"/>
  <c r="AR37" i="7"/>
  <c r="BX129" i="8"/>
  <c r="BX300" i="8"/>
  <c r="BY81" i="8"/>
  <c r="BY79" i="8"/>
  <c r="T158" i="8"/>
  <c r="BW163" i="8"/>
  <c r="BW164" i="8"/>
  <c r="T159" i="8"/>
  <c r="BZ162" i="8"/>
  <c r="BZ193" i="8"/>
  <c r="BX206" i="8"/>
  <c r="BX301" i="8"/>
  <c r="BY16" i="8"/>
  <c r="BY207" i="8"/>
  <c r="BY206" i="8"/>
  <c r="BY301" i="8"/>
  <c r="BY63" i="8"/>
  <c r="BY299" i="8"/>
  <c r="BY62" i="8"/>
  <c r="BX62" i="8"/>
  <c r="BX299" i="8"/>
  <c r="BY300" i="8"/>
  <c r="BY130" i="8"/>
  <c r="BY129" i="8"/>
  <c r="W136" i="8"/>
  <c r="W132" i="8"/>
  <c r="CB51" i="8"/>
  <c r="W221" i="8"/>
  <c r="W69" i="8"/>
  <c r="X213" i="8"/>
  <c r="CE217" i="8"/>
  <c r="W217" i="8"/>
  <c r="U209" i="8"/>
  <c r="BY51" i="8"/>
  <c r="CE221" i="8"/>
  <c r="BZ51" i="8"/>
  <c r="W65" i="8"/>
  <c r="BX51" i="8"/>
  <c r="X214" i="8" l="1"/>
  <c r="W128" i="8"/>
  <c r="L35" i="7"/>
  <c r="L36" i="7" s="1"/>
  <c r="AV37" i="7"/>
  <c r="AV8" i="7"/>
  <c r="AV12" i="7" s="1"/>
  <c r="AV36" i="7"/>
  <c r="CB300" i="8"/>
  <c r="CB199" i="8" s="1"/>
  <c r="U10" i="8"/>
  <c r="U205" i="8"/>
  <c r="U210" i="8"/>
  <c r="N143" i="7"/>
  <c r="N218" i="7"/>
  <c r="O58" i="7"/>
  <c r="AP56" i="7"/>
  <c r="AP55" i="7"/>
  <c r="AQ56" i="7"/>
  <c r="AP216" i="7"/>
  <c r="AP215" i="7"/>
  <c r="AQ216" i="7"/>
  <c r="K54" i="7"/>
  <c r="AT54" i="7"/>
  <c r="J49" i="7"/>
  <c r="K139" i="7"/>
  <c r="AT139" i="7"/>
  <c r="J135" i="7"/>
  <c r="AP141" i="7"/>
  <c r="AP140" i="7"/>
  <c r="AQ141" i="7"/>
  <c r="T51" i="8"/>
  <c r="T482" i="8"/>
  <c r="T416" i="8"/>
  <c r="T224" i="8"/>
  <c r="T471" i="8"/>
  <c r="T453" i="8"/>
  <c r="T425" i="8"/>
  <c r="T465" i="8"/>
  <c r="T488" i="8"/>
  <c r="T494" i="8"/>
  <c r="T459" i="8"/>
  <c r="J210" i="7"/>
  <c r="K214" i="7"/>
  <c r="AT214" i="7"/>
  <c r="CC162" i="8"/>
  <c r="CB162" i="8"/>
  <c r="T645" i="8"/>
  <c r="U645" i="8" s="1"/>
  <c r="V645" i="8" s="1"/>
  <c r="W645" i="8" s="1"/>
  <c r="X645" i="8" s="1"/>
  <c r="Y645" i="8" s="1"/>
  <c r="Z645" i="8" s="1"/>
  <c r="AA645" i="8" s="1"/>
  <c r="AB645" i="8" s="1"/>
  <c r="AC645" i="8" s="1"/>
  <c r="AD645" i="8" s="1"/>
  <c r="T661" i="8"/>
  <c r="U661" i="8" s="1"/>
  <c r="V661" i="8" s="1"/>
  <c r="W661" i="8" s="1"/>
  <c r="X661" i="8" s="1"/>
  <c r="Y661" i="8" s="1"/>
  <c r="Z661" i="8" s="1"/>
  <c r="AA661" i="8" s="1"/>
  <c r="AB661" i="8" s="1"/>
  <c r="AC661" i="8" s="1"/>
  <c r="AD661" i="8" s="1"/>
  <c r="T592" i="8"/>
  <c r="U592" i="8" s="1"/>
  <c r="V592" i="8" s="1"/>
  <c r="W592" i="8" s="1"/>
  <c r="X592" i="8" s="1"/>
  <c r="Y592" i="8" s="1"/>
  <c r="Z592" i="8" s="1"/>
  <c r="AA592" i="8" s="1"/>
  <c r="AB592" i="8" s="1"/>
  <c r="AC592" i="8" s="1"/>
  <c r="AD592" i="8" s="1"/>
  <c r="T575" i="8"/>
  <c r="T579" i="8"/>
  <c r="U579" i="8" s="1"/>
  <c r="V579" i="8" s="1"/>
  <c r="W579" i="8" s="1"/>
  <c r="X579" i="8" s="1"/>
  <c r="Y579" i="8" s="1"/>
  <c r="Z579" i="8" s="1"/>
  <c r="AA579" i="8" s="1"/>
  <c r="AB579" i="8" s="1"/>
  <c r="AC579" i="8" s="1"/>
  <c r="AD579" i="8" s="1"/>
  <c r="T571" i="8"/>
  <c r="U571" i="8" s="1"/>
  <c r="V571" i="8" s="1"/>
  <c r="W571" i="8" s="1"/>
  <c r="X571" i="8" s="1"/>
  <c r="Y571" i="8" s="1"/>
  <c r="Z571" i="8" s="1"/>
  <c r="AA571" i="8" s="1"/>
  <c r="AB571" i="8" s="1"/>
  <c r="AC571" i="8" s="1"/>
  <c r="AD571" i="8" s="1"/>
  <c r="BY27" i="8"/>
  <c r="CC34" i="8" s="1"/>
  <c r="BX27" i="8"/>
  <c r="CB34" i="8" s="1"/>
  <c r="BZ27" i="8"/>
  <c r="CD34" i="8" s="1"/>
  <c r="CC78" i="8"/>
  <c r="CD79" i="8"/>
  <c r="CC300" i="8"/>
  <c r="CC176" i="8" s="1"/>
  <c r="CC79" i="8"/>
  <c r="CC130" i="8"/>
  <c r="CC148" i="8"/>
  <c r="CC202" i="8" s="1"/>
  <c r="CD146" i="8"/>
  <c r="CD148" i="8"/>
  <c r="CD202" i="8" s="1"/>
  <c r="CC146" i="8"/>
  <c r="CD129" i="8"/>
  <c r="CC62" i="8"/>
  <c r="CE218" i="8"/>
  <c r="CE302" i="8"/>
  <c r="CE219" i="8"/>
  <c r="CE303" i="8"/>
  <c r="CE222" i="8"/>
  <c r="CE223" i="8"/>
  <c r="CD130" i="8"/>
  <c r="CD63" i="8"/>
  <c r="CC63" i="8"/>
  <c r="BX215" i="8"/>
  <c r="BX71" i="8"/>
  <c r="AX22" i="7"/>
  <c r="U22" i="7"/>
  <c r="AX35" i="7"/>
  <c r="U35" i="7"/>
  <c r="AQ196" i="7"/>
  <c r="AQ133" i="7"/>
  <c r="AV199" i="7"/>
  <c r="BX138" i="8"/>
  <c r="AQ47" i="7"/>
  <c r="AX111" i="7"/>
  <c r="AX123" i="7"/>
  <c r="AV200" i="7"/>
  <c r="AV173" i="7"/>
  <c r="AW98" i="7"/>
  <c r="AV113" i="7"/>
  <c r="AV112" i="7"/>
  <c r="AV98" i="7"/>
  <c r="AW113" i="7"/>
  <c r="AW174" i="7"/>
  <c r="AW177" i="7"/>
  <c r="AW12" i="7"/>
  <c r="AW9" i="7"/>
  <c r="AU12" i="7"/>
  <c r="AU9" i="7"/>
  <c r="AW125" i="7"/>
  <c r="AW124" i="7"/>
  <c r="AU102" i="7"/>
  <c r="AU99" i="7"/>
  <c r="AU174" i="7"/>
  <c r="AU177" i="7"/>
  <c r="CB52" i="8"/>
  <c r="W200" i="8"/>
  <c r="W133" i="8"/>
  <c r="W77" i="8"/>
  <c r="W70" i="8"/>
  <c r="W137" i="8"/>
  <c r="W144" i="8"/>
  <c r="W114" i="8"/>
  <c r="W122" i="8" s="1"/>
  <c r="W66" i="8"/>
  <c r="W61" i="8"/>
  <c r="W303" i="8"/>
  <c r="W222" i="8"/>
  <c r="W218" i="8"/>
  <c r="W302" i="8"/>
  <c r="T307" i="8"/>
  <c r="L198" i="7"/>
  <c r="L199" i="7" s="1"/>
  <c r="M202" i="7"/>
  <c r="CD116" i="8"/>
  <c r="CD83" i="8"/>
  <c r="CD82" i="8"/>
  <c r="CD8" i="8"/>
  <c r="T32" i="8"/>
  <c r="V62" i="8"/>
  <c r="V299" i="8"/>
  <c r="CD46" i="8"/>
  <c r="CD199" i="8"/>
  <c r="CD26" i="8"/>
  <c r="CD176" i="8"/>
  <c r="CD177" i="8"/>
  <c r="CD178" i="8"/>
  <c r="M190" i="7"/>
  <c r="L186" i="7"/>
  <c r="K199" i="7"/>
  <c r="U116" i="8"/>
  <c r="T120" i="8"/>
  <c r="R793" i="8"/>
  <c r="CB113" i="8"/>
  <c r="CB112" i="8"/>
  <c r="CB25" i="8"/>
  <c r="K23" i="7"/>
  <c r="V9" i="8"/>
  <c r="V148" i="8"/>
  <c r="K187" i="7"/>
  <c r="K124" i="7"/>
  <c r="T33" i="8"/>
  <c r="T46" i="8"/>
  <c r="T34" i="8"/>
  <c r="T29" i="8"/>
  <c r="T38" i="8" s="1"/>
  <c r="T624" i="8"/>
  <c r="T232" i="8"/>
  <c r="T616" i="8"/>
  <c r="M115" i="7"/>
  <c r="L111" i="7"/>
  <c r="M40" i="7"/>
  <c r="CC46" i="8"/>
  <c r="M31" i="7"/>
  <c r="M45" i="7"/>
  <c r="L22" i="7"/>
  <c r="M27" i="7"/>
  <c r="U199" i="8"/>
  <c r="U26" i="8"/>
  <c r="CG300" i="8"/>
  <c r="L34" i="4" s="1"/>
  <c r="M64" i="7"/>
  <c r="CB202" i="8"/>
  <c r="CC83" i="8"/>
  <c r="CC116" i="8"/>
  <c r="CC82" i="8"/>
  <c r="CC8" i="8"/>
  <c r="CB46" i="8"/>
  <c r="M127" i="7"/>
  <c r="L123" i="7"/>
  <c r="L124" i="7" s="1"/>
  <c r="K112" i="7"/>
  <c r="CC112" i="8"/>
  <c r="CC25" i="8"/>
  <c r="CC113" i="8"/>
  <c r="M60" i="7"/>
  <c r="BB810" i="8"/>
  <c r="BB815" i="8" s="1"/>
  <c r="BA816" i="8"/>
  <c r="K36" i="7"/>
  <c r="CD305" i="8"/>
  <c r="CD113" i="8"/>
  <c r="CD112" i="8"/>
  <c r="CD25" i="8"/>
  <c r="CB116" i="8"/>
  <c r="CB82" i="8"/>
  <c r="CB8" i="8"/>
  <c r="U113" i="8"/>
  <c r="U121" i="8" s="1"/>
  <c r="CG299" i="8"/>
  <c r="K34" i="4" s="1"/>
  <c r="U112" i="8"/>
  <c r="U25" i="8"/>
  <c r="V300" i="8"/>
  <c r="V129" i="8"/>
  <c r="V78" i="8"/>
  <c r="V81" i="8"/>
  <c r="V8" i="8"/>
  <c r="BX52" i="8"/>
  <c r="BY53" i="8"/>
  <c r="BY52" i="8"/>
  <c r="BZ53" i="8"/>
  <c r="BZ52" i="8"/>
  <c r="BY177" i="8"/>
  <c r="BY182" i="8" s="1"/>
  <c r="BY178" i="8"/>
  <c r="BY183" i="8" s="1"/>
  <c r="BY176" i="8"/>
  <c r="BY26" i="8"/>
  <c r="BY199" i="8"/>
  <c r="BX113" i="8"/>
  <c r="BX121" i="8" s="1"/>
  <c r="BX305" i="8"/>
  <c r="BX25" i="8"/>
  <c r="BX112" i="8"/>
  <c r="BY305" i="8"/>
  <c r="BY112" i="8"/>
  <c r="BY25" i="8"/>
  <c r="BY113" i="8"/>
  <c r="BY121" i="8" s="1"/>
  <c r="T154" i="8"/>
  <c r="U154" i="8" s="1"/>
  <c r="T163" i="8"/>
  <c r="BX176" i="8"/>
  <c r="BX26" i="8"/>
  <c r="BX178" i="8"/>
  <c r="BX183" i="8" s="1"/>
  <c r="BX199" i="8"/>
  <c r="BX177" i="8"/>
  <c r="BX182" i="8" s="1"/>
  <c r="AT119" i="7"/>
  <c r="AU121" i="7" s="1"/>
  <c r="AT113" i="7"/>
  <c r="AT112" i="7"/>
  <c r="AQ99" i="7"/>
  <c r="AQ102" i="7"/>
  <c r="AT23" i="7"/>
  <c r="AT24" i="7"/>
  <c r="AT31" i="7"/>
  <c r="AU33" i="7" s="1"/>
  <c r="AQ12" i="7"/>
  <c r="AQ9" i="7"/>
  <c r="AT131" i="7"/>
  <c r="AU133" i="7" s="1"/>
  <c r="AT124" i="7"/>
  <c r="AT125" i="7"/>
  <c r="AS174" i="7"/>
  <c r="AS175" i="7"/>
  <c r="AS177" i="7"/>
  <c r="BZ305" i="8"/>
  <c r="BZ112" i="8"/>
  <c r="BZ113" i="8"/>
  <c r="BZ121" i="8" s="1"/>
  <c r="BZ25" i="8"/>
  <c r="AR12" i="7"/>
  <c r="AR10" i="7"/>
  <c r="AR9" i="7"/>
  <c r="AT200" i="7"/>
  <c r="AT199" i="7"/>
  <c r="AT206" i="7"/>
  <c r="AU208" i="7" s="1"/>
  <c r="CA193" i="8"/>
  <c r="CA162" i="8"/>
  <c r="T155" i="8"/>
  <c r="T164" i="8"/>
  <c r="BY116" i="8"/>
  <c r="BY83" i="8"/>
  <c r="BY8" i="8"/>
  <c r="AT187" i="7"/>
  <c r="AT188" i="7"/>
  <c r="AT194" i="7"/>
  <c r="AU196" i="7" s="1"/>
  <c r="AQ174" i="7"/>
  <c r="AQ177" i="7"/>
  <c r="AS99" i="7"/>
  <c r="AS100" i="7"/>
  <c r="AS102" i="7"/>
  <c r="AR102" i="7"/>
  <c r="AR99" i="7"/>
  <c r="AR100" i="7"/>
  <c r="BX8" i="8"/>
  <c r="BX116" i="8"/>
  <c r="BZ176" i="8"/>
  <c r="BZ26" i="8"/>
  <c r="BZ199" i="8"/>
  <c r="BZ177" i="8"/>
  <c r="BZ182" i="8" s="1"/>
  <c r="BZ178" i="8"/>
  <c r="BZ183" i="8" s="1"/>
  <c r="T193" i="8"/>
  <c r="T153" i="8"/>
  <c r="U153" i="8" s="1"/>
  <c r="T162" i="8"/>
  <c r="BZ8" i="8"/>
  <c r="BZ116" i="8"/>
  <c r="BZ83" i="8"/>
  <c r="AS10" i="7"/>
  <c r="AS12" i="7"/>
  <c r="AS9" i="7"/>
  <c r="AR174" i="7"/>
  <c r="AR175" i="7"/>
  <c r="AR177" i="7"/>
  <c r="AT45" i="7"/>
  <c r="AU47" i="7" s="1"/>
  <c r="AT37" i="7"/>
  <c r="AT36" i="7"/>
  <c r="BX415" i="8"/>
  <c r="BY415" i="8"/>
  <c r="CA69" i="8"/>
  <c r="CC51" i="8"/>
  <c r="V209" i="8"/>
  <c r="X65" i="8"/>
  <c r="BZ415" i="8"/>
  <c r="X217" i="8"/>
  <c r="CA209" i="8"/>
  <c r="X69" i="8"/>
  <c r="CD51" i="8"/>
  <c r="Y213" i="8"/>
  <c r="X221" i="8"/>
  <c r="CA136" i="8"/>
  <c r="X136" i="8"/>
  <c r="CB415" i="8"/>
  <c r="X132" i="8"/>
  <c r="Y214" i="8" l="1"/>
  <c r="AV10" i="7"/>
  <c r="CB305" i="8"/>
  <c r="CB416" i="8" s="1"/>
  <c r="X128" i="8"/>
  <c r="AV9" i="7"/>
  <c r="AW10" i="7"/>
  <c r="M35" i="7"/>
  <c r="M36" i="7" s="1"/>
  <c r="CB177" i="8"/>
  <c r="CB182" i="8" s="1"/>
  <c r="CB176" i="8"/>
  <c r="CB181" i="8" s="1"/>
  <c r="CB26" i="8"/>
  <c r="CB45" i="8" s="1"/>
  <c r="CB178" i="8"/>
  <c r="CB183" i="8" s="1"/>
  <c r="CA210" i="8"/>
  <c r="CA211" i="8"/>
  <c r="CA10" i="8"/>
  <c r="CA16" i="8" s="1"/>
  <c r="CB211" i="8"/>
  <c r="V10" i="8"/>
  <c r="V11" i="8" s="1"/>
  <c r="V20" i="8" s="1"/>
  <c r="V210" i="8"/>
  <c r="V205" i="8"/>
  <c r="J211" i="7"/>
  <c r="AT210" i="7"/>
  <c r="J173" i="7"/>
  <c r="J50" i="7"/>
  <c r="J8" i="7"/>
  <c r="AT49" i="7"/>
  <c r="T52" i="8"/>
  <c r="I8" i="7"/>
  <c r="I98" i="7"/>
  <c r="I173" i="7"/>
  <c r="J136" i="7"/>
  <c r="AT135" i="7"/>
  <c r="J98" i="7"/>
  <c r="AU56" i="7"/>
  <c r="AT56" i="7"/>
  <c r="AT55" i="7"/>
  <c r="O218" i="7"/>
  <c r="P58" i="7"/>
  <c r="O143" i="7"/>
  <c r="U206" i="8"/>
  <c r="U301" i="8"/>
  <c r="T384" i="8"/>
  <c r="T56" i="8"/>
  <c r="T57" i="8" s="1"/>
  <c r="T207" i="8"/>
  <c r="T503" i="8"/>
  <c r="T497" i="8"/>
  <c r="I182" i="7"/>
  <c r="I183" i="7" s="1"/>
  <c r="I107" i="7"/>
  <c r="I108" i="7" s="1"/>
  <c r="I17" i="7"/>
  <c r="I18" i="7" s="1"/>
  <c r="AU216" i="7"/>
  <c r="AT215" i="7"/>
  <c r="AT216" i="7"/>
  <c r="AU141" i="7"/>
  <c r="AT141" i="7"/>
  <c r="AT140" i="7"/>
  <c r="AX54" i="7"/>
  <c r="K49" i="7"/>
  <c r="L54" i="7"/>
  <c r="U16" i="8"/>
  <c r="K210" i="7"/>
  <c r="L214" i="7"/>
  <c r="AX139" i="7"/>
  <c r="L139" i="7"/>
  <c r="K135" i="7"/>
  <c r="BX130" i="8"/>
  <c r="BX63" i="8"/>
  <c r="BX207" i="8"/>
  <c r="BZ34" i="8"/>
  <c r="BY46" i="8"/>
  <c r="BY34" i="8"/>
  <c r="BZ46" i="8"/>
  <c r="BX46" i="8"/>
  <c r="BX34" i="8"/>
  <c r="CC177" i="8"/>
  <c r="CC182" i="8" s="1"/>
  <c r="CC26" i="8"/>
  <c r="CC45" i="8" s="1"/>
  <c r="CC178" i="8"/>
  <c r="CC183" i="8" s="1"/>
  <c r="CC199" i="8"/>
  <c r="CC201" i="8" s="1"/>
  <c r="CC305" i="8"/>
  <c r="CC29" i="8" s="1"/>
  <c r="CC150" i="8"/>
  <c r="CD150" i="8"/>
  <c r="CD52" i="8"/>
  <c r="AW102" i="7"/>
  <c r="AW104" i="7" s="1"/>
  <c r="CD53" i="8"/>
  <c r="CC52" i="8"/>
  <c r="CC53" i="8"/>
  <c r="AV177" i="7"/>
  <c r="AV180" i="7" s="1"/>
  <c r="CD201" i="8"/>
  <c r="AW175" i="7"/>
  <c r="AV174" i="7"/>
  <c r="AW99" i="7"/>
  <c r="AV175" i="7"/>
  <c r="AW100" i="7"/>
  <c r="AW17" i="7"/>
  <c r="AW15" i="7"/>
  <c r="AW14" i="7"/>
  <c r="AW182" i="7"/>
  <c r="AW179" i="7"/>
  <c r="AV102" i="7"/>
  <c r="AV100" i="7"/>
  <c r="AV99" i="7"/>
  <c r="AV17" i="7"/>
  <c r="AV15" i="7"/>
  <c r="AV14" i="7"/>
  <c r="AU182" i="7"/>
  <c r="AU179" i="7"/>
  <c r="AU107" i="7"/>
  <c r="AU104" i="7"/>
  <c r="AU17" i="7"/>
  <c r="AU14" i="7"/>
  <c r="CD183" i="8"/>
  <c r="CD121" i="8"/>
  <c r="CB138" i="8"/>
  <c r="CB71" i="8"/>
  <c r="X77" i="8"/>
  <c r="X70" i="8"/>
  <c r="X133" i="8"/>
  <c r="X200" i="8"/>
  <c r="X222" i="8"/>
  <c r="X303" i="8"/>
  <c r="X61" i="8"/>
  <c r="X114" i="8"/>
  <c r="X122" i="8" s="1"/>
  <c r="X66" i="8"/>
  <c r="CB306" i="8"/>
  <c r="X218" i="8"/>
  <c r="X302" i="8"/>
  <c r="X144" i="8"/>
  <c r="X137" i="8"/>
  <c r="V14" i="8"/>
  <c r="CD120" i="8"/>
  <c r="CD115" i="8"/>
  <c r="CC117" i="8"/>
  <c r="CC123" i="8"/>
  <c r="N31" i="7"/>
  <c r="N40" i="7"/>
  <c r="T751" i="8"/>
  <c r="CB44" i="8"/>
  <c r="CB32" i="8"/>
  <c r="R774" i="8"/>
  <c r="R798" i="8"/>
  <c r="U117" i="8"/>
  <c r="L187" i="7"/>
  <c r="CD192" i="8"/>
  <c r="CD195" i="8" s="1"/>
  <c r="CD203" i="8" s="1"/>
  <c r="CD181" i="8"/>
  <c r="W148" i="8"/>
  <c r="W145" i="8"/>
  <c r="W9" i="8"/>
  <c r="W15" i="8" s="1"/>
  <c r="V82" i="8"/>
  <c r="V116" i="8"/>
  <c r="CC181" i="8"/>
  <c r="CC192" i="8"/>
  <c r="CC195" i="8" s="1"/>
  <c r="CC203" i="8" s="1"/>
  <c r="CC121" i="8"/>
  <c r="N127" i="7"/>
  <c r="AX129" i="7" s="1"/>
  <c r="M123" i="7"/>
  <c r="M124" i="7" s="1"/>
  <c r="N64" i="7"/>
  <c r="AX65" i="7" s="1"/>
  <c r="N27" i="7"/>
  <c r="M22" i="7"/>
  <c r="CB120" i="8"/>
  <c r="CB115" i="8"/>
  <c r="N190" i="7"/>
  <c r="AX190" i="7" s="1"/>
  <c r="M186" i="7"/>
  <c r="CD45" i="8"/>
  <c r="CD33" i="8"/>
  <c r="W62" i="8"/>
  <c r="W299" i="8"/>
  <c r="U44" i="8"/>
  <c r="U32" i="8"/>
  <c r="CB201" i="8"/>
  <c r="CB123" i="8"/>
  <c r="CB117" i="8"/>
  <c r="CD493" i="8"/>
  <c r="CD316" i="8" s="1"/>
  <c r="CD29" i="8"/>
  <c r="CD39" i="8" s="1"/>
  <c r="CD232" i="8"/>
  <c r="CD224" i="8"/>
  <c r="BC810" i="8"/>
  <c r="BC815" i="8" s="1"/>
  <c r="BB816" i="8"/>
  <c r="N60" i="7"/>
  <c r="AX61" i="7" s="1"/>
  <c r="CC44" i="8"/>
  <c r="CC32" i="8"/>
  <c r="CC14" i="8"/>
  <c r="CC11" i="8"/>
  <c r="CC20" i="8" s="1"/>
  <c r="L23" i="7"/>
  <c r="L112" i="7"/>
  <c r="T614" i="8"/>
  <c r="T764" i="8"/>
  <c r="F11" i="4"/>
  <c r="T622" i="8"/>
  <c r="T766" i="8"/>
  <c r="T35" i="8"/>
  <c r="T40" i="8"/>
  <c r="V202" i="8"/>
  <c r="CB121" i="8"/>
  <c r="CD123" i="8"/>
  <c r="CD117" i="8"/>
  <c r="W300" i="8"/>
  <c r="W129" i="8"/>
  <c r="V199" i="8"/>
  <c r="V26" i="8"/>
  <c r="U115" i="8"/>
  <c r="U120" i="8"/>
  <c r="CB14" i="8"/>
  <c r="CB11" i="8"/>
  <c r="CB20" i="8" s="1"/>
  <c r="CD44" i="8"/>
  <c r="CD32" i="8"/>
  <c r="CC120" i="8"/>
  <c r="CC115" i="8"/>
  <c r="U33" i="8"/>
  <c r="N45" i="7"/>
  <c r="M111" i="7"/>
  <c r="N115" i="7"/>
  <c r="T39" i="8"/>
  <c r="CD182" i="8"/>
  <c r="V112" i="8"/>
  <c r="V25" i="8"/>
  <c r="V113" i="8"/>
  <c r="V121" i="8" s="1"/>
  <c r="CD14" i="8"/>
  <c r="CD11" i="8"/>
  <c r="CD20" i="8" s="1"/>
  <c r="M198" i="7"/>
  <c r="M199" i="7" s="1"/>
  <c r="N202" i="7"/>
  <c r="AX202" i="7" s="1"/>
  <c r="W8" i="8"/>
  <c r="W78" i="8"/>
  <c r="W81" i="8"/>
  <c r="BX306" i="8"/>
  <c r="BX416" i="8"/>
  <c r="CA138" i="8"/>
  <c r="CA137" i="8"/>
  <c r="CA128" i="8"/>
  <c r="BZ306" i="8"/>
  <c r="BZ416" i="8"/>
  <c r="BY306" i="8"/>
  <c r="BY416" i="8"/>
  <c r="CA70" i="8"/>
  <c r="CA77" i="8"/>
  <c r="CB79" i="8" s="1"/>
  <c r="CA71" i="8"/>
  <c r="CA61" i="8"/>
  <c r="AR182" i="7"/>
  <c r="AR179" i="7"/>
  <c r="AR180" i="7"/>
  <c r="BZ117" i="8"/>
  <c r="V153" i="8"/>
  <c r="U157" i="8"/>
  <c r="U155" i="8"/>
  <c r="U159" i="8" s="1"/>
  <c r="U164" i="8" s="1"/>
  <c r="BZ181" i="8"/>
  <c r="BZ192" i="8"/>
  <c r="AR105" i="7"/>
  <c r="AR104" i="7"/>
  <c r="AR107" i="7"/>
  <c r="AT196" i="7"/>
  <c r="AT195" i="7"/>
  <c r="AT207" i="7"/>
  <c r="AT208" i="7"/>
  <c r="BZ29" i="8"/>
  <c r="BZ39" i="8" s="1"/>
  <c r="BZ232" i="8"/>
  <c r="BZ422" i="8"/>
  <c r="BZ493" i="8"/>
  <c r="BZ316" i="8" s="1"/>
  <c r="BZ224" i="8"/>
  <c r="AT132" i="7"/>
  <c r="AT133" i="7"/>
  <c r="AQ17" i="7"/>
  <c r="AQ14" i="7"/>
  <c r="AQ15" i="7"/>
  <c r="BX192" i="8"/>
  <c r="BX181" i="8"/>
  <c r="U158" i="8"/>
  <c r="U163" i="8" s="1"/>
  <c r="V154" i="8"/>
  <c r="BY44" i="8"/>
  <c r="BY32" i="8"/>
  <c r="BY29" i="8"/>
  <c r="BY38" i="8" s="1"/>
  <c r="BY493" i="8"/>
  <c r="BY316" i="8" s="1"/>
  <c r="BY232" i="8"/>
  <c r="BU626" i="8"/>
  <c r="BU618" i="8"/>
  <c r="BY422" i="8"/>
  <c r="BY224" i="8"/>
  <c r="BX32" i="8"/>
  <c r="BX44" i="8"/>
  <c r="BY33" i="8"/>
  <c r="AT46" i="7"/>
  <c r="AT47" i="7"/>
  <c r="AS15" i="7"/>
  <c r="AS17" i="7"/>
  <c r="AS14" i="7"/>
  <c r="BZ33" i="8"/>
  <c r="BX117" i="8"/>
  <c r="AS104" i="7"/>
  <c r="AS105" i="7"/>
  <c r="AS107" i="7"/>
  <c r="AQ179" i="7"/>
  <c r="AQ180" i="7"/>
  <c r="AQ182" i="7"/>
  <c r="BY117" i="8"/>
  <c r="AR14" i="7"/>
  <c r="AR15" i="7"/>
  <c r="AR17" i="7"/>
  <c r="BZ32" i="8"/>
  <c r="BZ44" i="8"/>
  <c r="BZ115" i="8"/>
  <c r="BZ120" i="8"/>
  <c r="AS179" i="7"/>
  <c r="AS180" i="7"/>
  <c r="AS182" i="7"/>
  <c r="AT32" i="7"/>
  <c r="AT33" i="7"/>
  <c r="AQ104" i="7"/>
  <c r="AQ107" i="7"/>
  <c r="AQ105" i="7"/>
  <c r="AT120" i="7"/>
  <c r="AT121" i="7"/>
  <c r="BX33" i="8"/>
  <c r="BY120" i="8"/>
  <c r="BY115" i="8"/>
  <c r="BX120" i="8"/>
  <c r="BX115" i="8"/>
  <c r="BT626" i="8"/>
  <c r="BX29" i="8"/>
  <c r="BX39" i="8" s="1"/>
  <c r="BX493" i="8"/>
  <c r="BX422" i="8"/>
  <c r="BX232" i="8"/>
  <c r="BT618" i="8"/>
  <c r="BX224" i="8"/>
  <c r="BY192" i="8"/>
  <c r="BY181" i="8"/>
  <c r="CE132" i="8"/>
  <c r="CC415" i="8"/>
  <c r="Y69" i="8"/>
  <c r="Y136" i="8"/>
  <c r="U51" i="8"/>
  <c r="CE65" i="8"/>
  <c r="CD415" i="8"/>
  <c r="Y217" i="8"/>
  <c r="W209" i="8"/>
  <c r="Y221" i="8"/>
  <c r="Y132" i="8"/>
  <c r="Y65" i="8"/>
  <c r="Z213" i="8"/>
  <c r="Z214" i="8" l="1"/>
  <c r="CB29" i="8"/>
  <c r="CB39" i="8" s="1"/>
  <c r="CB232" i="8"/>
  <c r="CB493" i="8"/>
  <c r="CB316" i="8" s="1"/>
  <c r="CB224" i="8"/>
  <c r="CB307" i="8"/>
  <c r="CB56" i="8" s="1"/>
  <c r="Y128" i="8"/>
  <c r="N35" i="7"/>
  <c r="J99" i="7"/>
  <c r="CB192" i="8"/>
  <c r="CB195" i="8" s="1"/>
  <c r="CB203" i="8" s="1"/>
  <c r="CB33" i="8"/>
  <c r="W10" i="8"/>
  <c r="W16" i="8" s="1"/>
  <c r="W205" i="8"/>
  <c r="W210" i="8"/>
  <c r="U52" i="8"/>
  <c r="AX135" i="7"/>
  <c r="U135" i="7"/>
  <c r="K98" i="7"/>
  <c r="K136" i="7"/>
  <c r="U210" i="7"/>
  <c r="K173" i="7"/>
  <c r="K211" i="7"/>
  <c r="AX49" i="7"/>
  <c r="K50" i="7"/>
  <c r="U49" i="7"/>
  <c r="K8" i="7"/>
  <c r="AU137" i="7"/>
  <c r="AT137" i="7"/>
  <c r="AT98" i="7"/>
  <c r="AT136" i="7"/>
  <c r="AT143" i="7"/>
  <c r="I9" i="7"/>
  <c r="I13" i="7"/>
  <c r="J13" i="7" s="1"/>
  <c r="V206" i="8"/>
  <c r="V301" i="8"/>
  <c r="L135" i="7"/>
  <c r="M139" i="7"/>
  <c r="U27" i="8"/>
  <c r="U305" i="8"/>
  <c r="CG301" i="8"/>
  <c r="M34" i="4" s="1"/>
  <c r="J174" i="7"/>
  <c r="P218" i="7"/>
  <c r="P143" i="7"/>
  <c r="Q58" i="7"/>
  <c r="I178" i="7"/>
  <c r="I174" i="7"/>
  <c r="AU51" i="7"/>
  <c r="AT58" i="7"/>
  <c r="AT51" i="7"/>
  <c r="AT8" i="7"/>
  <c r="AT50" i="7"/>
  <c r="AU212" i="7"/>
  <c r="AT218" i="7"/>
  <c r="AT212" i="7"/>
  <c r="AT211" i="7"/>
  <c r="AT173" i="7"/>
  <c r="V16" i="8"/>
  <c r="M214" i="7"/>
  <c r="L210" i="7"/>
  <c r="L49" i="7"/>
  <c r="M54" i="7"/>
  <c r="I71" i="7"/>
  <c r="I230" i="7"/>
  <c r="I156" i="7"/>
  <c r="I99" i="7"/>
  <c r="I103" i="7"/>
  <c r="J9" i="7"/>
  <c r="CB63" i="8"/>
  <c r="CB130" i="8"/>
  <c r="BY307" i="8"/>
  <c r="BX307" i="8"/>
  <c r="BZ307" i="8"/>
  <c r="AW180" i="7"/>
  <c r="CC33" i="8"/>
  <c r="CC493" i="8"/>
  <c r="CC316" i="8" s="1"/>
  <c r="CC39" i="8"/>
  <c r="BW27" i="8"/>
  <c r="BW34" i="8" s="1"/>
  <c r="CC224" i="8"/>
  <c r="CC232" i="8"/>
  <c r="BW25" i="8"/>
  <c r="BW32" i="8" s="1"/>
  <c r="BW112" i="8"/>
  <c r="BW120" i="8" s="1"/>
  <c r="BW113" i="8"/>
  <c r="BW121" i="8" s="1"/>
  <c r="AV182" i="7"/>
  <c r="AW184" i="7" s="1"/>
  <c r="AW107" i="7"/>
  <c r="AW160" i="7" s="1"/>
  <c r="AV179" i="7"/>
  <c r="CD416" i="8"/>
  <c r="CD306" i="8"/>
  <c r="CD307" i="8" s="1"/>
  <c r="CD502" i="8" s="1"/>
  <c r="CD318" i="8" s="1"/>
  <c r="AW105" i="7"/>
  <c r="CC416" i="8"/>
  <c r="CC306" i="8"/>
  <c r="CC307" i="8" s="1"/>
  <c r="CC502" i="8" s="1"/>
  <c r="CC318" i="8" s="1"/>
  <c r="CE114" i="8"/>
  <c r="CE122" i="8" s="1"/>
  <c r="CE67" i="8"/>
  <c r="CE66" i="8"/>
  <c r="CE133" i="8"/>
  <c r="CE157" i="8"/>
  <c r="CE200" i="8"/>
  <c r="CE158" i="8"/>
  <c r="CE163" i="8" s="1"/>
  <c r="CE134" i="8"/>
  <c r="CE159" i="8"/>
  <c r="CE164" i="8" s="1"/>
  <c r="BW305" i="8"/>
  <c r="BW176" i="8"/>
  <c r="T176" i="8" s="1"/>
  <c r="BW178" i="8"/>
  <c r="T178" i="8" s="1"/>
  <c r="BW199" i="8"/>
  <c r="BW177" i="8"/>
  <c r="BW182" i="8" s="1"/>
  <c r="BW26" i="8"/>
  <c r="BW33" i="8" s="1"/>
  <c r="CD38" i="8"/>
  <c r="V201" i="8"/>
  <c r="AU234" i="7"/>
  <c r="AU229" i="7"/>
  <c r="AU232" i="7" s="1"/>
  <c r="AU183" i="7"/>
  <c r="AV107" i="7"/>
  <c r="AV105" i="7"/>
  <c r="AV104" i="7"/>
  <c r="AW234" i="7"/>
  <c r="AW229" i="7"/>
  <c r="AW232" i="7" s="1"/>
  <c r="AW183" i="7"/>
  <c r="AX204" i="7"/>
  <c r="AX203" i="7"/>
  <c r="AX117" i="7"/>
  <c r="AX116" i="7"/>
  <c r="AU160" i="7"/>
  <c r="AU155" i="7"/>
  <c r="AU108" i="7"/>
  <c r="AX56" i="7"/>
  <c r="AX55" i="7"/>
  <c r="AX141" i="7"/>
  <c r="AX140" i="7"/>
  <c r="AX42" i="7"/>
  <c r="AX41" i="7"/>
  <c r="AX128" i="7" s="1"/>
  <c r="AX192" i="7"/>
  <c r="AX191" i="7"/>
  <c r="AX29" i="7"/>
  <c r="AX28" i="7"/>
  <c r="AU18" i="7"/>
  <c r="AU75" i="7"/>
  <c r="AU70" i="7"/>
  <c r="AV19" i="7"/>
  <c r="AV18" i="7"/>
  <c r="AV75" i="7"/>
  <c r="AV70" i="7"/>
  <c r="AV73" i="7" s="1"/>
  <c r="AW75" i="7"/>
  <c r="AW70" i="7"/>
  <c r="AW73" i="7" s="1"/>
  <c r="AW19" i="7"/>
  <c r="AW18" i="7"/>
  <c r="V21" i="8"/>
  <c r="T41" i="8"/>
  <c r="BY39" i="8"/>
  <c r="CC38" i="8"/>
  <c r="Y77" i="8"/>
  <c r="Y70" i="8"/>
  <c r="Y302" i="8"/>
  <c r="Y218" i="8"/>
  <c r="Y66" i="8"/>
  <c r="Y61" i="8"/>
  <c r="Y114" i="8"/>
  <c r="Y122" i="8" s="1"/>
  <c r="Y133" i="8"/>
  <c r="Y200" i="8"/>
  <c r="Y137" i="8"/>
  <c r="Y144" i="8"/>
  <c r="Y303" i="8"/>
  <c r="Y222" i="8"/>
  <c r="W14" i="8"/>
  <c r="M187" i="7"/>
  <c r="T821" i="8"/>
  <c r="T749" i="8"/>
  <c r="O31" i="7"/>
  <c r="X62" i="8"/>
  <c r="X299" i="8"/>
  <c r="X8" i="8"/>
  <c r="X78" i="8"/>
  <c r="X81" i="8"/>
  <c r="O202" i="7"/>
  <c r="N198" i="7"/>
  <c r="V115" i="8"/>
  <c r="V120" i="8"/>
  <c r="O115" i="7"/>
  <c r="N111" i="7"/>
  <c r="V33" i="8"/>
  <c r="V45" i="8"/>
  <c r="O60" i="7"/>
  <c r="W25" i="8"/>
  <c r="W113" i="8"/>
  <c r="W121" i="8" s="1"/>
  <c r="W112" i="8"/>
  <c r="O190" i="7"/>
  <c r="N186" i="7"/>
  <c r="AX186" i="7" s="1"/>
  <c r="M23" i="7"/>
  <c r="CC35" i="8"/>
  <c r="CC47" i="8"/>
  <c r="CC40" i="8"/>
  <c r="X9" i="8"/>
  <c r="X148" i="8"/>
  <c r="X145" i="8"/>
  <c r="X129" i="8"/>
  <c r="X300" i="8"/>
  <c r="W82" i="8"/>
  <c r="W116" i="8"/>
  <c r="T758" i="8"/>
  <c r="M112" i="7"/>
  <c r="T617" i="8"/>
  <c r="N22" i="7"/>
  <c r="O27" i="7"/>
  <c r="V123" i="8"/>
  <c r="V117" i="8"/>
  <c r="W202" i="8"/>
  <c r="W149" i="8"/>
  <c r="O40" i="7"/>
  <c r="CD21" i="8"/>
  <c r="CD22" i="8"/>
  <c r="V44" i="8"/>
  <c r="V32" i="8"/>
  <c r="O45" i="7"/>
  <c r="CB22" i="8"/>
  <c r="CB21" i="8"/>
  <c r="W199" i="8"/>
  <c r="W26" i="8"/>
  <c r="T627" i="8"/>
  <c r="T621" i="8"/>
  <c r="CC21" i="8"/>
  <c r="CC22" i="8"/>
  <c r="BC816" i="8"/>
  <c r="BD810" i="8"/>
  <c r="BD815" i="8" s="1"/>
  <c r="CD47" i="8"/>
  <c r="CD35" i="8"/>
  <c r="CD40" i="8"/>
  <c r="O64" i="7"/>
  <c r="O127" i="7"/>
  <c r="N123" i="7"/>
  <c r="V22" i="8"/>
  <c r="BZ38" i="8"/>
  <c r="AS183" i="7"/>
  <c r="AS229" i="7"/>
  <c r="AS232" i="7" s="1"/>
  <c r="AS184" i="7"/>
  <c r="AS234" i="7"/>
  <c r="AQ229" i="7"/>
  <c r="AQ232" i="7" s="1"/>
  <c r="AQ183" i="7"/>
  <c r="AQ234" i="7"/>
  <c r="AQ70" i="7"/>
  <c r="AQ75" i="7"/>
  <c r="AQ18" i="7"/>
  <c r="BZ35" i="8"/>
  <c r="BZ40" i="8"/>
  <c r="W153" i="8"/>
  <c r="V157" i="8"/>
  <c r="V155" i="8"/>
  <c r="V159" i="8" s="1"/>
  <c r="V164" i="8" s="1"/>
  <c r="CA62" i="8"/>
  <c r="CA63" i="8"/>
  <c r="CA299" i="8"/>
  <c r="CA81" i="8"/>
  <c r="CB83" i="8" s="1"/>
  <c r="CA79" i="8"/>
  <c r="BX359" i="8"/>
  <c r="BX428" i="8"/>
  <c r="BX430" i="8"/>
  <c r="BX429" i="8"/>
  <c r="BX423" i="8"/>
  <c r="BX316" i="8"/>
  <c r="BX35" i="8"/>
  <c r="BX40" i="8"/>
  <c r="AQ108" i="7"/>
  <c r="AQ160" i="7"/>
  <c r="AQ155" i="7"/>
  <c r="AR70" i="7"/>
  <c r="AR18" i="7"/>
  <c r="AR75" i="7"/>
  <c r="AR19" i="7"/>
  <c r="AS109" i="7"/>
  <c r="AS108" i="7"/>
  <c r="AS160" i="7"/>
  <c r="AS155" i="7"/>
  <c r="AS158" i="7" s="1"/>
  <c r="AS70" i="7"/>
  <c r="AS75" i="7"/>
  <c r="AS18" i="7"/>
  <c r="AS19" i="7"/>
  <c r="BX38" i="8"/>
  <c r="BY429" i="8"/>
  <c r="BY361" i="8" s="1"/>
  <c r="BY428" i="8"/>
  <c r="BY360" i="8" s="1"/>
  <c r="BY359" i="8"/>
  <c r="BY430" i="8"/>
  <c r="BY362" i="8" s="1"/>
  <c r="BY424" i="8"/>
  <c r="BY423" i="8"/>
  <c r="BY35" i="8"/>
  <c r="BY40" i="8"/>
  <c r="W154" i="8"/>
  <c r="V158" i="8"/>
  <c r="V163" i="8" s="1"/>
  <c r="BZ423" i="8"/>
  <c r="BZ359" i="8"/>
  <c r="BZ430" i="8"/>
  <c r="BZ362" i="8" s="1"/>
  <c r="BZ424" i="8"/>
  <c r="BZ429" i="8"/>
  <c r="BZ361" i="8" s="1"/>
  <c r="BZ428" i="8"/>
  <c r="BZ360" i="8" s="1"/>
  <c r="AR108" i="7"/>
  <c r="AR160" i="7"/>
  <c r="AR109" i="7"/>
  <c r="AR155" i="7"/>
  <c r="AR158" i="7" s="1"/>
  <c r="U193" i="8"/>
  <c r="U162" i="8"/>
  <c r="AR183" i="7"/>
  <c r="AR234" i="7"/>
  <c r="AR229" i="7"/>
  <c r="AR232" i="7" s="1"/>
  <c r="AR184" i="7"/>
  <c r="CA129" i="8"/>
  <c r="CA300" i="8"/>
  <c r="CA130" i="8"/>
  <c r="Z221" i="8"/>
  <c r="BY381" i="8"/>
  <c r="CA51" i="8"/>
  <c r="CB381" i="8"/>
  <c r="BX438" i="8"/>
  <c r="CA213" i="8"/>
  <c r="BY438" i="8"/>
  <c r="CD438" i="8"/>
  <c r="BX381" i="8"/>
  <c r="V51" i="8"/>
  <c r="Z132" i="8"/>
  <c r="BZ438" i="8"/>
  <c r="Z65" i="8"/>
  <c r="X209" i="8"/>
  <c r="Z136" i="8"/>
  <c r="CB438" i="8"/>
  <c r="AA213" i="8"/>
  <c r="Z217" i="8"/>
  <c r="BZ381" i="8"/>
  <c r="Z69" i="8"/>
  <c r="BY496" i="8" l="1"/>
  <c r="BY317" i="8" s="1"/>
  <c r="AA214" i="8"/>
  <c r="CB35" i="8"/>
  <c r="CB40" i="8"/>
  <c r="CB38" i="8"/>
  <c r="CB47" i="8"/>
  <c r="CB496" i="8"/>
  <c r="CB317" i="8" s="1"/>
  <c r="CB227" i="8"/>
  <c r="CB502" i="8"/>
  <c r="CB318" i="8" s="1"/>
  <c r="Z128" i="8"/>
  <c r="O35" i="7"/>
  <c r="O36" i="7" s="1"/>
  <c r="W11" i="8"/>
  <c r="W20" i="8" s="1"/>
  <c r="CA205" i="8"/>
  <c r="CA214" i="8"/>
  <c r="CB215" i="8"/>
  <c r="CA215" i="8"/>
  <c r="V52" i="8"/>
  <c r="X205" i="8"/>
  <c r="X210" i="8"/>
  <c r="X10" i="8"/>
  <c r="X16" i="8" s="1"/>
  <c r="CB54" i="8"/>
  <c r="BZ54" i="8"/>
  <c r="CB53" i="8"/>
  <c r="CA53" i="8"/>
  <c r="CD54" i="8"/>
  <c r="BY54" i="8"/>
  <c r="CC54" i="8"/>
  <c r="CA54" i="8"/>
  <c r="BX54" i="8"/>
  <c r="L211" i="7"/>
  <c r="L173" i="7"/>
  <c r="L174" i="7" s="1"/>
  <c r="AU175" i="7"/>
  <c r="AT175" i="7"/>
  <c r="Q143" i="7"/>
  <c r="R58" i="7"/>
  <c r="Q218" i="7"/>
  <c r="M210" i="7"/>
  <c r="N214" i="7"/>
  <c r="U46" i="8"/>
  <c r="U34" i="8"/>
  <c r="U8" i="7"/>
  <c r="K9" i="7"/>
  <c r="U98" i="7"/>
  <c r="K99" i="7"/>
  <c r="W206" i="8"/>
  <c r="W301" i="8"/>
  <c r="M49" i="7"/>
  <c r="N54" i="7"/>
  <c r="AU10" i="7"/>
  <c r="AT10" i="7"/>
  <c r="N139" i="7"/>
  <c r="M135" i="7"/>
  <c r="K13" i="7"/>
  <c r="J103" i="7"/>
  <c r="J12" i="7"/>
  <c r="AU100" i="7"/>
  <c r="AT100" i="7"/>
  <c r="U173" i="7"/>
  <c r="K174" i="7"/>
  <c r="BW51" i="8"/>
  <c r="BW494" i="8"/>
  <c r="BW465" i="8"/>
  <c r="BW416" i="8"/>
  <c r="BW482" i="8"/>
  <c r="BW425" i="8"/>
  <c r="BW422" i="8" s="1"/>
  <c r="BW453" i="8"/>
  <c r="BW471" i="8"/>
  <c r="BW459" i="8"/>
  <c r="BW488" i="8"/>
  <c r="L50" i="7"/>
  <c r="L8" i="7"/>
  <c r="U29" i="8"/>
  <c r="U577" i="8"/>
  <c r="U659" i="8"/>
  <c r="U590" i="8"/>
  <c r="U569" i="8"/>
  <c r="CG305" i="8"/>
  <c r="J34" i="4" s="1"/>
  <c r="U573" i="8"/>
  <c r="U224" i="8"/>
  <c r="U493" i="8"/>
  <c r="U232" i="8"/>
  <c r="U643" i="8"/>
  <c r="U624" i="8"/>
  <c r="U616" i="8"/>
  <c r="L136" i="7"/>
  <c r="L98" i="7"/>
  <c r="L99" i="7" s="1"/>
  <c r="V27" i="8"/>
  <c r="V305" i="8"/>
  <c r="T673" i="8"/>
  <c r="U673" i="8" s="1"/>
  <c r="V673" i="8" s="1"/>
  <c r="W673" i="8" s="1"/>
  <c r="X673" i="8" s="1"/>
  <c r="Y673" i="8" s="1"/>
  <c r="Z673" i="8" s="1"/>
  <c r="AA673" i="8" s="1"/>
  <c r="AB673" i="8" s="1"/>
  <c r="AC673" i="8" s="1"/>
  <c r="AD673" i="8" s="1"/>
  <c r="T725" i="8"/>
  <c r="U725" i="8" s="1"/>
  <c r="V725" i="8" s="1"/>
  <c r="W725" i="8" s="1"/>
  <c r="X725" i="8" s="1"/>
  <c r="Y725" i="8" s="1"/>
  <c r="Z725" i="8" s="1"/>
  <c r="AA725" i="8" s="1"/>
  <c r="AB725" i="8" s="1"/>
  <c r="AC725" i="8" s="1"/>
  <c r="AD725" i="8" s="1"/>
  <c r="T669" i="8"/>
  <c r="U669" i="8" s="1"/>
  <c r="V669" i="8" s="1"/>
  <c r="W669" i="8" s="1"/>
  <c r="X669" i="8" s="1"/>
  <c r="Y669" i="8" s="1"/>
  <c r="Z669" i="8" s="1"/>
  <c r="AA669" i="8" s="1"/>
  <c r="AB669" i="8" s="1"/>
  <c r="AC669" i="8" s="1"/>
  <c r="AD669" i="8" s="1"/>
  <c r="T649" i="8"/>
  <c r="T653" i="8"/>
  <c r="T665" i="8"/>
  <c r="BX227" i="8"/>
  <c r="BX228" i="8" s="1"/>
  <c r="BY227" i="8"/>
  <c r="BY228" i="8" s="1"/>
  <c r="BY502" i="8"/>
  <c r="BY318" i="8" s="1"/>
  <c r="BY56" i="8"/>
  <c r="BY57" i="8" s="1"/>
  <c r="BX56" i="8"/>
  <c r="CB57" i="8" s="1"/>
  <c r="BZ56" i="8"/>
  <c r="BZ227" i="8"/>
  <c r="BZ228" i="8" s="1"/>
  <c r="BX502" i="8"/>
  <c r="BX318" i="8" s="1"/>
  <c r="BZ496" i="8"/>
  <c r="BZ317" i="8" s="1"/>
  <c r="BZ502" i="8"/>
  <c r="BZ318" i="8" s="1"/>
  <c r="BX496" i="8"/>
  <c r="BX317" i="8" s="1"/>
  <c r="AV184" i="7"/>
  <c r="BW46" i="8"/>
  <c r="AV229" i="7"/>
  <c r="AV232" i="7" s="1"/>
  <c r="AV234" i="7"/>
  <c r="AV183" i="7"/>
  <c r="AW109" i="7"/>
  <c r="AW108" i="7"/>
  <c r="CC227" i="8"/>
  <c r="CD56" i="8"/>
  <c r="AW155" i="7"/>
  <c r="CC56" i="8"/>
  <c r="CC496" i="8"/>
  <c r="CC317" i="8" s="1"/>
  <c r="CD496" i="8"/>
  <c r="CD317" i="8" s="1"/>
  <c r="CD227" i="8"/>
  <c r="CE193" i="8"/>
  <c r="CE162" i="8"/>
  <c r="BW192" i="8"/>
  <c r="BW29" i="8"/>
  <c r="BW38" i="8" s="1"/>
  <c r="BX424" i="8"/>
  <c r="BS618" i="8"/>
  <c r="BW224" i="8"/>
  <c r="BS626" i="8"/>
  <c r="BW307" i="8"/>
  <c r="BW232" i="8"/>
  <c r="BW183" i="8"/>
  <c r="BW181" i="8"/>
  <c r="T177" i="8"/>
  <c r="T172" i="8" s="1"/>
  <c r="U172" i="8" s="1"/>
  <c r="CD41" i="8"/>
  <c r="AR162" i="7"/>
  <c r="AR163" i="7" s="1"/>
  <c r="AW236" i="7"/>
  <c r="AW237" i="7" s="1"/>
  <c r="AU158" i="7"/>
  <c r="AU162" i="7" s="1"/>
  <c r="AU163" i="7" s="1"/>
  <c r="AU73" i="7"/>
  <c r="AU236" i="7"/>
  <c r="AU237" i="7" s="1"/>
  <c r="CC41" i="8"/>
  <c r="BY41" i="8"/>
  <c r="AX119" i="7"/>
  <c r="AX113" i="7"/>
  <c r="AX112" i="7"/>
  <c r="AV160" i="7"/>
  <c r="AV155" i="7"/>
  <c r="AV109" i="7"/>
  <c r="AV108" i="7"/>
  <c r="AX194" i="7"/>
  <c r="AX188" i="7"/>
  <c r="AX187" i="7"/>
  <c r="N199" i="7"/>
  <c r="AX198" i="7"/>
  <c r="N124" i="7"/>
  <c r="AX98" i="7"/>
  <c r="AX31" i="7"/>
  <c r="AX24" i="7"/>
  <c r="AX23" i="7"/>
  <c r="N36" i="7"/>
  <c r="W201" i="8"/>
  <c r="AS162" i="7"/>
  <c r="AS163" i="7" s="1"/>
  <c r="Z222" i="8"/>
  <c r="Z303" i="8"/>
  <c r="CB478" i="8"/>
  <c r="CB449" i="8"/>
  <c r="CB439" i="8"/>
  <c r="CB461" i="8"/>
  <c r="CB382" i="8"/>
  <c r="CB308" i="8"/>
  <c r="Z137" i="8"/>
  <c r="Z144" i="8"/>
  <c r="Z66" i="8"/>
  <c r="Z114" i="8"/>
  <c r="Z122" i="8" s="1"/>
  <c r="Z61" i="8"/>
  <c r="Z302" i="8"/>
  <c r="Z218" i="8"/>
  <c r="Z77" i="8"/>
  <c r="Z8" i="8" s="1"/>
  <c r="Z70" i="8"/>
  <c r="Z200" i="8"/>
  <c r="Z133" i="8"/>
  <c r="CD449" i="8"/>
  <c r="CD439" i="8"/>
  <c r="CD461" i="8"/>
  <c r="CD478" i="8"/>
  <c r="P64" i="7"/>
  <c r="W33" i="8"/>
  <c r="W45" i="8"/>
  <c r="W123" i="8"/>
  <c r="W117" i="8"/>
  <c r="W120" i="8"/>
  <c r="W115" i="8"/>
  <c r="N112" i="7"/>
  <c r="O198" i="7"/>
  <c r="O199" i="7" s="1"/>
  <c r="P202" i="7"/>
  <c r="X25" i="8"/>
  <c r="X112" i="8"/>
  <c r="X113" i="8"/>
  <c r="X121" i="8" s="1"/>
  <c r="T739" i="8"/>
  <c r="T615" i="8"/>
  <c r="O111" i="7"/>
  <c r="P115" i="7"/>
  <c r="X82" i="8"/>
  <c r="X116" i="8"/>
  <c r="T309" i="8"/>
  <c r="Y9" i="8"/>
  <c r="Y145" i="8"/>
  <c r="Y148" i="8"/>
  <c r="Y299" i="8"/>
  <c r="Y62" i="8"/>
  <c r="Y8" i="8"/>
  <c r="Y81" i="8"/>
  <c r="Y78" i="8"/>
  <c r="AQ73" i="7"/>
  <c r="BD816" i="8"/>
  <c r="BE810" i="8"/>
  <c r="BE815" i="8" s="1"/>
  <c r="P45" i="7"/>
  <c r="O22" i="7"/>
  <c r="P27" i="7"/>
  <c r="X26" i="8"/>
  <c r="X199" i="8"/>
  <c r="X202" i="8"/>
  <c r="X149" i="8"/>
  <c r="N187" i="7"/>
  <c r="W44" i="8"/>
  <c r="W32" i="8"/>
  <c r="P60" i="7"/>
  <c r="P31" i="7"/>
  <c r="AS73" i="7"/>
  <c r="AR73" i="7"/>
  <c r="P40" i="7"/>
  <c r="P127" i="7"/>
  <c r="O123" i="7"/>
  <c r="O124" i="7" s="1"/>
  <c r="N23" i="7"/>
  <c r="X15" i="8"/>
  <c r="P190" i="7"/>
  <c r="O186" i="7"/>
  <c r="X14" i="8"/>
  <c r="Y300" i="8"/>
  <c r="Y129" i="8"/>
  <c r="AR236" i="7"/>
  <c r="AR237" i="7" s="1"/>
  <c r="BZ41" i="8"/>
  <c r="BX41" i="8"/>
  <c r="AQ236" i="7"/>
  <c r="AQ237" i="7" s="1"/>
  <c r="AS236" i="7"/>
  <c r="AS237" i="7" s="1"/>
  <c r="BZ382" i="8"/>
  <c r="BZ308" i="8"/>
  <c r="BZ383" i="8"/>
  <c r="BX461" i="8"/>
  <c r="BX449" i="8"/>
  <c r="BX439" i="8"/>
  <c r="BX478" i="8"/>
  <c r="BX444" i="8"/>
  <c r="BZ449" i="8"/>
  <c r="BZ478" i="8"/>
  <c r="BZ440" i="8"/>
  <c r="BZ439" i="8"/>
  <c r="BZ461" i="8"/>
  <c r="BZ441" i="8"/>
  <c r="BZ444" i="8"/>
  <c r="BY449" i="8"/>
  <c r="BY461" i="8"/>
  <c r="BY439" i="8"/>
  <c r="BY478" i="8"/>
  <c r="BY441" i="8"/>
  <c r="BY440" i="8"/>
  <c r="BY444" i="8"/>
  <c r="BY382" i="8"/>
  <c r="BY383" i="8"/>
  <c r="BY308" i="8"/>
  <c r="BX308" i="8"/>
  <c r="BX382" i="8"/>
  <c r="BX383" i="8"/>
  <c r="W158" i="8"/>
  <c r="W163" i="8" s="1"/>
  <c r="X154" i="8"/>
  <c r="AQ158" i="7"/>
  <c r="AQ162" i="7" s="1"/>
  <c r="AQ163" i="7" s="1"/>
  <c r="BX361" i="8"/>
  <c r="BX362" i="8"/>
  <c r="CA116" i="8"/>
  <c r="CA8" i="8"/>
  <c r="CA83" i="8"/>
  <c r="V162" i="8"/>
  <c r="V193" i="8"/>
  <c r="CA199" i="8"/>
  <c r="CA26" i="8"/>
  <c r="CA176" i="8"/>
  <c r="CA177" i="8"/>
  <c r="CA182" i="8" s="1"/>
  <c r="CA178" i="8"/>
  <c r="CA183" i="8" s="1"/>
  <c r="T183" i="8"/>
  <c r="T173" i="8"/>
  <c r="BX360" i="8"/>
  <c r="CA112" i="8"/>
  <c r="CA25" i="8"/>
  <c r="CA113" i="8"/>
  <c r="CA121" i="8" s="1"/>
  <c r="W155" i="8"/>
  <c r="W159" i="8" s="1"/>
  <c r="W164" i="8" s="1"/>
  <c r="X153" i="8"/>
  <c r="W157" i="8"/>
  <c r="T181" i="8"/>
  <c r="T192" i="8"/>
  <c r="T171" i="8"/>
  <c r="U171" i="8" s="1"/>
  <c r="AA65" i="8"/>
  <c r="Y209" i="8"/>
  <c r="AA221" i="8"/>
  <c r="CD381" i="8"/>
  <c r="AB213" i="8"/>
  <c r="CC438" i="8"/>
  <c r="CC381" i="8"/>
  <c r="AA69" i="8"/>
  <c r="AA132" i="8"/>
  <c r="W51" i="8"/>
  <c r="AA136" i="8"/>
  <c r="AA217" i="8"/>
  <c r="CE69" i="8"/>
  <c r="CB41" i="8" l="1"/>
  <c r="AB214" i="8"/>
  <c r="AA128" i="8"/>
  <c r="P35" i="7"/>
  <c r="P36" i="7" s="1"/>
  <c r="W17" i="8"/>
  <c r="W21" i="8"/>
  <c r="W22" i="8"/>
  <c r="X11" i="8"/>
  <c r="X21" i="8" s="1"/>
  <c r="W52" i="8"/>
  <c r="Y210" i="8"/>
  <c r="Y10" i="8"/>
  <c r="Y16" i="8" s="1"/>
  <c r="Y205" i="8"/>
  <c r="V46" i="8"/>
  <c r="V34" i="8"/>
  <c r="U578" i="8"/>
  <c r="U530" i="8"/>
  <c r="U751" i="8" s="1"/>
  <c r="BW423" i="8"/>
  <c r="BW424" i="8"/>
  <c r="J178" i="7"/>
  <c r="J177" i="7" s="1"/>
  <c r="J102" i="7"/>
  <c r="M50" i="7"/>
  <c r="M8" i="7"/>
  <c r="U622" i="8"/>
  <c r="U766" i="8"/>
  <c r="U316" i="8"/>
  <c r="CA493" i="8"/>
  <c r="CA316" i="8" s="1"/>
  <c r="U526" i="8"/>
  <c r="U570" i="8"/>
  <c r="U40" i="8"/>
  <c r="U39" i="8"/>
  <c r="U38" i="8"/>
  <c r="U35" i="8"/>
  <c r="BW52" i="8"/>
  <c r="BW53" i="8"/>
  <c r="BW54" i="8"/>
  <c r="AP98" i="7"/>
  <c r="AP8" i="7"/>
  <c r="AP173" i="7"/>
  <c r="BT54" i="8"/>
  <c r="BV54" i="8"/>
  <c r="BU54" i="8"/>
  <c r="BX53" i="8"/>
  <c r="K103" i="7"/>
  <c r="L13" i="7"/>
  <c r="K12" i="7"/>
  <c r="W27" i="8"/>
  <c r="W305" i="8"/>
  <c r="S58" i="7"/>
  <c r="R143" i="7"/>
  <c r="R218" i="7"/>
  <c r="I158" i="7"/>
  <c r="I232" i="7"/>
  <c r="I73" i="7"/>
  <c r="BW56" i="8"/>
  <c r="BX58" i="8" s="1"/>
  <c r="BW384" i="8"/>
  <c r="BW503" i="8"/>
  <c r="BW497" i="8"/>
  <c r="AP182" i="7"/>
  <c r="U591" i="8"/>
  <c r="U533" i="8"/>
  <c r="L9" i="7"/>
  <c r="M136" i="7"/>
  <c r="M98" i="7"/>
  <c r="M99" i="7" s="1"/>
  <c r="AX214" i="7"/>
  <c r="O214" i="7"/>
  <c r="N210" i="7"/>
  <c r="CA52" i="8"/>
  <c r="X301" i="8"/>
  <c r="X206" i="8"/>
  <c r="V29" i="8"/>
  <c r="V624" i="8"/>
  <c r="V232" i="8"/>
  <c r="V577" i="8"/>
  <c r="V643" i="8"/>
  <c r="V659" i="8"/>
  <c r="V493" i="8"/>
  <c r="V573" i="8"/>
  <c r="V224" i="8"/>
  <c r="V569" i="8"/>
  <c r="V590" i="8"/>
  <c r="V616" i="8"/>
  <c r="U614" i="8"/>
  <c r="U764" i="8"/>
  <c r="G11" i="4"/>
  <c r="U536" i="8"/>
  <c r="U644" i="8"/>
  <c r="U528" i="8"/>
  <c r="U574" i="8"/>
  <c r="U547" i="8"/>
  <c r="U660" i="8"/>
  <c r="J17" i="7"/>
  <c r="AT12" i="7"/>
  <c r="J14" i="7"/>
  <c r="O139" i="7"/>
  <c r="N135" i="7"/>
  <c r="N49" i="7"/>
  <c r="O54" i="7"/>
  <c r="M211" i="7"/>
  <c r="M173" i="7"/>
  <c r="M174" i="7" s="1"/>
  <c r="CB207" i="8"/>
  <c r="CA206" i="8"/>
  <c r="CA207" i="8"/>
  <c r="CA301" i="8"/>
  <c r="BW227" i="8"/>
  <c r="BW228" i="8" s="1"/>
  <c r="CD57" i="8"/>
  <c r="CC57" i="8"/>
  <c r="CB228" i="8"/>
  <c r="CC228" i="8"/>
  <c r="BY58" i="8"/>
  <c r="BX57" i="8"/>
  <c r="BZ58" i="8"/>
  <c r="BZ57" i="8"/>
  <c r="CD228" i="8"/>
  <c r="AV236" i="7"/>
  <c r="AV237" i="7" s="1"/>
  <c r="CD58" i="8"/>
  <c r="CC58" i="8"/>
  <c r="CD382" i="8"/>
  <c r="CD308" i="8"/>
  <c r="CD384" i="8" s="1"/>
  <c r="AW158" i="7"/>
  <c r="AW162" i="7" s="1"/>
  <c r="AW163" i="7" s="1"/>
  <c r="CD383" i="8"/>
  <c r="CC382" i="8"/>
  <c r="CC308" i="8"/>
  <c r="CC309" i="8" s="1"/>
  <c r="CC383" i="8"/>
  <c r="CC478" i="8"/>
  <c r="CC480" i="8" s="1"/>
  <c r="CD441" i="8"/>
  <c r="CC441" i="8"/>
  <c r="CD440" i="8"/>
  <c r="CC461" i="8"/>
  <c r="CC465" i="8" s="1"/>
  <c r="CC440" i="8"/>
  <c r="CC449" i="8"/>
  <c r="CC439" i="8"/>
  <c r="AV158" i="7"/>
  <c r="AV162" i="7" s="1"/>
  <c r="AV163" i="7" s="1"/>
  <c r="BW40" i="8"/>
  <c r="BW35" i="8"/>
  <c r="BW39" i="8"/>
  <c r="BW738" i="8"/>
  <c r="T182" i="8"/>
  <c r="CE61" i="8"/>
  <c r="CE77" i="8"/>
  <c r="CE71" i="8"/>
  <c r="CE70" i="8"/>
  <c r="AX99" i="7"/>
  <c r="AX100" i="7"/>
  <c r="AX37" i="7"/>
  <c r="AX36" i="7"/>
  <c r="AX45" i="7"/>
  <c r="AX206" i="7"/>
  <c r="AX200" i="7"/>
  <c r="AX199" i="7"/>
  <c r="AX33" i="7"/>
  <c r="AX32" i="7"/>
  <c r="AX196" i="7"/>
  <c r="AX195" i="7"/>
  <c r="AX121" i="7"/>
  <c r="AX120" i="7"/>
  <c r="AX58" i="7"/>
  <c r="AX51" i="7"/>
  <c r="AX50" i="7"/>
  <c r="AX8" i="7"/>
  <c r="AX131" i="7"/>
  <c r="AX125" i="7"/>
  <c r="AX124" i="7"/>
  <c r="AX143" i="7"/>
  <c r="AX137" i="7"/>
  <c r="AX136" i="7"/>
  <c r="BW309" i="8"/>
  <c r="AP232" i="7" s="1"/>
  <c r="X201" i="8"/>
  <c r="AA144" i="8"/>
  <c r="AA137" i="8"/>
  <c r="AA222" i="8"/>
  <c r="AA303" i="8"/>
  <c r="AA218" i="8"/>
  <c r="AA302" i="8"/>
  <c r="AA133" i="8"/>
  <c r="AA200" i="8"/>
  <c r="AA77" i="8"/>
  <c r="AA70" i="8"/>
  <c r="AA114" i="8"/>
  <c r="AA122" i="8" s="1"/>
  <c r="AA61" i="8"/>
  <c r="AA66" i="8"/>
  <c r="Y199" i="8"/>
  <c r="Y26" i="8"/>
  <c r="O23" i="7"/>
  <c r="Y112" i="8"/>
  <c r="Y25" i="8"/>
  <c r="Y113" i="8"/>
  <c r="Y121" i="8" s="1"/>
  <c r="T353" i="8"/>
  <c r="T760" i="8"/>
  <c r="X123" i="8"/>
  <c r="X117" i="8"/>
  <c r="Z129" i="8"/>
  <c r="Z300" i="8"/>
  <c r="Q45" i="7"/>
  <c r="Y149" i="8"/>
  <c r="Y202" i="8"/>
  <c r="T613" i="8"/>
  <c r="X120" i="8"/>
  <c r="X115" i="8"/>
  <c r="CD465" i="8"/>
  <c r="CD462" i="8"/>
  <c r="CD311" i="8"/>
  <c r="O187" i="7"/>
  <c r="T313" i="8"/>
  <c r="X45" i="8"/>
  <c r="X33" i="8"/>
  <c r="Y14" i="8"/>
  <c r="T759" i="8"/>
  <c r="P111" i="7"/>
  <c r="Q115" i="7"/>
  <c r="Q64" i="7"/>
  <c r="CD453" i="8"/>
  <c r="CD450" i="8"/>
  <c r="CD310" i="8"/>
  <c r="Z78" i="8"/>
  <c r="Z81" i="8"/>
  <c r="Z62" i="8"/>
  <c r="Z299" i="8"/>
  <c r="Q127" i="7"/>
  <c r="P123" i="7"/>
  <c r="P124" i="7" s="1"/>
  <c r="Q60" i="7"/>
  <c r="P198" i="7"/>
  <c r="P199" i="7" s="1"/>
  <c r="Q202" i="7"/>
  <c r="CD482" i="8"/>
  <c r="CD479" i="8"/>
  <c r="CD312" i="8"/>
  <c r="CB453" i="8"/>
  <c r="CB450" i="8"/>
  <c r="CB310" i="8"/>
  <c r="BF810" i="8"/>
  <c r="BF815" i="8" s="1"/>
  <c r="BE816" i="8"/>
  <c r="Y116" i="8"/>
  <c r="Y82" i="8"/>
  <c r="Z14" i="8"/>
  <c r="Z9" i="8"/>
  <c r="Z148" i="8"/>
  <c r="Z145" i="8"/>
  <c r="CB482" i="8"/>
  <c r="CB479" i="8"/>
  <c r="CB312" i="8"/>
  <c r="Q190" i="7"/>
  <c r="P186" i="7"/>
  <c r="Q40" i="7"/>
  <c r="Q31" i="7"/>
  <c r="P22" i="7"/>
  <c r="Q27" i="7"/>
  <c r="Y15" i="8"/>
  <c r="O112" i="7"/>
  <c r="X44" i="8"/>
  <c r="X32" i="8"/>
  <c r="CB384" i="8"/>
  <c r="CB309" i="8"/>
  <c r="CB465" i="8"/>
  <c r="CB462" i="8"/>
  <c r="CB311" i="8"/>
  <c r="X157" i="8"/>
  <c r="X155" i="8"/>
  <c r="X159" i="8" s="1"/>
  <c r="X164" i="8" s="1"/>
  <c r="Y153" i="8"/>
  <c r="CA32" i="8"/>
  <c r="CA44" i="8"/>
  <c r="CA117" i="8"/>
  <c r="U177" i="8"/>
  <c r="U182" i="8" s="1"/>
  <c r="V172" i="8"/>
  <c r="Y154" i="8"/>
  <c r="X158" i="8"/>
  <c r="X163" i="8" s="1"/>
  <c r="BY384" i="8"/>
  <c r="BY309" i="8"/>
  <c r="BY312" i="8"/>
  <c r="BY480" i="8"/>
  <c r="BY481" i="8"/>
  <c r="BY479" i="8"/>
  <c r="BY482" i="8"/>
  <c r="BY485" i="8"/>
  <c r="BY464" i="8"/>
  <c r="BY462" i="8"/>
  <c r="BY311" i="8"/>
  <c r="BY463" i="8"/>
  <c r="BY465" i="8"/>
  <c r="BY468" i="8"/>
  <c r="BZ447" i="8"/>
  <c r="BZ445" i="8"/>
  <c r="BZ446" i="8"/>
  <c r="BZ311" i="8"/>
  <c r="BZ463" i="8"/>
  <c r="BZ464" i="8"/>
  <c r="BZ462" i="8"/>
  <c r="BZ465" i="8"/>
  <c r="BZ468" i="8"/>
  <c r="BZ450" i="8"/>
  <c r="BZ310" i="8"/>
  <c r="BZ451" i="8"/>
  <c r="BZ452" i="8"/>
  <c r="BZ453" i="8"/>
  <c r="BZ456" i="8"/>
  <c r="BX445" i="8"/>
  <c r="BX447" i="8"/>
  <c r="BX312" i="8"/>
  <c r="BX479" i="8"/>
  <c r="BX481" i="8"/>
  <c r="BX480" i="8"/>
  <c r="BX482" i="8"/>
  <c r="BX485" i="8"/>
  <c r="BX311" i="8"/>
  <c r="BX464" i="8"/>
  <c r="BX462" i="8"/>
  <c r="BX463" i="8"/>
  <c r="BX465" i="8"/>
  <c r="BX468" i="8"/>
  <c r="BZ384" i="8"/>
  <c r="BZ309" i="8"/>
  <c r="CA181" i="8"/>
  <c r="CA192" i="8"/>
  <c r="U176" i="8"/>
  <c r="V171" i="8"/>
  <c r="U173" i="8"/>
  <c r="U178" i="8" s="1"/>
  <c r="U183" i="8" s="1"/>
  <c r="W162" i="8"/>
  <c r="W193" i="8"/>
  <c r="CA115" i="8"/>
  <c r="CA120" i="8"/>
  <c r="CA33" i="8"/>
  <c r="BX384" i="8"/>
  <c r="BX309" i="8"/>
  <c r="BY445" i="8"/>
  <c r="BY446" i="8"/>
  <c r="BY447" i="8"/>
  <c r="BY310" i="8"/>
  <c r="BY452" i="8"/>
  <c r="BY451" i="8"/>
  <c r="BY450" i="8"/>
  <c r="BY453" i="8"/>
  <c r="BY456" i="8"/>
  <c r="BZ480" i="8"/>
  <c r="BZ479" i="8"/>
  <c r="BZ312" i="8"/>
  <c r="BZ481" i="8"/>
  <c r="BZ482" i="8"/>
  <c r="BZ485" i="8"/>
  <c r="BX310" i="8"/>
  <c r="BX450" i="8"/>
  <c r="BX452" i="8"/>
  <c r="BX451" i="8"/>
  <c r="BX453" i="8"/>
  <c r="BX456" i="8"/>
  <c r="X51" i="8"/>
  <c r="AB65" i="8"/>
  <c r="AB136" i="8"/>
  <c r="AC213" i="8"/>
  <c r="CE209" i="8"/>
  <c r="AB221" i="8"/>
  <c r="CE136" i="8"/>
  <c r="U415" i="8"/>
  <c r="AB69" i="8"/>
  <c r="AB132" i="8"/>
  <c r="AB217" i="8"/>
  <c r="Z209" i="8"/>
  <c r="AC214" i="8" l="1"/>
  <c r="CE211" i="8"/>
  <c r="CE210" i="8"/>
  <c r="CE10" i="8"/>
  <c r="CE16" i="8" s="1"/>
  <c r="U416" i="8"/>
  <c r="U306" i="8"/>
  <c r="U307" i="8" s="1"/>
  <c r="AB128" i="8"/>
  <c r="Q35" i="7"/>
  <c r="X17" i="8"/>
  <c r="X20" i="8"/>
  <c r="X22" i="8"/>
  <c r="Y11" i="8"/>
  <c r="Y20" i="8" s="1"/>
  <c r="X52" i="8"/>
  <c r="Z210" i="8"/>
  <c r="Z205" i="8"/>
  <c r="Z10" i="8"/>
  <c r="Z16" i="8" s="1"/>
  <c r="O135" i="7"/>
  <c r="P139" i="7"/>
  <c r="V614" i="8"/>
  <c r="U617" i="8"/>
  <c r="V660" i="8"/>
  <c r="V547" i="8"/>
  <c r="X27" i="8"/>
  <c r="X305" i="8"/>
  <c r="AX216" i="7"/>
  <c r="AX215" i="7"/>
  <c r="K14" i="7"/>
  <c r="K17" i="7"/>
  <c r="AX12" i="7"/>
  <c r="AX14" i="7" s="1"/>
  <c r="U12" i="7"/>
  <c r="AP17" i="7"/>
  <c r="AP13" i="7"/>
  <c r="AP9" i="7"/>
  <c r="AP10" i="7"/>
  <c r="AQ10" i="7"/>
  <c r="AT9" i="7"/>
  <c r="M9" i="7"/>
  <c r="Y206" i="8"/>
  <c r="Y301" i="8"/>
  <c r="T438" i="8"/>
  <c r="T442" i="8"/>
  <c r="T466" i="8"/>
  <c r="U466" i="8" s="1"/>
  <c r="T454" i="8"/>
  <c r="U454" i="8" s="1"/>
  <c r="T483" i="8"/>
  <c r="I234" i="7"/>
  <c r="I235" i="7" s="1"/>
  <c r="I160" i="7"/>
  <c r="I75" i="7"/>
  <c r="O49" i="7"/>
  <c r="P54" i="7"/>
  <c r="U758" i="8"/>
  <c r="H11" i="4"/>
  <c r="V764" i="8"/>
  <c r="V528" i="8"/>
  <c r="V574" i="8"/>
  <c r="V644" i="8"/>
  <c r="V536" i="8"/>
  <c r="V766" i="8"/>
  <c r="AP156" i="7"/>
  <c r="AP157" i="7" s="1"/>
  <c r="AP230" i="7"/>
  <c r="AP71" i="7"/>
  <c r="AP72" i="7" s="1"/>
  <c r="S143" i="7"/>
  <c r="S218" i="7"/>
  <c r="M13" i="7"/>
  <c r="L103" i="7"/>
  <c r="L12" i="7"/>
  <c r="AP107" i="7"/>
  <c r="AP103" i="7"/>
  <c r="AP99" i="7"/>
  <c r="AP100" i="7"/>
  <c r="AQ100" i="7"/>
  <c r="AT99" i="7"/>
  <c r="I157" i="7"/>
  <c r="I72" i="7"/>
  <c r="I231" i="7"/>
  <c r="CA27" i="8"/>
  <c r="CA305" i="8"/>
  <c r="N8" i="7"/>
  <c r="N50" i="7"/>
  <c r="AU15" i="7"/>
  <c r="AT14" i="7"/>
  <c r="AT17" i="7"/>
  <c r="AT13" i="7"/>
  <c r="AT15" i="7"/>
  <c r="V533" i="8"/>
  <c r="V591" i="8"/>
  <c r="CE493" i="8"/>
  <c r="V316" i="8"/>
  <c r="V530" i="8"/>
  <c r="V751" i="8" s="1"/>
  <c r="V578" i="8"/>
  <c r="V40" i="8"/>
  <c r="V35" i="8"/>
  <c r="V38" i="8"/>
  <c r="V39" i="8"/>
  <c r="V47" i="8"/>
  <c r="N173" i="7"/>
  <c r="N174" i="7" s="1"/>
  <c r="N211" i="7"/>
  <c r="AX210" i="7"/>
  <c r="AP184" i="7"/>
  <c r="AP183" i="7"/>
  <c r="AQ184" i="7"/>
  <c r="BW58" i="8"/>
  <c r="BW57" i="8"/>
  <c r="BW59" i="8"/>
  <c r="W569" i="8"/>
  <c r="W624" i="8"/>
  <c r="W766" i="8" s="1"/>
  <c r="W659" i="8"/>
  <c r="W577" i="8"/>
  <c r="W573" i="8"/>
  <c r="W493" i="8"/>
  <c r="W316" i="8" s="1"/>
  <c r="W643" i="8"/>
  <c r="W616" i="8"/>
  <c r="W29" i="8"/>
  <c r="W232" i="8"/>
  <c r="W590" i="8"/>
  <c r="W224" i="8"/>
  <c r="K178" i="7"/>
  <c r="K177" i="7" s="1"/>
  <c r="K102" i="7"/>
  <c r="J104" i="7"/>
  <c r="J107" i="7"/>
  <c r="AT102" i="7"/>
  <c r="N136" i="7"/>
  <c r="N98" i="7"/>
  <c r="N99" i="7" s="1"/>
  <c r="J75" i="7"/>
  <c r="J18" i="7"/>
  <c r="J70" i="7"/>
  <c r="J73" i="7" s="1"/>
  <c r="U821" i="8"/>
  <c r="U749" i="8"/>
  <c r="V570" i="8"/>
  <c r="V526" i="8"/>
  <c r="O210" i="7"/>
  <c r="P214" i="7"/>
  <c r="W46" i="8"/>
  <c r="W34" i="8"/>
  <c r="AP175" i="7"/>
  <c r="AP174" i="7"/>
  <c r="AP178" i="7"/>
  <c r="AQ175" i="7"/>
  <c r="AT174" i="7"/>
  <c r="U41" i="8"/>
  <c r="V622" i="8"/>
  <c r="U621" i="8"/>
  <c r="U538" i="8" s="1"/>
  <c r="U627" i="8"/>
  <c r="J182" i="7"/>
  <c r="AT177" i="7"/>
  <c r="J179" i="7"/>
  <c r="T315" i="8"/>
  <c r="CC464" i="8"/>
  <c r="CC479" i="8"/>
  <c r="CC311" i="8"/>
  <c r="CD480" i="8"/>
  <c r="CC384" i="8"/>
  <c r="CD309" i="8"/>
  <c r="CD353" i="8" s="1"/>
  <c r="CC452" i="8"/>
  <c r="CD451" i="8"/>
  <c r="CC451" i="8"/>
  <c r="CC310" i="8"/>
  <c r="CC453" i="8"/>
  <c r="CD452" i="8"/>
  <c r="CC450" i="8"/>
  <c r="CC462" i="8"/>
  <c r="CC481" i="8"/>
  <c r="CD463" i="8"/>
  <c r="CC463" i="8"/>
  <c r="CC312" i="8"/>
  <c r="CC482" i="8"/>
  <c r="CD464" i="8"/>
  <c r="CD481" i="8"/>
  <c r="BW41" i="8"/>
  <c r="T738" i="8"/>
  <c r="BV59" i="8"/>
  <c r="BT59" i="8"/>
  <c r="BU59" i="8"/>
  <c r="CE137" i="8"/>
  <c r="CE144" i="8"/>
  <c r="CE128" i="8"/>
  <c r="CE138" i="8"/>
  <c r="CE79" i="8"/>
  <c r="CE78" i="8"/>
  <c r="CE81" i="8"/>
  <c r="CE63" i="8"/>
  <c r="CE299" i="8"/>
  <c r="CE62" i="8"/>
  <c r="BW353" i="8"/>
  <c r="AX133" i="7"/>
  <c r="AX132" i="7"/>
  <c r="AX10" i="7"/>
  <c r="AX9" i="7"/>
  <c r="AX208" i="7"/>
  <c r="AX207" i="7"/>
  <c r="AX47" i="7"/>
  <c r="AX46" i="7"/>
  <c r="AB66" i="8"/>
  <c r="AB114" i="8"/>
  <c r="AB122" i="8" s="1"/>
  <c r="AB61" i="8"/>
  <c r="AB70" i="8"/>
  <c r="AB77" i="8"/>
  <c r="AB200" i="8"/>
  <c r="AB133" i="8"/>
  <c r="AB302" i="8"/>
  <c r="AB218" i="8"/>
  <c r="AB222" i="8"/>
  <c r="AB303" i="8"/>
  <c r="AB137" i="8"/>
  <c r="AB144" i="8"/>
  <c r="AB9" i="8" s="1"/>
  <c r="T319" i="8"/>
  <c r="T500" i="8" s="1"/>
  <c r="T354" i="8"/>
  <c r="Q22" i="7"/>
  <c r="R27" i="7"/>
  <c r="BW313" i="8"/>
  <c r="BF816" i="8"/>
  <c r="BG810" i="8"/>
  <c r="BG815" i="8" s="1"/>
  <c r="Z26" i="8"/>
  <c r="Z199" i="8"/>
  <c r="Y120" i="8"/>
  <c r="Y115" i="8"/>
  <c r="CB353" i="8"/>
  <c r="P23" i="7"/>
  <c r="P187" i="7"/>
  <c r="Z202" i="8"/>
  <c r="Z149" i="8"/>
  <c r="CD313" i="8"/>
  <c r="CD442" i="8" s="1"/>
  <c r="Y33" i="8"/>
  <c r="Y45" i="8"/>
  <c r="AA299" i="8"/>
  <c r="AA62" i="8"/>
  <c r="Z113" i="8"/>
  <c r="Z121" i="8" s="1"/>
  <c r="Z25" i="8"/>
  <c r="Z112" i="8"/>
  <c r="AA81" i="8"/>
  <c r="AA78" i="8"/>
  <c r="R31" i="7"/>
  <c r="R40" i="7"/>
  <c r="Q36" i="7"/>
  <c r="R190" i="7"/>
  <c r="Q186" i="7"/>
  <c r="Z15" i="8"/>
  <c r="Y123" i="8"/>
  <c r="Y117" i="8"/>
  <c r="R202" i="7"/>
  <c r="Q198" i="7"/>
  <c r="Q199" i="7" s="1"/>
  <c r="R60" i="7"/>
  <c r="Z116" i="8"/>
  <c r="Z82" i="8"/>
  <c r="R115" i="7"/>
  <c r="Q111" i="7"/>
  <c r="T820" i="8"/>
  <c r="Y32" i="8"/>
  <c r="Y44" i="8"/>
  <c r="Y201" i="8"/>
  <c r="AA9" i="8"/>
  <c r="AA145" i="8"/>
  <c r="AA148" i="8"/>
  <c r="Q123" i="7"/>
  <c r="Q124" i="7" s="1"/>
  <c r="R127" i="7"/>
  <c r="CC353" i="8"/>
  <c r="CB313" i="8"/>
  <c r="CB442" i="8" s="1"/>
  <c r="R64" i="7"/>
  <c r="P112" i="7"/>
  <c r="T754" i="8"/>
  <c r="R45" i="7"/>
  <c r="AA8" i="8"/>
  <c r="AA129" i="8"/>
  <c r="AA300" i="8"/>
  <c r="BY313" i="8"/>
  <c r="BY442" i="8" s="1"/>
  <c r="BX313" i="8"/>
  <c r="BX442" i="8" s="1"/>
  <c r="BX353" i="8"/>
  <c r="U181" i="8"/>
  <c r="U192" i="8"/>
  <c r="BX469" i="8"/>
  <c r="BX471" i="8"/>
  <c r="BZ458" i="8"/>
  <c r="BZ457" i="8"/>
  <c r="BZ459" i="8"/>
  <c r="BZ313" i="8"/>
  <c r="BZ442" i="8" s="1"/>
  <c r="BZ471" i="8"/>
  <c r="BZ470" i="8"/>
  <c r="BZ469" i="8"/>
  <c r="Y158" i="8"/>
  <c r="Y163" i="8" s="1"/>
  <c r="Z154" i="8"/>
  <c r="Z153" i="8"/>
  <c r="Y157" i="8"/>
  <c r="Y155" i="8"/>
  <c r="Y159" i="8" s="1"/>
  <c r="Y164" i="8" s="1"/>
  <c r="X162" i="8"/>
  <c r="X193" i="8"/>
  <c r="BX457" i="8"/>
  <c r="BX458" i="8"/>
  <c r="BX459" i="8"/>
  <c r="BZ488" i="8"/>
  <c r="BZ487" i="8"/>
  <c r="BZ486" i="8"/>
  <c r="BY458" i="8"/>
  <c r="BY457" i="8"/>
  <c r="BY459" i="8"/>
  <c r="V176" i="8"/>
  <c r="V173" i="8"/>
  <c r="V178" i="8" s="1"/>
  <c r="V183" i="8" s="1"/>
  <c r="W171" i="8"/>
  <c r="BZ353" i="8"/>
  <c r="BX486" i="8"/>
  <c r="BX488" i="8"/>
  <c r="BY469" i="8"/>
  <c r="BY470" i="8"/>
  <c r="BY471" i="8"/>
  <c r="BY487" i="8"/>
  <c r="BY488" i="8"/>
  <c r="BY486" i="8"/>
  <c r="BY353" i="8"/>
  <c r="V177" i="8"/>
  <c r="V182" i="8" s="1"/>
  <c r="W172" i="8"/>
  <c r="AC221" i="8"/>
  <c r="AC69" i="8"/>
  <c r="AC136" i="8"/>
  <c r="AC65" i="8"/>
  <c r="V415" i="8"/>
  <c r="AC132" i="8"/>
  <c r="Y51" i="8"/>
  <c r="CA415" i="8"/>
  <c r="AD213" i="8"/>
  <c r="AC217" i="8"/>
  <c r="AA209" i="8"/>
  <c r="V416" i="8" l="1"/>
  <c r="V306" i="8"/>
  <c r="V307" i="8" s="1"/>
  <c r="CA306" i="8"/>
  <c r="AD214" i="8"/>
  <c r="AX15" i="7"/>
  <c r="Y22" i="8"/>
  <c r="AX17" i="7"/>
  <c r="AX13" i="7"/>
  <c r="AC128" i="8"/>
  <c r="R35" i="7"/>
  <c r="R36" i="7" s="1"/>
  <c r="Y17" i="8"/>
  <c r="Y21" i="8"/>
  <c r="T490" i="8"/>
  <c r="Z11" i="8"/>
  <c r="Y52" i="8"/>
  <c r="AA210" i="8"/>
  <c r="AA10" i="8"/>
  <c r="AA16" i="8" s="1"/>
  <c r="AA205" i="8"/>
  <c r="AP231" i="7"/>
  <c r="I77" i="7"/>
  <c r="I236" i="7"/>
  <c r="I162" i="7"/>
  <c r="O211" i="7"/>
  <c r="O173" i="7"/>
  <c r="O174" i="7" s="1"/>
  <c r="U102" i="7"/>
  <c r="K104" i="7"/>
  <c r="K107" i="7"/>
  <c r="AX102" i="7"/>
  <c r="W547" i="8"/>
  <c r="W758" i="8" s="1"/>
  <c r="W660" i="8"/>
  <c r="L178" i="7"/>
  <c r="L177" i="7" s="1"/>
  <c r="L102" i="7"/>
  <c r="V749" i="8"/>
  <c r="V821" i="8"/>
  <c r="V466" i="8"/>
  <c r="O136" i="7"/>
  <c r="O98" i="7"/>
  <c r="O99" i="7" s="1"/>
  <c r="I237" i="7"/>
  <c r="I163" i="7"/>
  <c r="I78" i="7"/>
  <c r="AT75" i="7"/>
  <c r="AU105" i="7"/>
  <c r="AT105" i="7"/>
  <c r="AT104" i="7"/>
  <c r="AT103" i="7"/>
  <c r="AT107" i="7"/>
  <c r="U177" i="7"/>
  <c r="K182" i="7"/>
  <c r="K179" i="7"/>
  <c r="W40" i="8"/>
  <c r="W38" i="8"/>
  <c r="W39" i="8"/>
  <c r="W47" i="8"/>
  <c r="W35" i="8"/>
  <c r="AX173" i="7"/>
  <c r="AX218" i="7"/>
  <c r="AX212" i="7"/>
  <c r="AX211" i="7"/>
  <c r="AU19" i="7"/>
  <c r="AT19" i="7"/>
  <c r="AT18" i="7"/>
  <c r="N9" i="7"/>
  <c r="N13" i="7"/>
  <c r="M103" i="7"/>
  <c r="M12" i="7"/>
  <c r="Q54" i="7"/>
  <c r="P49" i="7"/>
  <c r="I161" i="7"/>
  <c r="I76" i="7"/>
  <c r="U17" i="7"/>
  <c r="K18" i="7"/>
  <c r="K75" i="7"/>
  <c r="K70" i="7"/>
  <c r="K73" i="7" s="1"/>
  <c r="X590" i="8"/>
  <c r="X493" i="8"/>
  <c r="X316" i="8" s="1"/>
  <c r="X232" i="8"/>
  <c r="X616" i="8"/>
  <c r="X643" i="8"/>
  <c r="X624" i="8"/>
  <c r="X766" i="8" s="1"/>
  <c r="X224" i="8"/>
  <c r="X659" i="8"/>
  <c r="X29" i="8"/>
  <c r="X569" i="8"/>
  <c r="X573" i="8"/>
  <c r="X577" i="8"/>
  <c r="U615" i="8"/>
  <c r="U739" i="8"/>
  <c r="AU180" i="7"/>
  <c r="AT179" i="7"/>
  <c r="AT180" i="7"/>
  <c r="AT178" i="7"/>
  <c r="AT182" i="7"/>
  <c r="V627" i="8"/>
  <c r="V621" i="8"/>
  <c r="V538" i="8" s="1"/>
  <c r="W622" i="8"/>
  <c r="J160" i="7"/>
  <c r="AT160" i="7" s="1"/>
  <c r="J155" i="7"/>
  <c r="J108" i="7"/>
  <c r="W764" i="8"/>
  <c r="I11" i="4"/>
  <c r="W574" i="8"/>
  <c r="W528" i="8"/>
  <c r="W526" i="8"/>
  <c r="W570" i="8"/>
  <c r="V41" i="8"/>
  <c r="CA29" i="8"/>
  <c r="CA494" i="8"/>
  <c r="CA232" i="8"/>
  <c r="CA307" i="8"/>
  <c r="CA224" i="8"/>
  <c r="CA422" i="8"/>
  <c r="AP158" i="7"/>
  <c r="AP109" i="7"/>
  <c r="AP108" i="7"/>
  <c r="AQ109" i="7"/>
  <c r="O50" i="7"/>
  <c r="O8" i="7"/>
  <c r="T439" i="8"/>
  <c r="T444" i="8"/>
  <c r="Y27" i="8"/>
  <c r="Y305" i="8"/>
  <c r="AP73" i="7"/>
  <c r="AP18" i="7"/>
  <c r="AP19" i="7"/>
  <c r="AQ19" i="7"/>
  <c r="X34" i="8"/>
  <c r="X46" i="8"/>
  <c r="V617" i="8"/>
  <c r="V739" i="8" s="1"/>
  <c r="W614" i="8"/>
  <c r="BW438" i="8"/>
  <c r="BW442" i="8"/>
  <c r="BW466" i="8"/>
  <c r="BW454" i="8"/>
  <c r="AP160" i="7"/>
  <c r="AP234" i="7"/>
  <c r="AP75" i="7"/>
  <c r="J234" i="7"/>
  <c r="J183" i="7"/>
  <c r="J229" i="7"/>
  <c r="Q214" i="7"/>
  <c r="P210" i="7"/>
  <c r="AT70" i="7"/>
  <c r="AT73" i="7" s="1"/>
  <c r="W533" i="8"/>
  <c r="W591" i="8"/>
  <c r="W644" i="8"/>
  <c r="W536" i="8"/>
  <c r="W578" i="8"/>
  <c r="W530" i="8"/>
  <c r="W751" i="8" s="1"/>
  <c r="CA34" i="8"/>
  <c r="CA46" i="8"/>
  <c r="L14" i="7"/>
  <c r="L17" i="7"/>
  <c r="T17" i="7" s="1"/>
  <c r="V454" i="8"/>
  <c r="U483" i="8"/>
  <c r="U502" i="8"/>
  <c r="U496" i="8"/>
  <c r="U207" i="8"/>
  <c r="U56" i="8"/>
  <c r="U57" i="8" s="1"/>
  <c r="V758" i="8"/>
  <c r="P135" i="7"/>
  <c r="Q139" i="7"/>
  <c r="CA416" i="8"/>
  <c r="Z301" i="8"/>
  <c r="Z206" i="8"/>
  <c r="BX487" i="8"/>
  <c r="CC313" i="8"/>
  <c r="CC442" i="8" s="1"/>
  <c r="BX470" i="8"/>
  <c r="T703" i="8"/>
  <c r="T712" i="8" s="1"/>
  <c r="U701" i="8" s="1"/>
  <c r="T364" i="8"/>
  <c r="T358" i="8"/>
  <c r="CE82" i="8"/>
  <c r="CE8" i="8"/>
  <c r="CE83" i="8"/>
  <c r="CE116" i="8"/>
  <c r="CE300" i="8"/>
  <c r="CE129" i="8"/>
  <c r="CE130" i="8"/>
  <c r="CE113" i="8"/>
  <c r="CE121" i="8" s="1"/>
  <c r="CE112" i="8"/>
  <c r="CE25" i="8"/>
  <c r="CE148" i="8"/>
  <c r="CE9" i="8"/>
  <c r="CE146" i="8"/>
  <c r="AX19" i="7"/>
  <c r="AX18" i="7"/>
  <c r="BX315" i="8"/>
  <c r="AC303" i="8"/>
  <c r="AC222" i="8"/>
  <c r="AC137" i="8"/>
  <c r="AC144" i="8"/>
  <c r="AC114" i="8"/>
  <c r="AC122" i="8" s="1"/>
  <c r="AC66" i="8"/>
  <c r="AC61" i="8"/>
  <c r="AC70" i="8"/>
  <c r="AC77" i="8"/>
  <c r="AC302" i="8"/>
  <c r="AC218" i="8"/>
  <c r="AC133" i="8"/>
  <c r="AC200" i="8"/>
  <c r="AB15" i="8"/>
  <c r="AA112" i="8"/>
  <c r="AA113" i="8"/>
  <c r="AA121" i="8" s="1"/>
  <c r="AA25" i="8"/>
  <c r="AA199" i="8"/>
  <c r="AA26" i="8"/>
  <c r="S64" i="7"/>
  <c r="AA149" i="8"/>
  <c r="AA202" i="8"/>
  <c r="S202" i="7"/>
  <c r="S198" i="7" s="1"/>
  <c r="R198" i="7"/>
  <c r="R199" i="7" s="1"/>
  <c r="S190" i="7"/>
  <c r="S186" i="7" s="1"/>
  <c r="R186" i="7"/>
  <c r="Z120" i="8"/>
  <c r="Z115" i="8"/>
  <c r="CB315" i="8"/>
  <c r="Z201" i="8"/>
  <c r="BH810" i="8"/>
  <c r="BH815" i="8" s="1"/>
  <c r="BG816" i="8"/>
  <c r="Q23" i="7"/>
  <c r="AB81" i="8"/>
  <c r="AB78" i="8"/>
  <c r="AB8" i="8"/>
  <c r="S45" i="7"/>
  <c r="R111" i="7"/>
  <c r="S115" i="7"/>
  <c r="S111" i="7" s="1"/>
  <c r="S27" i="7"/>
  <c r="R22" i="7"/>
  <c r="AB145" i="8"/>
  <c r="AB148" i="8"/>
  <c r="S127" i="7"/>
  <c r="S123" i="7" s="1"/>
  <c r="R123" i="7"/>
  <c r="R124" i="7" s="1"/>
  <c r="Z33" i="8"/>
  <c r="Z45" i="8"/>
  <c r="BW315" i="8"/>
  <c r="AB62" i="8"/>
  <c r="AB299" i="8"/>
  <c r="Q187" i="7"/>
  <c r="S31" i="7"/>
  <c r="AA14" i="8"/>
  <c r="AA15" i="8"/>
  <c r="Q112" i="7"/>
  <c r="Z117" i="8"/>
  <c r="Z123" i="8"/>
  <c r="S60" i="7"/>
  <c r="S40" i="7"/>
  <c r="AA82" i="8"/>
  <c r="AA116" i="8"/>
  <c r="CD315" i="8"/>
  <c r="Z44" i="8"/>
  <c r="Z32" i="8"/>
  <c r="AB129" i="8"/>
  <c r="AB300" i="8"/>
  <c r="BY315" i="8"/>
  <c r="BZ315" i="8"/>
  <c r="X172" i="8"/>
  <c r="W177" i="8"/>
  <c r="W182" i="8" s="1"/>
  <c r="W176" i="8"/>
  <c r="W173" i="8"/>
  <c r="W178" i="8" s="1"/>
  <c r="W183" i="8" s="1"/>
  <c r="X171" i="8"/>
  <c r="V181" i="8"/>
  <c r="V192" i="8"/>
  <c r="V195" i="8" s="1"/>
  <c r="V203" i="8" s="1"/>
  <c r="AA153" i="8"/>
  <c r="Z155" i="8"/>
  <c r="Z159" i="8" s="1"/>
  <c r="Z164" i="8" s="1"/>
  <c r="Z157" i="8"/>
  <c r="Y193" i="8"/>
  <c r="Y162" i="8"/>
  <c r="AA154" i="8"/>
  <c r="Z158" i="8"/>
  <c r="Z163" i="8" s="1"/>
  <c r="W415" i="8"/>
  <c r="CE213" i="8"/>
  <c r="AD132" i="8"/>
  <c r="AD65" i="8"/>
  <c r="U381" i="8"/>
  <c r="CE51" i="8"/>
  <c r="AD217" i="8"/>
  <c r="AD136" i="8"/>
  <c r="AD69" i="8"/>
  <c r="Z51" i="8"/>
  <c r="AB209" i="8"/>
  <c r="U438" i="8"/>
  <c r="AD221" i="8"/>
  <c r="S35" i="7" l="1"/>
  <c r="CE214" i="8"/>
  <c r="CE215" i="8"/>
  <c r="CE205" i="8"/>
  <c r="U308" i="8"/>
  <c r="U309" i="8" s="1"/>
  <c r="U382" i="8"/>
  <c r="CE53" i="8"/>
  <c r="CE54" i="8"/>
  <c r="CE52" i="8"/>
  <c r="U439" i="8"/>
  <c r="U449" i="8"/>
  <c r="U450" i="8" s="1"/>
  <c r="U461" i="8"/>
  <c r="U465" i="8" s="1"/>
  <c r="W306" i="8"/>
  <c r="W307" i="8" s="1"/>
  <c r="W416" i="8"/>
  <c r="AT234" i="7"/>
  <c r="AD128" i="8"/>
  <c r="BW483" i="8"/>
  <c r="BW490" i="8" s="1"/>
  <c r="AA11" i="8"/>
  <c r="AA21" i="8" s="1"/>
  <c r="Z22" i="8"/>
  <c r="Z20" i="8"/>
  <c r="Z21" i="8"/>
  <c r="Z17" i="8"/>
  <c r="Z52" i="8"/>
  <c r="AB210" i="8"/>
  <c r="AB10" i="8"/>
  <c r="AB16" i="8" s="1"/>
  <c r="AB205" i="8"/>
  <c r="AP77" i="7"/>
  <c r="AP162" i="7"/>
  <c r="P136" i="7"/>
  <c r="P98" i="7"/>
  <c r="P99" i="7" s="1"/>
  <c r="V483" i="8"/>
  <c r="W454" i="8"/>
  <c r="Q210" i="7"/>
  <c r="R214" i="7"/>
  <c r="X614" i="8"/>
  <c r="W617" i="8"/>
  <c r="W739" i="8" s="1"/>
  <c r="Y659" i="8"/>
  <c r="Y569" i="8"/>
  <c r="Y224" i="8"/>
  <c r="Y590" i="8"/>
  <c r="Y624" i="8"/>
  <c r="Y766" i="8" s="1"/>
  <c r="Y573" i="8"/>
  <c r="Y616" i="8"/>
  <c r="Y232" i="8"/>
  <c r="Y493" i="8"/>
  <c r="Y316" i="8" s="1"/>
  <c r="Y577" i="8"/>
  <c r="Y643" i="8"/>
  <c r="Y29" i="8"/>
  <c r="O9" i="7"/>
  <c r="CA227" i="8"/>
  <c r="CA228" i="8" s="1"/>
  <c r="CA56" i="8"/>
  <c r="W821" i="8"/>
  <c r="W749" i="8"/>
  <c r="X526" i="8"/>
  <c r="X570" i="8"/>
  <c r="Q49" i="7"/>
  <c r="R54" i="7"/>
  <c r="AX175" i="7"/>
  <c r="AX174" i="7"/>
  <c r="W41" i="8"/>
  <c r="U107" i="7"/>
  <c r="K160" i="7"/>
  <c r="K155" i="7"/>
  <c r="K158" i="7" s="1"/>
  <c r="K108" i="7"/>
  <c r="V207" i="8"/>
  <c r="V56" i="8"/>
  <c r="V57" i="8" s="1"/>
  <c r="V502" i="8"/>
  <c r="V496" i="8"/>
  <c r="Z27" i="8"/>
  <c r="Z305" i="8"/>
  <c r="L18" i="7"/>
  <c r="L75" i="7"/>
  <c r="L70" i="7"/>
  <c r="L73" i="7" s="1"/>
  <c r="J232" i="7"/>
  <c r="J236" i="7" s="1"/>
  <c r="J237" i="7" s="1"/>
  <c r="AT229" i="7"/>
  <c r="AP235" i="7"/>
  <c r="AP236" i="7"/>
  <c r="AP237" i="7" s="1"/>
  <c r="AP161" i="7"/>
  <c r="AP76" i="7"/>
  <c r="Y46" i="8"/>
  <c r="Y34" i="8"/>
  <c r="J158" i="7"/>
  <c r="J162" i="7" s="1"/>
  <c r="J163" i="7" s="1"/>
  <c r="AT155" i="7"/>
  <c r="AT158" i="7" s="1"/>
  <c r="AT162" i="7" s="1"/>
  <c r="AT163" i="7" s="1"/>
  <c r="V615" i="8"/>
  <c r="U613" i="8"/>
  <c r="X39" i="8"/>
  <c r="X40" i="8"/>
  <c r="X38" i="8"/>
  <c r="X47" i="8"/>
  <c r="X35" i="8"/>
  <c r="U70" i="7"/>
  <c r="AX70" i="7"/>
  <c r="AX73" i="7" s="1"/>
  <c r="M17" i="7"/>
  <c r="M14" i="7"/>
  <c r="AU109" i="7"/>
  <c r="AT108" i="7"/>
  <c r="AT109" i="7"/>
  <c r="W466" i="8"/>
  <c r="L104" i="7"/>
  <c r="L107" i="7"/>
  <c r="I80" i="7"/>
  <c r="U318" i="8"/>
  <c r="CA502" i="8"/>
  <c r="BW444" i="8"/>
  <c r="BW440" i="8"/>
  <c r="BW441" i="8"/>
  <c r="BW439" i="8"/>
  <c r="BX441" i="8"/>
  <c r="BX440" i="8"/>
  <c r="T445" i="8"/>
  <c r="T447" i="8"/>
  <c r="CA428" i="8"/>
  <c r="CA359" i="8"/>
  <c r="CA429" i="8"/>
  <c r="U422" i="8"/>
  <c r="CA424" i="8"/>
  <c r="CA430" i="8"/>
  <c r="CA423" i="8"/>
  <c r="AT161" i="7"/>
  <c r="AU184" i="7"/>
  <c r="AT184" i="7"/>
  <c r="AT183" i="7"/>
  <c r="X578" i="8"/>
  <c r="X530" i="8"/>
  <c r="X751" i="8" s="1"/>
  <c r="X536" i="8"/>
  <c r="X644" i="8"/>
  <c r="X591" i="8"/>
  <c r="X533" i="8"/>
  <c r="AX75" i="7"/>
  <c r="U75" i="7"/>
  <c r="M178" i="7"/>
  <c r="M177" i="7" s="1"/>
  <c r="M102" i="7"/>
  <c r="AT76" i="7"/>
  <c r="L182" i="7"/>
  <c r="L179" i="7"/>
  <c r="AA301" i="8"/>
  <c r="AA206" i="8"/>
  <c r="Q135" i="7"/>
  <c r="R139" i="7"/>
  <c r="U317" i="8"/>
  <c r="CA496" i="8"/>
  <c r="U490" i="8"/>
  <c r="U478" i="8"/>
  <c r="P211" i="7"/>
  <c r="P173" i="7"/>
  <c r="P174" i="7" s="1"/>
  <c r="CA39" i="8"/>
  <c r="CA40" i="8"/>
  <c r="CA35" i="8"/>
  <c r="CA38" i="8"/>
  <c r="X622" i="8"/>
  <c r="W621" i="8"/>
  <c r="W538" i="8" s="1"/>
  <c r="W627" i="8"/>
  <c r="X574" i="8"/>
  <c r="X528" i="8"/>
  <c r="X547" i="8"/>
  <c r="X758" i="8" s="1"/>
  <c r="X660" i="8"/>
  <c r="J11" i="4"/>
  <c r="X764" i="8"/>
  <c r="P50" i="7"/>
  <c r="P8" i="7"/>
  <c r="O13" i="7"/>
  <c r="N103" i="7"/>
  <c r="N12" i="7"/>
  <c r="U182" i="7"/>
  <c r="K234" i="7"/>
  <c r="K229" i="7"/>
  <c r="K183" i="7"/>
  <c r="AX104" i="7"/>
  <c r="AX103" i="7"/>
  <c r="AX105" i="7"/>
  <c r="AX107" i="7"/>
  <c r="CC315" i="8"/>
  <c r="T374" i="8"/>
  <c r="CE150" i="8"/>
  <c r="CE202" i="8"/>
  <c r="CE120" i="8"/>
  <c r="CE115" i="8"/>
  <c r="CE199" i="8"/>
  <c r="CE178" i="8"/>
  <c r="CE183" i="8" s="1"/>
  <c r="CE26" i="8"/>
  <c r="CE177" i="8"/>
  <c r="CE182" i="8" s="1"/>
  <c r="CE176" i="8"/>
  <c r="CE123" i="8"/>
  <c r="CE117" i="8"/>
  <c r="CE44" i="8"/>
  <c r="CE32" i="8"/>
  <c r="CE14" i="8"/>
  <c r="CE11" i="8"/>
  <c r="CE20" i="8" s="1"/>
  <c r="AQ77" i="7"/>
  <c r="BX364" i="8"/>
  <c r="BY354" i="8"/>
  <c r="BX354" i="8"/>
  <c r="AU77" i="7"/>
  <c r="BZ364" i="8"/>
  <c r="AW77" i="7"/>
  <c r="BX319" i="8"/>
  <c r="S124" i="7"/>
  <c r="AD302" i="8"/>
  <c r="AD218" i="8"/>
  <c r="AD70" i="8"/>
  <c r="AD77" i="8"/>
  <c r="AD8" i="8" s="1"/>
  <c r="AD66" i="8"/>
  <c r="AD61" i="8"/>
  <c r="AD114" i="8"/>
  <c r="AD122" i="8" s="1"/>
  <c r="AD222" i="8"/>
  <c r="AD303" i="8"/>
  <c r="AD200" i="8"/>
  <c r="AD133" i="8"/>
  <c r="AD137" i="8"/>
  <c r="AD144" i="8"/>
  <c r="AD9" i="8" s="1"/>
  <c r="R23" i="7"/>
  <c r="T756" i="8"/>
  <c r="AB82" i="8"/>
  <c r="AB116" i="8"/>
  <c r="AC9" i="8"/>
  <c r="AC148" i="8"/>
  <c r="AC145" i="8"/>
  <c r="CD354" i="8"/>
  <c r="CD319" i="8"/>
  <c r="CE316" i="8"/>
  <c r="S22" i="7"/>
  <c r="BH816" i="8"/>
  <c r="BI810" i="8"/>
  <c r="BI815" i="8" s="1"/>
  <c r="AC129" i="8"/>
  <c r="AC300" i="8"/>
  <c r="AC8" i="8"/>
  <c r="AC78" i="8"/>
  <c r="AC81" i="8"/>
  <c r="AC299" i="8"/>
  <c r="AC62" i="8"/>
  <c r="AA117" i="8"/>
  <c r="AA123" i="8"/>
  <c r="S36" i="7"/>
  <c r="AB112" i="8"/>
  <c r="AB25" i="8"/>
  <c r="AB113" i="8"/>
  <c r="AB121" i="8" s="1"/>
  <c r="BW354" i="8"/>
  <c r="BW319" i="8"/>
  <c r="BW364" i="8"/>
  <c r="AB149" i="8"/>
  <c r="AB202" i="8"/>
  <c r="S112" i="7"/>
  <c r="R187" i="7"/>
  <c r="S199" i="7"/>
  <c r="AA33" i="8"/>
  <c r="AA45" i="8"/>
  <c r="T657" i="8"/>
  <c r="AA120" i="8"/>
  <c r="AA115" i="8"/>
  <c r="AB26" i="8"/>
  <c r="AB199" i="8"/>
  <c r="R112" i="7"/>
  <c r="AB14" i="8"/>
  <c r="CB354" i="8"/>
  <c r="CB319" i="8"/>
  <c r="S187" i="7"/>
  <c r="AA201" i="8"/>
  <c r="AA44" i="8"/>
  <c r="AA32" i="8"/>
  <c r="BY364" i="8"/>
  <c r="AR77" i="7"/>
  <c r="BY319" i="8"/>
  <c r="AS77" i="7"/>
  <c r="BZ319" i="8"/>
  <c r="BZ354" i="8"/>
  <c r="AB154" i="8"/>
  <c r="AA158" i="8"/>
  <c r="AA163" i="8" s="1"/>
  <c r="Z193" i="8"/>
  <c r="Z162" i="8"/>
  <c r="AB153" i="8"/>
  <c r="AA157" i="8"/>
  <c r="AA155" i="8"/>
  <c r="AA159" i="8" s="1"/>
  <c r="AA164" i="8" s="1"/>
  <c r="X176" i="8"/>
  <c r="X173" i="8"/>
  <c r="X178" i="8" s="1"/>
  <c r="X183" i="8" s="1"/>
  <c r="Y171" i="8"/>
  <c r="W181" i="8"/>
  <c r="W192" i="8"/>
  <c r="W195" i="8" s="1"/>
  <c r="W203" i="8" s="1"/>
  <c r="Y172" i="8"/>
  <c r="X177" i="8"/>
  <c r="X182" i="8" s="1"/>
  <c r="CA438" i="8"/>
  <c r="V381" i="8"/>
  <c r="AC209" i="8"/>
  <c r="CA381" i="8"/>
  <c r="AA51" i="8"/>
  <c r="V438" i="8"/>
  <c r="X415" i="8"/>
  <c r="W502" i="8" l="1"/>
  <c r="W318" i="8" s="1"/>
  <c r="W496" i="8"/>
  <c r="W317" i="8" s="1"/>
  <c r="W207" i="8"/>
  <c r="W56" i="8"/>
  <c r="W57" i="8" s="1"/>
  <c r="CA449" i="8"/>
  <c r="CB452" i="8" s="1"/>
  <c r="U663" i="8"/>
  <c r="U548" i="8" s="1"/>
  <c r="U759" i="8" s="1"/>
  <c r="CA461" i="8"/>
  <c r="CA311" i="8" s="1"/>
  <c r="U353" i="8"/>
  <c r="U667" i="8"/>
  <c r="U549" i="8" s="1"/>
  <c r="U760" i="8" s="1"/>
  <c r="U311" i="8"/>
  <c r="U671" i="8"/>
  <c r="U672" i="8" s="1"/>
  <c r="U724" i="8"/>
  <c r="U720" i="8" s="1"/>
  <c r="U561" i="8" s="1"/>
  <c r="U462" i="8"/>
  <c r="U647" i="8"/>
  <c r="U648" i="8" s="1"/>
  <c r="U310" i="8"/>
  <c r="U453" i="8"/>
  <c r="V439" i="8"/>
  <c r="V461" i="8"/>
  <c r="CE461" i="8" s="1"/>
  <c r="V449" i="8"/>
  <c r="V310" i="8" s="1"/>
  <c r="X306" i="8"/>
  <c r="X307" i="8" s="1"/>
  <c r="X207" i="8" s="1"/>
  <c r="X416" i="8"/>
  <c r="CA439" i="8"/>
  <c r="CA440" i="8"/>
  <c r="CA441" i="8"/>
  <c r="CB441" i="8"/>
  <c r="CA444" i="8"/>
  <c r="CA445" i="8" s="1"/>
  <c r="CB440" i="8"/>
  <c r="V382" i="8"/>
  <c r="V308" i="8"/>
  <c r="V309" i="8" s="1"/>
  <c r="CB383" i="8"/>
  <c r="CA382" i="8"/>
  <c r="CA383" i="8"/>
  <c r="CA308" i="8"/>
  <c r="CA309" i="8" s="1"/>
  <c r="U234" i="7"/>
  <c r="CE301" i="8"/>
  <c r="CE207" i="8"/>
  <c r="CE206" i="8"/>
  <c r="AT235" i="7"/>
  <c r="U229" i="7"/>
  <c r="AT230" i="7"/>
  <c r="AT231" i="7" s="1"/>
  <c r="AT232" i="7"/>
  <c r="AT236" i="7" s="1"/>
  <c r="AT237" i="7" s="1"/>
  <c r="AA22" i="8"/>
  <c r="AA17" i="8"/>
  <c r="AA20" i="8"/>
  <c r="AB11" i="8"/>
  <c r="AB20" i="8" s="1"/>
  <c r="K232" i="7"/>
  <c r="K236" i="7" s="1"/>
  <c r="K237" i="7" s="1"/>
  <c r="CA41" i="8"/>
  <c r="AA52" i="8"/>
  <c r="AC210" i="8"/>
  <c r="AC205" i="8"/>
  <c r="AC10" i="8"/>
  <c r="AC16" i="8" s="1"/>
  <c r="M107" i="7"/>
  <c r="M104" i="7"/>
  <c r="Q50" i="7"/>
  <c r="Q8" i="7"/>
  <c r="Y536" i="8"/>
  <c r="Y644" i="8"/>
  <c r="Y591" i="8"/>
  <c r="Y533" i="8"/>
  <c r="Q211" i="7"/>
  <c r="Q173" i="7"/>
  <c r="Q174" i="7" s="1"/>
  <c r="AB301" i="8"/>
  <c r="AB206" i="8"/>
  <c r="BW500" i="8"/>
  <c r="N17" i="7"/>
  <c r="N14" i="7"/>
  <c r="S139" i="7"/>
  <c r="S135" i="7" s="1"/>
  <c r="R135" i="7"/>
  <c r="M182" i="7"/>
  <c r="M179" i="7"/>
  <c r="CA360" i="8"/>
  <c r="U428" i="8"/>
  <c r="X41" i="8"/>
  <c r="V613" i="8"/>
  <c r="W615" i="8"/>
  <c r="CE496" i="8"/>
  <c r="CE317" i="8" s="1"/>
  <c r="V317" i="8"/>
  <c r="U155" i="7"/>
  <c r="AX155" i="7"/>
  <c r="AX158" i="7" s="1"/>
  <c r="CD59" i="8"/>
  <c r="BZ59" i="8"/>
  <c r="CC59" i="8"/>
  <c r="CA58" i="8"/>
  <c r="BX59" i="8"/>
  <c r="CB59" i="8"/>
  <c r="CA57" i="8"/>
  <c r="BY59" i="8"/>
  <c r="CB58" i="8"/>
  <c r="CA59" i="8"/>
  <c r="Y764" i="8"/>
  <c r="K11" i="4"/>
  <c r="CA317" i="8"/>
  <c r="CA497" i="8"/>
  <c r="U430" i="8"/>
  <c r="CA362" i="8"/>
  <c r="L155" i="7"/>
  <c r="L158" i="7" s="1"/>
  <c r="L108" i="7"/>
  <c r="L160" i="7"/>
  <c r="M70" i="7"/>
  <c r="M75" i="7"/>
  <c r="M18" i="7"/>
  <c r="U535" i="8"/>
  <c r="AP78" i="7"/>
  <c r="AP163" i="7"/>
  <c r="N178" i="7"/>
  <c r="N177" i="7" s="1"/>
  <c r="N102" i="7"/>
  <c r="X749" i="8"/>
  <c r="X821" i="8"/>
  <c r="Y622" i="8"/>
  <c r="X627" i="8"/>
  <c r="Y627" i="8" s="1"/>
  <c r="X621" i="8"/>
  <c r="X538" i="8" s="1"/>
  <c r="U479" i="8"/>
  <c r="U312" i="8"/>
  <c r="CA478" i="8"/>
  <c r="CA485" i="8" s="1"/>
  <c r="U482" i="8"/>
  <c r="Q136" i="7"/>
  <c r="Q98" i="7"/>
  <c r="Q99" i="7" s="1"/>
  <c r="L229" i="7"/>
  <c r="L234" i="7"/>
  <c r="L183" i="7"/>
  <c r="U359" i="8"/>
  <c r="U423" i="8"/>
  <c r="U444" i="8"/>
  <c r="BW447" i="8"/>
  <c r="BW445" i="8"/>
  <c r="BW446" i="8"/>
  <c r="BX446" i="8"/>
  <c r="Z590" i="8"/>
  <c r="Z573" i="8"/>
  <c r="Z616" i="8"/>
  <c r="Z232" i="8"/>
  <c r="Z577" i="8"/>
  <c r="Z493" i="8"/>
  <c r="Z316" i="8" s="1"/>
  <c r="Z224" i="8"/>
  <c r="Z624" i="8"/>
  <c r="Z766" i="8" s="1"/>
  <c r="Z569" i="8"/>
  <c r="Z643" i="8"/>
  <c r="Z659" i="8"/>
  <c r="Z29" i="8"/>
  <c r="V318" i="8"/>
  <c r="CE502" i="8"/>
  <c r="CE318" i="8" s="1"/>
  <c r="U160" i="7"/>
  <c r="AX160" i="7"/>
  <c r="Y578" i="8"/>
  <c r="Y530" i="8"/>
  <c r="Y751" i="8" s="1"/>
  <c r="Y528" i="8"/>
  <c r="Y574" i="8"/>
  <c r="Y570" i="8"/>
  <c r="Y526" i="8"/>
  <c r="X617" i="8"/>
  <c r="X739" i="8" s="1"/>
  <c r="Y614" i="8"/>
  <c r="W483" i="8"/>
  <c r="X454" i="8"/>
  <c r="AP80" i="7"/>
  <c r="AX108" i="7"/>
  <c r="AX109" i="7"/>
  <c r="P9" i="7"/>
  <c r="AA27" i="8"/>
  <c r="AA305" i="8"/>
  <c r="I79" i="7"/>
  <c r="O103" i="7"/>
  <c r="P13" i="7"/>
  <c r="O12" i="7"/>
  <c r="CA361" i="8"/>
  <c r="U429" i="8"/>
  <c r="CA318" i="8"/>
  <c r="CA503" i="8"/>
  <c r="X466" i="8"/>
  <c r="Z34" i="8"/>
  <c r="Z46" i="8"/>
  <c r="K162" i="7"/>
  <c r="K163" i="7" s="1"/>
  <c r="R49" i="7"/>
  <c r="S54" i="7"/>
  <c r="Y47" i="8"/>
  <c r="Y40" i="8"/>
  <c r="Y38" i="8"/>
  <c r="Y39" i="8"/>
  <c r="Y35" i="8"/>
  <c r="Y547" i="8"/>
  <c r="Y758" i="8" s="1"/>
  <c r="Y660" i="8"/>
  <c r="R210" i="7"/>
  <c r="S214" i="7"/>
  <c r="S210" i="7" s="1"/>
  <c r="V490" i="8"/>
  <c r="V478" i="8"/>
  <c r="BX374" i="8"/>
  <c r="BX499" i="8"/>
  <c r="BX320" i="8" s="1"/>
  <c r="BY499" i="8"/>
  <c r="BY320" i="8" s="1"/>
  <c r="BZ499" i="8"/>
  <c r="BZ320" i="8" s="1"/>
  <c r="CC354" i="8"/>
  <c r="AV78" i="7" s="1"/>
  <c r="CC319" i="8"/>
  <c r="CC499" i="8" s="1"/>
  <c r="CC320" i="8" s="1"/>
  <c r="CC322" i="8" s="1"/>
  <c r="CC324" i="8" s="1"/>
  <c r="AV82" i="7" s="1"/>
  <c r="AV77" i="7"/>
  <c r="CE21" i="8"/>
  <c r="CE201" i="8"/>
  <c r="CE181" i="8"/>
  <c r="CE192" i="8"/>
  <c r="CE195" i="8" s="1"/>
  <c r="CE203" i="8" s="1"/>
  <c r="CE33" i="8"/>
  <c r="CE45" i="8"/>
  <c r="CE22" i="8"/>
  <c r="AS80" i="7"/>
  <c r="AQ80" i="7"/>
  <c r="BZ374" i="8"/>
  <c r="AQ78" i="7"/>
  <c r="AU78" i="7"/>
  <c r="AR78" i="7"/>
  <c r="AS78" i="7"/>
  <c r="AW78" i="7"/>
  <c r="BY374" i="8"/>
  <c r="AB201" i="8"/>
  <c r="AD15" i="8"/>
  <c r="BW374" i="8"/>
  <c r="CD499" i="8"/>
  <c r="CD320" i="8" s="1"/>
  <c r="CD322" i="8" s="1"/>
  <c r="CD324" i="8" s="1"/>
  <c r="AW82" i="7" s="1"/>
  <c r="AB117" i="8"/>
  <c r="AB123" i="8"/>
  <c r="AD81" i="8"/>
  <c r="AD78" i="8"/>
  <c r="CB499" i="8"/>
  <c r="CB320" i="8" s="1"/>
  <c r="CB322" i="8" s="1"/>
  <c r="CB324" i="8" s="1"/>
  <c r="AU82" i="7" s="1"/>
  <c r="AB45" i="8"/>
  <c r="AB33" i="8"/>
  <c r="BW322" i="8"/>
  <c r="AB32" i="8"/>
  <c r="AB44" i="8"/>
  <c r="AC14" i="8"/>
  <c r="BI816" i="8"/>
  <c r="BJ810" i="8"/>
  <c r="BJ815" i="8" s="1"/>
  <c r="AD129" i="8"/>
  <c r="AD300" i="8"/>
  <c r="AD14" i="8"/>
  <c r="F10" i="4"/>
  <c r="T322" i="8"/>
  <c r="AB120" i="8"/>
  <c r="AB115" i="8"/>
  <c r="AC112" i="8"/>
  <c r="AC113" i="8"/>
  <c r="AC121" i="8" s="1"/>
  <c r="AC25" i="8"/>
  <c r="AC199" i="8"/>
  <c r="AC26" i="8"/>
  <c r="AC149" i="8"/>
  <c r="AC202" i="8"/>
  <c r="AD62" i="8"/>
  <c r="AD299" i="8"/>
  <c r="AC82" i="8"/>
  <c r="AC116" i="8"/>
  <c r="S23" i="7"/>
  <c r="AC15" i="8"/>
  <c r="AD145" i="8"/>
  <c r="AD148" i="8"/>
  <c r="AR80" i="7"/>
  <c r="Y177" i="8"/>
  <c r="Y182" i="8" s="1"/>
  <c r="Z172" i="8"/>
  <c r="AA162" i="8"/>
  <c r="AA193" i="8"/>
  <c r="AB158" i="8"/>
  <c r="AB163" i="8" s="1"/>
  <c r="AC154" i="8"/>
  <c r="Z171" i="8"/>
  <c r="Y176" i="8"/>
  <c r="Y173" i="8"/>
  <c r="Y178" i="8" s="1"/>
  <c r="Y183" i="8" s="1"/>
  <c r="X192" i="8"/>
  <c r="X195" i="8" s="1"/>
  <c r="X203" i="8" s="1"/>
  <c r="X181" i="8"/>
  <c r="AC153" i="8"/>
  <c r="AB155" i="8"/>
  <c r="AB159" i="8" s="1"/>
  <c r="AB164" i="8" s="1"/>
  <c r="AB157" i="8"/>
  <c r="Y415" i="8"/>
  <c r="AD209" i="8"/>
  <c r="AB51" i="8"/>
  <c r="W381" i="8"/>
  <c r="W438" i="8"/>
  <c r="U551" i="8" l="1"/>
  <c r="CA451" i="8"/>
  <c r="CA462" i="8"/>
  <c r="X496" i="8"/>
  <c r="X317" i="8" s="1"/>
  <c r="CA450" i="8"/>
  <c r="U668" i="8"/>
  <c r="CB464" i="8"/>
  <c r="CA456" i="8"/>
  <c r="CA459" i="8" s="1"/>
  <c r="U664" i="8"/>
  <c r="CA310" i="8"/>
  <c r="CA465" i="8"/>
  <c r="CA463" i="8"/>
  <c r="CA453" i="8"/>
  <c r="CB451" i="8"/>
  <c r="CA468" i="8"/>
  <c r="CA470" i="8" s="1"/>
  <c r="CA464" i="8"/>
  <c r="CB463" i="8"/>
  <c r="CA452" i="8"/>
  <c r="V465" i="8"/>
  <c r="CA446" i="8"/>
  <c r="V647" i="8"/>
  <c r="V648" i="8" s="1"/>
  <c r="CE449" i="8"/>
  <c r="CE450" i="8" s="1"/>
  <c r="CA384" i="8"/>
  <c r="V724" i="8"/>
  <c r="V720" i="8" s="1"/>
  <c r="V561" i="8" s="1"/>
  <c r="V671" i="8"/>
  <c r="V672" i="8" s="1"/>
  <c r="V663" i="8"/>
  <c r="V548" i="8" s="1"/>
  <c r="V759" i="8" s="1"/>
  <c r="U543" i="8"/>
  <c r="U754" i="8" s="1"/>
  <c r="V667" i="8"/>
  <c r="V668" i="8" s="1"/>
  <c r="V453" i="8"/>
  <c r="U313" i="8"/>
  <c r="V450" i="8"/>
  <c r="CA353" i="8"/>
  <c r="X502" i="8"/>
  <c r="X318" i="8" s="1"/>
  <c r="X56" i="8"/>
  <c r="X57" i="8" s="1"/>
  <c r="Y416" i="8"/>
  <c r="Y306" i="8"/>
  <c r="Y307" i="8" s="1"/>
  <c r="Y496" i="8" s="1"/>
  <c r="Y317" i="8" s="1"/>
  <c r="W439" i="8"/>
  <c r="W449" i="8"/>
  <c r="W453" i="8" s="1"/>
  <c r="W461" i="8"/>
  <c r="W465" i="8" s="1"/>
  <c r="W308" i="8"/>
  <c r="W382" i="8"/>
  <c r="V311" i="8"/>
  <c r="V462" i="8"/>
  <c r="L232" i="7"/>
  <c r="L236" i="7" s="1"/>
  <c r="L237" i="7" s="1"/>
  <c r="CA447" i="8"/>
  <c r="CE27" i="8"/>
  <c r="CE305" i="8"/>
  <c r="CE465" i="8" s="1"/>
  <c r="V353" i="8"/>
  <c r="AB22" i="8"/>
  <c r="AC11" i="8"/>
  <c r="AC20" i="8" s="1"/>
  <c r="AB21" i="8"/>
  <c r="AB17" i="8"/>
  <c r="L162" i="7"/>
  <c r="L163" i="7" s="1"/>
  <c r="Y41" i="8"/>
  <c r="AX162" i="7"/>
  <c r="AX163" i="7" s="1"/>
  <c r="AD10" i="8"/>
  <c r="AD210" i="8"/>
  <c r="AD205" i="8"/>
  <c r="AB52" i="8"/>
  <c r="CA488" i="8"/>
  <c r="CA487" i="8"/>
  <c r="CA486" i="8"/>
  <c r="O14" i="7"/>
  <c r="O17" i="7"/>
  <c r="W490" i="8"/>
  <c r="W478" i="8"/>
  <c r="Z38" i="8"/>
  <c r="Z40" i="8"/>
  <c r="Z35" i="8"/>
  <c r="Z39" i="8"/>
  <c r="Z47" i="8"/>
  <c r="Z570" i="8"/>
  <c r="Z526" i="8"/>
  <c r="Z530" i="8"/>
  <c r="Z751" i="8" s="1"/>
  <c r="Z578" i="8"/>
  <c r="Z574" i="8"/>
  <c r="Z528" i="8"/>
  <c r="V535" i="8"/>
  <c r="U360" i="8"/>
  <c r="U433" i="8" s="1"/>
  <c r="V433" i="8" s="1"/>
  <c r="W433" i="8" s="1"/>
  <c r="X433" i="8" s="1"/>
  <c r="Y433" i="8" s="1"/>
  <c r="Z433" i="8" s="1"/>
  <c r="AA433" i="8" s="1"/>
  <c r="AB433" i="8" s="1"/>
  <c r="AC433" i="8" s="1"/>
  <c r="AD433" i="8" s="1"/>
  <c r="U456" i="8"/>
  <c r="M234" i="7"/>
  <c r="M229" i="7"/>
  <c r="M183" i="7"/>
  <c r="S211" i="7"/>
  <c r="S173" i="7"/>
  <c r="Y466" i="8"/>
  <c r="U361" i="8"/>
  <c r="U434" i="8" s="1"/>
  <c r="V434" i="8" s="1"/>
  <c r="W434" i="8" s="1"/>
  <c r="X434" i="8" s="1"/>
  <c r="Y434" i="8" s="1"/>
  <c r="Z434" i="8" s="1"/>
  <c r="AA434" i="8" s="1"/>
  <c r="AB434" i="8" s="1"/>
  <c r="AC434" i="8" s="1"/>
  <c r="AD434" i="8" s="1"/>
  <c r="U468" i="8"/>
  <c r="Q13" i="7"/>
  <c r="P103" i="7"/>
  <c r="P12" i="7"/>
  <c r="Z614" i="8"/>
  <c r="Y617" i="8"/>
  <c r="Y739" i="8" s="1"/>
  <c r="Z547" i="8"/>
  <c r="Z758" i="8" s="1"/>
  <c r="Z660" i="8"/>
  <c r="Z533" i="8"/>
  <c r="Z591" i="8"/>
  <c r="U447" i="8"/>
  <c r="U445" i="8"/>
  <c r="R136" i="7"/>
  <c r="R98" i="7"/>
  <c r="R99" i="7" s="1"/>
  <c r="AC301" i="8"/>
  <c r="AC206" i="8"/>
  <c r="AP79" i="7"/>
  <c r="AP164" i="7"/>
  <c r="R211" i="7"/>
  <c r="R173" i="7"/>
  <c r="R174" i="7" s="1"/>
  <c r="S49" i="7"/>
  <c r="O178" i="7"/>
  <c r="O177" i="7" s="1"/>
  <c r="O102" i="7"/>
  <c r="AA590" i="8"/>
  <c r="AA569" i="8"/>
  <c r="AA659" i="8"/>
  <c r="AA616" i="8"/>
  <c r="AA577" i="8"/>
  <c r="AA232" i="8"/>
  <c r="AA643" i="8"/>
  <c r="AA29" i="8"/>
  <c r="AA573" i="8"/>
  <c r="AA493" i="8"/>
  <c r="AA316" i="8" s="1"/>
  <c r="AA224" i="8"/>
  <c r="AA624" i="8"/>
  <c r="AA766" i="8" s="1"/>
  <c r="V664" i="8"/>
  <c r="Y821" i="8"/>
  <c r="Y749" i="8"/>
  <c r="Z644" i="8"/>
  <c r="Z536" i="8"/>
  <c r="L11" i="4"/>
  <c r="Z764" i="8"/>
  <c r="CB481" i="8"/>
  <c r="CB480" i="8"/>
  <c r="CA480" i="8"/>
  <c r="CA482" i="8"/>
  <c r="CA479" i="8"/>
  <c r="CA312" i="8"/>
  <c r="CA481" i="8"/>
  <c r="Z627" i="8"/>
  <c r="Y625" i="8"/>
  <c r="N104" i="7"/>
  <c r="N107" i="7"/>
  <c r="CA457" i="8"/>
  <c r="S98" i="7"/>
  <c r="S136" i="7"/>
  <c r="Q9" i="7"/>
  <c r="CE478" i="8"/>
  <c r="V312" i="8"/>
  <c r="V482" i="8"/>
  <c r="V479" i="8"/>
  <c r="R50" i="7"/>
  <c r="R8" i="7"/>
  <c r="AA46" i="8"/>
  <c r="AA34" i="8"/>
  <c r="X483" i="8"/>
  <c r="Y454" i="8"/>
  <c r="U703" i="8"/>
  <c r="U712" i="8" s="1"/>
  <c r="U700" i="8" s="1"/>
  <c r="U425" i="8"/>
  <c r="CB425" i="8" s="1"/>
  <c r="U738" i="8"/>
  <c r="U358" i="8"/>
  <c r="Z622" i="8"/>
  <c r="AX177" i="7"/>
  <c r="N179" i="7"/>
  <c r="N182" i="7"/>
  <c r="M73" i="7"/>
  <c r="U485" i="8"/>
  <c r="U362" i="8"/>
  <c r="U435" i="8" s="1"/>
  <c r="V435" i="8" s="1"/>
  <c r="W435" i="8" s="1"/>
  <c r="X435" i="8" s="1"/>
  <c r="Y435" i="8" s="1"/>
  <c r="Z435" i="8" s="1"/>
  <c r="AA435" i="8" s="1"/>
  <c r="AB435" i="8" s="1"/>
  <c r="AC435" i="8" s="1"/>
  <c r="AD435" i="8" s="1"/>
  <c r="X615" i="8"/>
  <c r="W613" i="8"/>
  <c r="W535" i="8" s="1"/>
  <c r="N70" i="7"/>
  <c r="N73" i="7" s="1"/>
  <c r="N75" i="7"/>
  <c r="N18" i="7"/>
  <c r="AB27" i="8"/>
  <c r="AB305" i="8"/>
  <c r="M160" i="7"/>
  <c r="M108" i="7"/>
  <c r="M155" i="7"/>
  <c r="M158" i="7" s="1"/>
  <c r="AQ79" i="7"/>
  <c r="AQ164" i="7"/>
  <c r="AS79" i="7"/>
  <c r="AR164" i="7"/>
  <c r="BY322" i="8"/>
  <c r="BZ322" i="8"/>
  <c r="BX322" i="8"/>
  <c r="CC333" i="8"/>
  <c r="CC338" i="8"/>
  <c r="CC335" i="8"/>
  <c r="CC355" i="8"/>
  <c r="CC336" i="8"/>
  <c r="CC337" i="8"/>
  <c r="CC418" i="8"/>
  <c r="CC356" i="8" s="1"/>
  <c r="AS164" i="7"/>
  <c r="AR79" i="7"/>
  <c r="AC201" i="8"/>
  <c r="CB418" i="8"/>
  <c r="CB356" i="8" s="1"/>
  <c r="CB355" i="8"/>
  <c r="CB338" i="8"/>
  <c r="CB337" i="8"/>
  <c r="CB336" i="8"/>
  <c r="CB333" i="8"/>
  <c r="CB335" i="8"/>
  <c r="CD418" i="8"/>
  <c r="CD356" i="8" s="1"/>
  <c r="CD355" i="8"/>
  <c r="CD338" i="8"/>
  <c r="CD337" i="8"/>
  <c r="CD336" i="8"/>
  <c r="CD335" i="8"/>
  <c r="CD333" i="8"/>
  <c r="AC123" i="8"/>
  <c r="AC117" i="8"/>
  <c r="AD202" i="8"/>
  <c r="AD149" i="8"/>
  <c r="AC120" i="8"/>
  <c r="AC115" i="8"/>
  <c r="AC33" i="8"/>
  <c r="AC45" i="8"/>
  <c r="BW324" i="8"/>
  <c r="AD82" i="8"/>
  <c r="AD116" i="8"/>
  <c r="CE464" i="8"/>
  <c r="CE463" i="8"/>
  <c r="CE462" i="8"/>
  <c r="CE311" i="8"/>
  <c r="AD26" i="8"/>
  <c r="AD199" i="8"/>
  <c r="AD113" i="8"/>
  <c r="AD121" i="8" s="1"/>
  <c r="AD112" i="8"/>
  <c r="AD25" i="8"/>
  <c r="AC44" i="8"/>
  <c r="AC32" i="8"/>
  <c r="T324" i="8"/>
  <c r="BJ816" i="8"/>
  <c r="BK810" i="8"/>
  <c r="BK815" i="8" s="1"/>
  <c r="AB162" i="8"/>
  <c r="AB193" i="8"/>
  <c r="AD153" i="8"/>
  <c r="AC157" i="8"/>
  <c r="AC155" i="8"/>
  <c r="AC159" i="8" s="1"/>
  <c r="AC164" i="8" s="1"/>
  <c r="Z176" i="8"/>
  <c r="AA171" i="8"/>
  <c r="Z173" i="8"/>
  <c r="Z178" i="8" s="1"/>
  <c r="Z183" i="8" s="1"/>
  <c r="Z177" i="8"/>
  <c r="Z182" i="8" s="1"/>
  <c r="AA172" i="8"/>
  <c r="Y181" i="8"/>
  <c r="Y192" i="8"/>
  <c r="Y195" i="8" s="1"/>
  <c r="Y203" i="8" s="1"/>
  <c r="AC158" i="8"/>
  <c r="AC163" i="8" s="1"/>
  <c r="AD154" i="8"/>
  <c r="AD158" i="8" s="1"/>
  <c r="X438" i="8"/>
  <c r="Z415" i="8"/>
  <c r="CE415" i="8"/>
  <c r="X381" i="8"/>
  <c r="AC51" i="8"/>
  <c r="CA458" i="8" l="1"/>
  <c r="CE451" i="8"/>
  <c r="CA471" i="8"/>
  <c r="CA469" i="8"/>
  <c r="V543" i="8"/>
  <c r="V313" i="8"/>
  <c r="CE452" i="8"/>
  <c r="CE310" i="8"/>
  <c r="CE453" i="8"/>
  <c r="CE482" i="8"/>
  <c r="V551" i="8"/>
  <c r="U820" i="8"/>
  <c r="W450" i="8"/>
  <c r="W310" i="8"/>
  <c r="V549" i="8"/>
  <c r="V760" i="8" s="1"/>
  <c r="U651" i="8"/>
  <c r="U652" i="8" s="1"/>
  <c r="U315" i="8"/>
  <c r="U442" i="8"/>
  <c r="W462" i="8"/>
  <c r="W311" i="8"/>
  <c r="Y207" i="8"/>
  <c r="Y56" i="8"/>
  <c r="Y57" i="8" s="1"/>
  <c r="W667" i="8"/>
  <c r="W549" i="8" s="1"/>
  <c r="Z416" i="8"/>
  <c r="Z306" i="8"/>
  <c r="Z307" i="8" s="1"/>
  <c r="Z207" i="8" s="1"/>
  <c r="X308" i="8"/>
  <c r="X671" i="8" s="1"/>
  <c r="X382" i="8"/>
  <c r="CE306" i="8"/>
  <c r="CE307" i="8" s="1"/>
  <c r="CE416" i="8"/>
  <c r="X449" i="8"/>
  <c r="X310" i="8" s="1"/>
  <c r="X461" i="8"/>
  <c r="X465" i="8" s="1"/>
  <c r="X439" i="8"/>
  <c r="W671" i="8"/>
  <c r="W551" i="8" s="1"/>
  <c r="W647" i="8"/>
  <c r="W543" i="8" s="1"/>
  <c r="M232" i="7"/>
  <c r="CE46" i="8"/>
  <c r="CE34" i="8"/>
  <c r="Y502" i="8"/>
  <c r="Y318" i="8" s="1"/>
  <c r="W724" i="8"/>
  <c r="W720" i="8" s="1"/>
  <c r="W561" i="8" s="1"/>
  <c r="W309" i="8"/>
  <c r="W663" i="8"/>
  <c r="W548" i="8" s="1"/>
  <c r="W759" i="8" s="1"/>
  <c r="CE494" i="8"/>
  <c r="CE224" i="8"/>
  <c r="CE29" i="8"/>
  <c r="CE232" i="8"/>
  <c r="CC425" i="8"/>
  <c r="CB422" i="8"/>
  <c r="AC17" i="8"/>
  <c r="AC21" i="8"/>
  <c r="AC22" i="8"/>
  <c r="CE480" i="8"/>
  <c r="AA622" i="8"/>
  <c r="CE479" i="8"/>
  <c r="CE481" i="8"/>
  <c r="S99" i="7"/>
  <c r="CE312" i="8"/>
  <c r="CE313" i="8" s="1"/>
  <c r="M162" i="7"/>
  <c r="M163" i="7" s="1"/>
  <c r="Z41" i="8"/>
  <c r="AC52" i="8"/>
  <c r="X490" i="8"/>
  <c r="X478" i="8"/>
  <c r="U545" i="8"/>
  <c r="U756" i="8" s="1"/>
  <c r="AA570" i="8"/>
  <c r="AA526" i="8"/>
  <c r="S50" i="7"/>
  <c r="S8" i="7"/>
  <c r="Q103" i="7"/>
  <c r="R13" i="7"/>
  <c r="Q12" i="7"/>
  <c r="M236" i="7"/>
  <c r="M237" i="7" s="1"/>
  <c r="AD16" i="8"/>
  <c r="AD11" i="8"/>
  <c r="T717" i="8"/>
  <c r="T718" i="8" s="1"/>
  <c r="T418" i="8"/>
  <c r="I82" i="7"/>
  <c r="Y615" i="8"/>
  <c r="X613" i="8"/>
  <c r="X535" i="8" s="1"/>
  <c r="U488" i="8"/>
  <c r="U486" i="8"/>
  <c r="AX179" i="7"/>
  <c r="AX178" i="7"/>
  <c r="AX182" i="7"/>
  <c r="AX180" i="7"/>
  <c r="W425" i="8"/>
  <c r="V422" i="8"/>
  <c r="R9" i="7"/>
  <c r="Y623" i="8"/>
  <c r="Y631" i="8"/>
  <c r="Y741" i="8"/>
  <c r="AA574" i="8"/>
  <c r="AA528" i="8"/>
  <c r="AA578" i="8"/>
  <c r="AA530" i="8"/>
  <c r="AA751" i="8" s="1"/>
  <c r="AA591" i="8"/>
  <c r="AA533" i="8"/>
  <c r="AC27" i="8"/>
  <c r="AC305" i="8"/>
  <c r="U471" i="8"/>
  <c r="U469" i="8"/>
  <c r="AB624" i="8"/>
  <c r="AB577" i="8"/>
  <c r="AB616" i="8"/>
  <c r="AB232" i="8"/>
  <c r="AB493" i="8"/>
  <c r="AB316" i="8" s="1"/>
  <c r="AB573" i="8"/>
  <c r="AB569" i="8"/>
  <c r="AB590" i="8"/>
  <c r="AB659" i="8"/>
  <c r="AB29" i="8"/>
  <c r="AB643" i="8"/>
  <c r="AB224" i="8"/>
  <c r="AX76" i="7"/>
  <c r="V701" i="8"/>
  <c r="U557" i="8"/>
  <c r="AA627" i="8"/>
  <c r="Z625" i="8"/>
  <c r="AA39" i="8"/>
  <c r="AA35" i="8"/>
  <c r="AA47" i="8"/>
  <c r="AA40" i="8"/>
  <c r="AA38" i="8"/>
  <c r="M11" i="4"/>
  <c r="AA764" i="8"/>
  <c r="O107" i="7"/>
  <c r="O104" i="7"/>
  <c r="P14" i="7"/>
  <c r="P17" i="7"/>
  <c r="Z466" i="8"/>
  <c r="U457" i="8"/>
  <c r="U459" i="8"/>
  <c r="W482" i="8"/>
  <c r="W312" i="8"/>
  <c r="W479" i="8"/>
  <c r="O75" i="7"/>
  <c r="O70" i="7"/>
  <c r="O73" i="7" s="1"/>
  <c r="O18" i="7"/>
  <c r="AD301" i="8"/>
  <c r="AD206" i="8"/>
  <c r="BW418" i="8"/>
  <c r="AP82" i="7"/>
  <c r="AB34" i="8"/>
  <c r="AB46" i="8"/>
  <c r="N234" i="7"/>
  <c r="N183" i="7"/>
  <c r="N229" i="7"/>
  <c r="Y483" i="8"/>
  <c r="Z454" i="8"/>
  <c r="N155" i="7"/>
  <c r="N158" i="7" s="1"/>
  <c r="N108" i="7"/>
  <c r="N160" i="7"/>
  <c r="AX161" i="7" s="1"/>
  <c r="AA536" i="8"/>
  <c r="AA644" i="8"/>
  <c r="AA660" i="8"/>
  <c r="AA547" i="8"/>
  <c r="AA758" i="8" s="1"/>
  <c r="O182" i="7"/>
  <c r="O179" i="7"/>
  <c r="AA614" i="8"/>
  <c r="Z617" i="8"/>
  <c r="Z739" i="8" s="1"/>
  <c r="P178" i="7"/>
  <c r="P177" i="7" s="1"/>
  <c r="P102" i="7"/>
  <c r="CA313" i="8"/>
  <c r="S174" i="7"/>
  <c r="Z749" i="8"/>
  <c r="Z821" i="8"/>
  <c r="BX324" i="8"/>
  <c r="BY324" i="8"/>
  <c r="BZ324" i="8"/>
  <c r="AD117" i="8"/>
  <c r="AD123" i="8"/>
  <c r="BW365" i="8"/>
  <c r="BW337" i="8"/>
  <c r="BW355" i="8"/>
  <c r="BW717" i="8"/>
  <c r="BW335" i="8"/>
  <c r="BW812" i="8"/>
  <c r="BW814" i="8" s="1"/>
  <c r="BW736" i="8"/>
  <c r="AD120" i="8"/>
  <c r="AD115" i="8"/>
  <c r="AD201" i="8"/>
  <c r="BK816" i="8"/>
  <c r="BL810" i="8"/>
  <c r="BL815" i="8" s="1"/>
  <c r="T757" i="8"/>
  <c r="T747" i="8" s="1"/>
  <c r="T550" i="8"/>
  <c r="T554" i="8" s="1"/>
  <c r="AD44" i="8"/>
  <c r="AD32" i="8"/>
  <c r="AD33" i="8"/>
  <c r="AD45" i="8"/>
  <c r="T337" i="8"/>
  <c r="T812" i="8"/>
  <c r="T355" i="8"/>
  <c r="T736" i="8"/>
  <c r="T335" i="8"/>
  <c r="T365" i="8"/>
  <c r="AD163" i="8"/>
  <c r="AA177" i="8"/>
  <c r="AA182" i="8" s="1"/>
  <c r="AB172" i="8"/>
  <c r="AB171" i="8"/>
  <c r="AA176" i="8"/>
  <c r="AA173" i="8"/>
  <c r="AA178" i="8" s="1"/>
  <c r="AA183" i="8" s="1"/>
  <c r="AC162" i="8"/>
  <c r="AC193" i="8"/>
  <c r="Z181" i="8"/>
  <c r="Z192" i="8"/>
  <c r="Z195" i="8" s="1"/>
  <c r="Z203" i="8" s="1"/>
  <c r="AD155" i="8"/>
  <c r="AD159" i="8" s="1"/>
  <c r="AD164" i="8" s="1"/>
  <c r="AD157" i="8"/>
  <c r="AD51" i="8"/>
  <c r="Y438" i="8"/>
  <c r="AA415" i="8"/>
  <c r="Y381" i="8"/>
  <c r="W353" i="8" l="1"/>
  <c r="V315" i="8"/>
  <c r="V319" i="8" s="1"/>
  <c r="V754" i="8"/>
  <c r="V651" i="8"/>
  <c r="V545" i="8" s="1"/>
  <c r="V756" i="8" s="1"/>
  <c r="V442" i="8"/>
  <c r="V820" i="8"/>
  <c r="W754" i="8"/>
  <c r="U364" i="8"/>
  <c r="W648" i="8"/>
  <c r="X450" i="8"/>
  <c r="W668" i="8"/>
  <c r="W760" i="8"/>
  <c r="W672" i="8"/>
  <c r="Z56" i="8"/>
  <c r="Z57" i="8" s="1"/>
  <c r="X462" i="8"/>
  <c r="X311" i="8"/>
  <c r="U319" i="8"/>
  <c r="U354" i="8"/>
  <c r="J77" i="7"/>
  <c r="Z502" i="8"/>
  <c r="Z318" i="8" s="1"/>
  <c r="W664" i="8"/>
  <c r="Z496" i="8"/>
  <c r="Z317" i="8" s="1"/>
  <c r="X647" i="8"/>
  <c r="X648" i="8" s="1"/>
  <c r="X453" i="8"/>
  <c r="X667" i="8"/>
  <c r="X668" i="8" s="1"/>
  <c r="W313" i="8"/>
  <c r="X724" i="8"/>
  <c r="X720" i="8" s="1"/>
  <c r="X561" i="8" s="1"/>
  <c r="X309" i="8"/>
  <c r="X353" i="8" s="1"/>
  <c r="X663" i="8"/>
  <c r="X548" i="8" s="1"/>
  <c r="X759" i="8" s="1"/>
  <c r="AA416" i="8"/>
  <c r="AA306" i="8"/>
  <c r="AA307" i="8" s="1"/>
  <c r="AA496" i="8" s="1"/>
  <c r="AA317" i="8" s="1"/>
  <c r="Y439" i="8"/>
  <c r="Y461" i="8"/>
  <c r="Y311" i="8" s="1"/>
  <c r="Y449" i="8"/>
  <c r="Y453" i="8" s="1"/>
  <c r="Y382" i="8"/>
  <c r="Y308" i="8"/>
  <c r="Y663" i="8" s="1"/>
  <c r="CE503" i="8"/>
  <c r="CE497" i="8"/>
  <c r="CE227" i="8"/>
  <c r="CE228" i="8" s="1"/>
  <c r="CE56" i="8"/>
  <c r="AX234" i="7"/>
  <c r="AX229" i="7"/>
  <c r="AX232" i="7" s="1"/>
  <c r="CE38" i="8"/>
  <c r="CE47" i="8"/>
  <c r="CE40" i="8"/>
  <c r="CE35" i="8"/>
  <c r="CE39" i="8"/>
  <c r="BX365" i="8"/>
  <c r="CB429" i="8"/>
  <c r="CB428" i="8"/>
  <c r="CB423" i="8"/>
  <c r="CB430" i="8"/>
  <c r="CB359" i="8"/>
  <c r="CB444" i="8"/>
  <c r="CB424" i="8"/>
  <c r="CD425" i="8"/>
  <c r="CC422" i="8"/>
  <c r="N232" i="7"/>
  <c r="N236" i="7" s="1"/>
  <c r="N237" i="7" s="1"/>
  <c r="AA41" i="8"/>
  <c r="N162" i="7"/>
  <c r="N163" i="7" s="1"/>
  <c r="AD52" i="8"/>
  <c r="T419" i="8"/>
  <c r="I83" i="7"/>
  <c r="AA466" i="8"/>
  <c r="O108" i="7"/>
  <c r="O155" i="7"/>
  <c r="O158" i="7" s="1"/>
  <c r="O160" i="7"/>
  <c r="Z631" i="8"/>
  <c r="Z741" i="8"/>
  <c r="AB591" i="8"/>
  <c r="AB533" i="8"/>
  <c r="AB766" i="8"/>
  <c r="AB622" i="8"/>
  <c r="Z623" i="8"/>
  <c r="Y621" i="8"/>
  <c r="Y538" i="8" s="1"/>
  <c r="AX184" i="7"/>
  <c r="AX183" i="7"/>
  <c r="Z615" i="8"/>
  <c r="Y613" i="8"/>
  <c r="Y535" i="8" s="1"/>
  <c r="AD20" i="8"/>
  <c r="AD17" i="8"/>
  <c r="AD21" i="8"/>
  <c r="AD22" i="8"/>
  <c r="S13" i="7"/>
  <c r="R103" i="7"/>
  <c r="R12" i="7"/>
  <c r="X482" i="8"/>
  <c r="X479" i="8"/>
  <c r="X312" i="8"/>
  <c r="CA315" i="8"/>
  <c r="CA454" i="8"/>
  <c r="CA466" i="8"/>
  <c r="CA442" i="8"/>
  <c r="AB614" i="8"/>
  <c r="AA617" i="8"/>
  <c r="AA739" i="8" s="1"/>
  <c r="AA454" i="8"/>
  <c r="Z483" i="8"/>
  <c r="AD27" i="8"/>
  <c r="AD305" i="8"/>
  <c r="P18" i="7"/>
  <c r="P75" i="7"/>
  <c r="P70" i="7"/>
  <c r="AA625" i="8"/>
  <c r="AB627" i="8"/>
  <c r="AB536" i="8"/>
  <c r="AB644" i="8"/>
  <c r="AB570" i="8"/>
  <c r="AB526" i="8"/>
  <c r="V428" i="8"/>
  <c r="V444" i="8"/>
  <c r="V359" i="8"/>
  <c r="V429" i="8"/>
  <c r="V423" i="8"/>
  <c r="V430" i="8"/>
  <c r="X551" i="8"/>
  <c r="X672" i="8"/>
  <c r="Q178" i="7"/>
  <c r="Q177" i="7" s="1"/>
  <c r="Q102" i="7"/>
  <c r="P107" i="7"/>
  <c r="P104" i="7"/>
  <c r="Y490" i="8"/>
  <c r="Y478" i="8"/>
  <c r="AB39" i="8"/>
  <c r="AB38" i="8"/>
  <c r="AB35" i="8"/>
  <c r="AB47" i="8"/>
  <c r="AB40" i="8"/>
  <c r="AB574" i="8"/>
  <c r="AB528" i="8"/>
  <c r="N11" i="4"/>
  <c r="AB764" i="8"/>
  <c r="AC29" i="8"/>
  <c r="AC577" i="8"/>
  <c r="AC224" i="8"/>
  <c r="AC659" i="8"/>
  <c r="AC616" i="8"/>
  <c r="AC643" i="8"/>
  <c r="AC624" i="8"/>
  <c r="AC766" i="8" s="1"/>
  <c r="AC573" i="8"/>
  <c r="AC569" i="8"/>
  <c r="AC232" i="8"/>
  <c r="AC493" i="8"/>
  <c r="AC316" i="8" s="1"/>
  <c r="AC590" i="8"/>
  <c r="AA821" i="8"/>
  <c r="AA749" i="8"/>
  <c r="W422" i="8"/>
  <c r="X425" i="8"/>
  <c r="S9" i="7"/>
  <c r="BW419" i="8"/>
  <c r="AP83" i="7"/>
  <c r="AP84" i="7" s="1"/>
  <c r="P182" i="7"/>
  <c r="P179" i="7"/>
  <c r="O183" i="7"/>
  <c r="O234" i="7"/>
  <c r="O229" i="7"/>
  <c r="AB547" i="8"/>
  <c r="AB758" i="8" s="1"/>
  <c r="AB660" i="8"/>
  <c r="AB530" i="8"/>
  <c r="AB751" i="8" s="1"/>
  <c r="AB578" i="8"/>
  <c r="AC46" i="8"/>
  <c r="AC34" i="8"/>
  <c r="Q17" i="7"/>
  <c r="Q14" i="7"/>
  <c r="BY355" i="8"/>
  <c r="BY337" i="8"/>
  <c r="BY333" i="8"/>
  <c r="BY338" i="8"/>
  <c r="BY336" i="8"/>
  <c r="BY335" i="8"/>
  <c r="BY365" i="8"/>
  <c r="BY418" i="8"/>
  <c r="BY356" i="8" s="1"/>
  <c r="AR82" i="7"/>
  <c r="BZ338" i="8"/>
  <c r="BZ365" i="8"/>
  <c r="BZ355" i="8"/>
  <c r="BZ333" i="8"/>
  <c r="BZ336" i="8"/>
  <c r="BZ335" i="8"/>
  <c r="BZ337" i="8"/>
  <c r="AS82" i="7"/>
  <c r="BZ418" i="8"/>
  <c r="BZ356" i="8" s="1"/>
  <c r="BX338" i="8"/>
  <c r="BX337" i="8"/>
  <c r="BX333" i="8"/>
  <c r="BX418" i="8"/>
  <c r="BX356" i="8" s="1"/>
  <c r="BX335" i="8"/>
  <c r="BX336" i="8"/>
  <c r="BX355" i="8"/>
  <c r="AQ82" i="7"/>
  <c r="T356" i="8"/>
  <c r="U715" i="8"/>
  <c r="F23" i="4"/>
  <c r="F12" i="4"/>
  <c r="AF761" i="8"/>
  <c r="AN761" i="8"/>
  <c r="AJ761" i="8"/>
  <c r="T367" i="8"/>
  <c r="T375" i="8"/>
  <c r="I84" i="7" s="1"/>
  <c r="T369" i="8"/>
  <c r="BL816" i="8"/>
  <c r="BM810" i="8"/>
  <c r="BM815" i="8" s="1"/>
  <c r="CE442" i="8"/>
  <c r="CE454" i="8"/>
  <c r="CE466" i="8"/>
  <c r="BW375" i="8"/>
  <c r="BW367" i="8"/>
  <c r="BW369" i="8"/>
  <c r="T761" i="8"/>
  <c r="BW356" i="8"/>
  <c r="AA192" i="8"/>
  <c r="AA195" i="8" s="1"/>
  <c r="AA203" i="8" s="1"/>
  <c r="AA181" i="8"/>
  <c r="AD162" i="8"/>
  <c r="AD193" i="8"/>
  <c r="AB176" i="8"/>
  <c r="AB173" i="8"/>
  <c r="AB178" i="8" s="1"/>
  <c r="AB183" i="8" s="1"/>
  <c r="AC171" i="8"/>
  <c r="AB177" i="8"/>
  <c r="AB182" i="8" s="1"/>
  <c r="AC172" i="8"/>
  <c r="AB415" i="8"/>
  <c r="CE438" i="8"/>
  <c r="Z381" i="8"/>
  <c r="Z438" i="8"/>
  <c r="CE381" i="8"/>
  <c r="AX236" i="7" l="1"/>
  <c r="AX237" i="7" s="1"/>
  <c r="J80" i="7"/>
  <c r="K77" i="7"/>
  <c r="V354" i="8"/>
  <c r="K78" i="7" s="1"/>
  <c r="Y724" i="8"/>
  <c r="Y720" i="8" s="1"/>
  <c r="Y561" i="8" s="1"/>
  <c r="V652" i="8"/>
  <c r="U374" i="8"/>
  <c r="J79" i="7" s="1"/>
  <c r="J78" i="7"/>
  <c r="Y309" i="8"/>
  <c r="Y353" i="8" s="1"/>
  <c r="Y667" i="8"/>
  <c r="Y668" i="8" s="1"/>
  <c r="X313" i="8"/>
  <c r="X315" i="8" s="1"/>
  <c r="X319" i="8" s="1"/>
  <c r="X499" i="8" s="1"/>
  <c r="X320" i="8" s="1"/>
  <c r="X322" i="8" s="1"/>
  <c r="X324" i="8" s="1"/>
  <c r="M82" i="7" s="1"/>
  <c r="U499" i="8"/>
  <c r="U320" i="8" s="1"/>
  <c r="AA502" i="8"/>
  <c r="AA318" i="8" s="1"/>
  <c r="AA207" i="8"/>
  <c r="AA56" i="8"/>
  <c r="AA57" i="8" s="1"/>
  <c r="Y310" i="8"/>
  <c r="Y647" i="8"/>
  <c r="Y543" i="8" s="1"/>
  <c r="X664" i="8"/>
  <c r="Y671" i="8"/>
  <c r="Y672" i="8" s="1"/>
  <c r="W315" i="8"/>
  <c r="Y450" i="8"/>
  <c r="W651" i="8"/>
  <c r="W545" i="8" s="1"/>
  <c r="W756" i="8" s="1"/>
  <c r="X543" i="8"/>
  <c r="X754" i="8" s="1"/>
  <c r="W820" i="8"/>
  <c r="W442" i="8"/>
  <c r="Y465" i="8"/>
  <c r="X549" i="8"/>
  <c r="X760" i="8" s="1"/>
  <c r="Y462" i="8"/>
  <c r="Z461" i="8"/>
  <c r="Z311" i="8" s="1"/>
  <c r="Z449" i="8"/>
  <c r="Z453" i="8" s="1"/>
  <c r="Z439" i="8"/>
  <c r="AB306" i="8"/>
  <c r="AB307" i="8" s="1"/>
  <c r="AB207" i="8" s="1"/>
  <c r="AB416" i="8"/>
  <c r="CE382" i="8"/>
  <c r="CE308" i="8"/>
  <c r="CE383" i="8"/>
  <c r="Z382" i="8"/>
  <c r="Z308" i="8"/>
  <c r="Z671" i="8" s="1"/>
  <c r="CE439" i="8"/>
  <c r="CE440" i="8"/>
  <c r="CE441" i="8"/>
  <c r="CE58" i="8"/>
  <c r="CE57" i="8"/>
  <c r="CE59" i="8"/>
  <c r="CE41" i="8"/>
  <c r="AX230" i="7"/>
  <c r="AX231" i="7" s="1"/>
  <c r="O232" i="7"/>
  <c r="O236" i="7" s="1"/>
  <c r="O237" i="7" s="1"/>
  <c r="AX235" i="7"/>
  <c r="CE425" i="8"/>
  <c r="CE422" i="8" s="1"/>
  <c r="CD422" i="8"/>
  <c r="CB362" i="8"/>
  <c r="CB485" i="8"/>
  <c r="CB447" i="8"/>
  <c r="CB445" i="8"/>
  <c r="CB446" i="8"/>
  <c r="CB360" i="8"/>
  <c r="CB456" i="8"/>
  <c r="CC424" i="8"/>
  <c r="CC428" i="8"/>
  <c r="CC359" i="8"/>
  <c r="CC430" i="8"/>
  <c r="CC429" i="8"/>
  <c r="CC423" i="8"/>
  <c r="CC444" i="8"/>
  <c r="CB364" i="8"/>
  <c r="CB365" i="8"/>
  <c r="CB361" i="8"/>
  <c r="CB468" i="8"/>
  <c r="AB41" i="8"/>
  <c r="O162" i="7"/>
  <c r="O163" i="7" s="1"/>
  <c r="Q75" i="7"/>
  <c r="Q18" i="7"/>
  <c r="Q70" i="7"/>
  <c r="AC644" i="8"/>
  <c r="AC536" i="8"/>
  <c r="AC530" i="8"/>
  <c r="AC751" i="8" s="1"/>
  <c r="AC578" i="8"/>
  <c r="AB821" i="8"/>
  <c r="AB749" i="8"/>
  <c r="Y479" i="8"/>
  <c r="Y312" i="8"/>
  <c r="Y482" i="8"/>
  <c r="Q104" i="7"/>
  <c r="Q107" i="7"/>
  <c r="V361" i="8"/>
  <c r="V468" i="8"/>
  <c r="AA741" i="8"/>
  <c r="AA631" i="8"/>
  <c r="AD493" i="8"/>
  <c r="AD316" i="8" s="1"/>
  <c r="AD569" i="8"/>
  <c r="AD29" i="8"/>
  <c r="AD590" i="8"/>
  <c r="AD232" i="8"/>
  <c r="AD577" i="8"/>
  <c r="AD573" i="8"/>
  <c r="AD224" i="8"/>
  <c r="AD624" i="8"/>
  <c r="AD766" i="8" s="1"/>
  <c r="AD659" i="8"/>
  <c r="AD643" i="8"/>
  <c r="AD616" i="8"/>
  <c r="AB454" i="8"/>
  <c r="AA483" i="8"/>
  <c r="CA483" i="8"/>
  <c r="CA490" i="8" s="1"/>
  <c r="S103" i="7"/>
  <c r="S12" i="7"/>
  <c r="Z613" i="8"/>
  <c r="Z535" i="8" s="1"/>
  <c r="AA615" i="8"/>
  <c r="V499" i="8"/>
  <c r="AB466" i="8"/>
  <c r="AC526" i="8"/>
  <c r="AC570" i="8"/>
  <c r="O11" i="4"/>
  <c r="AC764" i="8"/>
  <c r="AC39" i="8"/>
  <c r="AC38" i="8"/>
  <c r="AC35" i="8"/>
  <c r="AC40" i="8"/>
  <c r="AC47" i="8"/>
  <c r="Q179" i="7"/>
  <c r="Q182" i="7"/>
  <c r="V738" i="8"/>
  <c r="V703" i="8"/>
  <c r="V712" i="8" s="1"/>
  <c r="V700" i="8" s="1"/>
  <c r="V358" i="8"/>
  <c r="V364" i="8"/>
  <c r="P73" i="7"/>
  <c r="AD46" i="8"/>
  <c r="AD34" i="8"/>
  <c r="Z621" i="8"/>
  <c r="Z538" i="8" s="1"/>
  <c r="AA623" i="8"/>
  <c r="P229" i="7"/>
  <c r="P183" i="7"/>
  <c r="P234" i="7"/>
  <c r="Y548" i="8"/>
  <c r="Y759" i="8" s="1"/>
  <c r="Y664" i="8"/>
  <c r="X422" i="8"/>
  <c r="AC533" i="8"/>
  <c r="AC591" i="8"/>
  <c r="AC574" i="8"/>
  <c r="AC528" i="8"/>
  <c r="AC547" i="8"/>
  <c r="AC758" i="8" s="1"/>
  <c r="AC660" i="8"/>
  <c r="V362" i="8"/>
  <c r="V485" i="8"/>
  <c r="V447" i="8"/>
  <c r="V445" i="8"/>
  <c r="AB617" i="8"/>
  <c r="AB739" i="8" s="1"/>
  <c r="AC614" i="8"/>
  <c r="CA354" i="8"/>
  <c r="CA364" i="8"/>
  <c r="AT77" i="7"/>
  <c r="CA319" i="8"/>
  <c r="R17" i="7"/>
  <c r="R14" i="7"/>
  <c r="AC622" i="8"/>
  <c r="W430" i="8"/>
  <c r="W444" i="8"/>
  <c r="W428" i="8"/>
  <c r="W429" i="8"/>
  <c r="W423" i="8"/>
  <c r="W359" i="8"/>
  <c r="P155" i="7"/>
  <c r="P158" i="7" s="1"/>
  <c r="P108" i="7"/>
  <c r="P160" i="7"/>
  <c r="V456" i="8"/>
  <c r="V360" i="8"/>
  <c r="AC627" i="8"/>
  <c r="AB625" i="8"/>
  <c r="Z490" i="8"/>
  <c r="Z478" i="8"/>
  <c r="R178" i="7"/>
  <c r="R177" i="7" s="1"/>
  <c r="R102" i="7"/>
  <c r="BY369" i="8"/>
  <c r="BY370" i="8"/>
  <c r="BY419" i="8"/>
  <c r="BY368" i="8"/>
  <c r="BY367" i="8"/>
  <c r="BY375" i="8"/>
  <c r="AR83" i="7"/>
  <c r="BZ369" i="8"/>
  <c r="BZ367" i="8"/>
  <c r="BZ370" i="8"/>
  <c r="AS83" i="7"/>
  <c r="BZ419" i="8"/>
  <c r="BZ375" i="8"/>
  <c r="BZ368" i="8"/>
  <c r="BX375" i="8"/>
  <c r="BX368" i="8"/>
  <c r="BX369" i="8"/>
  <c r="AQ83" i="7"/>
  <c r="BX419" i="8"/>
  <c r="BX367" i="8"/>
  <c r="BX370" i="8"/>
  <c r="CE483" i="8"/>
  <c r="CE490" i="8" s="1"/>
  <c r="BN810" i="8"/>
  <c r="BN815" i="8" s="1"/>
  <c r="BM816" i="8"/>
  <c r="F26" i="4"/>
  <c r="D29" i="4" s="1"/>
  <c r="T373" i="8"/>
  <c r="F9" i="4"/>
  <c r="F13" i="4" s="1"/>
  <c r="BW373" i="8"/>
  <c r="T814" i="8"/>
  <c r="T815" i="8" s="1"/>
  <c r="T562" i="8"/>
  <c r="AD172" i="8"/>
  <c r="AD177" i="8" s="1"/>
  <c r="AC177" i="8"/>
  <c r="AC182" i="8" s="1"/>
  <c r="AD171" i="8"/>
  <c r="AC176" i="8"/>
  <c r="AC173" i="8"/>
  <c r="AC178" i="8" s="1"/>
  <c r="AC183" i="8" s="1"/>
  <c r="AB192" i="8"/>
  <c r="AB195" i="8" s="1"/>
  <c r="AB203" i="8" s="1"/>
  <c r="AB181" i="8"/>
  <c r="AC415" i="8"/>
  <c r="AA381" i="8"/>
  <c r="AA438" i="8"/>
  <c r="W354" i="8" l="1"/>
  <c r="L78" i="7" s="1"/>
  <c r="N34" i="4"/>
  <c r="Y549" i="8"/>
  <c r="Y760" i="8" s="1"/>
  <c r="Z647" i="8"/>
  <c r="Z543" i="8" s="1"/>
  <c r="Z754" i="8" s="1"/>
  <c r="CA499" i="8"/>
  <c r="CA320" i="8" s="1"/>
  <c r="CA500" i="8" s="1"/>
  <c r="X442" i="8"/>
  <c r="X651" i="8"/>
  <c r="X652" i="8" s="1"/>
  <c r="Z309" i="8"/>
  <c r="Z353" i="8" s="1"/>
  <c r="Z450" i="8"/>
  <c r="Z724" i="8"/>
  <c r="Z720" i="8" s="1"/>
  <c r="Z561" i="8" s="1"/>
  <c r="Z310" i="8"/>
  <c r="Y551" i="8"/>
  <c r="Y313" i="8"/>
  <c r="Y651" i="8" s="1"/>
  <c r="Z663" i="8"/>
  <c r="Z548" i="8" s="1"/>
  <c r="Z759" i="8" s="1"/>
  <c r="Z667" i="8"/>
  <c r="Z668" i="8" s="1"/>
  <c r="M77" i="7"/>
  <c r="X354" i="8"/>
  <c r="M78" i="7" s="1"/>
  <c r="Y648" i="8"/>
  <c r="W319" i="8"/>
  <c r="W499" i="8" s="1"/>
  <c r="W320" i="8" s="1"/>
  <c r="W655" i="8" s="1"/>
  <c r="Z462" i="8"/>
  <c r="L77" i="7"/>
  <c r="X820" i="8"/>
  <c r="Y754" i="8"/>
  <c r="W652" i="8"/>
  <c r="Z465" i="8"/>
  <c r="AB56" i="8"/>
  <c r="AB57" i="8" s="1"/>
  <c r="AB496" i="8"/>
  <c r="AB317" i="8" s="1"/>
  <c r="AB502" i="8"/>
  <c r="AB318" i="8" s="1"/>
  <c r="AC416" i="8"/>
  <c r="AC306" i="8"/>
  <c r="AC307" i="8" s="1"/>
  <c r="AC207" i="8" s="1"/>
  <c r="AA439" i="8"/>
  <c r="AA449" i="8"/>
  <c r="AA453" i="8" s="1"/>
  <c r="AA461" i="8"/>
  <c r="AA311" i="8" s="1"/>
  <c r="AA308" i="8"/>
  <c r="AA667" i="8" s="1"/>
  <c r="AA382" i="8"/>
  <c r="P232" i="7"/>
  <c r="CE384" i="8"/>
  <c r="CE309" i="8"/>
  <c r="CB469" i="8"/>
  <c r="CB471" i="8"/>
  <c r="CB470" i="8"/>
  <c r="CC447" i="8"/>
  <c r="CC445" i="8"/>
  <c r="CC446" i="8"/>
  <c r="CC364" i="8"/>
  <c r="CC365" i="8"/>
  <c r="CB488" i="8"/>
  <c r="CB486" i="8"/>
  <c r="CB487" i="8"/>
  <c r="CC360" i="8"/>
  <c r="CC456" i="8"/>
  <c r="CB419" i="8"/>
  <c r="CB373" i="8" s="1"/>
  <c r="CB368" i="8"/>
  <c r="CB375" i="8"/>
  <c r="CB367" i="8"/>
  <c r="CB369" i="8"/>
  <c r="AU83" i="7"/>
  <c r="CB370" i="8"/>
  <c r="AU85" i="7" s="1"/>
  <c r="CC361" i="8"/>
  <c r="CC468" i="8"/>
  <c r="CD359" i="8"/>
  <c r="CD430" i="8"/>
  <c r="CD429" i="8"/>
  <c r="CD423" i="8"/>
  <c r="CD428" i="8"/>
  <c r="CD444" i="8"/>
  <c r="CD424" i="8"/>
  <c r="CB374" i="8"/>
  <c r="AU80" i="7"/>
  <c r="CC362" i="8"/>
  <c r="CC485" i="8"/>
  <c r="CB457" i="8"/>
  <c r="CB459" i="8"/>
  <c r="CB458" i="8"/>
  <c r="CE423" i="8"/>
  <c r="CE428" i="8"/>
  <c r="CE424" i="8"/>
  <c r="CE429" i="8"/>
  <c r="CE444" i="8"/>
  <c r="CE359" i="8"/>
  <c r="CE430" i="8"/>
  <c r="X336" i="8"/>
  <c r="X655" i="8"/>
  <c r="X546" i="8" s="1"/>
  <c r="X338" i="8"/>
  <c r="J23" i="4" s="1"/>
  <c r="X717" i="8"/>
  <c r="J10" i="4"/>
  <c r="X418" i="8"/>
  <c r="X356" i="8" s="1"/>
  <c r="X812" i="8"/>
  <c r="X736" i="8"/>
  <c r="AD622" i="8"/>
  <c r="X333" i="8"/>
  <c r="X337" i="8"/>
  <c r="X355" i="8"/>
  <c r="X335" i="8"/>
  <c r="R182" i="7"/>
  <c r="R179" i="7"/>
  <c r="AD627" i="8"/>
  <c r="AC625" i="8"/>
  <c r="W362" i="8"/>
  <c r="W485" i="8"/>
  <c r="X428" i="8"/>
  <c r="X429" i="8"/>
  <c r="X359" i="8"/>
  <c r="X444" i="8"/>
  <c r="X423" i="8"/>
  <c r="X430" i="8"/>
  <c r="V374" i="8"/>
  <c r="K80" i="7"/>
  <c r="AB615" i="8"/>
  <c r="AA613" i="8"/>
  <c r="AA535" i="8" s="1"/>
  <c r="AD764" i="8"/>
  <c r="P11" i="4"/>
  <c r="AD591" i="8"/>
  <c r="AD533" i="8"/>
  <c r="Q155" i="7"/>
  <c r="Q158" i="7" s="1"/>
  <c r="Q160" i="7"/>
  <c r="Q108" i="7"/>
  <c r="Q73" i="7"/>
  <c r="Z312" i="8"/>
  <c r="Z479" i="8"/>
  <c r="Z482" i="8"/>
  <c r="P162" i="7"/>
  <c r="P163" i="7" s="1"/>
  <c r="W361" i="8"/>
  <c r="W468" i="8"/>
  <c r="AC617" i="8"/>
  <c r="AC739" i="8" s="1"/>
  <c r="AD614" i="8"/>
  <c r="AD617" i="8" s="1"/>
  <c r="AD739" i="8" s="1"/>
  <c r="AB623" i="8"/>
  <c r="AA621" i="8"/>
  <c r="AA538" i="8" s="1"/>
  <c r="Q183" i="7"/>
  <c r="Q234" i="7"/>
  <c r="Q229" i="7"/>
  <c r="CE499" i="8"/>
  <c r="CE320" i="8" s="1"/>
  <c r="V320" i="8"/>
  <c r="AD644" i="8"/>
  <c r="AD536" i="8"/>
  <c r="AD574" i="8"/>
  <c r="AD528" i="8"/>
  <c r="AD39" i="8"/>
  <c r="AD47" i="8"/>
  <c r="AD40" i="8"/>
  <c r="AD38" i="8"/>
  <c r="AD35" i="8"/>
  <c r="V459" i="8"/>
  <c r="V457" i="8"/>
  <c r="U655" i="8"/>
  <c r="G10" i="4"/>
  <c r="U322" i="8"/>
  <c r="W360" i="8"/>
  <c r="W456" i="8"/>
  <c r="Z672" i="8"/>
  <c r="Z551" i="8"/>
  <c r="AT80" i="7"/>
  <c r="CA374" i="8"/>
  <c r="V557" i="8"/>
  <c r="W701" i="8"/>
  <c r="AC41" i="8"/>
  <c r="S14" i="7"/>
  <c r="S17" i="7"/>
  <c r="AA490" i="8"/>
  <c r="AA478" i="8"/>
  <c r="AD660" i="8"/>
  <c r="AD547" i="8"/>
  <c r="AD758" i="8" s="1"/>
  <c r="AD530" i="8"/>
  <c r="AD751" i="8" s="1"/>
  <c r="AD578" i="8"/>
  <c r="AD570" i="8"/>
  <c r="AD526" i="8"/>
  <c r="V469" i="8"/>
  <c r="V471" i="8"/>
  <c r="R107" i="7"/>
  <c r="R104" i="7"/>
  <c r="AB741" i="8"/>
  <c r="AB631" i="8"/>
  <c r="W703" i="8"/>
  <c r="W738" i="8"/>
  <c r="W364" i="8"/>
  <c r="W358" i="8"/>
  <c r="W447" i="8"/>
  <c r="W445" i="8"/>
  <c r="R18" i="7"/>
  <c r="R75" i="7"/>
  <c r="R70" i="7"/>
  <c r="AT78" i="7"/>
  <c r="V488" i="8"/>
  <c r="V486" i="8"/>
  <c r="AC749" i="8"/>
  <c r="AC821" i="8"/>
  <c r="Y422" i="8"/>
  <c r="Z425" i="8"/>
  <c r="P236" i="7"/>
  <c r="P237" i="7" s="1"/>
  <c r="AC466" i="8"/>
  <c r="S178" i="7"/>
  <c r="S177" i="7" s="1"/>
  <c r="S102" i="7"/>
  <c r="AC454" i="8"/>
  <c r="AB483" i="8"/>
  <c r="AQ85" i="7"/>
  <c r="AS85" i="7"/>
  <c r="AR84" i="7"/>
  <c r="AR85" i="7"/>
  <c r="BZ373" i="8"/>
  <c r="AS84" i="7"/>
  <c r="BX373" i="8"/>
  <c r="AQ84" i="7"/>
  <c r="BY373" i="8"/>
  <c r="U810" i="8"/>
  <c r="T816" i="8"/>
  <c r="BO810" i="8"/>
  <c r="BO815" i="8" s="1"/>
  <c r="BN816" i="8"/>
  <c r="T563" i="8"/>
  <c r="T540" i="8" s="1"/>
  <c r="AD182" i="8"/>
  <c r="AD176" i="8"/>
  <c r="AD173" i="8"/>
  <c r="AD178" i="8" s="1"/>
  <c r="AD183" i="8" s="1"/>
  <c r="AC181" i="8"/>
  <c r="AC192" i="8"/>
  <c r="AC195" i="8" s="1"/>
  <c r="AC203" i="8" s="1"/>
  <c r="AD415" i="8"/>
  <c r="AB438" i="8"/>
  <c r="AB381" i="8"/>
  <c r="W322" i="8" l="1"/>
  <c r="W324" i="8" s="1"/>
  <c r="Z648" i="8"/>
  <c r="Y442" i="8"/>
  <c r="X545" i="8"/>
  <c r="X756" i="8" s="1"/>
  <c r="Z664" i="8"/>
  <c r="CA322" i="8"/>
  <c r="CA324" i="8" s="1"/>
  <c r="Y315" i="8"/>
  <c r="Y319" i="8" s="1"/>
  <c r="Y499" i="8" s="1"/>
  <c r="Y320" i="8" s="1"/>
  <c r="K10" i="4" s="1"/>
  <c r="Y820" i="8"/>
  <c r="Z549" i="8"/>
  <c r="Z760" i="8" s="1"/>
  <c r="Z313" i="8"/>
  <c r="Z315" i="8" s="1"/>
  <c r="Z319" i="8" s="1"/>
  <c r="AA462" i="8"/>
  <c r="AA465" i="8"/>
  <c r="AA724" i="8"/>
  <c r="AA720" i="8" s="1"/>
  <c r="AA561" i="8" s="1"/>
  <c r="I10" i="4"/>
  <c r="AA309" i="8"/>
  <c r="AA353" i="8" s="1"/>
  <c r="AC496" i="8"/>
  <c r="AC317" i="8" s="1"/>
  <c r="AA663" i="8"/>
  <c r="AA548" i="8" s="1"/>
  <c r="AA759" i="8" s="1"/>
  <c r="AC56" i="8"/>
  <c r="AC57" i="8" s="1"/>
  <c r="AA671" i="8"/>
  <c r="AA672" i="8" s="1"/>
  <c r="AA647" i="8"/>
  <c r="AA648" i="8" s="1"/>
  <c r="AC502" i="8"/>
  <c r="AC318" i="8" s="1"/>
  <c r="AA310" i="8"/>
  <c r="AA450" i="8"/>
  <c r="AD625" i="8"/>
  <c r="AD741" i="8" s="1"/>
  <c r="AB382" i="8"/>
  <c r="AB308" i="8"/>
  <c r="AB647" i="8" s="1"/>
  <c r="AD416" i="8"/>
  <c r="AD306" i="8"/>
  <c r="AD307" i="8" s="1"/>
  <c r="AD496" i="8" s="1"/>
  <c r="AD317" i="8" s="1"/>
  <c r="AB461" i="8"/>
  <c r="AB311" i="8" s="1"/>
  <c r="AB439" i="8"/>
  <c r="AB449" i="8"/>
  <c r="AB453" i="8" s="1"/>
  <c r="Q232" i="7"/>
  <c r="Q236" i="7" s="1"/>
  <c r="Q237" i="7" s="1"/>
  <c r="CE353" i="8"/>
  <c r="CE315" i="8"/>
  <c r="CE364" i="8" s="1"/>
  <c r="AX71" i="7"/>
  <c r="AX72" i="7" s="1"/>
  <c r="AX156" i="7"/>
  <c r="AX157" i="7" s="1"/>
  <c r="CE362" i="8"/>
  <c r="CE485" i="8"/>
  <c r="CD360" i="8"/>
  <c r="CD456" i="8"/>
  <c r="CD364" i="8"/>
  <c r="CD365" i="8"/>
  <c r="CC369" i="8"/>
  <c r="CC370" i="8"/>
  <c r="AV85" i="7" s="1"/>
  <c r="CC368" i="8"/>
  <c r="AV83" i="7"/>
  <c r="CC375" i="8"/>
  <c r="CC419" i="8"/>
  <c r="CC373" i="8" s="1"/>
  <c r="CC367" i="8"/>
  <c r="CE360" i="8"/>
  <c r="CE456" i="8"/>
  <c r="AU164" i="7"/>
  <c r="AU79" i="7"/>
  <c r="CC469" i="8"/>
  <c r="CC470" i="8"/>
  <c r="CC471" i="8"/>
  <c r="CC374" i="8"/>
  <c r="AV80" i="7"/>
  <c r="CE447" i="8"/>
  <c r="CE446" i="8"/>
  <c r="CE445" i="8"/>
  <c r="CC488" i="8"/>
  <c r="CC486" i="8"/>
  <c r="CC487" i="8"/>
  <c r="CD361" i="8"/>
  <c r="CD468" i="8"/>
  <c r="CE361" i="8"/>
  <c r="CE468" i="8"/>
  <c r="CD447" i="8"/>
  <c r="CD445" i="8"/>
  <c r="CD446" i="8"/>
  <c r="CD362" i="8"/>
  <c r="CD485" i="8"/>
  <c r="AU84" i="7"/>
  <c r="CC457" i="8"/>
  <c r="CC458" i="8"/>
  <c r="CC459" i="8"/>
  <c r="X656" i="8"/>
  <c r="Q162" i="7"/>
  <c r="Q163" i="7" s="1"/>
  <c r="AD41" i="8"/>
  <c r="S107" i="7"/>
  <c r="S104" i="7"/>
  <c r="R160" i="7"/>
  <c r="R108" i="7"/>
  <c r="R155" i="7"/>
  <c r="R158" i="7" s="1"/>
  <c r="W459" i="8"/>
  <c r="W457" i="8"/>
  <c r="AC623" i="8"/>
  <c r="AB621" i="8"/>
  <c r="AB538" i="8" s="1"/>
  <c r="W469" i="8"/>
  <c r="W471" i="8"/>
  <c r="X447" i="8"/>
  <c r="X445" i="8"/>
  <c r="AA549" i="8"/>
  <c r="AA668" i="8"/>
  <c r="S182" i="7"/>
  <c r="S179" i="7"/>
  <c r="Z422" i="8"/>
  <c r="AA425" i="8"/>
  <c r="AA479" i="8"/>
  <c r="AA312" i="8"/>
  <c r="AA482" i="8"/>
  <c r="W712" i="8"/>
  <c r="W700" i="8" s="1"/>
  <c r="W717" i="8"/>
  <c r="W418" i="8"/>
  <c r="W356" i="8" s="1"/>
  <c r="W812" i="8"/>
  <c r="W355" i="8"/>
  <c r="W337" i="8"/>
  <c r="W338" i="8"/>
  <c r="I23" i="4" s="1"/>
  <c r="L82" i="7"/>
  <c r="W335" i="8"/>
  <c r="W336" i="8"/>
  <c r="W333" i="8"/>
  <c r="W736" i="8"/>
  <c r="W365" i="8"/>
  <c r="AC615" i="8"/>
  <c r="AB613" i="8"/>
  <c r="AB535" i="8" s="1"/>
  <c r="X703" i="8"/>
  <c r="X364" i="8"/>
  <c r="X738" i="8"/>
  <c r="X365" i="8"/>
  <c r="X358" i="8"/>
  <c r="Y545" i="8"/>
  <c r="Y652" i="8"/>
  <c r="AB490" i="8"/>
  <c r="AB478" i="8"/>
  <c r="Y359" i="8"/>
  <c r="Y430" i="8"/>
  <c r="Y423" i="8"/>
  <c r="Y444" i="8"/>
  <c r="Y429" i="8"/>
  <c r="Y428" i="8"/>
  <c r="R73" i="7"/>
  <c r="L80" i="7"/>
  <c r="W374" i="8"/>
  <c r="U324" i="8"/>
  <c r="H10" i="4"/>
  <c r="V322" i="8"/>
  <c r="V655" i="8"/>
  <c r="W656" i="8" s="1"/>
  <c r="K79" i="7"/>
  <c r="X485" i="8"/>
  <c r="X362" i="8"/>
  <c r="X361" i="8"/>
  <c r="X468" i="8"/>
  <c r="R229" i="7"/>
  <c r="R234" i="7"/>
  <c r="R183" i="7"/>
  <c r="AC483" i="8"/>
  <c r="AD454" i="8"/>
  <c r="AD466" i="8"/>
  <c r="S70" i="7"/>
  <c r="S73" i="7" s="1"/>
  <c r="S18" i="7"/>
  <c r="S75" i="7"/>
  <c r="AT79" i="7"/>
  <c r="AT164" i="7"/>
  <c r="U656" i="8"/>
  <c r="U546" i="8"/>
  <c r="AD821" i="8"/>
  <c r="AD749" i="8"/>
  <c r="W546" i="8"/>
  <c r="X757" i="8" s="1"/>
  <c r="X360" i="8"/>
  <c r="X456" i="8"/>
  <c r="W486" i="8"/>
  <c r="W488" i="8"/>
  <c r="AC741" i="8"/>
  <c r="AC631" i="8"/>
  <c r="T564" i="8"/>
  <c r="T532" i="8"/>
  <c r="BP810" i="8"/>
  <c r="BP815" i="8" s="1"/>
  <c r="BO816" i="8"/>
  <c r="AD181" i="8"/>
  <c r="AD192" i="8"/>
  <c r="AD195" i="8" s="1"/>
  <c r="AD203" i="8" s="1"/>
  <c r="AC438" i="8"/>
  <c r="AC381" i="8"/>
  <c r="AA760" i="8" l="1"/>
  <c r="AB663" i="8"/>
  <c r="AB548" i="8" s="1"/>
  <c r="AB759" i="8" s="1"/>
  <c r="X550" i="8"/>
  <c r="X554" i="8" s="1"/>
  <c r="Y354" i="8"/>
  <c r="N78" i="7" s="1"/>
  <c r="Y756" i="8"/>
  <c r="X747" i="8"/>
  <c r="J12" i="4" s="1"/>
  <c r="Z442" i="8"/>
  <c r="Z354" i="8"/>
  <c r="O78" i="7" s="1"/>
  <c r="Z651" i="8"/>
  <c r="Z545" i="8" s="1"/>
  <c r="Z756" i="8" s="1"/>
  <c r="O77" i="7"/>
  <c r="Z820" i="8"/>
  <c r="N77" i="7"/>
  <c r="AA543" i="8"/>
  <c r="AA754" i="8" s="1"/>
  <c r="AB671" i="8"/>
  <c r="AB672" i="8" s="1"/>
  <c r="AB667" i="8"/>
  <c r="AB668" i="8" s="1"/>
  <c r="AB724" i="8"/>
  <c r="AB720" i="8" s="1"/>
  <c r="AB561" i="8" s="1"/>
  <c r="AB309" i="8"/>
  <c r="AB353" i="8" s="1"/>
  <c r="AB450" i="8"/>
  <c r="AA551" i="8"/>
  <c r="AA313" i="8"/>
  <c r="AA315" i="8" s="1"/>
  <c r="AA319" i="8" s="1"/>
  <c r="AA499" i="8" s="1"/>
  <c r="AA320" i="8" s="1"/>
  <c r="AA322" i="8" s="1"/>
  <c r="AA324" i="8" s="1"/>
  <c r="AA333" i="8" s="1"/>
  <c r="AB462" i="8"/>
  <c r="AA664" i="8"/>
  <c r="AB465" i="8"/>
  <c r="AB310" i="8"/>
  <c r="AD207" i="8"/>
  <c r="AD502" i="8"/>
  <c r="AD318" i="8" s="1"/>
  <c r="AD56" i="8"/>
  <c r="AD57" i="8" s="1"/>
  <c r="AD631" i="8"/>
  <c r="CE374" i="8"/>
  <c r="AX80" i="7"/>
  <c r="AC439" i="8"/>
  <c r="AC449" i="8"/>
  <c r="AC310" i="8" s="1"/>
  <c r="AC461" i="8"/>
  <c r="AC311" i="8" s="1"/>
  <c r="AC308" i="8"/>
  <c r="AC671" i="8" s="1"/>
  <c r="AC382" i="8"/>
  <c r="R232" i="7"/>
  <c r="AX77" i="7"/>
  <c r="CE319" i="8"/>
  <c r="CE354" i="8"/>
  <c r="AX78" i="7" s="1"/>
  <c r="CD471" i="8"/>
  <c r="CD469" i="8"/>
  <c r="CD470" i="8"/>
  <c r="CE457" i="8"/>
  <c r="CE458" i="8"/>
  <c r="CE459" i="8"/>
  <c r="AV84" i="7"/>
  <c r="CD457" i="8"/>
  <c r="CD459" i="8"/>
  <c r="CD458" i="8"/>
  <c r="CE470" i="8"/>
  <c r="CE469" i="8"/>
  <c r="CE471" i="8"/>
  <c r="CD488" i="8"/>
  <c r="CD486" i="8"/>
  <c r="CD487" i="8"/>
  <c r="AV164" i="7"/>
  <c r="AV79" i="7"/>
  <c r="AW83" i="7"/>
  <c r="CD370" i="8"/>
  <c r="AW85" i="7" s="1"/>
  <c r="CD367" i="8"/>
  <c r="CD369" i="8"/>
  <c r="CD375" i="8"/>
  <c r="CD419" i="8"/>
  <c r="CD373" i="8" s="1"/>
  <c r="CD368" i="8"/>
  <c r="CE488" i="8"/>
  <c r="CE487" i="8"/>
  <c r="CE486" i="8"/>
  <c r="CD374" i="8"/>
  <c r="AW80" i="7"/>
  <c r="Y655" i="8"/>
  <c r="Y546" i="8" s="1"/>
  <c r="Y322" i="8"/>
  <c r="Y324" i="8" s="1"/>
  <c r="Y365" i="8" s="1"/>
  <c r="AB648" i="8"/>
  <c r="AB543" i="8"/>
  <c r="X488" i="8"/>
  <c r="X486" i="8"/>
  <c r="V324" i="8"/>
  <c r="U336" i="8"/>
  <c r="U335" i="8"/>
  <c r="U338" i="8"/>
  <c r="U355" i="8"/>
  <c r="U333" i="8"/>
  <c r="U736" i="8"/>
  <c r="J82" i="7"/>
  <c r="U337" i="8"/>
  <c r="U717" i="8"/>
  <c r="U718" i="8" s="1"/>
  <c r="U714" i="8" s="1"/>
  <c r="U812" i="8"/>
  <c r="U418" i="8"/>
  <c r="U365" i="8"/>
  <c r="S183" i="7"/>
  <c r="S229" i="7"/>
  <c r="S234" i="7"/>
  <c r="AB664" i="8"/>
  <c r="X471" i="8"/>
  <c r="X469" i="8"/>
  <c r="Y360" i="8"/>
  <c r="Y456" i="8"/>
  <c r="Y485" i="8"/>
  <c r="Y362" i="8"/>
  <c r="X375" i="8"/>
  <c r="M84" i="7" s="1"/>
  <c r="X419" i="8"/>
  <c r="X369" i="8"/>
  <c r="M83" i="7"/>
  <c r="X368" i="8"/>
  <c r="X367" i="8"/>
  <c r="X370" i="8"/>
  <c r="X701" i="8"/>
  <c r="X712" i="8" s="1"/>
  <c r="X700" i="8" s="1"/>
  <c r="W557" i="8"/>
  <c r="AB425" i="8"/>
  <c r="AA422" i="8"/>
  <c r="AC621" i="8"/>
  <c r="AC538" i="8" s="1"/>
  <c r="AD623" i="8"/>
  <c r="AD621" i="8" s="1"/>
  <c r="AD538" i="8" s="1"/>
  <c r="R162" i="7"/>
  <c r="R163" i="7" s="1"/>
  <c r="S160" i="7"/>
  <c r="S108" i="7"/>
  <c r="S155" i="7"/>
  <c r="S158" i="7" s="1"/>
  <c r="W550" i="8"/>
  <c r="W554" i="8" s="1"/>
  <c r="U757" i="8"/>
  <c r="U747" i="8" s="1"/>
  <c r="U550" i="8"/>
  <c r="U554" i="8" s="1"/>
  <c r="AD483" i="8"/>
  <c r="R236" i="7"/>
  <c r="R237" i="7" s="1"/>
  <c r="V546" i="8"/>
  <c r="W757" i="8" s="1"/>
  <c r="W747" i="8" s="1"/>
  <c r="I12" i="4" s="1"/>
  <c r="V656" i="8"/>
  <c r="L79" i="7"/>
  <c r="Y361" i="8"/>
  <c r="Y468" i="8"/>
  <c r="Y358" i="8"/>
  <c r="Y738" i="8"/>
  <c r="Y364" i="8"/>
  <c r="Y703" i="8"/>
  <c r="AB312" i="8"/>
  <c r="AB482" i="8"/>
  <c r="AB479" i="8"/>
  <c r="AD615" i="8"/>
  <c r="AD613" i="8" s="1"/>
  <c r="AD535" i="8" s="1"/>
  <c r="AC613" i="8"/>
  <c r="AC535" i="8" s="1"/>
  <c r="Z423" i="8"/>
  <c r="Z428" i="8"/>
  <c r="Z359" i="8"/>
  <c r="Z430" i="8"/>
  <c r="Z429" i="8"/>
  <c r="Z444" i="8"/>
  <c r="Z499" i="8"/>
  <c r="Z320" i="8" s="1"/>
  <c r="X459" i="8"/>
  <c r="X457" i="8"/>
  <c r="AC490" i="8"/>
  <c r="AC478" i="8"/>
  <c r="CA333" i="8"/>
  <c r="CA336" i="8"/>
  <c r="CA337" i="8"/>
  <c r="AT82" i="7"/>
  <c r="CA335" i="8"/>
  <c r="CA355" i="8"/>
  <c r="CA418" i="8"/>
  <c r="CA356" i="8" s="1"/>
  <c r="CA365" i="8"/>
  <c r="CA338" i="8"/>
  <c r="Y447" i="8"/>
  <c r="Y445" i="8"/>
  <c r="X374" i="8"/>
  <c r="M79" i="7" s="1"/>
  <c r="M80" i="7"/>
  <c r="W370" i="8"/>
  <c r="L83" i="7"/>
  <c r="W368" i="8"/>
  <c r="W375" i="8"/>
  <c r="W367" i="8"/>
  <c r="W369" i="8"/>
  <c r="W419" i="8"/>
  <c r="BP816" i="8"/>
  <c r="BQ810" i="8"/>
  <c r="BQ815" i="8" s="1"/>
  <c r="X761" i="8"/>
  <c r="T822" i="8"/>
  <c r="AD381" i="8"/>
  <c r="AD438" i="8"/>
  <c r="AB551" i="8" l="1"/>
  <c r="AC309" i="8"/>
  <c r="AC353" i="8" s="1"/>
  <c r="AB754" i="8"/>
  <c r="Z652" i="8"/>
  <c r="AA442" i="8"/>
  <c r="AA354" i="8"/>
  <c r="P78" i="7" s="1"/>
  <c r="AB549" i="8"/>
  <c r="AB760" i="8" s="1"/>
  <c r="AB313" i="8"/>
  <c r="AB820" i="8" s="1"/>
  <c r="AC453" i="8"/>
  <c r="P77" i="7"/>
  <c r="AC450" i="8"/>
  <c r="AA820" i="8"/>
  <c r="AA651" i="8"/>
  <c r="AA652" i="8" s="1"/>
  <c r="AC724" i="8"/>
  <c r="AC720" i="8" s="1"/>
  <c r="AC561" i="8" s="1"/>
  <c r="AC663" i="8"/>
  <c r="AC548" i="8" s="1"/>
  <c r="AC759" i="8" s="1"/>
  <c r="AC667" i="8"/>
  <c r="AC549" i="8" s="1"/>
  <c r="AC647" i="8"/>
  <c r="AC648" i="8" s="1"/>
  <c r="AC465" i="8"/>
  <c r="AX164" i="7"/>
  <c r="AX79" i="7"/>
  <c r="AC462" i="8"/>
  <c r="AD439" i="8"/>
  <c r="AD461" i="8"/>
  <c r="AD311" i="8" s="1"/>
  <c r="AD449" i="8"/>
  <c r="AD450" i="8" s="1"/>
  <c r="AD382" i="8"/>
  <c r="AD308" i="8"/>
  <c r="AD667" i="8" s="1"/>
  <c r="CE322" i="8"/>
  <c r="CE324" i="8" s="1"/>
  <c r="CE500" i="8"/>
  <c r="S232" i="7"/>
  <c r="Y812" i="8"/>
  <c r="Y656" i="8"/>
  <c r="AW164" i="7"/>
  <c r="AW79" i="7"/>
  <c r="AW84" i="7"/>
  <c r="Y335" i="8"/>
  <c r="AA736" i="8"/>
  <c r="M10" i="4"/>
  <c r="Y338" i="8"/>
  <c r="K23" i="4" s="1"/>
  <c r="Y736" i="8"/>
  <c r="AA655" i="8"/>
  <c r="AA546" i="8" s="1"/>
  <c r="Y337" i="8"/>
  <c r="Y717" i="8"/>
  <c r="AA338" i="8"/>
  <c r="M23" i="4" s="1"/>
  <c r="N82" i="7"/>
  <c r="Y355" i="8"/>
  <c r="AA335" i="8"/>
  <c r="Y418" i="8"/>
  <c r="Y356" i="8" s="1"/>
  <c r="Y333" i="8"/>
  <c r="Y336" i="8"/>
  <c r="AA336" i="8"/>
  <c r="AA717" i="8"/>
  <c r="AA812" i="8"/>
  <c r="P82" i="7"/>
  <c r="AA337" i="8"/>
  <c r="AA418" i="8"/>
  <c r="AA356" i="8" s="1"/>
  <c r="AA355" i="8"/>
  <c r="S236" i="7"/>
  <c r="S237" i="7" s="1"/>
  <c r="AC551" i="8"/>
  <c r="AC672" i="8"/>
  <c r="AA545" i="8"/>
  <c r="AA756" i="8" s="1"/>
  <c r="Z655" i="8"/>
  <c r="L10" i="4"/>
  <c r="Z485" i="8"/>
  <c r="Z362" i="8"/>
  <c r="X557" i="8"/>
  <c r="Y701" i="8"/>
  <c r="Y712" i="8" s="1"/>
  <c r="Y700" i="8" s="1"/>
  <c r="U370" i="8"/>
  <c r="U375" i="8"/>
  <c r="U368" i="8"/>
  <c r="U367" i="8"/>
  <c r="U369" i="8"/>
  <c r="U419" i="8"/>
  <c r="J83" i="7"/>
  <c r="AC479" i="8"/>
  <c r="AC482" i="8"/>
  <c r="AC312" i="8"/>
  <c r="AC313" i="8" s="1"/>
  <c r="Z358" i="8"/>
  <c r="Z703" i="8"/>
  <c r="Z364" i="8"/>
  <c r="Z738" i="8"/>
  <c r="Y471" i="8"/>
  <c r="Y469" i="8"/>
  <c r="AD490" i="8"/>
  <c r="AD478" i="8"/>
  <c r="AA430" i="8"/>
  <c r="AA444" i="8"/>
  <c r="AA359" i="8"/>
  <c r="AA428" i="8"/>
  <c r="AA423" i="8"/>
  <c r="AA429" i="8"/>
  <c r="J26" i="4"/>
  <c r="M85" i="7"/>
  <c r="U356" i="8"/>
  <c r="G23" i="4"/>
  <c r="L85" i="7"/>
  <c r="I26" i="4"/>
  <c r="G29" i="4" s="1"/>
  <c r="CA368" i="8"/>
  <c r="CA370" i="8"/>
  <c r="AT83" i="7"/>
  <c r="CA369" i="8"/>
  <c r="CA419" i="8"/>
  <c r="CA375" i="8"/>
  <c r="CA367" i="8"/>
  <c r="Z447" i="8"/>
  <c r="Z445" i="8"/>
  <c r="Z360" i="8"/>
  <c r="Z456" i="8"/>
  <c r="Y374" i="8"/>
  <c r="N79" i="7" s="1"/>
  <c r="N80" i="7"/>
  <c r="V550" i="8"/>
  <c r="V554" i="8" s="1"/>
  <c r="V757" i="8"/>
  <c r="V747" i="8" s="1"/>
  <c r="AC425" i="8"/>
  <c r="AB422" i="8"/>
  <c r="Y486" i="8"/>
  <c r="Y488" i="8"/>
  <c r="U761" i="8"/>
  <c r="I9" i="4"/>
  <c r="I13" i="4" s="1"/>
  <c r="W373" i="8"/>
  <c r="L84" i="7"/>
  <c r="Z322" i="8"/>
  <c r="Z324" i="8" s="1"/>
  <c r="Z468" i="8"/>
  <c r="Z361" i="8"/>
  <c r="G12" i="4"/>
  <c r="S162" i="7"/>
  <c r="S163" i="7" s="1"/>
  <c r="X373" i="8"/>
  <c r="J9" i="4"/>
  <c r="J13" i="4" s="1"/>
  <c r="Y457" i="8"/>
  <c r="Y459" i="8"/>
  <c r="W761" i="8"/>
  <c r="U560" i="8"/>
  <c r="V715" i="8"/>
  <c r="V337" i="8"/>
  <c r="V335" i="8"/>
  <c r="K82" i="7"/>
  <c r="V812" i="8"/>
  <c r="V355" i="8"/>
  <c r="V717" i="8"/>
  <c r="V333" i="8"/>
  <c r="V418" i="8"/>
  <c r="V365" i="8"/>
  <c r="V736" i="8"/>
  <c r="V336" i="8"/>
  <c r="V338" i="8"/>
  <c r="T566" i="8"/>
  <c r="T795" i="8"/>
  <c r="Y757" i="8"/>
  <c r="Y747" i="8" s="1"/>
  <c r="K12" i="4" s="1"/>
  <c r="Y550" i="8"/>
  <c r="Y554" i="8" s="1"/>
  <c r="BR810" i="8"/>
  <c r="BR815" i="8" s="1"/>
  <c r="BQ816" i="8"/>
  <c r="Y369" i="8"/>
  <c r="N83" i="7"/>
  <c r="Y375" i="8"/>
  <c r="N84" i="7" s="1"/>
  <c r="Y370" i="8"/>
  <c r="Y368" i="8"/>
  <c r="Y419" i="8"/>
  <c r="Y367" i="8"/>
  <c r="AB442" i="8" l="1"/>
  <c r="AD465" i="8"/>
  <c r="AB651" i="8"/>
  <c r="AB545" i="8" s="1"/>
  <c r="AB756" i="8" s="1"/>
  <c r="AB315" i="8"/>
  <c r="Q77" i="7" s="1"/>
  <c r="AC664" i="8"/>
  <c r="AC760" i="8"/>
  <c r="AC543" i="8"/>
  <c r="AC754" i="8" s="1"/>
  <c r="AD663" i="8"/>
  <c r="AD664" i="8" s="1"/>
  <c r="AD724" i="8"/>
  <c r="AD720" i="8" s="1"/>
  <c r="AD561" i="8" s="1"/>
  <c r="AD647" i="8"/>
  <c r="AD543" i="8" s="1"/>
  <c r="AD671" i="8"/>
  <c r="AD551" i="8" s="1"/>
  <c r="AD309" i="8"/>
  <c r="AD353" i="8" s="1"/>
  <c r="AC668" i="8"/>
  <c r="AD462" i="8"/>
  <c r="AD453" i="8"/>
  <c r="AD310" i="8"/>
  <c r="AX82" i="7"/>
  <c r="CE355" i="8"/>
  <c r="CE335" i="8"/>
  <c r="CE338" i="8"/>
  <c r="CE418" i="8"/>
  <c r="CE356" i="8" s="1"/>
  <c r="CE337" i="8"/>
  <c r="CE333" i="8"/>
  <c r="CE365" i="8"/>
  <c r="CE336" i="8"/>
  <c r="AA656" i="8"/>
  <c r="V718" i="8"/>
  <c r="V714" i="8" s="1"/>
  <c r="W715" i="8" s="1"/>
  <c r="W718" i="8" s="1"/>
  <c r="W714" i="8" s="1"/>
  <c r="Z457" i="8"/>
  <c r="Z459" i="8"/>
  <c r="AT84" i="7"/>
  <c r="AT85" i="7"/>
  <c r="J28" i="4"/>
  <c r="AA364" i="8"/>
  <c r="AA358" i="8"/>
  <c r="AA365" i="8"/>
  <c r="AA703" i="8"/>
  <c r="AA738" i="8"/>
  <c r="O80" i="7"/>
  <c r="Z374" i="8"/>
  <c r="O79" i="7" s="1"/>
  <c r="AB354" i="8"/>
  <c r="Q78" i="7" s="1"/>
  <c r="V370" i="8"/>
  <c r="V375" i="8"/>
  <c r="V419" i="8"/>
  <c r="V367" i="8"/>
  <c r="V368" i="8"/>
  <c r="AE365" i="8"/>
  <c r="V369" i="8"/>
  <c r="K83" i="7"/>
  <c r="U83" i="7" s="1"/>
  <c r="U562" i="8"/>
  <c r="U814" i="8"/>
  <c r="U815" i="8" s="1"/>
  <c r="AD425" i="8"/>
  <c r="AD422" i="8" s="1"/>
  <c r="AC422" i="8"/>
  <c r="V761" i="8"/>
  <c r="V356" i="8"/>
  <c r="CA373" i="8"/>
  <c r="AA468" i="8"/>
  <c r="AA361" i="8"/>
  <c r="AA445" i="8"/>
  <c r="AA447" i="8"/>
  <c r="Z486" i="8"/>
  <c r="Z488" i="8"/>
  <c r="Z469" i="8"/>
  <c r="Z471" i="8"/>
  <c r="AD668" i="8"/>
  <c r="AD549" i="8"/>
  <c r="AD760" i="8" s="1"/>
  <c r="AC315" i="8"/>
  <c r="AC651" i="8"/>
  <c r="AC442" i="8"/>
  <c r="AA362" i="8"/>
  <c r="AA485" i="8"/>
  <c r="J85" i="7"/>
  <c r="G26" i="4"/>
  <c r="AE338" i="8"/>
  <c r="H23" i="4"/>
  <c r="Z717" i="8"/>
  <c r="Z736" i="8"/>
  <c r="Z336" i="8"/>
  <c r="Z335" i="8"/>
  <c r="Z338" i="8"/>
  <c r="L23" i="4" s="1"/>
  <c r="Z812" i="8"/>
  <c r="O82" i="7"/>
  <c r="Z418" i="8"/>
  <c r="Z356" i="8" s="1"/>
  <c r="Z337" i="8"/>
  <c r="Z365" i="8"/>
  <c r="Z355" i="8"/>
  <c r="Z333" i="8"/>
  <c r="AB423" i="8"/>
  <c r="AB444" i="8"/>
  <c r="AB430" i="8"/>
  <c r="AB429" i="8"/>
  <c r="AB359" i="8"/>
  <c r="AB428" i="8"/>
  <c r="H12" i="4"/>
  <c r="AA456" i="8"/>
  <c r="AA360" i="8"/>
  <c r="AD482" i="8"/>
  <c r="AD479" i="8"/>
  <c r="AD312" i="8"/>
  <c r="U373" i="8"/>
  <c r="G9" i="4"/>
  <c r="G13" i="4" s="1"/>
  <c r="J84" i="7"/>
  <c r="Y557" i="8"/>
  <c r="Z701" i="8"/>
  <c r="Z712" i="8" s="1"/>
  <c r="Z700" i="8" s="1"/>
  <c r="Z546" i="8"/>
  <c r="Z656" i="8"/>
  <c r="Y761" i="8"/>
  <c r="K9" i="4"/>
  <c r="K13" i="4" s="1"/>
  <c r="Y373" i="8"/>
  <c r="BS810" i="8"/>
  <c r="BS815" i="8" s="1"/>
  <c r="BR816" i="8"/>
  <c r="K26" i="4"/>
  <c r="N85" i="7"/>
  <c r="AA550" i="8"/>
  <c r="AA554" i="8" s="1"/>
  <c r="U794" i="8"/>
  <c r="T793" i="8"/>
  <c r="T799" i="8"/>
  <c r="AB652" i="8" l="1"/>
  <c r="AC820" i="8"/>
  <c r="AD754" i="8"/>
  <c r="AD648" i="8"/>
  <c r="AD548" i="8"/>
  <c r="AD759" i="8" s="1"/>
  <c r="AB319" i="8"/>
  <c r="AB499" i="8" s="1"/>
  <c r="AB320" i="8" s="1"/>
  <c r="AB655" i="8" s="1"/>
  <c r="AD313" i="8"/>
  <c r="AD820" i="8" s="1"/>
  <c r="V560" i="8"/>
  <c r="V814" i="8" s="1"/>
  <c r="AD672" i="8"/>
  <c r="CE368" i="8"/>
  <c r="AX83" i="7"/>
  <c r="CE375" i="8"/>
  <c r="CE367" i="8"/>
  <c r="CE370" i="8"/>
  <c r="AX85" i="7" s="1"/>
  <c r="CE369" i="8"/>
  <c r="CE419" i="8"/>
  <c r="CE373" i="8" s="1"/>
  <c r="Z550" i="8"/>
  <c r="Z554" i="8" s="1"/>
  <c r="Z757" i="8"/>
  <c r="Z747" i="8" s="1"/>
  <c r="Z557" i="8"/>
  <c r="AA701" i="8"/>
  <c r="AA712" i="8" s="1"/>
  <c r="AA700" i="8" s="1"/>
  <c r="AB456" i="8"/>
  <c r="AB360" i="8"/>
  <c r="AB445" i="8"/>
  <c r="AB447" i="8"/>
  <c r="Z419" i="8"/>
  <c r="Z369" i="8"/>
  <c r="Z367" i="8"/>
  <c r="Z368" i="8"/>
  <c r="Z370" i="8"/>
  <c r="Z375" i="8"/>
  <c r="O84" i="7" s="1"/>
  <c r="O83" i="7"/>
  <c r="G28" i="4"/>
  <c r="P34" i="4"/>
  <c r="E29" i="4"/>
  <c r="AC545" i="8"/>
  <c r="AC652" i="8"/>
  <c r="AE368" i="8"/>
  <c r="AE370" i="8"/>
  <c r="K85" i="7"/>
  <c r="U85" i="7" s="1"/>
  <c r="H26" i="4"/>
  <c r="I29" i="4" s="1"/>
  <c r="AA367" i="8"/>
  <c r="AA368" i="8"/>
  <c r="AA370" i="8"/>
  <c r="AA369" i="8"/>
  <c r="P83" i="7"/>
  <c r="AA419" i="8"/>
  <c r="AA375" i="8"/>
  <c r="P84" i="7" s="1"/>
  <c r="AA459" i="8"/>
  <c r="AA457" i="8"/>
  <c r="AB703" i="8"/>
  <c r="AB738" i="8"/>
  <c r="AB364" i="8"/>
  <c r="AB358" i="8"/>
  <c r="AA486" i="8"/>
  <c r="AA488" i="8"/>
  <c r="AA471" i="8"/>
  <c r="AA469" i="8"/>
  <c r="AC359" i="8"/>
  <c r="AC429" i="8"/>
  <c r="AC444" i="8"/>
  <c r="AC423" i="8"/>
  <c r="AC430" i="8"/>
  <c r="AC428" i="8"/>
  <c r="U563" i="8"/>
  <c r="V373" i="8"/>
  <c r="H9" i="4"/>
  <c r="H13" i="4" s="1"/>
  <c r="AA757" i="8"/>
  <c r="AA747" i="8" s="1"/>
  <c r="M12" i="4" s="1"/>
  <c r="AB468" i="8"/>
  <c r="AB361" i="8"/>
  <c r="AC354" i="8"/>
  <c r="R78" i="7" s="1"/>
  <c r="AC319" i="8"/>
  <c r="R77" i="7"/>
  <c r="AD428" i="8"/>
  <c r="AD423" i="8"/>
  <c r="AD359" i="8"/>
  <c r="AD430" i="8"/>
  <c r="AD444" i="8"/>
  <c r="AD429" i="8"/>
  <c r="K84" i="7"/>
  <c r="X715" i="8"/>
  <c r="X718" i="8" s="1"/>
  <c r="X714" i="8" s="1"/>
  <c r="W560" i="8"/>
  <c r="AA374" i="8"/>
  <c r="P79" i="7" s="1"/>
  <c r="P80" i="7"/>
  <c r="AB362" i="8"/>
  <c r="AB485" i="8"/>
  <c r="V810" i="8"/>
  <c r="U816" i="8"/>
  <c r="H29" i="4"/>
  <c r="BT810" i="8"/>
  <c r="BT815" i="8" s="1"/>
  <c r="BS816" i="8"/>
  <c r="K28" i="4"/>
  <c r="T774" i="8"/>
  <c r="T798" i="8" s="1"/>
  <c r="N10" i="4" l="1"/>
  <c r="AD442" i="8"/>
  <c r="AB322" i="8"/>
  <c r="AB324" i="8" s="1"/>
  <c r="Q82" i="7" s="1"/>
  <c r="AD315" i="8"/>
  <c r="AD354" i="8" s="1"/>
  <c r="S78" i="7" s="1"/>
  <c r="AD651" i="8"/>
  <c r="AD545" i="8" s="1"/>
  <c r="AD756" i="8" s="1"/>
  <c r="V562" i="8"/>
  <c r="V563" i="8" s="1"/>
  <c r="AX84" i="7"/>
  <c r="AA761" i="8"/>
  <c r="V815" i="8"/>
  <c r="W810" i="8" s="1"/>
  <c r="AD358" i="8"/>
  <c r="AD738" i="8"/>
  <c r="AD703" i="8"/>
  <c r="AC499" i="8"/>
  <c r="AC320" i="8" s="1"/>
  <c r="AC322" i="8" s="1"/>
  <c r="AC324" i="8" s="1"/>
  <c r="AC485" i="8"/>
  <c r="AC362" i="8"/>
  <c r="AC358" i="8"/>
  <c r="AC364" i="8"/>
  <c r="AC738" i="8"/>
  <c r="AC703" i="8"/>
  <c r="Q80" i="7"/>
  <c r="AB374" i="8"/>
  <c r="Q79" i="7" s="1"/>
  <c r="AD362" i="8"/>
  <c r="AD485" i="8"/>
  <c r="AB469" i="8"/>
  <c r="AB471" i="8"/>
  <c r="AC456" i="8"/>
  <c r="AC360" i="8"/>
  <c r="AC361" i="8"/>
  <c r="AC468" i="8"/>
  <c r="H28" i="4"/>
  <c r="I28" i="4"/>
  <c r="AB486" i="8"/>
  <c r="AB488" i="8"/>
  <c r="W814" i="8"/>
  <c r="W562" i="8"/>
  <c r="W563" i="8" s="1"/>
  <c r="AD361" i="8"/>
  <c r="AD468" i="8"/>
  <c r="U540" i="8"/>
  <c r="U564" i="8" s="1"/>
  <c r="P85" i="7"/>
  <c r="M26" i="4"/>
  <c r="L26" i="4"/>
  <c r="O85" i="7"/>
  <c r="L9" i="4"/>
  <c r="Z373" i="8"/>
  <c r="AB459" i="8"/>
  <c r="AB457" i="8"/>
  <c r="Z761" i="8"/>
  <c r="L12" i="4"/>
  <c r="X560" i="8"/>
  <c r="Y715" i="8"/>
  <c r="Y718" i="8" s="1"/>
  <c r="Y714" i="8" s="1"/>
  <c r="AD445" i="8"/>
  <c r="AD447" i="8"/>
  <c r="AD456" i="8"/>
  <c r="AD360" i="8"/>
  <c r="AC447" i="8"/>
  <c r="AC445" i="8"/>
  <c r="M9" i="4"/>
  <c r="M13" i="4" s="1"/>
  <c r="AA373" i="8"/>
  <c r="AB546" i="8"/>
  <c r="AB656" i="8"/>
  <c r="AC756" i="8"/>
  <c r="AB701" i="8"/>
  <c r="AB712" i="8" s="1"/>
  <c r="AB700" i="8" s="1"/>
  <c r="AA557" i="8"/>
  <c r="T773" i="8"/>
  <c r="BT816" i="8"/>
  <c r="BU810" i="8"/>
  <c r="BU815" i="8" s="1"/>
  <c r="AB338" i="8" l="1"/>
  <c r="N23" i="4" s="1"/>
  <c r="AD364" i="8"/>
  <c r="AD374" i="8" s="1"/>
  <c r="S79" i="7" s="1"/>
  <c r="AB812" i="8"/>
  <c r="AB418" i="8"/>
  <c r="AB356" i="8" s="1"/>
  <c r="AD319" i="8"/>
  <c r="AD499" i="8" s="1"/>
  <c r="AD320" i="8" s="1"/>
  <c r="AD655" i="8" s="1"/>
  <c r="S77" i="7"/>
  <c r="AB337" i="8"/>
  <c r="AB355" i="8"/>
  <c r="AB736" i="8"/>
  <c r="AB336" i="8"/>
  <c r="AB365" i="8"/>
  <c r="AB370" i="8" s="1"/>
  <c r="AB717" i="8"/>
  <c r="AB333" i="8"/>
  <c r="AB335" i="8"/>
  <c r="AD652" i="8"/>
  <c r="V816" i="8"/>
  <c r="W540" i="8"/>
  <c r="W532" i="8" s="1"/>
  <c r="AC471" i="8"/>
  <c r="AC469" i="8"/>
  <c r="AD486" i="8"/>
  <c r="AD488" i="8"/>
  <c r="R80" i="7"/>
  <c r="AC374" i="8"/>
  <c r="R79" i="7" s="1"/>
  <c r="AC717" i="8"/>
  <c r="AC736" i="8"/>
  <c r="AC812" i="8"/>
  <c r="AC338" i="8"/>
  <c r="O23" i="4" s="1"/>
  <c r="AC337" i="8"/>
  <c r="AC333" i="8"/>
  <c r="AC355" i="8"/>
  <c r="R82" i="7"/>
  <c r="AC336" i="8"/>
  <c r="AC335" i="8"/>
  <c r="AC418" i="8"/>
  <c r="AC356" i="8" s="1"/>
  <c r="AC365" i="8"/>
  <c r="AD459" i="8"/>
  <c r="AD457" i="8"/>
  <c r="X562" i="8"/>
  <c r="X563" i="8" s="1"/>
  <c r="X814" i="8"/>
  <c r="J29" i="4"/>
  <c r="L28" i="4"/>
  <c r="U532" i="8"/>
  <c r="AC655" i="8"/>
  <c r="O10" i="4"/>
  <c r="W815" i="8"/>
  <c r="L13" i="4"/>
  <c r="K29" i="4"/>
  <c r="M28" i="4"/>
  <c r="AD471" i="8"/>
  <c r="AD469" i="8"/>
  <c r="V540" i="8"/>
  <c r="V564" i="8" s="1"/>
  <c r="AC701" i="8"/>
  <c r="AC712" i="8" s="1"/>
  <c r="AC700" i="8" s="1"/>
  <c r="AB557" i="8"/>
  <c r="AB757" i="8"/>
  <c r="AB747" i="8" s="1"/>
  <c r="N12" i="4" s="1"/>
  <c r="AB550" i="8"/>
  <c r="AB554" i="8" s="1"/>
  <c r="Y560" i="8"/>
  <c r="Z715" i="8"/>
  <c r="Z718" i="8" s="1"/>
  <c r="Z714" i="8" s="1"/>
  <c r="AC457" i="8"/>
  <c r="AC459" i="8"/>
  <c r="AC488" i="8"/>
  <c r="AC486" i="8"/>
  <c r="BV810" i="8"/>
  <c r="BV815" i="8" s="1"/>
  <c r="BU816" i="8"/>
  <c r="S80" i="7" l="1"/>
  <c r="P10" i="4"/>
  <c r="AD322" i="8"/>
  <c r="AD324" i="8" s="1"/>
  <c r="AD338" i="8" s="1"/>
  <c r="P23" i="4" s="1"/>
  <c r="Q83" i="7"/>
  <c r="AB419" i="8"/>
  <c r="N9" i="4" s="1"/>
  <c r="N13" i="4" s="1"/>
  <c r="D14" i="4" s="1"/>
  <c r="AB375" i="8"/>
  <c r="Q84" i="7" s="1"/>
  <c r="AB368" i="8"/>
  <c r="AB369" i="8"/>
  <c r="AB367" i="8"/>
  <c r="Z560" i="8"/>
  <c r="AA715" i="8"/>
  <c r="AA718" i="8" s="1"/>
  <c r="AA714" i="8" s="1"/>
  <c r="R83" i="7"/>
  <c r="AC369" i="8"/>
  <c r="AC375" i="8"/>
  <c r="R84" i="7" s="1"/>
  <c r="AC370" i="8"/>
  <c r="AC368" i="8"/>
  <c r="AC367" i="8"/>
  <c r="AC419" i="8"/>
  <c r="AB761" i="8"/>
  <c r="AC656" i="8"/>
  <c r="AC546" i="8"/>
  <c r="Y814" i="8"/>
  <c r="Y562" i="8"/>
  <c r="Y563" i="8" s="1"/>
  <c r="AC557" i="8"/>
  <c r="AD701" i="8"/>
  <c r="AD712" i="8" s="1"/>
  <c r="AD700" i="8" s="1"/>
  <c r="AD557" i="8" s="1"/>
  <c r="X810" i="8"/>
  <c r="X815" i="8" s="1"/>
  <c r="W816" i="8"/>
  <c r="U822" i="8"/>
  <c r="U525" i="8"/>
  <c r="X540" i="8"/>
  <c r="X532" i="8" s="1"/>
  <c r="W564" i="8"/>
  <c r="AD546" i="8"/>
  <c r="AD656" i="8"/>
  <c r="V532" i="8"/>
  <c r="N26" i="4"/>
  <c r="Q85" i="7"/>
  <c r="W525" i="8"/>
  <c r="W822" i="8"/>
  <c r="BW810" i="8"/>
  <c r="BW815" i="8" s="1"/>
  <c r="BW816" i="8" s="1"/>
  <c r="BV816" i="8"/>
  <c r="AD333" i="8" l="1"/>
  <c r="AB373" i="8"/>
  <c r="AD717" i="8"/>
  <c r="AD418" i="8"/>
  <c r="AD356" i="8" s="1"/>
  <c r="S82" i="7"/>
  <c r="AD335" i="8"/>
  <c r="AD355" i="8"/>
  <c r="AD736" i="8"/>
  <c r="AD336" i="8"/>
  <c r="AD337" i="8"/>
  <c r="AD365" i="8"/>
  <c r="AD368" i="8" s="1"/>
  <c r="AD812" i="8"/>
  <c r="E14" i="4"/>
  <c r="X564" i="8"/>
  <c r="V525" i="8"/>
  <c r="V822" i="8"/>
  <c r="Y540" i="8"/>
  <c r="Y532" i="8" s="1"/>
  <c r="L29" i="4"/>
  <c r="N28" i="4"/>
  <c r="X822" i="8"/>
  <c r="X525" i="8"/>
  <c r="Y810" i="8"/>
  <c r="Y815" i="8" s="1"/>
  <c r="X816" i="8"/>
  <c r="W566" i="8"/>
  <c r="W795" i="8"/>
  <c r="O9" i="4"/>
  <c r="AC373" i="8"/>
  <c r="C14" i="4"/>
  <c r="AA560" i="8"/>
  <c r="AB715" i="8"/>
  <c r="AB718" i="8" s="1"/>
  <c r="AB714" i="8" s="1"/>
  <c r="AD550" i="8"/>
  <c r="AD554" i="8" s="1"/>
  <c r="AD757" i="8"/>
  <c r="AD747" i="8" s="1"/>
  <c r="P12" i="4" s="1"/>
  <c r="U566" i="8"/>
  <c r="U795" i="8"/>
  <c r="AC757" i="8"/>
  <c r="AC747" i="8" s="1"/>
  <c r="AC550" i="8"/>
  <c r="AC554" i="8" s="1"/>
  <c r="R85" i="7"/>
  <c r="O26" i="4"/>
  <c r="Z562" i="8"/>
  <c r="Z563" i="8" s="1"/>
  <c r="Z814" i="8"/>
  <c r="S83" i="7" l="1"/>
  <c r="AD367" i="8"/>
  <c r="AD370" i="8"/>
  <c r="S85" i="7" s="1"/>
  <c r="AD369" i="8"/>
  <c r="AD419" i="8"/>
  <c r="P9" i="4" s="1"/>
  <c r="P13" i="4" s="1"/>
  <c r="AD375" i="8"/>
  <c r="S84" i="7" s="1"/>
  <c r="AD761" i="8"/>
  <c r="AB560" i="8"/>
  <c r="AC715" i="8"/>
  <c r="AC718" i="8" s="1"/>
  <c r="AC714" i="8" s="1"/>
  <c r="X566" i="8"/>
  <c r="X795" i="8"/>
  <c r="Y564" i="8"/>
  <c r="P26" i="4"/>
  <c r="P28" i="4" s="1"/>
  <c r="AA814" i="8"/>
  <c r="AA562" i="8"/>
  <c r="AA563" i="8" s="1"/>
  <c r="Y822" i="8"/>
  <c r="Y525" i="8"/>
  <c r="Z540" i="8"/>
  <c r="Z532" i="8" s="1"/>
  <c r="O12" i="4"/>
  <c r="O13" i="4" s="1"/>
  <c r="AC761" i="8"/>
  <c r="X794" i="8"/>
  <c r="W799" i="8"/>
  <c r="M29" i="4"/>
  <c r="O28" i="4"/>
  <c r="V794" i="8"/>
  <c r="U793" i="8"/>
  <c r="U799" i="8"/>
  <c r="Z810" i="8"/>
  <c r="Z815" i="8" s="1"/>
  <c r="Y816" i="8"/>
  <c r="V795" i="8"/>
  <c r="V566" i="8"/>
  <c r="AD373" i="8" l="1"/>
  <c r="X793" i="8"/>
  <c r="N14" i="4"/>
  <c r="I14" i="4"/>
  <c r="J14" i="4"/>
  <c r="K14" i="4"/>
  <c r="L14" i="4"/>
  <c r="M14" i="4"/>
  <c r="H14" i="4"/>
  <c r="G14" i="4"/>
  <c r="F14" i="4"/>
  <c r="W794" i="8"/>
  <c r="W793" i="8" s="1"/>
  <c r="V799" i="8"/>
  <c r="Y795" i="8"/>
  <c r="Y566" i="8"/>
  <c r="U774" i="8"/>
  <c r="U798" i="8" s="1"/>
  <c r="Z564" i="8"/>
  <c r="AA540" i="8"/>
  <c r="AA532" i="8" s="1"/>
  <c r="AC560" i="8"/>
  <c r="AD715" i="8"/>
  <c r="AD718" i="8" s="1"/>
  <c r="AD714" i="8" s="1"/>
  <c r="AD560" i="8" s="1"/>
  <c r="Z816" i="8"/>
  <c r="AA810" i="8"/>
  <c r="AA815" i="8" s="1"/>
  <c r="V793" i="8"/>
  <c r="P15" i="4"/>
  <c r="O15" i="4" s="1"/>
  <c r="N15" i="4" s="1"/>
  <c r="M15" i="4" s="1"/>
  <c r="L15" i="4" s="1"/>
  <c r="K15" i="4" s="1"/>
  <c r="J15" i="4" s="1"/>
  <c r="I15" i="4" s="1"/>
  <c r="H15" i="4" s="1"/>
  <c r="G15" i="4" s="1"/>
  <c r="F15" i="4" s="1"/>
  <c r="E15" i="4" s="1"/>
  <c r="O14" i="4"/>
  <c r="P14" i="4"/>
  <c r="Z525" i="8"/>
  <c r="Z822" i="8"/>
  <c r="X799" i="8"/>
  <c r="Y794" i="8"/>
  <c r="AB562" i="8"/>
  <c r="AB563" i="8" s="1"/>
  <c r="AB814" i="8"/>
  <c r="AT71" i="7"/>
  <c r="AT72" i="7" s="1"/>
  <c r="AT156" i="7"/>
  <c r="AT157" i="7" s="1"/>
  <c r="X774" i="8" l="1"/>
  <c r="X773" i="8" s="1"/>
  <c r="O16" i="4"/>
  <c r="O18" i="4" s="1"/>
  <c r="O20" i="4" s="1"/>
  <c r="AA525" i="8"/>
  <c r="AA822" i="8"/>
  <c r="G16" i="4"/>
  <c r="G18" i="4" s="1"/>
  <c r="K16" i="4"/>
  <c r="K18" i="4" s="1"/>
  <c r="K20" i="4" s="1"/>
  <c r="D15" i="4"/>
  <c r="E16" i="4"/>
  <c r="E18" i="4" s="1"/>
  <c r="W774" i="8"/>
  <c r="W773" i="8" s="1"/>
  <c r="J16" i="4"/>
  <c r="J18" i="4" s="1"/>
  <c r="J20" i="4" s="1"/>
  <c r="AB540" i="8"/>
  <c r="AB532" i="8" s="1"/>
  <c r="Z795" i="8"/>
  <c r="Z566" i="8"/>
  <c r="V774" i="8"/>
  <c r="V798" i="8" s="1"/>
  <c r="AC562" i="8"/>
  <c r="AC563" i="8" s="1"/>
  <c r="AC814" i="8"/>
  <c r="M16" i="4"/>
  <c r="M18" i="4" s="1"/>
  <c r="M20" i="4" s="1"/>
  <c r="I16" i="4"/>
  <c r="I18" i="4" s="1"/>
  <c r="I20" i="4" s="1"/>
  <c r="AD562" i="8"/>
  <c r="AD563" i="8" s="1"/>
  <c r="AD814" i="8"/>
  <c r="Y799" i="8"/>
  <c r="Z794" i="8"/>
  <c r="H16" i="4"/>
  <c r="H18" i="4" s="1"/>
  <c r="H20" i="4" s="1"/>
  <c r="Y793" i="8"/>
  <c r="P16" i="4"/>
  <c r="P18" i="4" s="1"/>
  <c r="P20" i="4" s="1"/>
  <c r="AB810" i="8"/>
  <c r="AB815" i="8" s="1"/>
  <c r="AA816" i="8"/>
  <c r="AA564" i="8"/>
  <c r="U773" i="8"/>
  <c r="F16" i="4"/>
  <c r="F18" i="4" s="1"/>
  <c r="F20" i="4" s="1"/>
  <c r="L16" i="4"/>
  <c r="L18" i="4" s="1"/>
  <c r="L20" i="4" s="1"/>
  <c r="N16" i="4"/>
  <c r="N18" i="4" s="1"/>
  <c r="N20" i="4" s="1"/>
  <c r="X798" i="8" l="1"/>
  <c r="W798" i="8"/>
  <c r="Y774" i="8"/>
  <c r="Y773" i="8" s="1"/>
  <c r="AD540" i="8"/>
  <c r="AD532" i="8" s="1"/>
  <c r="AC540" i="8"/>
  <c r="AC532" i="8" s="1"/>
  <c r="AB564" i="8"/>
  <c r="AB822" i="8"/>
  <c r="AB525" i="8"/>
  <c r="E24" i="4"/>
  <c r="E20" i="4"/>
  <c r="AC810" i="8"/>
  <c r="AC815" i="8" s="1"/>
  <c r="AB816" i="8"/>
  <c r="V773" i="8"/>
  <c r="C15" i="4"/>
  <c r="C16" i="4" s="1"/>
  <c r="C18" i="4" s="1"/>
  <c r="D16" i="4"/>
  <c r="D18" i="4" s="1"/>
  <c r="AA795" i="8"/>
  <c r="AA566" i="8"/>
  <c r="AA794" i="8"/>
  <c r="Z793" i="8"/>
  <c r="Z799" i="8"/>
  <c r="AA793" i="8" l="1"/>
  <c r="AA799" i="8"/>
  <c r="AB794" i="8"/>
  <c r="AC525" i="8"/>
  <c r="AC822" i="8"/>
  <c r="Z774" i="8"/>
  <c r="Z773" i="8" s="1"/>
  <c r="D24" i="4"/>
  <c r="D20" i="4"/>
  <c r="D27" i="4"/>
  <c r="AB566" i="8"/>
  <c r="AB795" i="8"/>
  <c r="AD564" i="8"/>
  <c r="C20" i="4"/>
  <c r="C27" i="4"/>
  <c r="C24" i="4"/>
  <c r="AC816" i="8"/>
  <c r="AD810" i="8"/>
  <c r="AD815" i="8" s="1"/>
  <c r="AD816" i="8" s="1"/>
  <c r="AD525" i="8"/>
  <c r="AD822" i="8"/>
  <c r="AC564" i="8"/>
  <c r="Y798" i="8"/>
  <c r="X823" i="8" l="1"/>
  <c r="Z798" i="8"/>
  <c r="I823" i="8"/>
  <c r="BJ823" i="8"/>
  <c r="AD823" i="8"/>
  <c r="AB823" i="8"/>
  <c r="AB793" i="8"/>
  <c r="AC794" i="8"/>
  <c r="AB799" i="8"/>
  <c r="BI823" i="8"/>
  <c r="AA823" i="8"/>
  <c r="K823" i="8"/>
  <c r="N823" i="8"/>
  <c r="AC823" i="8"/>
  <c r="W823" i="8"/>
  <c r="J823" i="8"/>
  <c r="V823" i="8"/>
  <c r="BD823" i="8"/>
  <c r="Q823" i="8"/>
  <c r="AC795" i="8"/>
  <c r="AC566" i="8"/>
  <c r="S823" i="8"/>
  <c r="BH823" i="8"/>
  <c r="BF823" i="8"/>
  <c r="O823" i="8"/>
  <c r="R823" i="8"/>
  <c r="BL823" i="8"/>
  <c r="Y823" i="8"/>
  <c r="BE823" i="8"/>
  <c r="AD566" i="8"/>
  <c r="AD795" i="8"/>
  <c r="AD799" i="8" s="1"/>
  <c r="M823" i="8"/>
  <c r="BG823" i="8"/>
  <c r="BK823" i="8"/>
  <c r="P823" i="8"/>
  <c r="L823" i="8"/>
  <c r="U823" i="8"/>
  <c r="T823" i="8"/>
  <c r="Z823" i="8"/>
  <c r="AA774" i="8"/>
  <c r="AA773" i="8" s="1"/>
  <c r="AB774" i="8" l="1"/>
  <c r="AB773" i="8" s="1"/>
  <c r="AA798" i="8"/>
  <c r="AC799" i="8"/>
  <c r="AD794" i="8"/>
  <c r="AD793" i="8" s="1"/>
  <c r="AC793" i="8"/>
  <c r="AD774" i="8" l="1"/>
  <c r="AD773" i="8" s="1"/>
  <c r="AC774" i="8"/>
  <c r="AC773" i="8" s="1"/>
  <c r="AB798" i="8"/>
  <c r="AC798" i="8" l="1"/>
  <c r="AD798" i="8"/>
  <c r="BU73" i="8" l="1"/>
  <c r="BV73" i="8" l="1"/>
  <c r="BU74" i="8"/>
  <c r="BY74" i="8"/>
  <c r="BU75" i="8"/>
  <c r="BU77" i="8"/>
  <c r="BT77" i="8"/>
  <c r="BT75" i="8"/>
  <c r="BX74" i="8"/>
  <c r="BT74" i="8"/>
  <c r="BT81" i="8" l="1"/>
  <c r="BT78" i="8"/>
  <c r="BX78" i="8"/>
  <c r="BT79" i="8"/>
  <c r="BU78" i="8"/>
  <c r="BY78" i="8"/>
  <c r="BU79" i="8"/>
  <c r="BU81" i="8"/>
  <c r="BV77" i="8"/>
  <c r="BW73" i="8"/>
  <c r="BV74" i="8"/>
  <c r="BZ74" i="8"/>
  <c r="BV75" i="8"/>
  <c r="BU116" i="8" l="1"/>
  <c r="BU82" i="8"/>
  <c r="BY82" i="8"/>
  <c r="BU83" i="8"/>
  <c r="BU8" i="8"/>
  <c r="BW74" i="8"/>
  <c r="CA74" i="8"/>
  <c r="BW75" i="8"/>
  <c r="BX75" i="8"/>
  <c r="BW77" i="8"/>
  <c r="T77" i="8" s="1"/>
  <c r="T73" i="8" s="1"/>
  <c r="BV78" i="8"/>
  <c r="BZ78" i="8"/>
  <c r="BV79" i="8"/>
  <c r="BV81" i="8"/>
  <c r="BT116" i="8"/>
  <c r="BT82" i="8"/>
  <c r="BX82" i="8"/>
  <c r="BT83" i="8"/>
  <c r="BT8" i="8"/>
  <c r="T74" i="8" l="1"/>
  <c r="U74" i="8"/>
  <c r="T78" i="8"/>
  <c r="T81" i="8"/>
  <c r="U78" i="8"/>
  <c r="T8" i="8"/>
  <c r="BT14" i="8"/>
  <c r="BX14" i="8"/>
  <c r="BT44" i="8"/>
  <c r="BV8" i="8"/>
  <c r="BV116" i="8"/>
  <c r="BV82" i="8"/>
  <c r="BZ82" i="8"/>
  <c r="BV83" i="8"/>
  <c r="BT117" i="8"/>
  <c r="BT115" i="8"/>
  <c r="BT123" i="8"/>
  <c r="BX123" i="8"/>
  <c r="BW78" i="8"/>
  <c r="CA78" i="8"/>
  <c r="BW79" i="8"/>
  <c r="BX79" i="8"/>
  <c r="BW81" i="8"/>
  <c r="BU14" i="8"/>
  <c r="BY14" i="8"/>
  <c r="BU44" i="8"/>
  <c r="BU115" i="8"/>
  <c r="BU123" i="8"/>
  <c r="BY123" i="8"/>
  <c r="BU117" i="8"/>
  <c r="U14" i="8" l="1"/>
  <c r="T14" i="8"/>
  <c r="T44" i="8"/>
  <c r="T82" i="8"/>
  <c r="T116" i="8"/>
  <c r="U82" i="8"/>
  <c r="BW82" i="8"/>
  <c r="CA82" i="8"/>
  <c r="BW83" i="8"/>
  <c r="BW8" i="8"/>
  <c r="BX83" i="8"/>
  <c r="BW116" i="8"/>
  <c r="BV115" i="8"/>
  <c r="BV123" i="8"/>
  <c r="BZ123" i="8"/>
  <c r="BV117" i="8"/>
  <c r="BV14" i="8"/>
  <c r="BZ14" i="8"/>
  <c r="BV44" i="8"/>
  <c r="T115" i="8" l="1"/>
  <c r="U123" i="8"/>
  <c r="T117" i="8"/>
  <c r="T123" i="8"/>
  <c r="BW14" i="8"/>
  <c r="CA14" i="8"/>
  <c r="BW44" i="8"/>
  <c r="BW117" i="8"/>
  <c r="BW115" i="8"/>
  <c r="BW123" i="8"/>
  <c r="CA123" i="8"/>
  <c r="BU140" i="8"/>
  <c r="BV140" i="8" s="1"/>
  <c r="BT141" i="8"/>
  <c r="BT142" i="8"/>
  <c r="BU142" i="8"/>
  <c r="BT144" i="8"/>
  <c r="BT9" i="8" s="1"/>
  <c r="BT194" i="8"/>
  <c r="BT195" i="8" s="1"/>
  <c r="BT203" i="8" s="1"/>
  <c r="BU194" i="8"/>
  <c r="BU195" i="8" s="1"/>
  <c r="BU203" i="8" s="1"/>
  <c r="BT148" i="8" l="1"/>
  <c r="BT146" i="8"/>
  <c r="BT145" i="8"/>
  <c r="BT202" i="8"/>
  <c r="BT201" i="8" s="1"/>
  <c r="BT149" i="8"/>
  <c r="BT150" i="8"/>
  <c r="BU141" i="8"/>
  <c r="BV141" i="8"/>
  <c r="BV142" i="8"/>
  <c r="BW140" i="8"/>
  <c r="T140" i="8" s="1"/>
  <c r="BV144" i="8"/>
  <c r="BV194" i="8"/>
  <c r="BV195" i="8" s="1"/>
  <c r="BV203" i="8" s="1"/>
  <c r="BT15" i="8"/>
  <c r="BT11" i="8"/>
  <c r="BT45" i="8"/>
  <c r="BU144" i="8"/>
  <c r="BX140" i="8" l="1"/>
  <c r="BX142" i="8" s="1"/>
  <c r="U194" i="8"/>
  <c r="U195" i="8" s="1"/>
  <c r="U203" i="8" s="1"/>
  <c r="V141" i="8"/>
  <c r="U144" i="8"/>
  <c r="U141" i="8"/>
  <c r="T142" i="8"/>
  <c r="T141" i="8"/>
  <c r="T144" i="8"/>
  <c r="T194" i="8"/>
  <c r="T195" i="8" s="1"/>
  <c r="T203" i="8" s="1"/>
  <c r="BW141" i="8"/>
  <c r="BW194" i="8"/>
  <c r="BW195" i="8" s="1"/>
  <c r="BW203" i="8" s="1"/>
  <c r="BW142" i="8"/>
  <c r="BW144" i="8"/>
  <c r="BT20" i="8"/>
  <c r="BT47" i="8"/>
  <c r="BT22" i="8"/>
  <c r="BT17" i="8"/>
  <c r="BT21" i="8"/>
  <c r="BU145" i="8"/>
  <c r="BU146" i="8"/>
  <c r="BU148" i="8"/>
  <c r="BU9" i="8"/>
  <c r="BV9" i="8"/>
  <c r="BV145" i="8"/>
  <c r="BV146" i="8"/>
  <c r="BV148" i="8"/>
  <c r="BY140" i="8" l="1"/>
  <c r="BX194" i="8"/>
  <c r="BX195" i="8" s="1"/>
  <c r="BX203" i="8" s="1"/>
  <c r="CB141" i="8"/>
  <c r="BX144" i="8"/>
  <c r="BX146" i="8" s="1"/>
  <c r="BX141" i="8"/>
  <c r="U9" i="8"/>
  <c r="U148" i="8"/>
  <c r="V145" i="8"/>
  <c r="BV11" i="8"/>
  <c r="BV21" i="8" s="1"/>
  <c r="BV45" i="8"/>
  <c r="BV15" i="8"/>
  <c r="BW148" i="8"/>
  <c r="BW9" i="8"/>
  <c r="BW145" i="8"/>
  <c r="BW146" i="8"/>
  <c r="T9" i="8"/>
  <c r="T145" i="8"/>
  <c r="U145" i="8"/>
  <c r="T148" i="8"/>
  <c r="BV149" i="8"/>
  <c r="BV150" i="8"/>
  <c r="BV202" i="8"/>
  <c r="BV201" i="8" s="1"/>
  <c r="BU150" i="8"/>
  <c r="BU202" i="8"/>
  <c r="BU201" i="8" s="1"/>
  <c r="BU149" i="8"/>
  <c r="BU11" i="8"/>
  <c r="BU45" i="8"/>
  <c r="BU15" i="8"/>
  <c r="BZ140" i="8" l="1"/>
  <c r="BY194" i="8"/>
  <c r="BY195" i="8" s="1"/>
  <c r="BY203" i="8" s="1"/>
  <c r="BY142" i="8"/>
  <c r="CC141" i="8"/>
  <c r="BY144" i="8"/>
  <c r="BY141" i="8"/>
  <c r="BX9" i="8"/>
  <c r="CB145" i="8"/>
  <c r="BX148" i="8"/>
  <c r="BX145" i="8"/>
  <c r="U202" i="8"/>
  <c r="U201" i="8" s="1"/>
  <c r="V149" i="8"/>
  <c r="U11" i="8"/>
  <c r="U21" i="8" s="1"/>
  <c r="U45" i="8"/>
  <c r="V15" i="8"/>
  <c r="BU17" i="8"/>
  <c r="BU20" i="8"/>
  <c r="BU47" i="8"/>
  <c r="BU22" i="8"/>
  <c r="U15" i="8"/>
  <c r="T11" i="8"/>
  <c r="T45" i="8"/>
  <c r="T15" i="8"/>
  <c r="T149" i="8"/>
  <c r="U149" i="8"/>
  <c r="T202" i="8"/>
  <c r="T201" i="8" s="1"/>
  <c r="BW15" i="8"/>
  <c r="BW11" i="8"/>
  <c r="BW45" i="8"/>
  <c r="BU21" i="8"/>
  <c r="BV22" i="8"/>
  <c r="BV17" i="8"/>
  <c r="BV20" i="8"/>
  <c r="BV47" i="8"/>
  <c r="BW149" i="8"/>
  <c r="BW150" i="8"/>
  <c r="BX150" i="8"/>
  <c r="BW202" i="8"/>
  <c r="BW201" i="8" s="1"/>
  <c r="CB15" i="8" l="1"/>
  <c r="BX11" i="8"/>
  <c r="BX21" i="8" s="1"/>
  <c r="BX45" i="8"/>
  <c r="BX15" i="8"/>
  <c r="J91" i="7"/>
  <c r="U20" i="8"/>
  <c r="U22" i="8"/>
  <c r="J90" i="7"/>
  <c r="V17" i="8"/>
  <c r="U47" i="8"/>
  <c r="BX202" i="8"/>
  <c r="BX201" i="8" s="1"/>
  <c r="CB149" i="8"/>
  <c r="BX149" i="8"/>
  <c r="BY146" i="8"/>
  <c r="BY9" i="8"/>
  <c r="BY148" i="8"/>
  <c r="CC145" i="8"/>
  <c r="BY145" i="8"/>
  <c r="BZ142" i="8"/>
  <c r="BZ194" i="8"/>
  <c r="BZ195" i="8" s="1"/>
  <c r="BZ203" i="8" s="1"/>
  <c r="CA140" i="8"/>
  <c r="CD141" i="8"/>
  <c r="BZ144" i="8"/>
  <c r="BZ141" i="8"/>
  <c r="T17" i="8"/>
  <c r="T22" i="8"/>
  <c r="I90" i="7"/>
  <c r="U17" i="8"/>
  <c r="I91" i="7"/>
  <c r="T20" i="8"/>
  <c r="T47" i="8"/>
  <c r="T21" i="8"/>
  <c r="BW22" i="8"/>
  <c r="BW17" i="8"/>
  <c r="BW20" i="8"/>
  <c r="BW47" i="8"/>
  <c r="BW21" i="8"/>
  <c r="BY150" i="8" l="1"/>
  <c r="BY202" i="8"/>
  <c r="BY201" i="8" s="1"/>
  <c r="CC149" i="8"/>
  <c r="BY149" i="8"/>
  <c r="BZ9" i="8"/>
  <c r="BZ146" i="8"/>
  <c r="BZ148" i="8"/>
  <c r="CD145" i="8"/>
  <c r="BZ145" i="8"/>
  <c r="CC15" i="8"/>
  <c r="BY45" i="8"/>
  <c r="BY11" i="8"/>
  <c r="BY21" i="8" s="1"/>
  <c r="BY15" i="8"/>
  <c r="CB142" i="8"/>
  <c r="CA194" i="8"/>
  <c r="CA195" i="8" s="1"/>
  <c r="CA203" i="8" s="1"/>
  <c r="CA142" i="8"/>
  <c r="CE141" i="8"/>
  <c r="CA144" i="8"/>
  <c r="CA141" i="8"/>
  <c r="CB17" i="8"/>
  <c r="BX47" i="8"/>
  <c r="BX22" i="8"/>
  <c r="BX20" i="8"/>
  <c r="BX17" i="8"/>
  <c r="BY20" i="8" l="1"/>
  <c r="CC17" i="8"/>
  <c r="BY47" i="8"/>
  <c r="BY22" i="8"/>
  <c r="BY17" i="8"/>
  <c r="BZ202" i="8"/>
  <c r="BZ201" i="8" s="1"/>
  <c r="BZ150" i="8"/>
  <c r="CD149" i="8"/>
  <c r="BZ149" i="8"/>
  <c r="CD15" i="8"/>
  <c r="BZ45" i="8"/>
  <c r="BZ11" i="8"/>
  <c r="BZ21" i="8" s="1"/>
  <c r="BZ15" i="8"/>
  <c r="CB146" i="8"/>
  <c r="CA148" i="8"/>
  <c r="CA146" i="8"/>
  <c r="CA9" i="8"/>
  <c r="CE145" i="8"/>
  <c r="CA145" i="8"/>
  <c r="CB150" i="8" l="1"/>
  <c r="CA150" i="8"/>
  <c r="CA202" i="8"/>
  <c r="CA201" i="8" s="1"/>
  <c r="CE149" i="8"/>
  <c r="CA149" i="8"/>
  <c r="CD17" i="8"/>
  <c r="BZ47" i="8"/>
  <c r="BZ20" i="8"/>
  <c r="BZ22" i="8"/>
  <c r="BZ17" i="8"/>
  <c r="CA45" i="8"/>
  <c r="CA11" i="8"/>
  <c r="CA21" i="8" s="1"/>
  <c r="CE15" i="8"/>
  <c r="CA15" i="8"/>
  <c r="CA22" i="8" l="1"/>
  <c r="CA20" i="8"/>
  <c r="CA47" i="8"/>
  <c r="CE17" i="8"/>
  <c r="CA17" i="8"/>
  <c r="G20" i="4" l="1"/>
  <c r="T19" i="4" s="1"/>
  <c r="B3" i="8" s="1"/>
  <c r="F24" i="4"/>
  <c r="G24" i="4"/>
  <c r="H24" i="4"/>
  <c r="I24" i="4"/>
  <c r="J24" i="4"/>
  <c r="K24" i="4"/>
  <c r="L24" i="4"/>
  <c r="M24" i="4"/>
  <c r="N24" i="4"/>
  <c r="O24" i="4"/>
  <c r="P24" i="4"/>
  <c r="F27" i="4"/>
  <c r="G27" i="4"/>
  <c r="G30" i="4" s="1"/>
  <c r="H27" i="4"/>
  <c r="H30" i="4" s="1"/>
  <c r="I27" i="4"/>
  <c r="I30" i="4" s="1"/>
  <c r="J27" i="4"/>
  <c r="J30" i="4" s="1"/>
  <c r="K27" i="4"/>
  <c r="K30" i="4" s="1"/>
  <c r="L27" i="4"/>
  <c r="L30" i="4" s="1"/>
  <c r="M27" i="4"/>
  <c r="M30" i="4" s="1"/>
  <c r="N27" i="4"/>
  <c r="O27" i="4"/>
  <c r="P27" i="4"/>
  <c r="H34" i="4" l="1"/>
  <c r="T4" i="4"/>
  <c r="B1" i="7"/>
  <c r="I34" i="4"/>
  <c r="E27" i="4"/>
  <c r="B522" i="8"/>
</calcChain>
</file>

<file path=xl/comments1.xml><?xml version="1.0" encoding="utf-8"?>
<comments xmlns="http://schemas.openxmlformats.org/spreadsheetml/2006/main">
  <authors>
    <author>Zhang, Elaine (Research)</author>
    <author>Chen, Amanda (Research)</author>
  </authors>
  <commentList>
    <comment ref="AS20" authorId="0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saying higher than 16-17%, per IR meeting</t>
        </r>
      </text>
    </comment>
    <comment ref="N46" authorId="0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the year that international air tickets reach 60% of transportation revenue; this commission growth is to go inline with take rate growth rate and keep tickets asp largely flat</t>
        </r>
      </text>
    </comment>
    <comment ref="I58" authorId="0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6-8% take rate, per meeting with IR</t>
        </r>
      </text>
    </comment>
    <comment ref="I68" authorId="1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Accelerating growth</t>
        </r>
      </text>
    </comment>
    <comment ref="AP79" authorId="0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guidance: 13%</t>
        </r>
      </text>
    </comment>
    <comment ref="AQ79" authorId="0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11-12% &gt;&gt; 12-13% per 4Q17 results call</t>
        </r>
      </text>
    </comment>
  </commentList>
</comments>
</file>

<file path=xl/comments2.xml><?xml version="1.0" encoding="utf-8"?>
<comments xmlns="http://schemas.openxmlformats.org/spreadsheetml/2006/main">
  <authors>
    <author>Chen, Amanda (Research)</author>
    <author>Amanda Chen</author>
    <author>Zhang, Elaine (Research)</author>
    <author>Costantini, Michael (Research)</author>
    <author>Ko, Alex (Research)</author>
    <author>Ng, Lavender (Research)</author>
    <author>Gao, Bing (Research)</author>
  </authors>
  <commentList>
    <comment ref="BM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invested in eLong</t>
        </r>
      </text>
    </comment>
    <comment ref="BN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invested in Suan Ya in July
tujia closed series D financing, deconsolidate Tujia in 4Q15</t>
        </r>
      </text>
    </comment>
    <comment ref="BO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invested Qunar</t>
        </r>
      </text>
    </comment>
    <comment ref="BQ4" authorId="0">
      <text>
        <r>
          <rPr>
            <b/>
            <sz val="9"/>
            <color indexed="81"/>
            <rFont val="Tahoma"/>
            <family val="2"/>
          </rPr>
          <t xml:space="preserve">Chen, Amanda (Research):
</t>
        </r>
        <r>
          <rPr>
            <sz val="9"/>
            <color indexed="81"/>
            <rFont val="Tahoma"/>
            <family val="2"/>
          </rPr>
          <t>announced qunar privatzation plan</t>
        </r>
      </text>
    </comment>
    <comment ref="BR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No qunar financial disclosure</t>
        </r>
      </text>
    </comment>
    <comment ref="B11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only core business, doesn't include investees</t>
        </r>
      </text>
    </comment>
    <comment ref="Q11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Rmb152bn includes investees transaction volume</t>
        </r>
      </text>
    </comment>
    <comment ref="W11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1.2-1.4trn GMV by 2020</t>
        </r>
      </text>
    </comment>
    <comment ref="T12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reported in 4Q17 results call</t>
        </r>
      </text>
    </comment>
    <comment ref="BV69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commission per room stable, per meeting with IR</t>
        </r>
      </text>
    </comment>
    <comment ref="BL133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64% YoY growth in air ticketing volume</t>
        </r>
      </text>
    </comment>
    <comment ref="BM133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60% for air ticketing volume YoY growth</t>
        </r>
      </text>
    </comment>
    <comment ref="BV136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hurt by bundle sell ban</t>
        </r>
      </text>
    </comment>
    <comment ref="Y140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the year that international air tickets reach 60% of transportation revenue</t>
        </r>
      </text>
    </comment>
    <comment ref="BQ153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40-45%
</t>
        </r>
      </text>
    </comment>
    <comment ref="BR153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35-40%</t>
        </r>
      </text>
    </comment>
    <comment ref="BQ15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50-55</t>
        </r>
      </text>
    </comment>
    <comment ref="BR15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55-60%
</t>
        </r>
      </text>
    </comment>
    <comment ref="B155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including car rental</t>
        </r>
      </text>
    </comment>
    <comment ref="BM157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60% for air ticketing volume YoY growth</t>
        </r>
      </text>
    </comment>
    <comment ref="BM158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60% for air ticketing volume YoY growth</t>
        </r>
      </text>
    </comment>
    <comment ref="BT233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simlar with PCLN seasonality
</t>
        </r>
      </text>
    </comment>
    <comment ref="Q239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https://www.skyscanner.net/blogs/skyscanner-s-2014-financial-results</t>
        </r>
      </text>
    </comment>
    <comment ref="S240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accelerating growth</t>
        </r>
      </text>
    </comment>
    <comment ref="T240" authorId="3">
      <text>
        <r>
          <rPr>
            <b/>
            <sz val="9"/>
            <color indexed="81"/>
            <rFont val="Tahoma"/>
            <family val="2"/>
          </rPr>
          <t>Elaine Zhang:
Skyscanner organic growth 40% excluding direct booking, per meeting with IR</t>
        </r>
      </text>
    </comment>
    <comment ref="U240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benefit from direct booking</t>
        </r>
      </text>
    </comment>
    <comment ref="R260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PhocusWright 2015, https://dealroom.co/blog/wp-content/uploads/2016/06/Dealroom-Travel-Research-June-2016-1.pdf</t>
        </r>
      </text>
    </comment>
    <comment ref="Q26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48mn monthly visits in Jan 2015, 35 mn on everage for 2014</t>
        </r>
      </text>
    </comment>
    <comment ref="BM274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50%+</t>
        </r>
      </text>
    </comment>
    <comment ref="BO27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60-65%</t>
        </r>
      </text>
    </comment>
    <comment ref="BR27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50%</t>
        </r>
      </text>
    </comment>
    <comment ref="BM275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60-70%
</t>
        </r>
      </text>
    </comment>
    <comment ref="BR275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50%+</t>
        </r>
      </text>
    </comment>
    <comment ref="BN287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10-15%</t>
        </r>
      </text>
    </comment>
    <comment ref="BO287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10-15
</t>
        </r>
      </text>
    </comment>
    <comment ref="BP287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10-15
</t>
        </r>
      </text>
    </comment>
    <comment ref="BQ287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10-15
</t>
        </r>
      </text>
    </comment>
    <comment ref="BR287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10-15
</t>
        </r>
      </text>
    </comment>
    <comment ref="BM288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15-20%</t>
        </r>
      </text>
    </comment>
    <comment ref="BN288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10-15%
</t>
        </r>
      </text>
    </comment>
    <comment ref="BP288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15-20%
</t>
        </r>
      </text>
    </comment>
    <comment ref="BQ288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15-20%
</t>
        </r>
      </text>
    </comment>
    <comment ref="BR288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15-20%
</t>
        </r>
      </text>
    </comment>
    <comment ref="BM294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15%+</t>
        </r>
      </text>
    </comment>
    <comment ref="BN296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up by 100% YoY</t>
        </r>
      </text>
    </comment>
    <comment ref="BO299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40-45%</t>
        </r>
      </text>
    </comment>
    <comment ref="BO300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40-45%</t>
        </r>
      </text>
    </comment>
    <comment ref="BO301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50-60%</t>
        </r>
      </text>
    </comment>
    <comment ref="BN305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low end guidance, 
45-46%, thailand, koren Mers</t>
        </r>
      </text>
    </comment>
    <comment ref="BO305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45-50%</t>
        </r>
      </text>
    </comment>
    <comment ref="BS309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3.6-3.8</t>
        </r>
      </text>
    </comment>
    <comment ref="BO315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&lt;50</t>
        </r>
      </text>
    </comment>
    <comment ref="BS315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-150~-50 mn</t>
        </r>
      </text>
    </comment>
    <comment ref="BW316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net interest expense -50</t>
        </r>
      </text>
    </comment>
    <comment ref="BX316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0 interest income plus expense</t>
        </r>
      </text>
    </comment>
    <comment ref="BS317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interest income + interest expenses = -100 mn</t>
        </r>
      </text>
    </comment>
    <comment ref="R318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Rmb2.3 bn is from the deconsolidation of Tujia;</t>
        </r>
      </text>
    </comment>
    <comment ref="BS318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-120mn due to FX change, and financial expenses </t>
        </r>
      </text>
    </comment>
    <comment ref="BT318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-50 </t>
        </r>
      </text>
    </comment>
    <comment ref="BW318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100</t>
        </r>
      </text>
    </comment>
    <comment ref="BX318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30</t>
        </r>
      </text>
    </comment>
    <comment ref="BR320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normal non-GAAP income tax rate is 20%, </t>
        </r>
      </text>
    </comment>
    <comment ref="BT320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200mn</t>
        </r>
      </text>
    </comment>
    <comment ref="BW320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-150</t>
        </r>
      </text>
    </comment>
    <comment ref="BX320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180</t>
        </r>
      </text>
    </comment>
    <comment ref="B321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Homeinn investment</t>
        </r>
      </text>
    </comment>
    <comment ref="BN321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tujia no longer consolidate</t>
        </r>
      </text>
    </comment>
    <comment ref="BS321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home-in to shoulv</t>
        </r>
      </text>
    </comment>
    <comment ref="BT321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skysee, elong will breaken 
-50</t>
        </r>
      </text>
    </comment>
    <comment ref="BW321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-150, full quarter pick-up Tujia loss</t>
        </r>
      </text>
    </comment>
    <comment ref="BX321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100 including minority</t>
        </r>
      </text>
    </comment>
    <comment ref="BS322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0-100</t>
        </r>
      </text>
    </comment>
    <comment ref="BW324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50-100</t>
        </r>
      </text>
    </comment>
    <comment ref="R330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Rmb0.3 bn unrealized gain from Ly.com fair value increase</t>
        </r>
      </text>
    </comment>
    <comment ref="BS336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Different from calculation due to CB related accounting treament. Dil share # include shares converted from CB, thus when calculate EPS, need to add back CB related interest expenses 
</t>
        </r>
      </text>
    </comment>
    <comment ref="BU336" authorId="4">
      <text>
        <r>
          <rPr>
            <b/>
            <sz val="9"/>
            <color indexed="81"/>
            <rFont val="Tahoma"/>
            <family val="2"/>
          </rPr>
          <t>Ko, Alex (Research):</t>
        </r>
        <r>
          <rPr>
            <sz val="9"/>
            <color indexed="81"/>
            <rFont val="Tahoma"/>
            <family val="2"/>
          </rPr>
          <t xml:space="preserve">
Different from calculation due to CB related accounting treament. Dil share # include shares converted from CB, thus when calculate EPS, need to add back CB related interest expenses</t>
        </r>
      </text>
    </comment>
    <comment ref="BV336" authorId="4">
      <text>
        <r>
          <rPr>
            <b/>
            <sz val="9"/>
            <color indexed="81"/>
            <rFont val="Tahoma"/>
            <family val="2"/>
          </rPr>
          <t>Ko, Alex (Research):</t>
        </r>
        <r>
          <rPr>
            <sz val="9"/>
            <color indexed="81"/>
            <rFont val="Tahoma"/>
            <family val="2"/>
          </rPr>
          <t xml:space="preserve">
Different from calculation due to CB related accounting treament. Dil share # include shares converted from CB, thus when calculate EPS, need to add back CB related interest expenses</t>
        </r>
      </text>
    </comment>
    <comment ref="BV338" authorId="4">
      <text>
        <r>
          <rPr>
            <b/>
            <sz val="9"/>
            <color indexed="81"/>
            <rFont val="Tahoma"/>
            <family val="2"/>
          </rPr>
          <t>Ko, Alex (Research):</t>
        </r>
        <r>
          <rPr>
            <sz val="9"/>
            <color indexed="81"/>
            <rFont val="Tahoma"/>
            <family val="2"/>
          </rPr>
          <t xml:space="preserve">
Different from calculation due to CB related accounting treament. Dil share # include shares converted from CB, thus when calculate EPS, need to add back CB related interest expenses</t>
        </r>
      </text>
    </comment>
    <comment ref="BV342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6mn employee dilution, 10mn CB dilution outstanding</t>
        </r>
      </text>
    </comment>
    <comment ref="BW342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4mn dilution from employee option</t>
        </r>
      </text>
    </comment>
    <comment ref="BV343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excluding the Priceline CB, all CB are included; when bottom line lower, diluted share is lower. </t>
        </r>
      </text>
    </comment>
    <comment ref="BT359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700mn , SS, 
10-12% </t>
        </r>
      </text>
    </comment>
    <comment ref="BX359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550 per company guidance</t>
        </r>
      </text>
    </comment>
    <comment ref="BS368" authorId="5">
      <text>
        <r>
          <rPr>
            <b/>
            <sz val="9"/>
            <color indexed="81"/>
            <rFont val="Tahoma"/>
            <family val="2"/>
          </rPr>
          <t>Ng, Lavender (Research):</t>
        </r>
        <r>
          <rPr>
            <sz val="9"/>
            <color indexed="81"/>
            <rFont val="Tahoma"/>
            <family val="2"/>
          </rPr>
          <t xml:space="preserve">
17.93 reported
</t>
        </r>
      </text>
    </comment>
    <comment ref="BU368" authorId="4">
      <text>
        <r>
          <rPr>
            <b/>
            <sz val="9"/>
            <color indexed="81"/>
            <rFont val="Tahoma"/>
            <family val="2"/>
          </rPr>
          <t>Ko, Alex (Research):</t>
        </r>
        <r>
          <rPr>
            <sz val="9"/>
            <color indexed="81"/>
            <rFont val="Tahoma"/>
            <family val="2"/>
          </rPr>
          <t xml:space="preserve">
11.96 reported</t>
        </r>
      </text>
    </comment>
    <comment ref="BS370" authorId="5">
      <text>
        <r>
          <rPr>
            <b/>
            <sz val="9"/>
            <color indexed="81"/>
            <rFont val="Tahoma"/>
            <family val="2"/>
          </rPr>
          <t>Ng, Lavender (Research):</t>
        </r>
        <r>
          <rPr>
            <sz val="9"/>
            <color indexed="81"/>
            <rFont val="Tahoma"/>
            <family val="2"/>
          </rPr>
          <t xml:space="preserve">
2.24 reported
</t>
        </r>
      </text>
    </comment>
    <comment ref="BU370" authorId="4">
      <text>
        <r>
          <rPr>
            <b/>
            <sz val="9"/>
            <color indexed="81"/>
            <rFont val="Tahoma"/>
            <family val="2"/>
          </rPr>
          <t>Ko, Alex (Research):</t>
        </r>
        <r>
          <rPr>
            <sz val="9"/>
            <color indexed="81"/>
            <rFont val="Tahoma"/>
            <family val="2"/>
          </rPr>
          <t xml:space="preserve">
1.49 reported</t>
        </r>
      </text>
    </comment>
    <comment ref="BN374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13-15%-&gt; 14.5%</t>
        </r>
      </text>
    </comment>
    <comment ref="BS422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absolute # flat QoQ</t>
        </r>
      </text>
    </comment>
    <comment ref="BX422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550 per company guidance in 1x1 call</t>
        </r>
      </text>
    </comment>
    <comment ref="BS44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absolute # is slightly smaller than Q3 due to seasonality, 3.2-3.3bn </t>
        </r>
      </text>
    </comment>
    <comment ref="B502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FX change, disposal gain of subsidiary</t>
        </r>
      </text>
    </comment>
    <comment ref="B505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Homeinn investment</t>
        </r>
      </text>
    </comment>
    <comment ref="BO506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Thomson Reuters Estimates</t>
        </r>
      </text>
    </comment>
    <comment ref="BT515" authorId="5">
      <text>
        <r>
          <rPr>
            <b/>
            <sz val="9"/>
            <color indexed="81"/>
            <rFont val="Tahoma"/>
            <family val="2"/>
          </rPr>
          <t>Ng, Lavender (Research):</t>
        </r>
        <r>
          <rPr>
            <sz val="9"/>
            <color indexed="81"/>
            <rFont val="Tahoma"/>
            <family val="2"/>
          </rPr>
          <t xml:space="preserve">
1Q17 earnings call
</t>
        </r>
      </text>
    </comment>
    <comment ref="R539" authorId="5">
      <text>
        <r>
          <rPr>
            <b/>
            <sz val="9"/>
            <color indexed="81"/>
            <rFont val="Tahoma"/>
            <family val="2"/>
          </rPr>
          <t>Ng, Lavender (Research):</t>
        </r>
        <r>
          <rPr>
            <sz val="9"/>
            <color indexed="81"/>
            <rFont val="Tahoma"/>
            <family val="2"/>
          </rPr>
          <t xml:space="preserve">
Including long-term loan receivable, long-term receivables due from related parties, and deferred tax assets, non-current</t>
        </r>
      </text>
    </comment>
    <comment ref="S539" authorId="5">
      <text>
        <r>
          <rPr>
            <b/>
            <sz val="9"/>
            <color indexed="81"/>
            <rFont val="Tahoma"/>
            <family val="2"/>
          </rPr>
          <t>Ng, Lavender (Research):</t>
        </r>
        <r>
          <rPr>
            <sz val="9"/>
            <color indexed="81"/>
            <rFont val="Tahoma"/>
            <family val="2"/>
          </rPr>
          <t xml:space="preserve">
Including other long-term receivables, and deffered tax assets, non-current</t>
        </r>
      </text>
    </comment>
    <comment ref="BO539" authorId="6">
      <text>
        <r>
          <rPr>
            <b/>
            <sz val="9"/>
            <color indexed="81"/>
            <rFont val="Tahoma"/>
            <family val="2"/>
          </rPr>
          <t>Gao, Bing (Research):</t>
        </r>
        <r>
          <rPr>
            <sz val="9"/>
            <color indexed="81"/>
            <rFont val="Tahoma"/>
            <family val="2"/>
          </rPr>
          <t xml:space="preserve">
Including deferred tax assets, non-current</t>
        </r>
      </text>
    </comment>
    <comment ref="BS539" authorId="5">
      <text>
        <r>
          <rPr>
            <b/>
            <sz val="9"/>
            <color indexed="81"/>
            <rFont val="Tahoma"/>
            <family val="2"/>
          </rPr>
          <t>Ng, Lavender (Research):</t>
        </r>
        <r>
          <rPr>
            <sz val="9"/>
            <color indexed="81"/>
            <rFont val="Tahoma"/>
            <family val="2"/>
          </rPr>
          <t xml:space="preserve">
Including other long-term receivables, and deffered tax assets, non-current</t>
        </r>
      </text>
    </comment>
    <comment ref="B603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20-40 yrs</t>
        </r>
      </text>
    </comment>
    <comment ref="B604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3-5 yrs</t>
        </r>
      </text>
    </comment>
    <comment ref="B605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5 yrs</t>
        </r>
      </text>
    </comment>
    <comment ref="B606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3-5 yrs</t>
        </r>
      </text>
    </comment>
    <comment ref="B607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3-5 yrs</t>
        </r>
      </text>
    </comment>
    <comment ref="T625" authorId="2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Per 2016 20/F guidance, pdf p.134</t>
        </r>
      </text>
    </comment>
    <comment ref="R770" authorId="0">
      <text>
        <r>
          <rPr>
            <b/>
            <sz val="9"/>
            <color indexed="81"/>
            <rFont val="Tahoma"/>
            <family val="2"/>
          </rPr>
          <t>Chen, Amanda (Research):</t>
        </r>
        <r>
          <rPr>
            <sz val="9"/>
            <color indexed="81"/>
            <rFont val="Tahoma"/>
            <family val="2"/>
          </rPr>
          <t xml:space="preserve">
investment in eLong</t>
        </r>
      </text>
    </comment>
    <comment ref="S787" authorId="5">
      <text>
        <r>
          <rPr>
            <b/>
            <sz val="9"/>
            <color indexed="81"/>
            <rFont val="Tahoma"/>
            <family val="2"/>
          </rPr>
          <t>Ng, Lavender (Research):</t>
        </r>
        <r>
          <rPr>
            <sz val="9"/>
            <color indexed="81"/>
            <rFont val="Tahoma"/>
            <family val="2"/>
          </rPr>
          <t xml:space="preserve">
sh paid for settlement of convertible notes
</t>
        </r>
      </text>
    </comment>
    <comment ref="M790" authorId="6">
      <text>
        <r>
          <rPr>
            <b/>
            <sz val="9"/>
            <color indexed="81"/>
            <rFont val="Tahoma"/>
            <family val="2"/>
          </rPr>
          <t xml:space="preserve">Gao, Bing (Research):
</t>
        </r>
        <r>
          <rPr>
            <sz val="9"/>
            <color indexed="81"/>
            <rFont val="Tahoma"/>
            <family val="2"/>
          </rPr>
          <t>cash received from issuance of common stock</t>
        </r>
      </text>
    </comment>
    <comment ref="S790" authorId="5">
      <text>
        <r>
          <rPr>
            <b/>
            <sz val="9"/>
            <color indexed="81"/>
            <rFont val="Tahoma"/>
            <family val="2"/>
          </rPr>
          <t>Ng, Lavender (Research):</t>
        </r>
        <r>
          <rPr>
            <sz val="9"/>
            <color indexed="81"/>
            <rFont val="Tahoma"/>
            <family val="2"/>
          </rPr>
          <t xml:space="preserve">
Cash received from non-controlling investors
</t>
        </r>
      </text>
    </comment>
    <comment ref="B828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issued on 15th June 2015, mature on July
1, 2025,</t>
        </r>
      </text>
    </comment>
    <comment ref="BM832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payable semiannually in arrears on January 1 and July 1 of each year, beginning on January 1, 2016.</t>
        </r>
      </text>
    </comment>
    <comment ref="B837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issued on 18th June 2015, mature on July 1, 2020</t>
        </r>
      </text>
    </comment>
    <comment ref="BM841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payable semiannually in arrears on January 1 and July 1 of each
year, beginning on January 1, 2016.</t>
        </r>
      </text>
    </comment>
    <comment ref="B872" authorId="1">
      <text>
        <r>
          <rPr>
            <b/>
            <sz val="9"/>
            <color indexed="81"/>
            <rFont val="Tahoma"/>
            <family val="2"/>
          </rPr>
          <t>Amanda Chen:</t>
        </r>
        <r>
          <rPr>
            <sz val="9"/>
            <color indexed="81"/>
            <rFont val="Tahoma"/>
            <family val="2"/>
          </rPr>
          <t xml:space="preserve">
the Priceline Group may hold up to 10% of the Company’s outstanding shares. As the potential purchase will be conducted by the market price, there is no accounting implication.</t>
        </r>
      </text>
    </comment>
  </commentList>
</comments>
</file>

<file path=xl/comments3.xml><?xml version="1.0" encoding="utf-8"?>
<comments xmlns="http://schemas.openxmlformats.org/spreadsheetml/2006/main">
  <authors>
    <author>Zhang, Elaine (Research)</author>
  </authors>
  <commentList>
    <comment ref="Z7" authorId="0">
      <text>
        <r>
          <rPr>
            <b/>
            <sz val="9"/>
            <color indexed="81"/>
            <rFont val="Tahoma"/>
            <family val="2"/>
          </rPr>
          <t>Zhang, Elaine (Research):</t>
        </r>
        <r>
          <rPr>
            <sz val="9"/>
            <color indexed="81"/>
            <rFont val="Tahoma"/>
            <family val="2"/>
          </rPr>
          <t xml:space="preserve">
inline with Priceline</t>
        </r>
      </text>
    </comment>
  </commentList>
</comments>
</file>

<file path=xl/sharedStrings.xml><?xml version="1.0" encoding="utf-8"?>
<sst xmlns="http://schemas.openxmlformats.org/spreadsheetml/2006/main" count="2324" uniqueCount="1243">
  <si>
    <t>1Q13</t>
  </si>
  <si>
    <t>2Q13</t>
  </si>
  <si>
    <t>3Q13</t>
  </si>
  <si>
    <t>4Q13</t>
  </si>
  <si>
    <t>FY13</t>
  </si>
  <si>
    <t>1Q14</t>
  </si>
  <si>
    <t>2Q14</t>
  </si>
  <si>
    <t>3Q14</t>
  </si>
  <si>
    <t>4Q14</t>
  </si>
  <si>
    <t>FY14</t>
  </si>
  <si>
    <t>1Q15</t>
  </si>
  <si>
    <t>RMB mn</t>
  </si>
  <si>
    <t>Revenue</t>
  </si>
  <si>
    <t>Accommodation reservation</t>
  </si>
  <si>
    <t>Transportation ticketing</t>
  </si>
  <si>
    <t>Packaged tour</t>
  </si>
  <si>
    <t>Corporate travel</t>
  </si>
  <si>
    <t>Others</t>
  </si>
  <si>
    <t>Business tax and related surcharges</t>
  </si>
  <si>
    <t>Net revenue</t>
  </si>
  <si>
    <t>Cost of revenues</t>
  </si>
  <si>
    <t>Gross Profit</t>
  </si>
  <si>
    <t>Product development</t>
  </si>
  <si>
    <t>Sales and marketing</t>
  </si>
  <si>
    <t>General and administrative</t>
  </si>
  <si>
    <t>Operating expenses</t>
  </si>
  <si>
    <t>Operating income</t>
  </si>
  <si>
    <t>Interest income</t>
  </si>
  <si>
    <t>Interest expense</t>
  </si>
  <si>
    <t>Other income (net)</t>
  </si>
  <si>
    <t>Pre-tax income before extraordinaries</t>
  </si>
  <si>
    <t>Income tax expense</t>
  </si>
  <si>
    <t>Equity in income of affiliates</t>
  </si>
  <si>
    <t>Net income</t>
  </si>
  <si>
    <t>Net loss attributable to non-controlling interests</t>
  </si>
  <si>
    <t>Foreign currency translation</t>
  </si>
  <si>
    <t>Other comprehensive income</t>
  </si>
  <si>
    <t>Total comprehensive income (loss)</t>
  </si>
  <si>
    <t>ADS ratio</t>
  </si>
  <si>
    <t>Comprehensive income to CTRP Shareholders</t>
  </si>
  <si>
    <t>Non-controlling interests</t>
  </si>
  <si>
    <t>Unrealized securities holding gains, net</t>
  </si>
  <si>
    <t>Net income to CTRP's shareholders</t>
  </si>
  <si>
    <t>ADS basic (MM), Weighted avg</t>
  </si>
  <si>
    <t>ADS diluted (MM), Weighted avg</t>
  </si>
  <si>
    <t>Non-GAAP Adjustment</t>
  </si>
  <si>
    <t>Margins</t>
  </si>
  <si>
    <t>Gross margin</t>
  </si>
  <si>
    <t>Operating margin</t>
  </si>
  <si>
    <t>Net margin</t>
  </si>
  <si>
    <t>EPS, basic (Rmb)</t>
  </si>
  <si>
    <t>EPS, diluted (Rmb)</t>
  </si>
  <si>
    <t>EPADS, basic (Rmb)</t>
  </si>
  <si>
    <t>EPADS, diluted (Rmb)</t>
  </si>
  <si>
    <t>Rev_Hotel</t>
  </si>
  <si>
    <t>Rev_Ticket</t>
  </si>
  <si>
    <t>Rev_Package</t>
  </si>
  <si>
    <t>Rev_Corp</t>
  </si>
  <si>
    <t>Rev_Others</t>
  </si>
  <si>
    <t>Tax_Sur</t>
  </si>
  <si>
    <t>Rev_Net</t>
  </si>
  <si>
    <t>GP</t>
  </si>
  <si>
    <t>OP</t>
  </si>
  <si>
    <t>Int_Inc</t>
  </si>
  <si>
    <t>Int_Exp</t>
  </si>
  <si>
    <t>Oth_Inc</t>
  </si>
  <si>
    <t>PTP</t>
  </si>
  <si>
    <t>Tax</t>
  </si>
  <si>
    <t>Equ_Aff</t>
  </si>
  <si>
    <t>Profit_Pre_Min_Interest</t>
  </si>
  <si>
    <t>Min_Int</t>
  </si>
  <si>
    <t>EPS_Dil</t>
  </si>
  <si>
    <t>SBC</t>
  </si>
  <si>
    <t>SBC_SM</t>
  </si>
  <si>
    <t>SBC_GA</t>
  </si>
  <si>
    <t>OPM</t>
  </si>
  <si>
    <t>Operating profit</t>
  </si>
  <si>
    <t>Net profit</t>
  </si>
  <si>
    <t>Margin</t>
  </si>
  <si>
    <t>Operating profit margin</t>
  </si>
  <si>
    <t>Net profit margin</t>
  </si>
  <si>
    <t>Shares_Dil</t>
  </si>
  <si>
    <t>YoY</t>
  </si>
  <si>
    <t>QoQ</t>
  </si>
  <si>
    <t>Hotel</t>
  </si>
  <si>
    <t>Room night (,000)</t>
  </si>
  <si>
    <t>Commission rate (%)</t>
  </si>
  <si>
    <t>Room rate (Rmb)</t>
  </si>
  <si>
    <t>1Q12</t>
  </si>
  <si>
    <t>2Q12</t>
  </si>
  <si>
    <t>3Q12</t>
  </si>
  <si>
    <t>4Q12</t>
  </si>
  <si>
    <t>1Q11</t>
  </si>
  <si>
    <t>2Q11</t>
  </si>
  <si>
    <t>3Q11</t>
  </si>
  <si>
    <t>4Q11</t>
  </si>
  <si>
    <t>1Q07</t>
  </si>
  <si>
    <t>2Q07</t>
  </si>
  <si>
    <t>3Q07</t>
  </si>
  <si>
    <t>4Q07</t>
  </si>
  <si>
    <t>1Q08</t>
  </si>
  <si>
    <t>2Q08</t>
  </si>
  <si>
    <t>3Q08</t>
  </si>
  <si>
    <t>4Q08</t>
  </si>
  <si>
    <t>1Q09</t>
  </si>
  <si>
    <t>2Q09</t>
  </si>
  <si>
    <t>3Q09</t>
  </si>
  <si>
    <t>4Q09</t>
  </si>
  <si>
    <t>1Q10</t>
  </si>
  <si>
    <t>2Q10</t>
  </si>
  <si>
    <t>3Q10</t>
  </si>
  <si>
    <t>4Q10</t>
  </si>
  <si>
    <t>Commission per room night (Rmb)</t>
  </si>
  <si>
    <t>Net add YoY</t>
  </si>
  <si>
    <t>Net add QoQ</t>
  </si>
  <si>
    <t>Rev_ticket</t>
  </si>
  <si>
    <t>Transportation ticket</t>
  </si>
  <si>
    <t>Commission per ticket (Rmb)</t>
  </si>
  <si>
    <t>Ticket price (Rmb)</t>
  </si>
  <si>
    <t>Package tour</t>
  </si>
  <si>
    <t>Rev_package</t>
  </si>
  <si>
    <t>GMV</t>
  </si>
  <si>
    <t>Take rate (%)</t>
  </si>
  <si>
    <t>Rev_corp</t>
  </si>
  <si>
    <t>Rev_others</t>
  </si>
  <si>
    <t>Total</t>
  </si>
  <si>
    <t>Volume_hotel</t>
  </si>
  <si>
    <t>Volume_tickets</t>
  </si>
  <si>
    <t>Price_hotel</t>
  </si>
  <si>
    <t>Price_Ticket</t>
  </si>
  <si>
    <t>GMV_Package</t>
  </si>
  <si>
    <t>Total GMV</t>
  </si>
  <si>
    <t>GMV_Ticket</t>
  </si>
  <si>
    <t>GMV_Hotel</t>
  </si>
  <si>
    <t>As % of total revenue</t>
  </si>
  <si>
    <t>Total OPEX</t>
  </si>
  <si>
    <t>As % of total OPEX</t>
  </si>
  <si>
    <t>Check</t>
  </si>
  <si>
    <t>G&amp;A</t>
  </si>
  <si>
    <t>S&amp;M</t>
  </si>
  <si>
    <t>P&amp;D</t>
  </si>
  <si>
    <t>Breakdown</t>
  </si>
  <si>
    <t>Breakdown (%)</t>
  </si>
  <si>
    <t>Effective tax rate</t>
  </si>
  <si>
    <t>Period_A</t>
  </si>
  <si>
    <t>Base Case</t>
  </si>
  <si>
    <t>Total revenue</t>
  </si>
  <si>
    <t>Com_Ticket</t>
  </si>
  <si>
    <t>TR_Ticket</t>
  </si>
  <si>
    <t>TR_Package</t>
  </si>
  <si>
    <t>TR_Hotel</t>
  </si>
  <si>
    <t>Com_Hotel</t>
  </si>
  <si>
    <t>COGS_to_Rev</t>
  </si>
  <si>
    <t>OPEX_to_Rev</t>
  </si>
  <si>
    <t>OPEX as % of total revenue</t>
  </si>
  <si>
    <t>Bull Case</t>
  </si>
  <si>
    <t>OP margin</t>
  </si>
  <si>
    <t>Gross profit</t>
  </si>
  <si>
    <t>Bear Case</t>
  </si>
  <si>
    <t>Base_Case</t>
  </si>
  <si>
    <t>Room night (mn)</t>
  </si>
  <si>
    <t>Ticket volume (mn)</t>
  </si>
  <si>
    <t>GMV (Rmb mn)</t>
  </si>
  <si>
    <t>Total net revenue</t>
  </si>
  <si>
    <t>As % of total net revenue</t>
  </si>
  <si>
    <t>COGS as % of total net revenue</t>
  </si>
  <si>
    <t>OPEX as % of total net revenue</t>
  </si>
  <si>
    <t>As % of total tourism industry (online + offline)</t>
  </si>
  <si>
    <t>Air ticketing</t>
  </si>
  <si>
    <t>Sanity check</t>
  </si>
  <si>
    <t>Scenario</t>
  </si>
  <si>
    <t>Assets</t>
  </si>
  <si>
    <t>Cash and cash equivalents</t>
  </si>
  <si>
    <t>Restricted cash</t>
  </si>
  <si>
    <t>Short-term investment</t>
  </si>
  <si>
    <t>Assets_AccRec</t>
  </si>
  <si>
    <t>Accounts receivable, net</t>
  </si>
  <si>
    <t>Due from related parties</t>
  </si>
  <si>
    <t>Assets_Prepay</t>
  </si>
  <si>
    <t>Prepayments and other current assets</t>
  </si>
  <si>
    <t>Deferred tax assets, current</t>
  </si>
  <si>
    <t>Total current assets</t>
  </si>
  <si>
    <t>Long-term deposits and prepayments</t>
  </si>
  <si>
    <t>Land use rights</t>
  </si>
  <si>
    <t>Property, equipment and software</t>
  </si>
  <si>
    <t>Investments</t>
  </si>
  <si>
    <t>Goodwill</t>
  </si>
  <si>
    <t>Assets_Total</t>
  </si>
  <si>
    <t>Total assets</t>
  </si>
  <si>
    <t>Liability &amp; Equity</t>
  </si>
  <si>
    <t>Short-term debt</t>
  </si>
  <si>
    <t>Liab_AccPay</t>
  </si>
  <si>
    <t>Accounts payable</t>
  </si>
  <si>
    <t>Due to related parties</t>
  </si>
  <si>
    <t>Salary and welfare payable</t>
  </si>
  <si>
    <t>Taxes payable</t>
  </si>
  <si>
    <t>Liab_Adv</t>
  </si>
  <si>
    <t>Advances from customers</t>
  </si>
  <si>
    <t>Accrued liability for customer reward program</t>
  </si>
  <si>
    <t>Other payables and accruals</t>
  </si>
  <si>
    <t>Total current liabilities</t>
  </si>
  <si>
    <t>Deferred tax liabilities, non-current</t>
  </si>
  <si>
    <t>Long-term Debt</t>
  </si>
  <si>
    <t>Other liabilities</t>
  </si>
  <si>
    <t>Liab_TOT</t>
  </si>
  <si>
    <t>Total liabilities</t>
  </si>
  <si>
    <t>Share capital</t>
  </si>
  <si>
    <t>Equity_AddPaiCap</t>
  </si>
  <si>
    <t>Additional paid-in capital</t>
  </si>
  <si>
    <t>Stautory reserves</t>
  </si>
  <si>
    <t>Accumulated other comprehensive income</t>
  </si>
  <si>
    <t>Equity_RetEar</t>
  </si>
  <si>
    <t>Retained earnings</t>
  </si>
  <si>
    <t>Total equity</t>
  </si>
  <si>
    <t>Total liabilities and equity</t>
  </si>
  <si>
    <t>Operating cash flow</t>
  </si>
  <si>
    <t>Net profits (loss)</t>
  </si>
  <si>
    <t>Ajustments:</t>
  </si>
  <si>
    <t>CF_OP</t>
  </si>
  <si>
    <t>Cash from operations</t>
  </si>
  <si>
    <t>Investing cash flow</t>
  </si>
  <si>
    <t>Purchase of property, equipment and software</t>
  </si>
  <si>
    <t>Purchase of land use right</t>
  </si>
  <si>
    <t>Purchase of intangible assets</t>
  </si>
  <si>
    <t>Increase in long-term loans to related parties</t>
  </si>
  <si>
    <t>(Increase) decrease in restricted ST investment</t>
  </si>
  <si>
    <t>(Purchase) disposal of a subsidiary</t>
  </si>
  <si>
    <t>Purchase of a business</t>
  </si>
  <si>
    <t>Investments in JV</t>
  </si>
  <si>
    <t>Short-term investments</t>
  </si>
  <si>
    <t>Other Investments</t>
  </si>
  <si>
    <t>CF_In</t>
  </si>
  <si>
    <t>Cash from investing</t>
  </si>
  <si>
    <t>Financing cash flow</t>
  </si>
  <si>
    <t>Proceeds from exercise of share options</t>
  </si>
  <si>
    <t>Repurchase of common stock</t>
  </si>
  <si>
    <t>Cash paid to non-controlling investors</t>
  </si>
  <si>
    <t>Proceeds from issuance convertible preferred shares by a subsidiary</t>
  </si>
  <si>
    <t>Proceeds from issuance of senior convertible notes, net of issuance costs</t>
  </si>
  <si>
    <t>Proceeds from sale of warrants</t>
  </si>
  <si>
    <t>Purchase of Purchased Call Option</t>
  </si>
  <si>
    <t>Cash inflow (outflow) for Capped equity</t>
  </si>
  <si>
    <t>Early Termination of Call Option</t>
  </si>
  <si>
    <t>Convertible Notes early conversion</t>
  </si>
  <si>
    <t>Other cash flows</t>
  </si>
  <si>
    <t>CF_FIN</t>
  </si>
  <si>
    <t>Cash from financing</t>
  </si>
  <si>
    <t>CF_ExcRat</t>
  </si>
  <si>
    <t>Effect of exchange rate changes on cash</t>
  </si>
  <si>
    <t>Change in cash</t>
  </si>
  <si>
    <t>Cash at beginning of year</t>
  </si>
  <si>
    <t>Cash at end of year</t>
  </si>
  <si>
    <t>Minority interests</t>
  </si>
  <si>
    <t>Loss from disposal of property and investment</t>
  </si>
  <si>
    <t>Gain on deconsolidation of subsidiaries</t>
  </si>
  <si>
    <t>Increase in restricted cash</t>
  </si>
  <si>
    <t>Increase in accounts receivables</t>
  </si>
  <si>
    <t>Increase in due from related parties</t>
  </si>
  <si>
    <t>(Increase)/decrease in prepaymts and others</t>
  </si>
  <si>
    <t>(Increase)/decrease in long term deposits</t>
  </si>
  <si>
    <t>(Increase)/decrease in deferred tax assets</t>
  </si>
  <si>
    <t>Change in accounts payables</t>
  </si>
  <si>
    <t>Change in due to related parties</t>
  </si>
  <si>
    <t>Change in salary payables</t>
  </si>
  <si>
    <t>Change in taxes payables</t>
  </si>
  <si>
    <t>Change in advances from customers</t>
  </si>
  <si>
    <t>Change in provisions for customer rewards</t>
  </si>
  <si>
    <t>Change in other payables and accurals</t>
  </si>
  <si>
    <t>Amortization</t>
  </si>
  <si>
    <t>As % of revenue</t>
  </si>
  <si>
    <t>Dep_Expenses</t>
  </si>
  <si>
    <t>CAPEX</t>
  </si>
  <si>
    <t>PPE</t>
  </si>
  <si>
    <t>Intangible assets</t>
  </si>
  <si>
    <t>Other long term receivables</t>
  </si>
  <si>
    <t>Discounted Cash Flow Model</t>
  </si>
  <si>
    <t>Selected scenario</t>
  </si>
  <si>
    <t>Key assumptions</t>
  </si>
  <si>
    <t>Current share price</t>
  </si>
  <si>
    <t>Discount rate</t>
  </si>
  <si>
    <t>Upside / Downside to PT</t>
  </si>
  <si>
    <t>Terminal growth</t>
  </si>
  <si>
    <t>Free cash flow</t>
  </si>
  <si>
    <t>NPV of FCF</t>
  </si>
  <si>
    <t>FY15</t>
  </si>
  <si>
    <t>Discounted terminal value</t>
  </si>
  <si>
    <t>Valuation</t>
  </si>
  <si>
    <t>No. of shares (Diluted)</t>
  </si>
  <si>
    <t>Base case</t>
  </si>
  <si>
    <t>Valuation per ADS (RMB)</t>
  </si>
  <si>
    <t>12mth fwd price</t>
  </si>
  <si>
    <t>USD / RMB</t>
  </si>
  <si>
    <t>Valuation per ADS (USD)</t>
  </si>
  <si>
    <t>GAAP</t>
  </si>
  <si>
    <t>EPADS - Diluted (Rmb)</t>
  </si>
  <si>
    <t>Implied PE (x)</t>
  </si>
  <si>
    <t>Non-GAAP</t>
  </si>
  <si>
    <t>PE*</t>
  </si>
  <si>
    <t>Bull case</t>
  </si>
  <si>
    <t>Bear case</t>
  </si>
  <si>
    <t>EBITDA</t>
  </si>
  <si>
    <t>Bear_Case</t>
  </si>
  <si>
    <t>Bull_Case</t>
  </si>
  <si>
    <t/>
  </si>
  <si>
    <t>Tuniu take rate (%)</t>
  </si>
  <si>
    <t>Accumulated depreciation</t>
  </si>
  <si>
    <t>As % of rev</t>
  </si>
  <si>
    <t>Change in working capital</t>
  </si>
  <si>
    <t>Capex</t>
  </si>
  <si>
    <t>Depreciation as % of beginning balance</t>
  </si>
  <si>
    <t>PPE_Gross</t>
  </si>
  <si>
    <t>Acc_Dep</t>
  </si>
  <si>
    <t>Depreciation expenses</t>
  </si>
  <si>
    <t>Depreciation expenses of PPE</t>
  </si>
  <si>
    <t>Investment</t>
  </si>
  <si>
    <t>Intangible assets (gross)</t>
  </si>
  <si>
    <t>Accumulated amortization</t>
  </si>
  <si>
    <t>Intangible assets (net)</t>
  </si>
  <si>
    <t>Amortization as % of beginning balance</t>
  </si>
  <si>
    <t>Int_Assets</t>
  </si>
  <si>
    <t>Purchase_intangible</t>
  </si>
  <si>
    <t xml:space="preserve">Amortization expenses of intangible assets </t>
  </si>
  <si>
    <t xml:space="preserve">Amortization expenses of land use rights </t>
  </si>
  <si>
    <t>Amort_Total</t>
  </si>
  <si>
    <t>Amort_Int</t>
  </si>
  <si>
    <t>Land</t>
  </si>
  <si>
    <t>Amort_Land</t>
  </si>
  <si>
    <t>Amortization of intangible assets and land use rights</t>
  </si>
  <si>
    <t>Changes in working capital</t>
  </si>
  <si>
    <t>Non-GAAP EBITDA</t>
  </si>
  <si>
    <t>Change_WC</t>
  </si>
  <si>
    <t>Tax @ 25%</t>
  </si>
  <si>
    <t>Ticket</t>
  </si>
  <si>
    <t>Package</t>
  </si>
  <si>
    <t>EBITDA margin</t>
  </si>
  <si>
    <t>GW</t>
  </si>
  <si>
    <t>Equity</t>
  </si>
  <si>
    <t>EBITDAM</t>
  </si>
  <si>
    <t>Change_Cash</t>
  </si>
  <si>
    <t>Cash_BOY</t>
  </si>
  <si>
    <t>Cash_EOY</t>
  </si>
  <si>
    <t>CTRP.O</t>
  </si>
  <si>
    <t>2006-FY</t>
  </si>
  <si>
    <t>2007-Q1</t>
  </si>
  <si>
    <t>2007-Q2</t>
  </si>
  <si>
    <t>2007-Q3</t>
  </si>
  <si>
    <t>2007-Q4</t>
  </si>
  <si>
    <t>2007-FY</t>
  </si>
  <si>
    <t>2008-Q1</t>
  </si>
  <si>
    <t>2008-Q2</t>
  </si>
  <si>
    <t>2008-Q3</t>
  </si>
  <si>
    <t>2008-Q4</t>
  </si>
  <si>
    <t>2008-FY</t>
  </si>
  <si>
    <t>2009-Q1</t>
  </si>
  <si>
    <t>2009-Q2</t>
  </si>
  <si>
    <t>2009-Q3</t>
  </si>
  <si>
    <t>2009-Q4</t>
  </si>
  <si>
    <t>2009-FY</t>
  </si>
  <si>
    <t>2010-Q1</t>
  </si>
  <si>
    <t>2010-Q2</t>
  </si>
  <si>
    <t>2010-Q3</t>
  </si>
  <si>
    <t>2010-Q4</t>
  </si>
  <si>
    <t>2010-FY</t>
  </si>
  <si>
    <t>2011-Q1</t>
  </si>
  <si>
    <t>2011-Q2</t>
  </si>
  <si>
    <t>2011-Q3</t>
  </si>
  <si>
    <t>2011-Q4</t>
  </si>
  <si>
    <t>2011-FY</t>
  </si>
  <si>
    <t>2012-Q1</t>
  </si>
  <si>
    <t>2012-Q2</t>
  </si>
  <si>
    <t>2012-Q3</t>
  </si>
  <si>
    <t>2012-Q4</t>
  </si>
  <si>
    <t>2012-FY</t>
  </si>
  <si>
    <t>2013-Q1</t>
  </si>
  <si>
    <t>2013-Q2</t>
  </si>
  <si>
    <t>2013-Q3</t>
  </si>
  <si>
    <t>2013-Q4</t>
  </si>
  <si>
    <t>2013-FY</t>
  </si>
  <si>
    <t>2014-Q1</t>
  </si>
  <si>
    <t>2014-Q2</t>
  </si>
  <si>
    <t>2014-Q3</t>
  </si>
  <si>
    <t>2014-Q4</t>
  </si>
  <si>
    <t>2014-FY</t>
  </si>
  <si>
    <t>2015-Q1</t>
  </si>
  <si>
    <t>2015-Q2</t>
  </si>
  <si>
    <t>2015-Q3</t>
  </si>
  <si>
    <t>2015-Q4</t>
  </si>
  <si>
    <t>2015-FY</t>
  </si>
  <si>
    <t>2016-Q1</t>
  </si>
  <si>
    <t>2016-Q2</t>
  </si>
  <si>
    <t>2016-Q3</t>
  </si>
  <si>
    <t>2016-Q4</t>
  </si>
  <si>
    <t>2016-FY</t>
  </si>
  <si>
    <t>2017-Q1</t>
  </si>
  <si>
    <t>2017-Q2</t>
  </si>
  <si>
    <t>2017-Q3</t>
  </si>
  <si>
    <t>2017-Q4</t>
  </si>
  <si>
    <t>2017-FY</t>
  </si>
  <si>
    <t>2018-Q1</t>
  </si>
  <si>
    <t>2018-Q2</t>
  </si>
  <si>
    <t>2018-Q3</t>
  </si>
  <si>
    <t>2018-Q4</t>
  </si>
  <si>
    <t>2018-FY</t>
  </si>
  <si>
    <t>2019-FY</t>
  </si>
  <si>
    <t>2020-FY</t>
  </si>
  <si>
    <t>2021-FY</t>
  </si>
  <si>
    <t>2022-FY</t>
  </si>
  <si>
    <t>2023-FY</t>
  </si>
  <si>
    <t>2024-FY</t>
  </si>
  <si>
    <t>2025-FY</t>
  </si>
  <si>
    <t>Period end basic shares</t>
  </si>
  <si>
    <t>Current basic shares outstanding</t>
  </si>
  <si>
    <t>Current diluted shares outstanding</t>
  </si>
  <si>
    <t>MW required tags</t>
  </si>
  <si>
    <t>Statutory tax rate</t>
  </si>
  <si>
    <t>Unrecorded goodwill</t>
  </si>
  <si>
    <t>ND</t>
  </si>
  <si>
    <t>Changes in shareholders equity</t>
  </si>
  <si>
    <t>Opening balance</t>
  </si>
  <si>
    <t>Issuance(repurchase) of shares</t>
  </si>
  <si>
    <t>Dividend paid</t>
  </si>
  <si>
    <t>AOCI</t>
  </si>
  <si>
    <t>Ending balance</t>
  </si>
  <si>
    <t>Currency</t>
  </si>
  <si>
    <t>Current Stock Price</t>
  </si>
  <si>
    <t>Count</t>
  </si>
  <si>
    <t>USD</t>
  </si>
  <si>
    <t>CTRP.O,mscalc:closePriceCurrencyCalc</t>
  </si>
  <si>
    <t>CTRP.O,mscalc:sedolCodeCalc</t>
  </si>
  <si>
    <t>CTRP.O,mscalc:targetPrice,,,,USD</t>
  </si>
  <si>
    <t>CTRP.O,mscalc:targetPrice,,,,CNY</t>
  </si>
  <si>
    <t>353.7135</t>
  </si>
  <si>
    <t>Ratio</t>
  </si>
  <si>
    <t>Account payable days</t>
  </si>
  <si>
    <t>Average Collection Period</t>
  </si>
  <si>
    <t>Current ratio</t>
  </si>
  <si>
    <t>Liab_Cur</t>
  </si>
  <si>
    <t>Assets_Cur</t>
  </si>
  <si>
    <t>Cash_Rest</t>
  </si>
  <si>
    <t>Quick ratio</t>
  </si>
  <si>
    <t>CB</t>
  </si>
  <si>
    <t>Principal amount (US$ mn)</t>
  </si>
  <si>
    <t>Maximum additional amount (US$ mn)</t>
  </si>
  <si>
    <t>Conversion price (US$)</t>
  </si>
  <si>
    <t>Interest rate (%)</t>
  </si>
  <si>
    <t>Share counts (mn)</t>
  </si>
  <si>
    <t>Payable semi-annually on Mar 15 and Sep 15</t>
  </si>
  <si>
    <t>Beginning Mar 2015</t>
  </si>
  <si>
    <t>2017 notes - 24 Sep 2012 - 25 Sep 2017</t>
  </si>
  <si>
    <t>2020 notes - 18 June 2015 - 1 July 2025</t>
  </si>
  <si>
    <t>2025 notes - 15 June 2015 - 1 July 2025</t>
  </si>
  <si>
    <t>2018 notes - 17 Oct 2013 - 15 Oct 2018</t>
  </si>
  <si>
    <t>Payable semiannually on January 1 and July</t>
  </si>
  <si>
    <t>Beginning on January 1, 2016</t>
  </si>
  <si>
    <t>Payable semiannually on January 1 and July 1</t>
  </si>
  <si>
    <t>Net proceeds</t>
  </si>
  <si>
    <t>Debt issuance costs</t>
  </si>
  <si>
    <t>Short term debt</t>
  </si>
  <si>
    <t>Long term debt</t>
  </si>
  <si>
    <t>Early converted in 2013 (ADS mn)</t>
  </si>
  <si>
    <t>Early converted in 2014 (ADS mn)</t>
  </si>
  <si>
    <t>Priceline CB - 7 Aug 2014 - 7 Aug 2019</t>
  </si>
  <si>
    <t>Payable semi-annually beginning on Aug 7, 2014</t>
  </si>
  <si>
    <t>Payable semi-annually on Apr 15 and Oct 15</t>
  </si>
  <si>
    <t>Beginning Apr 15, 2014</t>
  </si>
  <si>
    <t xml:space="preserve">Priceline CB - 26 May 2015 - </t>
  </si>
  <si>
    <t>Payroll compensation</t>
  </si>
  <si>
    <t>Credit card service fee</t>
  </si>
  <si>
    <t>Telecommunication expenses</t>
  </si>
  <si>
    <t>YoY growth</t>
  </si>
  <si>
    <t>As % of gross profit</t>
  </si>
  <si>
    <t>Ad spending</t>
  </si>
  <si>
    <t>As % of net revenue</t>
  </si>
  <si>
    <t>Non-GAAP Operating margin</t>
  </si>
  <si>
    <t>Net Profit</t>
  </si>
  <si>
    <t>Non-GAAP profit</t>
  </si>
  <si>
    <t>EPADS (Non-GAAP)</t>
  </si>
  <si>
    <t>Rev_Gross</t>
  </si>
  <si>
    <t>COS</t>
  </si>
  <si>
    <t>SBC_RD</t>
  </si>
  <si>
    <t>Ebitda_Adj</t>
  </si>
  <si>
    <t>EPS_NONGP</t>
  </si>
  <si>
    <t>Exp_RD</t>
  </si>
  <si>
    <t>Exp_SM</t>
  </si>
  <si>
    <t>Exp_GA</t>
  </si>
  <si>
    <t>Shares_ADiluted</t>
  </si>
  <si>
    <t>Shares_Abasic</t>
  </si>
  <si>
    <t>Assets_Cash</t>
  </si>
  <si>
    <t>Assets_Inv</t>
  </si>
  <si>
    <t>ezTravel</t>
  </si>
  <si>
    <t>Take rate</t>
  </si>
  <si>
    <t>Liab_AccExp</t>
  </si>
  <si>
    <t>Interest expenses</t>
  </si>
  <si>
    <t>Other income</t>
  </si>
  <si>
    <t>Volume_hotel_YoY</t>
  </si>
  <si>
    <t>Com_Hotel_YoY</t>
  </si>
  <si>
    <t>Price_hotel_YoY</t>
  </si>
  <si>
    <t>Volume_tickets_YoY</t>
  </si>
  <si>
    <t>Price_Ticket_YoY</t>
  </si>
  <si>
    <t>2Q15</t>
  </si>
  <si>
    <t>Company guidance</t>
  </si>
  <si>
    <t>3Q15</t>
  </si>
  <si>
    <t>Non-GAAP operating profit</t>
  </si>
  <si>
    <t>Com_Ticket_YoY</t>
  </si>
  <si>
    <t>As % of GMV</t>
  </si>
  <si>
    <t>As % revenue</t>
  </si>
  <si>
    <t>Organized tour</t>
  </si>
  <si>
    <t>Self-guided tour</t>
  </si>
  <si>
    <t>Air ticket</t>
  </si>
  <si>
    <t>Int_Air_GMV</t>
  </si>
  <si>
    <t>Int_hotel_GMV</t>
  </si>
  <si>
    <t>Int_package_GMV</t>
  </si>
  <si>
    <t>Int_overall_GMV</t>
  </si>
  <si>
    <t>ADS Period end basic shares</t>
  </si>
  <si>
    <t>400-500</t>
  </si>
  <si>
    <t>Train</t>
  </si>
  <si>
    <t>Bus</t>
  </si>
  <si>
    <t>Transportation volume mix (%)</t>
  </si>
  <si>
    <t>Transportation revenue mix (%)</t>
  </si>
  <si>
    <t>Volume_Air</t>
  </si>
  <si>
    <t>Rev_Air</t>
  </si>
  <si>
    <t>Headcount</t>
  </si>
  <si>
    <t>Customer service center</t>
  </si>
  <si>
    <t>Mgmt and admin</t>
  </si>
  <si>
    <t>Rev_Headcount</t>
  </si>
  <si>
    <t>HC_Total</t>
  </si>
  <si>
    <t>Short_Debt</t>
  </si>
  <si>
    <t>Liab_Long_Debt</t>
  </si>
  <si>
    <t>Priceline</t>
  </si>
  <si>
    <t>Non-GAAP net margin</t>
  </si>
  <si>
    <t>eLong</t>
  </si>
  <si>
    <t>Skysea</t>
  </si>
  <si>
    <t>Tujia</t>
  </si>
  <si>
    <t>4Q15</t>
  </si>
  <si>
    <t>Transportation</t>
  </si>
  <si>
    <t>PT (US$)</t>
  </si>
  <si>
    <t>OPM (%)</t>
  </si>
  <si>
    <t>Net cash</t>
  </si>
  <si>
    <t>NEED TO CHANGE THIS FOR DIFFERENT SCENARIO</t>
  </si>
  <si>
    <t>Exp_ToT</t>
  </si>
  <si>
    <t>NP</t>
  </si>
  <si>
    <t>EPS</t>
  </si>
  <si>
    <t>EPADS</t>
  </si>
  <si>
    <t>EPADS_DIL</t>
  </si>
  <si>
    <t>GPM</t>
  </si>
  <si>
    <t>NPM</t>
  </si>
  <si>
    <t>OP_NONGP</t>
  </si>
  <si>
    <t>NP_NONGP</t>
  </si>
  <si>
    <t>EPS_DIL_NONGP</t>
  </si>
  <si>
    <t>EPADS_DIL_NONGP</t>
  </si>
  <si>
    <t>GMV_Total</t>
  </si>
  <si>
    <t>1Q16</t>
  </si>
  <si>
    <t>2Q16</t>
  </si>
  <si>
    <t>3Q16</t>
  </si>
  <si>
    <t>4Q16</t>
  </si>
  <si>
    <t>1Q17</t>
  </si>
  <si>
    <t>2Q17</t>
  </si>
  <si>
    <t>3Q17</t>
  </si>
  <si>
    <t>4Q17</t>
  </si>
  <si>
    <t>Total tourism industry market size (Rmb bn)</t>
  </si>
  <si>
    <t>Online tourism industry market size (Rmb bn)</t>
  </si>
  <si>
    <t>As % of total online travel market</t>
  </si>
  <si>
    <t>a</t>
  </si>
  <si>
    <t>Travelfusion</t>
  </si>
  <si>
    <t>NA</t>
  </si>
  <si>
    <t>OPM_NONGP</t>
  </si>
  <si>
    <t>For_x</t>
  </si>
  <si>
    <t>Agent model</t>
  </si>
  <si>
    <t>Rev_hotel_agent</t>
  </si>
  <si>
    <t>Merchant model</t>
  </si>
  <si>
    <t>Rev_Hotel_Merchant</t>
  </si>
  <si>
    <t>Rev_hotel_net</t>
  </si>
  <si>
    <t>20-25%</t>
  </si>
  <si>
    <t>GMV_Air</t>
  </si>
  <si>
    <t>As % of total GMV</t>
  </si>
  <si>
    <t>As % of total rev</t>
  </si>
  <si>
    <t>Total cogs</t>
  </si>
  <si>
    <t>30-35%</t>
  </si>
  <si>
    <t>Accounts receivable</t>
  </si>
  <si>
    <t>Distribution</t>
  </si>
  <si>
    <t>Period_CTRP</t>
  </si>
  <si>
    <t>Unreazlied_Gains</t>
  </si>
  <si>
    <t>Other_Comp_inc</t>
  </si>
  <si>
    <t>Comp_inc</t>
  </si>
  <si>
    <t>Shares_Basic_Period_End</t>
  </si>
  <si>
    <t>Avg_OS_Basic</t>
  </si>
  <si>
    <t>Current_Shares_Basic</t>
  </si>
  <si>
    <t>Current_Shares_Dil</t>
  </si>
  <si>
    <t>ADS_Period_End_Basic</t>
  </si>
  <si>
    <t>ADS_Ratio</t>
  </si>
  <si>
    <t>Int_Assets_net</t>
  </si>
  <si>
    <t>Int_Assets_gross</t>
  </si>
  <si>
    <t>INCOME STATEMENT</t>
  </si>
  <si>
    <t>DRIVERS</t>
  </si>
  <si>
    <t>Blended</t>
  </si>
  <si>
    <t>Key Metrics</t>
  </si>
  <si>
    <t>OUTBOUND TRAVEL</t>
  </si>
  <si>
    <t>OPEX</t>
  </si>
  <si>
    <t>BALANCE SHEET</t>
  </si>
  <si>
    <t>CASHFLOW</t>
  </si>
  <si>
    <t>Ground transportation</t>
  </si>
  <si>
    <t>Non-GAAP OPEX</t>
  </si>
  <si>
    <t>Non-GAAP P&amp;D</t>
  </si>
  <si>
    <t>Non-GAAP S&amp;M</t>
  </si>
  <si>
    <t>Non-GAAP G&amp;A</t>
  </si>
  <si>
    <t>Commission rate net (%)</t>
  </si>
  <si>
    <t xml:space="preserve">Hotel </t>
  </si>
  <si>
    <t>As % of gross rev</t>
  </si>
  <si>
    <t>Prepayments and deposits to vendors</t>
  </si>
  <si>
    <t>Employee advances</t>
  </si>
  <si>
    <t>Prepaid expenses</t>
  </si>
  <si>
    <t>Receivables from financial institution</t>
  </si>
  <si>
    <t>Interest receivable</t>
  </si>
  <si>
    <t>Deposits paid to airline suppliers</t>
  </si>
  <si>
    <t>Prepayments for purchase of long lived assets</t>
  </si>
  <si>
    <t>Deposits paid to hotel suppliers</t>
  </si>
  <si>
    <t>Deposits paid to lessor</t>
  </si>
  <si>
    <t>Deposits paid to travel bureau</t>
  </si>
  <si>
    <t>Buildings</t>
  </si>
  <si>
    <t>Computer equipment</t>
  </si>
  <si>
    <t>Website-related equipment</t>
  </si>
  <si>
    <t>Furniture and fixtures</t>
  </si>
  <si>
    <t>Software</t>
  </si>
  <si>
    <t>Leasehold improvements</t>
  </si>
  <si>
    <t>Construction in progress</t>
  </si>
  <si>
    <t>Less: accumulated depreciation and amortization</t>
  </si>
  <si>
    <t>Total net book value</t>
  </si>
  <si>
    <t>PPE (net)</t>
  </si>
  <si>
    <t>PPE (gross)</t>
  </si>
  <si>
    <t>Acquisition of Qunar</t>
  </si>
  <si>
    <t>Acquisition of Travelfusion</t>
  </si>
  <si>
    <t>Acquisition of an offline travel agency in 2014 and measurement period adjustment in 2015</t>
  </si>
  <si>
    <t>Acquisition of a technology company focusing on hotel customer reviews in 2014 and measurement period adjustment in 2015</t>
  </si>
  <si>
    <t>Acquisition of an online trip package service provider</t>
  </si>
  <si>
    <t>Balance at BoY</t>
  </si>
  <si>
    <t>Balance at EoY</t>
  </si>
  <si>
    <t>As % of cost</t>
  </si>
  <si>
    <t>2018 1.25% CB</t>
  </si>
  <si>
    <t>2020 1% CB</t>
  </si>
  <si>
    <t>2025 1.99% CB</t>
  </si>
  <si>
    <t>PCLN 1% 2019 CB</t>
  </si>
  <si>
    <t>PCLN 1% 2020 CB</t>
  </si>
  <si>
    <t>PCLN 2% 2025 CB</t>
  </si>
  <si>
    <t>Hillhouse 2% 2025 CB</t>
  </si>
  <si>
    <t>Less: debt issuance cost</t>
  </si>
  <si>
    <t>USD : RMB</t>
  </si>
  <si>
    <t>2022 1.25% CB</t>
  </si>
  <si>
    <t>Strike price</t>
  </si>
  <si>
    <t>Non-Controlling interest</t>
  </si>
  <si>
    <t>Qunar</t>
  </si>
  <si>
    <t>An offline travel agency</t>
  </si>
  <si>
    <t>An online trip package service provider</t>
  </si>
  <si>
    <t>A technology company focusing on hotel customer reviews</t>
  </si>
  <si>
    <t>Balance at the BoY</t>
  </si>
  <si>
    <t>Treasure stock</t>
  </si>
  <si>
    <t>Unrealized securities holding gains</t>
  </si>
  <si>
    <t>Balance at the EoY</t>
  </si>
  <si>
    <t>Highest price in 2016: 55.8</t>
  </si>
  <si>
    <t>Balance BoY</t>
  </si>
  <si>
    <t>Issuance of common stock pursuant to share incentive plan</t>
  </si>
  <si>
    <t>Early Conversion of Convertible Notes</t>
  </si>
  <si>
    <t>Acquisition of additional stake in subsidiaries</t>
  </si>
  <si>
    <t>Balance EoY</t>
  </si>
  <si>
    <t>Purchasing of purchased call option</t>
  </si>
  <si>
    <t>Sale of Issued Warrants</t>
  </si>
  <si>
    <t>Disposal of shares of subsidiaries</t>
  </si>
  <si>
    <t>Business combinations</t>
  </si>
  <si>
    <t>Share issuance for the investment</t>
  </si>
  <si>
    <t>Appropriations to statutory reserves</t>
  </si>
  <si>
    <t>Repurchasing common stock</t>
  </si>
  <si>
    <t>Early conversion of convertible notes</t>
  </si>
  <si>
    <t>As % of total cost</t>
  </si>
  <si>
    <t>Segment guidance is on gross basis</t>
  </si>
  <si>
    <t>Total rev guidance is on net basis</t>
  </si>
  <si>
    <t>85~90%</t>
  </si>
  <si>
    <t>10~15%</t>
  </si>
  <si>
    <t>80~85%</t>
  </si>
  <si>
    <t>&lt;5%</t>
  </si>
  <si>
    <t>Company guidance - NGAAP OP</t>
  </si>
  <si>
    <t>700-800</t>
  </si>
  <si>
    <t>0-100</t>
  </si>
  <si>
    <t>-100-0</t>
  </si>
  <si>
    <t>150-250</t>
  </si>
  <si>
    <t>75-80%</t>
  </si>
  <si>
    <t>70-75%</t>
  </si>
  <si>
    <t>50-60%</t>
  </si>
  <si>
    <t>40-50%</t>
  </si>
  <si>
    <t>70-80%</t>
  </si>
  <si>
    <t>50-55%</t>
  </si>
  <si>
    <t>45-55%</t>
  </si>
  <si>
    <t>100-110%</t>
  </si>
  <si>
    <t>95-100%</t>
  </si>
  <si>
    <t>90-95%</t>
  </si>
  <si>
    <t>80-90%</t>
  </si>
  <si>
    <t>45-50%</t>
  </si>
  <si>
    <t>35-40%</t>
  </si>
  <si>
    <t>10-20%</t>
  </si>
  <si>
    <t>Non-GAAP OPM</t>
  </si>
  <si>
    <t>Breakdown (Rmn mn)</t>
  </si>
  <si>
    <t>&lt;1%</t>
  </si>
  <si>
    <t>90~95%</t>
  </si>
  <si>
    <t>5~10%</t>
  </si>
  <si>
    <t>Rev</t>
  </si>
  <si>
    <t>Room Night</t>
  </si>
  <si>
    <t xml:space="preserve">Take rate </t>
  </si>
  <si>
    <t>As % of combined company</t>
  </si>
  <si>
    <t>Rev (Rmb mn)</t>
  </si>
  <si>
    <t>Room Night (mn)</t>
  </si>
  <si>
    <t>Adj. rev</t>
  </si>
  <si>
    <t>Adj. take rate</t>
  </si>
  <si>
    <t>Room night</t>
  </si>
  <si>
    <t>Rev (including QUNR merchant model)</t>
  </si>
  <si>
    <t>Rev (excluding QUNR merchant model)</t>
  </si>
  <si>
    <t>Combined company (Pro-forma)</t>
  </si>
  <si>
    <t>Ctrip core (before 2Q16)</t>
  </si>
  <si>
    <t>Pro forma Rev (including QUNR merchant model)</t>
  </si>
  <si>
    <t>Pro forma Rev (excluding QUNR merchant model)</t>
  </si>
  <si>
    <t>Qunar rev</t>
  </si>
  <si>
    <t>Ctrip core rev</t>
  </si>
  <si>
    <t>Qunar adj. rev</t>
  </si>
  <si>
    <t>GMV (exclude merchant model)</t>
  </si>
  <si>
    <t>GMV (excl. merchant model)</t>
  </si>
  <si>
    <t>Ticket volume</t>
  </si>
  <si>
    <t>Ctrip air ticket rev core (before 2Q16)</t>
  </si>
  <si>
    <t>Rmb mn</t>
  </si>
  <si>
    <t>Combined company ticket rev (Pro-forma)</t>
  </si>
  <si>
    <t>1-5%</t>
  </si>
  <si>
    <t>GMV_hotel</t>
  </si>
  <si>
    <t>Air ticket GMV</t>
  </si>
  <si>
    <t>GMV_transportation</t>
  </si>
  <si>
    <t>SkyScanner</t>
  </si>
  <si>
    <t>1Q18F</t>
  </si>
  <si>
    <t>2Q18F</t>
  </si>
  <si>
    <t>3Q18F</t>
  </si>
  <si>
    <t>4Q18F</t>
  </si>
  <si>
    <t>NPM_NONGP</t>
  </si>
  <si>
    <t>EBITDAM_NONGP</t>
  </si>
  <si>
    <t>EPS (Basic)</t>
  </si>
  <si>
    <t>EPADS (Basic)</t>
  </si>
  <si>
    <t>EPADS_NONGP</t>
  </si>
  <si>
    <t>FX</t>
  </si>
  <si>
    <t>Baidu</t>
  </si>
  <si>
    <t>As % of gross revenue</t>
  </si>
  <si>
    <t>Capex as % of gross revenue</t>
  </si>
  <si>
    <t>Purchase of intangible assets as % of gross revenue</t>
  </si>
  <si>
    <t>As % of OPEX+Cost</t>
  </si>
  <si>
    <t>As % of tax expenses</t>
  </si>
  <si>
    <t>Rev (GBP mn)</t>
  </si>
  <si>
    <t>RMB to GBP (Year End)</t>
  </si>
  <si>
    <t xml:space="preserve">YoY </t>
  </si>
  <si>
    <t>Cost+OPEX</t>
  </si>
  <si>
    <t>Mobile traffic contribution</t>
  </si>
  <si>
    <t>EBITDA (Rmb mn)</t>
  </si>
  <si>
    <t>GMV (Rmb bn)</t>
  </si>
  <si>
    <t>MAU (mn)</t>
  </si>
  <si>
    <t>SkyScanner opex+cost</t>
  </si>
  <si>
    <t>Seasonality</t>
  </si>
  <si>
    <t>GMV_SS</t>
  </si>
  <si>
    <t>Skyscanner</t>
  </si>
  <si>
    <t>Rev_SS</t>
  </si>
  <si>
    <t>Gross Revenue</t>
  </si>
  <si>
    <t>2018 non-gaap</t>
  </si>
  <si>
    <t>2015-2018e 3 year CAGR (%)</t>
  </si>
  <si>
    <t>2018 EPS</t>
  </si>
  <si>
    <t>2018e non-gaap</t>
  </si>
  <si>
    <t>Equity income of affiliates</t>
  </si>
  <si>
    <t>Rev_SS_YoY</t>
  </si>
  <si>
    <t>750-850</t>
  </si>
  <si>
    <t>QoQ net increase</t>
  </si>
  <si>
    <t>40-45%</t>
  </si>
  <si>
    <t>20-30%</t>
  </si>
  <si>
    <t>30-40%</t>
  </si>
  <si>
    <t>Provision for doubtful accounts</t>
  </si>
  <si>
    <t>Deferred income tax expenses/(benefits)</t>
  </si>
  <si>
    <t>Proceeds from bank loans</t>
  </si>
  <si>
    <t>Proceeds from issuance of ordinary shares, net of issuance costs</t>
  </si>
  <si>
    <t>Proceeds and repayment of loans due to and from related parties</t>
  </si>
  <si>
    <t>Rev without SS</t>
  </si>
  <si>
    <t>Gross profit without SS</t>
  </si>
  <si>
    <t>Gross margin without SS</t>
  </si>
  <si>
    <t>15-20%</t>
  </si>
  <si>
    <t>25-35%</t>
  </si>
  <si>
    <t>900-1000</t>
  </si>
  <si>
    <t>Revenue per headcount (,000)</t>
  </si>
  <si>
    <t>Exp_RD_NONGP</t>
  </si>
  <si>
    <t>Exp_ToT_NONGP</t>
  </si>
  <si>
    <t>Exp_SM_NONGP</t>
  </si>
  <si>
    <t>Exp_GA_NONGP</t>
  </si>
  <si>
    <t>2026-FY</t>
  </si>
  <si>
    <t>2027-FY</t>
  </si>
  <si>
    <t>COGS</t>
  </si>
  <si>
    <t>&gt;&gt;&gt;Start consolidate SkyScanner</t>
  </si>
  <si>
    <t>&gt;&gt;&gt;Start consolidate Qunar</t>
  </si>
  <si>
    <t>&gt;&gt;Qunar</t>
  </si>
  <si>
    <t>&gt;&gt;SkyScanner</t>
  </si>
  <si>
    <t>MW Tagging</t>
  </si>
  <si>
    <t>Issuance of ordinary shares</t>
  </si>
  <si>
    <t>Weighted avg ordinary shares, diluted (mn)</t>
  </si>
  <si>
    <t>Weighted avg ordinary shares, basic (mn)</t>
  </si>
  <si>
    <t>Rev under Transportation</t>
  </si>
  <si>
    <t>Rev under Hotel</t>
  </si>
  <si>
    <t>% under Transportation</t>
  </si>
  <si>
    <t>% under Hotel</t>
  </si>
  <si>
    <t>25-30%</t>
  </si>
  <si>
    <t>15-25%</t>
  </si>
  <si>
    <t>1500-1600</t>
  </si>
  <si>
    <t>850-950</t>
  </si>
  <si>
    <t>15-17%</t>
  </si>
  <si>
    <t>Over 20%</t>
  </si>
  <si>
    <t>WACC= % debt * cost of debt * (1-t) + % equity * required reate of return on equity</t>
  </si>
  <si>
    <t>% debt</t>
  </si>
  <si>
    <t>cost of debt</t>
  </si>
  <si>
    <t>% equity</t>
  </si>
  <si>
    <t>Assumed beta</t>
  </si>
  <si>
    <t>Market rate of return (S&amp;P long-term average)</t>
  </si>
  <si>
    <t>Risk free rate of return (10-yr US treasury)</t>
  </si>
  <si>
    <t>Required rate of return = risk free return + beta * (Market rate of return - risk free return)</t>
  </si>
  <si>
    <t>Required rate of return</t>
  </si>
  <si>
    <t>WACC</t>
  </si>
  <si>
    <t>Reference-WACC</t>
  </si>
  <si>
    <t>Tencent</t>
  </si>
  <si>
    <t>Alibaba</t>
  </si>
  <si>
    <t>JD</t>
  </si>
  <si>
    <t>NetEase</t>
  </si>
  <si>
    <t>Reference-Terminal Growth</t>
  </si>
  <si>
    <t>Reference-Beta</t>
  </si>
  <si>
    <t>YY</t>
  </si>
  <si>
    <t>Momo</t>
  </si>
  <si>
    <t>Wuba</t>
  </si>
  <si>
    <t>Facebook</t>
  </si>
  <si>
    <t>Netflix</t>
  </si>
  <si>
    <t>Snapchat</t>
  </si>
  <si>
    <t>Average</t>
  </si>
  <si>
    <t>(1-tax rate)</t>
  </si>
  <si>
    <t>Expedia</t>
  </si>
  <si>
    <t>Non-GAAP 1 year growth</t>
  </si>
  <si>
    <t>Non-GAAP 3 year growth</t>
  </si>
  <si>
    <t>Non-GAAP PEG</t>
  </si>
  <si>
    <t>1Q19F</t>
  </si>
  <si>
    <t>2Q19F</t>
  </si>
  <si>
    <t>3Q19F</t>
  </si>
  <si>
    <t>4Q19F</t>
  </si>
  <si>
    <t>,mscalc:closePriceCurrencyCalc</t>
  </si>
  <si>
    <t>,mscalc:targetPrice,,,,USD</t>
  </si>
  <si>
    <t>$L$2</t>
  </si>
  <si>
    <t>2017-19E CAGR</t>
  </si>
  <si>
    <t>EPS (Diluted)</t>
  </si>
  <si>
    <t>EPADS (Diluted)</t>
  </si>
  <si>
    <t>9-11%</t>
  </si>
  <si>
    <t>old: 15-20%</t>
  </si>
  <si>
    <t>18-20%</t>
  </si>
  <si>
    <t>10-15%</t>
  </si>
  <si>
    <t>800-900</t>
  </si>
  <si>
    <t>550-650</t>
  </si>
  <si>
    <t>Company Guidance</t>
  </si>
  <si>
    <t>44</t>
  </si>
  <si>
    <t>1.2-1.4trn, excluding Skyscanner</t>
  </si>
  <si>
    <t>25-30% CAGR 16-20E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</si>
  <si>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</si>
  <si>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</si>
  <si>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</si>
  <si>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</si>
  <si>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 Austin Road West</t>
  </si>
  <si>
    <t>Kowloon</t>
  </si>
  <si>
    <t>Hong Kong</t>
  </si>
  <si>
    <t>Tel: +852 2848 5200</t>
  </si>
  <si>
    <t>Authors: Grace Chen, Elaine Zhang</t>
  </si>
  <si>
    <t>Date: 23 Apr 2018</t>
  </si>
  <si>
    <t>Ticker: CTRP.O</t>
  </si>
  <si>
    <t>Industry: China Internet and Other Services</t>
  </si>
  <si>
    <t>Industry View: In-Line</t>
  </si>
  <si>
    <t>Price as of 23 Apr 2018: 42.65</t>
  </si>
  <si>
    <t>Target Price: 44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</si>
  <si>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</si>
  <si>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</si>
  <si>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</si>
  <si>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</si>
  <si>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Ctrip.Com International Ltd.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</si>
  <si>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</si>
  <si>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</si>
  <si>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</si>
  <si>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</si>
  <si>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</si>
  <si>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</si>
  <si>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</si>
  <si>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</si>
  <si>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</si>
  <si>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</si>
  <si>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</si>
  <si>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</si>
  <si>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</si>
  <si>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</si>
  <si>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</si>
  <si>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</si>
  <si>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</si>
  <si>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</si>
  <si>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</si>
  <si>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</si>
  <si>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</si>
  <si>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</si>
  <si>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</si>
  <si>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</si>
  <si>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</si>
  <si>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</si>
  <si>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</si>
  <si>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</si>
  <si>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</si>
  <si>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</si>
  <si>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</si>
  <si>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</si>
  <si>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</si>
  <si>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</si>
  <si>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</si>
  <si>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</si>
  <si>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</si>
  <si>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</si>
  <si>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</si>
  <si>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</si>
  <si>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</si>
  <si>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</si>
  <si>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</si>
  <si>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</si>
  <si>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</si>
  <si>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</si>
  <si>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</si>
  <si>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</si>
  <si>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</si>
  <si>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</si>
  <si>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</si>
  <si>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</si>
  <si>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</si>
  <si>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</si>
  <si>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</si>
  <si>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</si>
  <si>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</si>
  <si>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</si>
  <si>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</si>
  <si>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</si>
  <si>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</si>
  <si>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</si>
  <si>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</si>
  <si>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</si>
  <si>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</si>
  <si>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</si>
  <si>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</si>
  <si>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</si>
  <si>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</si>
  <si>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</si>
  <si>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</si>
  <si>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</si>
  <si>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</si>
  <si>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</si>
  <si>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</si>
  <si>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</si>
  <si>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</si>
  <si>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</si>
  <si>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</si>
  <si>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</si>
  <si>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</si>
  <si>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</si>
  <si>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</si>
  <si>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</si>
  <si>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</si>
  <si>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Certain information in Morgan Stanley Research was sourced by employees of the Shanghai Representative</t>
  </si>
  <si>
    <t>Office of Morgan Stanley Asia Limited for the use of Morgan Stanley Asia Limited.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</si>
  <si>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</si>
  <si>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</si>
  <si>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</si>
  <si>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</si>
  <si>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</si>
  <si>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</si>
  <si>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</si>
  <si>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</si>
  <si>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</si>
  <si>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</si>
  <si>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</si>
  <si>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</si>
  <si>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</si>
  <si>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</si>
  <si>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</si>
  <si>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</si>
  <si>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</si>
  <si>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</si>
  <si>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</si>
  <si>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</si>
  <si>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</si>
  <si>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</si>
  <si>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</si>
  <si>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</si>
  <si>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</si>
  <si>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</si>
  <si>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</si>
  <si>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</si>
  <si>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</si>
  <si>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</si>
  <si>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</si>
  <si>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</si>
  <si>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</si>
  <si>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</si>
  <si>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</si>
  <si>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</si>
  <si>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</si>
  <si>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</si>
  <si>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</si>
  <si>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</si>
  <si>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</si>
  <si>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</si>
  <si>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</si>
  <si>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</si>
  <si>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</si>
  <si>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</si>
  <si>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</si>
  <si>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</si>
  <si>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</si>
  <si>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</si>
  <si>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</si>
  <si>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</si>
  <si>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</si>
  <si>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</si>
  <si>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</si>
  <si>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</si>
  <si>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</si>
  <si>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</si>
  <si>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</si>
  <si>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</si>
  <si>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</si>
  <si>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</si>
  <si>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</si>
  <si>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</si>
  <si>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</si>
  <si>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</si>
  <si>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</si>
  <si>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</si>
  <si>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</si>
  <si>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</si>
  <si>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</si>
  <si>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</si>
  <si>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</si>
  <si>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</si>
  <si>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</si>
  <si>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</si>
  <si>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</si>
  <si>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</si>
  <si>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</si>
  <si>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</si>
  <si>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</si>
  <si>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</si>
  <si>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</si>
  <si>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</si>
  <si>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</si>
  <si>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</si>
  <si>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</si>
  <si>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</si>
  <si>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</si>
  <si>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</si>
  <si>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</si>
  <si>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Ctrip.Com International Ltd.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</si>
  <si>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</si>
  <si>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</si>
  <si>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</si>
  <si>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</si>
  <si>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</si>
  <si>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</si>
  <si>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</si>
  <si>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</si>
  <si>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</si>
  <si>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</si>
  <si>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</si>
  <si>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</si>
  <si>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</si>
  <si>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</si>
  <si>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</si>
  <si>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</si>
  <si>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</si>
  <si>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</si>
  <si>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</si>
  <si>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</si>
  <si>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</si>
  <si>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</si>
  <si>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</si>
  <si>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</si>
  <si>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</si>
  <si>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</si>
  <si>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</si>
  <si>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</si>
  <si>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</si>
  <si>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</si>
  <si>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</si>
  <si>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</si>
  <si>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</si>
  <si>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</si>
  <si>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</si>
  <si>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</si>
  <si>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</si>
  <si>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</si>
  <si>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</si>
  <si>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</si>
  <si>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</si>
  <si>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</si>
  <si>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</si>
  <si>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</si>
  <si>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</si>
  <si>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</si>
  <si>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</si>
  <si>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</si>
  <si>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</si>
  <si>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</si>
  <si>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</si>
  <si>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</si>
  <si>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</si>
  <si>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</si>
  <si>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</si>
  <si>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</si>
  <si>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</si>
  <si>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</si>
  <si>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</si>
  <si>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</si>
  <si>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</si>
  <si>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</si>
  <si>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</si>
  <si>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</si>
  <si>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</si>
  <si>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</si>
  <si>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</si>
  <si>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</si>
  <si>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Ctrip.Com International Ltd.</t>
  </si>
  <si>
    <t>Within the last 12 months, Morgan Stanley has provided or is providing investment banking services to,</t>
  </si>
  <si>
    <t>or has an investment banking client relationship with, the following company: Ctrip.Com International</t>
  </si>
  <si>
    <t>Ltd.</t>
  </si>
  <si>
    <t>Within the last 12 months, Morgan Stanley has received compensation for products and services other than</t>
  </si>
  <si>
    <t>investment banking services from Ctrip.Com International Ltd.</t>
  </si>
  <si>
    <t>In the next 3 months, Morgan Stanley expects to receive or intends to seek compensation for investment</t>
  </si>
  <si>
    <t>banking services from Ctrip.Com International Ltd.</t>
  </si>
  <si>
    <t>As of March 29, 2018, Morgan Stanley beneficially owned 1% or more of a class of common equity</t>
  </si>
  <si>
    <t>securities of the following companies covered in Morgan Stanley Research: Ctrip.Com International Ltd.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</si>
  <si>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</si>
  <si>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</si>
  <si>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</si>
  <si>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</si>
  <si>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</si>
  <si>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Grace Chen.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</si>
  <si>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</si>
  <si>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</si>
  <si>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</si>
  <si>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</si>
  <si>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</si>
  <si>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</si>
  <si>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</si>
  <si>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</si>
  <si>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</si>
  <si>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</si>
  <si>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</si>
  <si>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</si>
  <si>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</si>
  <si>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</si>
  <si>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</si>
  <si>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</si>
  <si>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</si>
  <si>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</si>
  <si>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</si>
  <si>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</si>
  <si>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Limited, regulated by the Securities and Exchange Board of India</t>
  </si>
  <si>
    <t>(“SEBI”) and holder of licenses as a Research Analyst (SEBI Registration No. INH000001105); Stock Broker</t>
  </si>
  <si>
    <t>(BSE Registration No. INB011054237 and NSE Registration No. INB/INF231054231), Merchant Banker (SEBI</t>
  </si>
  <si>
    <t>Registration No. INM000011203), and depository participant with National Securities Depository Limited</t>
  </si>
  <si>
    <t>(SEBI Registration No. IN-DP-NSDL-372-2014) which accepts the responsibility for its contents and should</t>
  </si>
  <si>
    <t>be contacted with respect to any matters arising from, or in connection with, Morgan Stanley Research,</t>
  </si>
  <si>
    <t>and/or PT. Morgan Stanley Sekuritas Indonesia and their affiliates (collectively, "Morgan Stanley").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</si>
  <si>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</si>
  <si>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</si>
  <si>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</si>
  <si>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</si>
  <si>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</si>
  <si>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</si>
  <si>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</si>
  <si>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</si>
  <si>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</si>
  <si>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</si>
  <si>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</si>
  <si>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</si>
  <si>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</si>
  <si>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</si>
  <si>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</si>
  <si>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</si>
  <si>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</si>
  <si>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</si>
  <si>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</si>
  <si>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</si>
  <si>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</si>
  <si>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</si>
  <si>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</si>
  <si>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</si>
  <si>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</si>
  <si>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</si>
  <si>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</si>
  <si>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</si>
  <si>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</si>
  <si>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</si>
  <si>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</si>
  <si>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</si>
  <si>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</si>
  <si>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</si>
  <si>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</si>
  <si>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</si>
  <si>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</si>
  <si>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</si>
  <si>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</si>
  <si>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</si>
  <si>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</si>
  <si>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</si>
  <si>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</si>
  <si>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</si>
  <si>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</si>
  <si>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</si>
  <si>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</si>
  <si>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</si>
  <si>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</si>
  <si>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</si>
  <si>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</si>
  <si>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</si>
  <si>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</si>
  <si>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</si>
  <si>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Quarterly Update</t>
  </si>
  <si>
    <t>AsiaPacific</t>
  </si>
  <si>
    <t>zhangela</t>
  </si>
  <si>
    <t>Ctrip.Com International Ltd</t>
  </si>
  <si>
    <t>MSA12330, MSA80NLN</t>
  </si>
  <si>
    <t>22943F100</t>
  </si>
  <si>
    <t>L:\China Internet\1. Company\CTRP\Model\CTRP_New Master 20180420.xlsm</t>
  </si>
  <si>
    <t>[BRO MSA]</t>
  </si>
  <si>
    <t>[PRODUCT MODEL]</t>
  </si>
  <si>
    <t>[EMAIL_ALERT YES]</t>
  </si>
  <si>
    <t>[DISCIPLINE Company]</t>
  </si>
  <si>
    <t>[SUPPRESSED NO]</t>
  </si>
  <si>
    <t>[DOCDAT 2018-04-23]</t>
  </si>
  <si>
    <t>[DOCTIME 06:12]</t>
  </si>
  <si>
    <t>[PSYM CTRP.O(Reuters) (None)]</t>
  </si>
  <si>
    <t>[COU 40]</t>
  </si>
  <si>
    <t>[ANA MSA80NLN]</t>
  </si>
  <si>
    <t>[HL CTRP.O Model]</t>
  </si>
  <si>
    <t>[IND ]</t>
  </si>
  <si>
    <t>[PANA MSA12330]</t>
  </si>
  <si>
    <t>Stock Rating: Equal-weight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</si>
</sst>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9">
    <numFmt numFmtId="5" formatCode="&quot;$&quot;#,##0_);\(&quot;$&quot;#,##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"/>
    <numFmt numFmtId="165" formatCode="_(* #,##0.0_);_(* \(#,##0.0\);_(* &quot;-&quot;??_);_(@_)"/>
    <numFmt numFmtId="166" formatCode="_(* #,##0_);_(* \(#,##0\);_(* &quot;-&quot;??_);_(@_)"/>
    <numFmt numFmtId="167" formatCode="0.0"/>
    <numFmt numFmtId="168" formatCode="0.0%"/>
    <numFmt numFmtId="169" formatCode="0.00_);\(0.00\)"/>
    <numFmt numFmtId="170" formatCode="[$-409]mmm\-yy;@"/>
    <numFmt numFmtId="171" formatCode="#,##0.000"/>
    <numFmt numFmtId="172" formatCode="&quot;MR&quot;#,##0.00_);\(&quot;$&quot;#,##0.00\)"/>
    <numFmt numFmtId="173" formatCode="&quot;$&quot;#,##0.0;\(&quot;$&quot;#,##0.0\)"/>
    <numFmt numFmtId="174" formatCode="&quot;$&quot;#,##0.0\ \ ;&quot;$&quot;\(#,##0.0\)\ ;&quot;$&quot;&quot; - &quot;\ \ \ \ ;@_)"/>
    <numFmt numFmtId="175" formatCode="0.00%_);[Red]\(0.00%\)"/>
    <numFmt numFmtId="176" formatCode="0.00%;[Red]\(0.00%\)"/>
    <numFmt numFmtId="177" formatCode="&quot;W&quot;&quot;$&quot;#,##0.00_);\(&quot;$&quot;#,##0.00\)"/>
    <numFmt numFmtId="178" formatCode="&quot;Fr.&quot;#,##0_);[Red]\(&quot;Fr.&quot;#,##0\)"/>
    <numFmt numFmtId="179" formatCode="&quot;C&quot;\ &quot;´&quot;&quot;´&quot;&quot;´&quot;&quot;´&quot;\ &quot;≫&quot;&quot;≫&quot;&quot;≫&quot;&quot;≫&quot;"/>
    <numFmt numFmtId="180" formatCode="0.0_)\%;\(0.0\)\%;0.0_)\%;@_)_%"/>
    <numFmt numFmtId="181" formatCode="#,##0.0_)_%;\(#,##0.0\)_%;0.0_)_%;@_)_%"/>
    <numFmt numFmtId="182" formatCode="\+#,##0.0;\-0.0"/>
    <numFmt numFmtId="183" formatCode="#,###\—_);\(#,###\—\)"/>
    <numFmt numFmtId="184" formatCode="#,##0.0_);\(#,##0.0\)"/>
    <numFmt numFmtId="185" formatCode="#,##0.0_);\(#,##0.0\);#,##0.0_);@_)"/>
    <numFmt numFmtId="186" formatCode="&quot;£&quot;#,##0;[Red]\-&quot;£&quot;#,##0"/>
    <numFmt numFmtId="187" formatCode="&quot;$&quot;_(#,##0.00_);&quot;$&quot;\(#,##0.00\);&quot;$&quot;_(0.00_);@_)"/>
    <numFmt numFmtId="188" formatCode="#,##0.00_);\(#,##0.00\);0.00_);@_)"/>
    <numFmt numFmtId="189" formatCode="\€_(#,##0.00_);\€\(#,##0.00\);\€_(0.00_);@_)"/>
    <numFmt numFmtId="190" formatCode="\Ç\ \´\´\´\´\ \»\»\»\»"/>
    <numFmt numFmtId="191" formatCode="&quot;ß&quot;\&amp;\,\&amp;\&amp;0.00_);\(&quot;ß&quot;\&amp;\,\&amp;\&amp;0.00\)"/>
    <numFmt numFmtId="192" formatCode="\+#,##0;\-#,##0"/>
    <numFmt numFmtId="193" formatCode="\+#,##0.00;\-#,##0.00"/>
    <numFmt numFmtId="194" formatCode="&quot;£&quot;#,##0.00;\-&quot;£&quot;#,##0.00"/>
    <numFmt numFmtId="195" formatCode="#,##0.0_)\x;\(#,##0.0\)\x;0.0_)\x;@_)_x"/>
    <numFmt numFmtId="196" formatCode="#,##0_)\x;\(#,##0\)\x;0_)\x;@_)_x"/>
    <numFmt numFmtId="197" formatCode="&quot;£&quot;#,##0.00;[Red]\-&quot;£&quot;#,##0.00"/>
    <numFmt numFmtId="198" formatCode="#,##0.0_)_x;\(#,##0.0\)_x;0.0_)_x;@_)_x"/>
    <numFmt numFmtId="199" formatCode="#,##0.0_)_x;\(#,##0.0\)_x"/>
    <numFmt numFmtId="200" formatCode="_-&quot;£&quot;* #,##0_-;\-&quot;£&quot;* #,##0_-;_-&quot;£&quot;* &quot;-&quot;_-;_-@_-"/>
    <numFmt numFmtId="201" formatCode="_-* #,##0_-;\-* #,##0_-;_-* &quot;-&quot;_-;_-@_-"/>
    <numFmt numFmtId="202" formatCode="#,##0.0_);[Red]\(#,##0.0\)"/>
    <numFmt numFmtId="203" formatCode="_-#,##0_-;\(#,##0\);_-\ \ &quot;-&quot;_-;_-@_-"/>
    <numFmt numFmtId="204" formatCode="_-#,##0.00_-;\(#,##0.00\);_-\ \ &quot;-&quot;_-;_-@_-"/>
    <numFmt numFmtId="205" formatCode="mmm/dd/yyyy;_-\ &quot;N/A&quot;_-;_-\ &quot;-&quot;_-"/>
    <numFmt numFmtId="206" formatCode="mmm/yyyy;_-\ &quot;N/A&quot;_-;_-\ &quot;-&quot;_-"/>
    <numFmt numFmtId="207" formatCode="_-#,##0%_-;\(#,##0%\);_-\ &quot;-&quot;_-"/>
    <numFmt numFmtId="208" formatCode="_-#,###,_-;\(#,###,\);_-\ \ &quot;-&quot;_-;_-@_-"/>
    <numFmt numFmtId="209" formatCode="_-#,###.00,_-;\(#,###.00,\);_-\ \ &quot;-&quot;_-;_-@_-"/>
    <numFmt numFmtId="210" formatCode="_-#0&quot;.&quot;0,_-;\(#0&quot;.&quot;0,\);_-\ \ &quot;-&quot;_-;_-@_-"/>
    <numFmt numFmtId="211" formatCode="_-#0&quot;.&quot;0000_-;\(#0&quot;.&quot;0000\);_-\ \ &quot;-&quot;_-;_-@_-"/>
    <numFmt numFmtId="212" formatCode="&quot;£&quot;\ #,##0_);[Red]\(&quot;£&quot;\ #,##0\)"/>
    <numFmt numFmtId="213" formatCode="&quot;\&quot;\ #,##0_);[Red]\(&quot;\&quot;\ #,##0\)"/>
    <numFmt numFmtId="214" formatCode="0_)"/>
    <numFmt numFmtId="215" formatCode="&quot;HK$&quot;#,##0\ "/>
    <numFmt numFmtId="216" formatCode="#,##0.000_);\(#,##0.000\)"/>
    <numFmt numFmtId="217" formatCode="_(* #,##0_);_(* \(#,##0\);\-??_);_(* @_)_)"/>
    <numFmt numFmtId="218" formatCode="_(* #,##0.0_);_(* \(#,##0.0\);\-??_);_(* @_)_)"/>
    <numFmt numFmtId="219" formatCode="_(* #,##0.00_);_(* \(#,##0.00\);\-??_);_(* @_)_)"/>
    <numFmt numFmtId="220" formatCode="_(* #,##0.000_);_(* \(#,##0.000\);\-??_);_(* @_)_)"/>
    <numFmt numFmtId="221" formatCode="_(* #,##0.0_);_(* \(#,##0.0\);_(* &quot;--- &quot;_)"/>
    <numFmt numFmtId="222" formatCode="#,##0_);\(#,##0\);\-_)"/>
    <numFmt numFmtId="223" formatCode="#,##0;\(#,##0\)"/>
    <numFmt numFmtId="224" formatCode="m\-d\-yy"/>
    <numFmt numFmtId="225" formatCode="0\A"/>
    <numFmt numFmtId="226" formatCode="General_)"/>
    <numFmt numFmtId="227" formatCode="#,##0_);[Red]\(#,##0\);&quot;-  &quot;"/>
    <numFmt numFmtId="228" formatCode="#,##0.0;\(#,##0.0\)"/>
    <numFmt numFmtId="229" formatCode="&quot;$&quot;\ #,##0.000\ \ \ \ ;&quot;$&quot;\ \(#,##0.000\)\ \ \ ;&quot;$&quot;\ &quot;-&quot;\ \ \ \ ;@_)"/>
    <numFmt numFmtId="230" formatCode="[Red][&gt;0]_(* #,##0.00_);[Red][&lt;0]_(* \(#,##0.00\);\-??_)"/>
    <numFmt numFmtId="231" formatCode="#,##0\ \b\p;\(#,##0\)\b\p;0\ \ \ "/>
    <numFmt numFmtId="232" formatCode="&quot;•&quot;\ \ @"/>
    <numFmt numFmtId="233" formatCode="_ * #,##0_ ;_ * \-#,##0_ ;_ * &quot;-&quot;_ ;_ @_ "/>
    <numFmt numFmtId="234" formatCode="_ * #,##0.00_ ;_ * \-#,##0.00_ ;_ * &quot;-&quot;??_ ;_ @_ "/>
    <numFmt numFmtId="235" formatCode="#,##0.00000;[Red]\(#,##0.00000\)"/>
    <numFmt numFmtId="236" formatCode="_(&quot;$&quot;* #,##0_);_(&quot;$&quot;* \(#,##0\);_(&quot;$&quot;* &quot;-&quot;??_);_(@_)"/>
    <numFmt numFmtId="237" formatCode="mm/dd/yy\ hh:mm"/>
  </numFmts>
  <fonts count="156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4"/>
      <color indexed="1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0"/>
      <color indexed="30"/>
      <name val="Trebuchet MS"/>
      <family val="2"/>
    </font>
    <font>
      <b/>
      <sz val="10"/>
      <color indexed="8"/>
      <name val="Trebuchet MS"/>
      <family val="2"/>
    </font>
    <font>
      <sz val="10"/>
      <color indexed="8"/>
      <name val="Trebuchet MS"/>
      <family val="2"/>
    </font>
    <font>
      <sz val="10"/>
      <color indexed="62"/>
      <name val="Trebuchet MS"/>
      <family val="2"/>
    </font>
    <font>
      <b/>
      <sz val="10"/>
      <color indexed="30"/>
      <name val="Trebuchet MS"/>
      <family val="2"/>
    </font>
    <font>
      <sz val="10"/>
      <name val="Trebuchet MS"/>
      <family val="2"/>
    </font>
    <font>
      <sz val="10"/>
      <color indexed="17"/>
      <name val="Trebuchet MS"/>
      <family val="2"/>
    </font>
    <font>
      <sz val="10"/>
      <color indexed="30"/>
      <name val="Trebuchet MS"/>
      <family val="2"/>
    </font>
    <font>
      <sz val="10"/>
      <color indexed="17"/>
      <name val="Trebuchet MS"/>
      <family val="2"/>
    </font>
    <font>
      <b/>
      <sz val="10"/>
      <color indexed="30"/>
      <name val="Trebuchet MS"/>
      <family val="2"/>
    </font>
    <font>
      <sz val="10"/>
      <color indexed="8"/>
      <name val="Trebuchet MS"/>
      <family val="2"/>
    </font>
    <font>
      <b/>
      <sz val="10"/>
      <color indexed="8"/>
      <name val="Trebuchet MS"/>
      <family val="2"/>
    </font>
    <font>
      <sz val="10"/>
      <color indexed="55"/>
      <name val="Trebuchet MS"/>
      <family val="2"/>
    </font>
    <font>
      <b/>
      <sz val="10"/>
      <color indexed="17"/>
      <name val="Trebuchet MS"/>
      <family val="2"/>
    </font>
    <font>
      <u/>
      <sz val="10"/>
      <color indexed="20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Trebuchet MS"/>
      <family val="2"/>
    </font>
    <font>
      <sz val="10"/>
      <color theme="1"/>
      <name val="Arial"/>
      <family val="2"/>
    </font>
    <font>
      <sz val="10"/>
      <color rgb="FF9C0006"/>
      <name val="Arial"/>
      <family val="2"/>
    </font>
    <font>
      <u/>
      <sz val="10"/>
      <color theme="1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theme="0" tint="-0.249977111117893"/>
      <name val="Trebuchet MS"/>
      <family val="2"/>
    </font>
    <font>
      <b/>
      <sz val="10"/>
      <color theme="1"/>
      <name val="Trebuchet MS"/>
      <family val="2"/>
    </font>
    <font>
      <sz val="10"/>
      <color theme="1"/>
      <name val="Trebuchet MS"/>
      <family val="2"/>
    </font>
    <font>
      <sz val="10"/>
      <color rgb="FF0070C0"/>
      <name val="Trebuchet MS"/>
      <family val="2"/>
    </font>
    <font>
      <sz val="10"/>
      <color rgb="FFC00000"/>
      <name val="Trebuchet MS"/>
      <family val="2"/>
    </font>
    <font>
      <sz val="10"/>
      <color theme="3"/>
      <name val="Trebuchet MS"/>
      <family val="2"/>
    </font>
    <font>
      <sz val="10"/>
      <color theme="0" tint="-0.499984740745262"/>
      <name val="Trebuchet MS"/>
      <family val="2"/>
    </font>
    <font>
      <sz val="10"/>
      <color rgb="FFFF0000"/>
      <name val="Trebuchet MS"/>
      <family val="2"/>
    </font>
    <font>
      <b/>
      <sz val="10"/>
      <color rgb="FF0070C0"/>
      <name val="Trebuchet MS"/>
      <family val="2"/>
    </font>
    <font>
      <b/>
      <sz val="10"/>
      <color theme="4"/>
      <name val="Trebuchet MS"/>
      <family val="2"/>
    </font>
    <font>
      <sz val="10"/>
      <color theme="4"/>
      <name val="Trebuchet MS"/>
      <family val="2"/>
    </font>
    <font>
      <b/>
      <sz val="10"/>
      <color rgb="FFFF0000"/>
      <name val="Trebuchet MS"/>
      <family val="2"/>
    </font>
    <font>
      <b/>
      <sz val="10"/>
      <color rgb="FFC00000"/>
      <name val="Trebuchet MS"/>
      <family val="2"/>
    </font>
    <font>
      <sz val="10"/>
      <color theme="0" tint="-0.14999847407452621"/>
      <name val="Trebuchet MS"/>
      <family val="2"/>
    </font>
    <font>
      <b/>
      <sz val="10"/>
      <color theme="3"/>
      <name val="Trebuchet MS"/>
      <family val="2"/>
    </font>
    <font>
      <b/>
      <sz val="10"/>
      <color theme="0" tint="-0.249977111117893"/>
      <name val="Trebuchet MS"/>
      <family val="2"/>
    </font>
    <font>
      <i/>
      <sz val="10"/>
      <color theme="1"/>
      <name val="Trebuchet MS"/>
      <family val="2"/>
    </font>
    <font>
      <sz val="10"/>
      <color rgb="FFD0C7BF"/>
      <name val="Trebuchet MS"/>
      <family val="2"/>
    </font>
    <font>
      <sz val="10"/>
      <color rgb="FF00B050"/>
      <name val="Trebuchet MS"/>
      <family val="2"/>
    </font>
    <font>
      <u/>
      <sz val="10"/>
      <color theme="11"/>
      <name val="Trebuchet MS"/>
      <family val="2"/>
    </font>
    <font>
      <sz val="10"/>
      <color theme="4" tint="-0.249977111117893"/>
      <name val="Trebuchet MS"/>
      <family val="2"/>
    </font>
    <font>
      <b/>
      <sz val="10"/>
      <color rgb="FF00B050"/>
      <name val="Trebuchet MS"/>
      <family val="2"/>
    </font>
    <font>
      <sz val="10"/>
      <color rgb="FF9C0006"/>
      <name val="Trebuchet MS"/>
      <family val="2"/>
    </font>
    <font>
      <u/>
      <sz val="10"/>
      <color rgb="FF800080"/>
      <name val="Trebuchet MS"/>
      <family val="2"/>
    </font>
    <font>
      <sz val="10"/>
      <color theme="0"/>
      <name val="Trebuchet MS"/>
      <family val="2"/>
    </font>
    <font>
      <b/>
      <sz val="10"/>
      <color theme="0" tint="-0.14999847407452621"/>
      <name val="Trebuchet MS"/>
      <family val="2"/>
    </font>
    <font>
      <b/>
      <sz val="10"/>
      <color theme="0"/>
      <name val="Trebuchet MS"/>
      <family val="2"/>
    </font>
    <font>
      <sz val="10"/>
      <color theme="0" tint="-0.34998626667073579"/>
      <name val="Trebuchet MS"/>
      <family val="2"/>
    </font>
    <font>
      <b/>
      <sz val="10"/>
      <color rgb="FF9C0006"/>
      <name val="Trebuchet MS"/>
      <family val="2"/>
    </font>
    <font>
      <u/>
      <sz val="10"/>
      <color rgb="FF7030A0"/>
      <name val="Trebuchet MS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Arial"/>
      <family val="2"/>
    </font>
    <font>
      <sz val="10"/>
      <name val="Times New Roman"/>
      <family val="1"/>
    </font>
    <font>
      <sz val="10"/>
      <name val="Helv"/>
      <family val="2"/>
    </font>
    <font>
      <sz val="10"/>
      <name val="Geneva"/>
    </font>
    <font>
      <sz val="8"/>
      <name val="Tms Rmn"/>
    </font>
    <font>
      <sz val="10"/>
      <name val="GillSans"/>
      <family val="2"/>
    </font>
    <font>
      <sz val="8"/>
      <name val="GS TheSans"/>
      <family val="2"/>
    </font>
    <font>
      <b/>
      <sz val="8"/>
      <name val="GS TheSans"/>
      <family val="2"/>
    </font>
    <font>
      <sz val="8"/>
      <color indexed="17"/>
      <name val="Times New Roman"/>
      <family val="1"/>
    </font>
    <font>
      <sz val="8"/>
      <color indexed="18"/>
      <name val="Times New Roman"/>
      <family val="1"/>
    </font>
    <font>
      <sz val="10"/>
      <name val="Helvetica"/>
      <family val="2"/>
    </font>
    <font>
      <sz val="10"/>
      <color indexed="8"/>
      <name val="MS Sans Serif"/>
      <family val="2"/>
    </font>
    <font>
      <sz val="11"/>
      <name val="明朝"/>
      <family val="1"/>
      <charset val="128"/>
    </font>
    <font>
      <sz val="12"/>
      <name val="???"/>
      <family val="1"/>
      <charset val="129"/>
    </font>
    <font>
      <sz val="12"/>
      <name val="바탕체"/>
      <family val="3"/>
    </font>
    <font>
      <sz val="11"/>
      <name val="??"/>
      <family val="1"/>
    </font>
    <font>
      <u/>
      <sz val="8.4"/>
      <color indexed="12"/>
      <name val="Arial"/>
      <family val="2"/>
    </font>
    <font>
      <sz val="10"/>
      <name val="Univers Condensed"/>
    </font>
    <font>
      <b/>
      <sz val="22"/>
      <color indexed="18"/>
      <name val="Arial"/>
      <family val="2"/>
    </font>
    <font>
      <sz val="10"/>
      <name val="Courier"/>
      <family val="3"/>
    </font>
    <font>
      <sz val="10"/>
      <name val="Helv"/>
    </font>
    <font>
      <sz val="10"/>
      <name val="Helv"/>
      <charset val="204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sz val="9"/>
      <name val="‚l‚r –¾’©"/>
      <family val="1"/>
      <charset val="128"/>
    </font>
    <font>
      <sz val="12"/>
      <name val="Times New Roman"/>
      <family val="1"/>
    </font>
    <font>
      <sz val="11"/>
      <name val="‚l‚r ƒSƒVƒbƒN"/>
      <family val="3"/>
      <charset val="128"/>
    </font>
    <font>
      <sz val="8"/>
      <name val="Helv"/>
    </font>
    <font>
      <sz val="5"/>
      <name val="Arial"/>
      <family val="2"/>
    </font>
    <font>
      <sz val="11"/>
      <color indexed="8"/>
      <name val="Calibri"/>
      <family val="2"/>
    </font>
    <font>
      <sz val="11"/>
      <color indexed="8"/>
      <name val="宋体"/>
      <family val="3"/>
      <charset val="134"/>
    </font>
    <font>
      <sz val="11"/>
      <color indexed="8"/>
      <name val="宋体"/>
      <charset val="134"/>
    </font>
    <font>
      <b/>
      <sz val="8"/>
      <color indexed="63"/>
      <name val="Futura Md BT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34"/>
    </font>
    <font>
      <sz val="11"/>
      <color indexed="9"/>
      <name val="宋体"/>
      <charset val="134"/>
    </font>
    <font>
      <sz val="12"/>
      <name val="Arial MT"/>
      <family val="2"/>
    </font>
    <font>
      <sz val="10"/>
      <name val="Geneva"/>
      <family val="2"/>
    </font>
    <font>
      <sz val="12"/>
      <name val="ⓒoUAAA¨u"/>
      <family val="1"/>
      <charset val="129"/>
    </font>
    <font>
      <sz val="8"/>
      <name val="Times New Roman"/>
      <family val="1"/>
    </font>
    <font>
      <sz val="8"/>
      <color indexed="12"/>
      <name val="Times New Roman"/>
      <family val="1"/>
    </font>
    <font>
      <sz val="9"/>
      <color indexed="12"/>
      <name val="Times New Roman"/>
      <family val="1"/>
    </font>
    <font>
      <sz val="9"/>
      <color indexed="8"/>
      <name val="Times New Roman"/>
      <family val="1"/>
    </font>
    <font>
      <sz val="12"/>
      <name val="¹UAAA¼"/>
      <family val="3"/>
      <charset val="129"/>
    </font>
    <font>
      <sz val="12"/>
      <name val="新細明體"/>
      <family val="1"/>
      <charset val="136"/>
    </font>
    <font>
      <sz val="8"/>
      <name val="Times"/>
      <family val="1"/>
    </font>
    <font>
      <sz val="8"/>
      <name val="Arial MT"/>
    </font>
    <font>
      <sz val="11"/>
      <name val="Times New Roman"/>
      <family val="1"/>
    </font>
    <font>
      <b/>
      <sz val="6"/>
      <name val="Arial"/>
      <family val="2"/>
    </font>
    <font>
      <sz val="12"/>
      <name val="¹ÙÅÁÃ¼"/>
      <family val="1"/>
      <charset val="129"/>
    </font>
    <font>
      <sz val="12"/>
      <name val="바탕체"/>
      <family val="3"/>
      <charset val="129"/>
    </font>
    <font>
      <sz val="10"/>
      <color indexed="18"/>
      <name val="GS TheSans"/>
      <family val="2"/>
    </font>
    <font>
      <sz val="11"/>
      <color indexed="20"/>
      <name val="宋体"/>
      <family val="3"/>
      <charset val="134"/>
    </font>
    <font>
      <sz val="11"/>
      <color indexed="20"/>
      <name val="Calibri"/>
      <family val="2"/>
    </font>
    <font>
      <b/>
      <i/>
      <sz val="8"/>
      <color indexed="8"/>
      <name val="Times New Roman"/>
      <family val="1"/>
    </font>
    <font>
      <sz val="8"/>
      <color indexed="13"/>
      <name val="Arial"/>
      <family val="2"/>
    </font>
    <font>
      <b/>
      <sz val="9"/>
      <color indexed="0"/>
      <name val="Arial"/>
      <family val="2"/>
    </font>
    <font>
      <sz val="9"/>
      <color indexed="0"/>
      <name val="Arial"/>
      <family val="2"/>
    </font>
    <font>
      <sz val="10"/>
      <name val="Times"/>
      <family val="1"/>
    </font>
    <font>
      <b/>
      <sz val="11"/>
      <color indexed="9"/>
      <name val="Calibri"/>
      <family val="2"/>
    </font>
    <font>
      <sz val="8"/>
      <color indexed="12"/>
      <name val="Tms Rmn"/>
      <family val="1"/>
    </font>
    <font>
      <sz val="12"/>
      <name val="Tms Rmn"/>
      <family val="1"/>
    </font>
    <font>
      <sz val="8"/>
      <name val="Futura Lt BT"/>
      <family val="2"/>
    </font>
    <font>
      <b/>
      <sz val="12"/>
      <name val="Times New Roman"/>
      <family val="1"/>
    </font>
    <font>
      <b/>
      <i/>
      <sz val="12"/>
      <name val="Times New Roman"/>
      <family val="1"/>
    </font>
    <font>
      <i/>
      <sz val="10"/>
      <name val="Tms Rmn"/>
    </font>
    <font>
      <sz val="12"/>
      <name val="System"/>
      <family val="2"/>
    </font>
    <font>
      <sz val="8"/>
      <name val="¹UAAA¼"/>
      <family val="1"/>
      <charset val="129"/>
    </font>
    <font>
      <sz val="18"/>
      <name val="Times New Roman"/>
      <family val="1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1"/>
      <color indexed="53"/>
      <name val="Calibri"/>
      <family val="2"/>
      <scheme val="minor"/>
    </font>
    <font>
      <b/>
      <sz val="11"/>
      <color indexed="52"/>
      <name val="宋体"/>
      <family val="3"/>
      <charset val="134"/>
    </font>
    <font>
      <b/>
      <sz val="8"/>
      <name val="Times New Roman"/>
      <family val="1"/>
    </font>
    <font>
      <sz val="8"/>
      <name val="Tms Rmn"/>
      <family val="1"/>
    </font>
    <font>
      <u/>
      <sz val="10"/>
      <color rgb="FFFF0000"/>
      <name val="Trebuchet MS"/>
      <family val="2"/>
    </font>
    <font>
      <sz val="11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7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EE8AB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AFD7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31"/>
        <bgColor indexed="6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5"/>
        <bgColor indexed="64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46"/>
      </patternFill>
    </fill>
    <fill>
      <patternFill patternType="solid">
        <fgColor indexed="46"/>
        <bgColor indexed="64"/>
      </patternFill>
    </fill>
    <fill>
      <patternFill patternType="solid">
        <fgColor indexed="27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</patternFill>
    </fill>
    <fill>
      <patternFill patternType="solid">
        <fgColor indexed="11"/>
        <bgColor indexed="64"/>
      </patternFill>
    </fill>
    <fill>
      <patternFill patternType="solid">
        <fgColor indexed="51"/>
      </patternFill>
    </fill>
    <fill>
      <patternFill patternType="solid">
        <fgColor indexed="51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0"/>
        <bgColor indexed="64"/>
      </patternFill>
    </fill>
    <fill>
      <patternFill patternType="solid">
        <fgColor indexed="36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</patternFill>
    </fill>
    <fill>
      <patternFill patternType="solid">
        <fgColor indexed="52"/>
        <bgColor indexed="64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62"/>
        <bgColor indexed="64"/>
      </patternFill>
    </fill>
    <fill>
      <patternFill patternType="solid">
        <fgColor indexed="10"/>
      </patternFill>
    </fill>
    <fill>
      <patternFill patternType="solid">
        <fgColor indexed="10"/>
        <bgColor indexed="64"/>
      </patternFill>
    </fill>
    <fill>
      <patternFill patternType="solid">
        <fgColor indexed="57"/>
      </patternFill>
    </fill>
    <fill>
      <patternFill patternType="solid">
        <fgColor indexed="57"/>
        <bgColor indexed="64"/>
      </patternFill>
    </fill>
    <fill>
      <patternFill patternType="solid">
        <fgColor indexed="54"/>
      </patternFill>
    </fill>
    <fill>
      <patternFill patternType="solid">
        <fgColor indexed="53"/>
        <bgColor indexed="64"/>
      </patternFill>
    </fill>
    <fill>
      <patternFill patternType="solid">
        <fgColor indexed="35"/>
        <bgColor indexed="64"/>
      </patternFill>
    </fill>
    <fill>
      <patternFill patternType="gray0625">
        <fgColor indexed="10"/>
        <bgColor indexed="9"/>
      </patternFill>
    </fill>
    <fill>
      <patternFill patternType="solid">
        <fgColor indexed="32"/>
        <bgColor indexed="64"/>
      </patternFill>
    </fill>
    <fill>
      <patternFill patternType="solid">
        <fgColor rgb="FF4F81BD"/>
        <bgColor indexed="64"/>
      </patternFill>
    </fill>
    <fill>
      <patternFill patternType="lightGray">
        <fgColor indexed="14"/>
        <bgColor indexed="9"/>
      </patternFill>
    </fill>
    <fill>
      <patternFill patternType="solid">
        <fgColor indexed="41"/>
        <bgColor indexed="64"/>
      </patternFill>
    </fill>
    <fill>
      <patternFill patternType="solid">
        <fgColor indexed="9"/>
      </patternFill>
    </fill>
    <fill>
      <patternFill patternType="solid">
        <fgColor indexed="1"/>
      </patternFill>
    </fill>
    <fill>
      <patternFill patternType="solid">
        <fgColor indexed="65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 diagonalDown="1">
      <left/>
      <right/>
      <top/>
      <bottom/>
      <diagonal/>
    </border>
    <border>
      <left/>
      <right/>
      <top style="thin">
        <color indexed="8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9653">
    <xf numFmtId="0" fontId="0" fillId="0" borderId="0"/>
    <xf numFmtId="0" fontId="3" fillId="0" borderId="0"/>
    <xf numFmtId="0" fontId="12" fillId="0" borderId="0"/>
    <xf numFmtId="0" fontId="12" fillId="0" borderId="0"/>
    <xf numFmtId="0" fontId="3" fillId="0" borderId="0"/>
    <xf numFmtId="0" fontId="36" fillId="6" borderId="0" applyNumberFormat="0" applyBorder="0" applyAlignment="0" applyProtection="0"/>
    <xf numFmtId="0" fontId="13" fillId="0" borderId="0"/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/>
    <xf numFmtId="0" fontId="3" fillId="0" borderId="0"/>
    <xf numFmtId="0" fontId="3" fillId="0" borderId="0"/>
    <xf numFmtId="0" fontId="35" fillId="0" borderId="0" applyNumberFormat="0" applyFont="0" applyFill="0" applyBorder="0" applyAlignment="0" applyProtection="0"/>
    <xf numFmtId="0" fontId="3" fillId="0" borderId="0"/>
    <xf numFmtId="0" fontId="35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3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14" fillId="0" borderId="0">
      <alignment vertical="center"/>
    </xf>
    <xf numFmtId="9" fontId="35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0" applyNumberFormat="0" applyFont="0" applyBorder="0" applyAlignment="0" applyProtection="0"/>
    <xf numFmtId="0" fontId="15" fillId="0" borderId="0"/>
    <xf numFmtId="0" fontId="15" fillId="0" borderId="1">
      <alignment horizontal="centerContinuous"/>
    </xf>
    <xf numFmtId="0" fontId="16" fillId="0" borderId="1"/>
    <xf numFmtId="0" fontId="3" fillId="0" borderId="0"/>
    <xf numFmtId="0" fontId="3" fillId="0" borderId="0"/>
    <xf numFmtId="9" fontId="11" fillId="0" borderId="0">
      <alignment horizontal="right"/>
    </xf>
    <xf numFmtId="172" fontId="73" fillId="0" borderId="0"/>
    <xf numFmtId="170" fontId="74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75" fillId="0" borderId="0"/>
    <xf numFmtId="0" fontId="75" fillId="0" borderId="0"/>
    <xf numFmtId="0" fontId="3" fillId="0" borderId="0"/>
    <xf numFmtId="0" fontId="3" fillId="0" borderId="0"/>
    <xf numFmtId="0" fontId="75" fillId="0" borderId="0"/>
    <xf numFmtId="3" fontId="73" fillId="0" borderId="0"/>
    <xf numFmtId="0" fontId="3" fillId="0" borderId="0">
      <alignment vertical="top"/>
    </xf>
    <xf numFmtId="172" fontId="73" fillId="0" borderId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5" fontId="76" fillId="0" borderId="0" applyFont="0" applyFill="0" applyBorder="0" applyAlignment="0" applyProtection="0"/>
    <xf numFmtId="8" fontId="76" fillId="0" borderId="0" applyFont="0" applyFill="0" applyBorder="0" applyAlignment="0" applyProtection="0"/>
    <xf numFmtId="173" fontId="77" fillId="0" borderId="0">
      <alignment horizontal="right"/>
    </xf>
    <xf numFmtId="0" fontId="78" fillId="0" borderId="0"/>
    <xf numFmtId="0" fontId="79" fillId="0" borderId="31">
      <alignment vertical="top"/>
    </xf>
    <xf numFmtId="174" fontId="80" fillId="24" borderId="31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81" fillId="0" borderId="0"/>
    <xf numFmtId="175" fontId="81" fillId="0" borderId="0"/>
    <xf numFmtId="176" fontId="82" fillId="0" borderId="0"/>
    <xf numFmtId="176" fontId="82" fillId="0" borderId="0"/>
    <xf numFmtId="10" fontId="76" fillId="0" borderId="0" applyFont="0" applyFill="0" applyBorder="0" applyAlignment="0" applyProtection="0"/>
    <xf numFmtId="0" fontId="3" fillId="0" borderId="0"/>
    <xf numFmtId="37" fontId="83" fillId="0" borderId="0"/>
    <xf numFmtId="177" fontId="73" fillId="0" borderId="0"/>
    <xf numFmtId="177" fontId="73" fillId="0" borderId="0"/>
    <xf numFmtId="0" fontId="3" fillId="0" borderId="0" applyNumberFormat="0" applyFont="0" applyFill="0" applyBorder="0" applyAlignment="0" applyProtection="0"/>
    <xf numFmtId="0" fontId="84" fillId="0" borderId="0" applyNumberFormat="0" applyFont="0" applyFill="0" applyBorder="0" applyAlignment="0" applyProtection="0"/>
    <xf numFmtId="42" fontId="3" fillId="0" borderId="0" applyFont="0" applyFill="0" applyBorder="0" applyAlignment="0" applyProtection="0"/>
    <xf numFmtId="178" fontId="85" fillId="0" borderId="0" applyFont="0" applyFill="0" applyBorder="0" applyAlignment="0" applyProtection="0"/>
    <xf numFmtId="0" fontId="86" fillId="0" borderId="0" applyFont="0" applyFill="0" applyBorder="0" applyAlignment="0" applyProtection="0"/>
    <xf numFmtId="42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0" fontId="87" fillId="0" borderId="0"/>
    <xf numFmtId="0" fontId="3" fillId="0" borderId="0"/>
    <xf numFmtId="40" fontId="88" fillId="0" borderId="0" applyFont="0" applyFill="0" applyBorder="0" applyAlignment="0" applyProtection="0"/>
    <xf numFmtId="0" fontId="89" fillId="0" borderId="0" applyNumberFormat="0" applyFill="0" applyBorder="0" applyAlignment="0" applyProtection="0">
      <alignment vertical="top"/>
      <protection locked="0"/>
    </xf>
    <xf numFmtId="0" fontId="3" fillId="0" borderId="0" applyFont="0" applyFill="0" applyBorder="0" applyAlignment="0" applyProtection="0"/>
    <xf numFmtId="0" fontId="86" fillId="0" borderId="0"/>
    <xf numFmtId="0" fontId="3" fillId="0" borderId="0"/>
    <xf numFmtId="0" fontId="7" fillId="0" borderId="11" applyNumberFormat="0" applyBorder="0" applyAlignment="0">
      <alignment horizontal="left"/>
    </xf>
    <xf numFmtId="179" fontId="83" fillId="0" borderId="0"/>
    <xf numFmtId="0" fontId="3" fillId="0" borderId="0"/>
    <xf numFmtId="0" fontId="3" fillId="0" borderId="0"/>
    <xf numFmtId="49" fontId="74" fillId="0" borderId="0" applyProtection="0">
      <alignment horizontal="left"/>
    </xf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/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49" fontId="74" fillId="0" borderId="0" applyProtection="0">
      <alignment horizontal="left"/>
    </xf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75" fillId="0" borderId="0"/>
    <xf numFmtId="0" fontId="3" fillId="0" borderId="0"/>
    <xf numFmtId="0" fontId="3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/>
    <xf numFmtId="0" fontId="3" fillId="0" borderId="0"/>
    <xf numFmtId="3" fontId="73" fillId="0" borderId="0"/>
    <xf numFmtId="0" fontId="3" fillId="0" borderId="0"/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83" fillId="0" borderId="0"/>
    <xf numFmtId="182" fontId="83" fillId="0" borderId="0"/>
    <xf numFmtId="182" fontId="83" fillId="0" borderId="0"/>
    <xf numFmtId="182" fontId="83" fillId="0" borderId="0"/>
    <xf numFmtId="0" fontId="83" fillId="0" borderId="0"/>
    <xf numFmtId="0" fontId="83" fillId="0" borderId="0"/>
    <xf numFmtId="182" fontId="83" fillId="0" borderId="0"/>
    <xf numFmtId="182" fontId="83" fillId="0" borderId="0"/>
    <xf numFmtId="183" fontId="83" fillId="0" borderId="0"/>
    <xf numFmtId="0" fontId="3" fillId="0" borderId="0"/>
    <xf numFmtId="0" fontId="3" fillId="0" borderId="0" applyFill="0" applyAlignment="0">
      <protection locked="0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90" fillId="0" borderId="0">
      <alignment vertical="top"/>
    </xf>
    <xf numFmtId="183" fontId="83" fillId="0" borderId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185" fontId="3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186" fontId="7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39" fontId="3" fillId="0" borderId="0" applyFont="0" applyFill="0" applyBorder="0" applyAlignment="0" applyProtection="0"/>
    <xf numFmtId="39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83" fontId="83" fillId="0" borderId="0"/>
    <xf numFmtId="0" fontId="83" fillId="0" borderId="0"/>
    <xf numFmtId="0" fontId="83" fillId="0" borderId="0"/>
    <xf numFmtId="0" fontId="83" fillId="0" borderId="0"/>
    <xf numFmtId="183" fontId="83" fillId="0" borderId="0"/>
    <xf numFmtId="0" fontId="83" fillId="0" borderId="0"/>
    <xf numFmtId="0" fontId="8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83" fillId="0" borderId="0"/>
    <xf numFmtId="0" fontId="83" fillId="0" borderId="0"/>
    <xf numFmtId="0" fontId="83" fillId="0" borderId="0"/>
    <xf numFmtId="172" fontId="73" fillId="0" borderId="0"/>
    <xf numFmtId="172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83" fillId="0" borderId="0"/>
    <xf numFmtId="0" fontId="8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183" fontId="83" fillId="0" borderId="0"/>
    <xf numFmtId="0" fontId="83" fillId="0" borderId="0"/>
    <xf numFmtId="0" fontId="83" fillId="0" borderId="0"/>
    <xf numFmtId="172" fontId="73" fillId="0" borderId="0"/>
    <xf numFmtId="172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172" fontId="73" fillId="0" borderId="0"/>
    <xf numFmtId="172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83" fillId="0" borderId="0"/>
    <xf numFmtId="0" fontId="8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2" fillId="0" borderId="0">
      <alignment vertical="top"/>
    </xf>
    <xf numFmtId="0" fontId="2" fillId="0" borderId="0">
      <alignment vertical="top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83" fillId="0" borderId="0"/>
    <xf numFmtId="190" fontId="83" fillId="0" borderId="0"/>
    <xf numFmtId="191" fontId="83" fillId="0" borderId="0"/>
    <xf numFmtId="19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190" fontId="83" fillId="0" borderId="0"/>
    <xf numFmtId="190" fontId="83" fillId="0" borderId="0"/>
    <xf numFmtId="0" fontId="83" fillId="0" borderId="0"/>
    <xf numFmtId="190" fontId="83" fillId="0" borderId="0"/>
    <xf numFmtId="191" fontId="83" fillId="0" borderId="0"/>
    <xf numFmtId="19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190" fontId="83" fillId="0" borderId="0"/>
    <xf numFmtId="190" fontId="83" fillId="0" borderId="0"/>
    <xf numFmtId="0" fontId="83" fillId="0" borderId="0"/>
    <xf numFmtId="0" fontId="83" fillId="0" borderId="0"/>
    <xf numFmtId="190" fontId="83" fillId="0" borderId="0"/>
    <xf numFmtId="191" fontId="83" fillId="0" borderId="0"/>
    <xf numFmtId="19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190" fontId="83" fillId="0" borderId="0"/>
    <xf numFmtId="190" fontId="83" fillId="0" borderId="0"/>
    <xf numFmtId="0" fontId="83" fillId="0" borderId="0"/>
    <xf numFmtId="190" fontId="83" fillId="0" borderId="0"/>
    <xf numFmtId="191" fontId="83" fillId="0" borderId="0"/>
    <xf numFmtId="19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19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190" fontId="83" fillId="0" borderId="0"/>
    <xf numFmtId="0" fontId="83" fillId="0" borderId="0"/>
    <xf numFmtId="0" fontId="83" fillId="0" borderId="0"/>
    <xf numFmtId="0" fontId="83" fillId="0" borderId="0"/>
    <xf numFmtId="190" fontId="83" fillId="0" borderId="0"/>
    <xf numFmtId="191" fontId="83" fillId="0" borderId="0"/>
    <xf numFmtId="19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190" fontId="83" fillId="0" borderId="0"/>
    <xf numFmtId="190" fontId="83" fillId="0" borderId="0"/>
    <xf numFmtId="0" fontId="83" fillId="0" borderId="0"/>
    <xf numFmtId="190" fontId="83" fillId="0" borderId="0"/>
    <xf numFmtId="191" fontId="83" fillId="0" borderId="0"/>
    <xf numFmtId="19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190" fontId="83" fillId="0" borderId="0"/>
    <xf numFmtId="190" fontId="83" fillId="0" borderId="0"/>
    <xf numFmtId="0" fontId="91" fillId="0" borderId="0" applyNumberFormat="0" applyFill="0" applyBorder="0" applyAlignment="0" applyProtection="0"/>
    <xf numFmtId="0" fontId="3" fillId="25" borderId="0" applyNumberFormat="0" applyFont="0" applyAlignment="0" applyProtection="0"/>
    <xf numFmtId="0" fontId="3" fillId="25" borderId="0" applyNumberFormat="0" applyFont="0" applyAlignment="0" applyProtection="0"/>
    <xf numFmtId="0" fontId="83" fillId="0" borderId="0"/>
    <xf numFmtId="192" fontId="83" fillId="0" borderId="0"/>
    <xf numFmtId="0" fontId="3" fillId="0" borderId="0"/>
    <xf numFmtId="0" fontId="3" fillId="0" borderId="0"/>
    <xf numFmtId="193" fontId="3" fillId="0" borderId="0"/>
    <xf numFmtId="193" fontId="3" fillId="0" borderId="0"/>
    <xf numFmtId="193" fontId="3" fillId="0" borderId="0"/>
    <xf numFmtId="193" fontId="3" fillId="0" borderId="0"/>
    <xf numFmtId="193" fontId="3" fillId="0" borderId="0"/>
    <xf numFmtId="193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3" fontId="3" fillId="0" borderId="0"/>
    <xf numFmtId="193" fontId="3" fillId="0" borderId="0"/>
    <xf numFmtId="193" fontId="3" fillId="0" borderId="0"/>
    <xf numFmtId="193" fontId="3" fillId="0" borderId="0"/>
    <xf numFmtId="192" fontId="83" fillId="0" borderId="0"/>
    <xf numFmtId="192" fontId="83" fillId="0" borderId="0"/>
    <xf numFmtId="0" fontId="83" fillId="0" borderId="0"/>
    <xf numFmtId="0" fontId="83" fillId="0" borderId="0"/>
    <xf numFmtId="192" fontId="83" fillId="0" borderId="0"/>
    <xf numFmtId="192" fontId="83" fillId="0" borderId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" fontId="7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2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94" fontId="7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7" fontId="73" fillId="0" borderId="0" applyFont="0" applyFill="0" applyBorder="0" applyAlignment="0" applyProtection="0"/>
    <xf numFmtId="198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0" fontId="93" fillId="0" borderId="0"/>
    <xf numFmtId="0" fontId="94" fillId="0" borderId="0"/>
    <xf numFmtId="0" fontId="3" fillId="0" borderId="0"/>
    <xf numFmtId="0" fontId="3" fillId="0" borderId="0"/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>
      <alignment vertical="top"/>
    </xf>
    <xf numFmtId="0" fontId="3" fillId="0" borderId="0">
      <alignment vertical="top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Font="0" applyFill="0" applyBorder="0" applyAlignment="0" applyProtection="0"/>
    <xf numFmtId="0" fontId="90" fillId="0" borderId="0">
      <alignment vertical="top"/>
    </xf>
    <xf numFmtId="0" fontId="3" fillId="0" borderId="0"/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83" fontId="83" fillId="0" borderId="0"/>
    <xf numFmtId="0" fontId="3" fillId="0" borderId="0"/>
    <xf numFmtId="0" fontId="3" fillId="0" borderId="0"/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200" fontId="7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201" fontId="7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NumberFormat="0" applyFill="0" applyBorder="0" applyAlignment="0" applyProtection="0"/>
    <xf numFmtId="183" fontId="83" fillId="0" borderId="0"/>
    <xf numFmtId="0" fontId="3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3" fillId="0" borderId="0"/>
    <xf numFmtId="0" fontId="83" fillId="0" borderId="0"/>
    <xf numFmtId="169" fontId="83" fillId="0" borderId="0"/>
    <xf numFmtId="169" fontId="83" fillId="0" borderId="0"/>
    <xf numFmtId="169" fontId="83" fillId="0" borderId="0"/>
    <xf numFmtId="0" fontId="83" fillId="0" borderId="0"/>
    <xf numFmtId="0" fontId="83" fillId="0" borderId="0"/>
    <xf numFmtId="169" fontId="83" fillId="0" borderId="0"/>
    <xf numFmtId="169" fontId="83" fillId="0" borderId="0"/>
    <xf numFmtId="202" fontId="83" fillId="0" borderId="0"/>
    <xf numFmtId="202" fontId="83" fillId="0" borderId="0"/>
    <xf numFmtId="202" fontId="83" fillId="0" borderId="0"/>
    <xf numFmtId="0" fontId="83" fillId="0" borderId="0"/>
    <xf numFmtId="0" fontId="83" fillId="0" borderId="0"/>
    <xf numFmtId="202" fontId="83" fillId="0" borderId="0"/>
    <xf numFmtId="202" fontId="83" fillId="0" borderId="0"/>
    <xf numFmtId="0" fontId="83" fillId="0" borderId="0"/>
    <xf numFmtId="169" fontId="83" fillId="0" borderId="0"/>
    <xf numFmtId="169" fontId="83" fillId="0" borderId="0"/>
    <xf numFmtId="169" fontId="83" fillId="0" borderId="0"/>
    <xf numFmtId="0" fontId="83" fillId="0" borderId="0"/>
    <xf numFmtId="0" fontId="83" fillId="0" borderId="0"/>
    <xf numFmtId="169" fontId="83" fillId="0" borderId="0"/>
    <xf numFmtId="169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73" fillId="0" borderId="0"/>
    <xf numFmtId="0" fontId="7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83" fillId="0" borderId="0"/>
    <xf numFmtId="190" fontId="83" fillId="0" borderId="0"/>
    <xf numFmtId="191" fontId="83" fillId="0" borderId="0"/>
    <xf numFmtId="190" fontId="83" fillId="0" borderId="0"/>
    <xf numFmtId="0" fontId="83" fillId="0" borderId="0"/>
    <xf numFmtId="0" fontId="83" fillId="0" borderId="0"/>
    <xf numFmtId="0" fontId="83" fillId="0" borderId="0"/>
    <xf numFmtId="190" fontId="83" fillId="0" borderId="0"/>
    <xf numFmtId="190" fontId="83" fillId="0" borderId="0"/>
    <xf numFmtId="0" fontId="3" fillId="0" borderId="0"/>
    <xf numFmtId="0" fontId="3" fillId="0" borderId="0"/>
    <xf numFmtId="0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0" fontId="3" fillId="0" borderId="0"/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90" fillId="0" borderId="0">
      <alignment vertical="top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83" fillId="0" borderId="0"/>
    <xf numFmtId="183" fontId="83" fillId="0" borderId="0"/>
    <xf numFmtId="0" fontId="5" fillId="0" borderId="0" applyNumberFormat="0" applyFill="0" applyBorder="0" applyProtection="0">
      <alignment vertical="top"/>
    </xf>
    <xf numFmtId="3" fontId="7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" fontId="73" fillId="0" borderId="0"/>
    <xf numFmtId="0" fontId="3" fillId="0" borderId="0"/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95" fillId="0" borderId="32" applyNumberFormat="0" applyFill="0" applyAlignment="0" applyProtection="0"/>
    <xf numFmtId="0" fontId="96" fillId="0" borderId="33" applyNumberFormat="0" applyFill="0" applyProtection="0">
      <alignment horizontal="center"/>
    </xf>
    <xf numFmtId="0" fontId="96" fillId="0" borderId="0" applyNumberFormat="0" applyFill="0" applyBorder="0" applyProtection="0">
      <alignment horizontal="left"/>
    </xf>
    <xf numFmtId="0" fontId="97" fillId="0" borderId="0" applyNumberFormat="0" applyFill="0" applyBorder="0" applyProtection="0">
      <alignment horizontal="centerContinuous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 applyFill="0" applyAlignment="0">
      <protection locked="0"/>
    </xf>
    <xf numFmtId="0" fontId="3" fillId="0" borderId="0" applyFill="0" applyAlignment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0" fontId="3" fillId="0" borderId="0">
      <protection locked="0"/>
    </xf>
    <xf numFmtId="203" fontId="74" fillId="0" borderId="0" applyFill="0" applyBorder="0" applyProtection="0">
      <alignment horizontal="right"/>
    </xf>
    <xf numFmtId="204" fontId="74" fillId="0" borderId="0" applyFill="0" applyBorder="0" applyProtection="0">
      <alignment horizontal="right"/>
    </xf>
    <xf numFmtId="205" fontId="98" fillId="0" borderId="0" applyFill="0" applyBorder="0" applyProtection="0">
      <alignment horizontal="center"/>
    </xf>
    <xf numFmtId="206" fontId="98" fillId="0" borderId="0" applyFill="0" applyBorder="0" applyProtection="0">
      <alignment horizontal="center"/>
    </xf>
    <xf numFmtId="207" fontId="99" fillId="0" borderId="0" applyFill="0" applyBorder="0" applyProtection="0">
      <alignment horizontal="right"/>
    </xf>
    <xf numFmtId="208" fontId="74" fillId="0" borderId="0" applyFill="0" applyBorder="0" applyProtection="0">
      <alignment horizontal="right"/>
    </xf>
    <xf numFmtId="209" fontId="74" fillId="0" borderId="0" applyFill="0" applyBorder="0" applyProtection="0">
      <alignment horizontal="right"/>
    </xf>
    <xf numFmtId="210" fontId="74" fillId="0" borderId="0" applyFill="0" applyBorder="0" applyProtection="0">
      <alignment horizontal="right"/>
    </xf>
    <xf numFmtId="211" fontId="74" fillId="0" borderId="0" applyFill="0" applyBorder="0" applyProtection="0">
      <alignment horizontal="right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0" fontId="100" fillId="0" borderId="34" applyBorder="0"/>
    <xf numFmtId="212" fontId="101" fillId="0" borderId="0" applyFont="0" applyFill="0" applyBorder="0" applyAlignment="0" applyProtection="0"/>
    <xf numFmtId="0" fontId="101" fillId="0" borderId="0" applyFont="0" applyFill="0" applyBorder="0" applyAlignment="0" applyProtection="0"/>
    <xf numFmtId="213" fontId="101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101" fillId="0" borderId="0" applyNumberFormat="0" applyFill="0" applyBorder="0" applyAlignment="0" applyProtection="0"/>
    <xf numFmtId="0" fontId="10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02" fillId="0" borderId="0"/>
    <xf numFmtId="0" fontId="3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/>
    <xf numFmtId="0" fontId="12" fillId="0" borderId="0"/>
    <xf numFmtId="0" fontId="12" fillId="0" borderId="0"/>
    <xf numFmtId="9" fontId="3" fillId="0" borderId="0"/>
    <xf numFmtId="9" fontId="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67" fontId="12" fillId="0" borderId="0"/>
    <xf numFmtId="2" fontId="12" fillId="0" borderId="0"/>
    <xf numFmtId="2" fontId="12" fillId="0" borderId="0"/>
    <xf numFmtId="10" fontId="12" fillId="0" borderId="0"/>
    <xf numFmtId="10" fontId="12" fillId="0" borderId="0"/>
    <xf numFmtId="2" fontId="12" fillId="0" borderId="0"/>
    <xf numFmtId="214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214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214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214" fontId="12" fillId="0" borderId="0"/>
    <xf numFmtId="214" fontId="12" fillId="0" borderId="0"/>
    <xf numFmtId="0" fontId="12" fillId="0" borderId="0"/>
    <xf numFmtId="214" fontId="12" fillId="0" borderId="0"/>
    <xf numFmtId="0" fontId="12" fillId="0" borderId="0"/>
    <xf numFmtId="214" fontId="12" fillId="0" borderId="0"/>
    <xf numFmtId="214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214" fontId="12" fillId="0" borderId="0"/>
    <xf numFmtId="214" fontId="12" fillId="0" borderId="0"/>
    <xf numFmtId="0" fontId="12" fillId="0" borderId="0"/>
    <xf numFmtId="214" fontId="12" fillId="0" borderId="0"/>
    <xf numFmtId="214" fontId="12" fillId="0" borderId="0"/>
    <xf numFmtId="0" fontId="12" fillId="0" borderId="0"/>
    <xf numFmtId="0" fontId="12" fillId="0" borderId="0"/>
    <xf numFmtId="214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214" fontId="12" fillId="0" borderId="0"/>
    <xf numFmtId="0" fontId="103" fillId="0" borderId="0" applyFont="0" applyFill="0" applyBorder="0" applyAlignment="0" applyProtection="0"/>
    <xf numFmtId="3" fontId="83" fillId="0" borderId="0"/>
    <xf numFmtId="215" fontId="73" fillId="0" borderId="0" applyBorder="0"/>
    <xf numFmtId="215" fontId="73" fillId="0" borderId="0" applyBorder="0"/>
    <xf numFmtId="184" fontId="3" fillId="0" borderId="0"/>
    <xf numFmtId="184" fontId="3" fillId="0" borderId="0"/>
    <xf numFmtId="168" fontId="104" fillId="0" borderId="0" applyAlignment="0"/>
    <xf numFmtId="39" fontId="92" fillId="0" borderId="0" applyFont="0" applyFill="0" applyBorder="0" applyAlignment="0" applyProtection="0"/>
    <xf numFmtId="39" fontId="92" fillId="0" borderId="0" applyFont="0" applyFill="0" applyBorder="0" applyAlignment="0" applyProtection="0"/>
    <xf numFmtId="0" fontId="105" fillId="26" borderId="0" applyNumberFormat="0" applyBorder="0" applyAlignment="0" applyProtection="0"/>
    <xf numFmtId="0" fontId="1" fillId="27" borderId="0" applyNumberFormat="0" applyBorder="0" applyAlignment="0" applyProtection="0"/>
    <xf numFmtId="0" fontId="105" fillId="26" borderId="0" applyNumberFormat="0" applyBorder="0" applyAlignment="0" applyProtection="0"/>
    <xf numFmtId="0" fontId="106" fillId="28" borderId="0" applyNumberFormat="0" applyBorder="0" applyAlignment="0" applyProtection="0">
      <alignment vertical="center"/>
    </xf>
    <xf numFmtId="0" fontId="105" fillId="29" borderId="0" applyNumberFormat="0" applyBorder="0" applyAlignment="0" applyProtection="0"/>
    <xf numFmtId="0" fontId="1" fillId="30" borderId="0" applyNumberFormat="0" applyBorder="0" applyAlignment="0" applyProtection="0"/>
    <xf numFmtId="0" fontId="105" fillId="29" borderId="0" applyNumberFormat="0" applyBorder="0" applyAlignment="0" applyProtection="0"/>
    <xf numFmtId="0" fontId="106" fillId="31" borderId="0" applyNumberFormat="0" applyBorder="0" applyAlignment="0" applyProtection="0">
      <alignment vertical="center"/>
    </xf>
    <xf numFmtId="0" fontId="105" fillId="32" borderId="0" applyNumberFormat="0" applyBorder="0" applyAlignment="0" applyProtection="0"/>
    <xf numFmtId="0" fontId="1" fillId="33" borderId="0" applyNumberFormat="0" applyBorder="0" applyAlignment="0" applyProtection="0"/>
    <xf numFmtId="0" fontId="105" fillId="32" borderId="0" applyNumberFormat="0" applyBorder="0" applyAlignment="0" applyProtection="0"/>
    <xf numFmtId="0" fontId="106" fillId="34" borderId="0" applyNumberFormat="0" applyBorder="0" applyAlignment="0" applyProtection="0">
      <alignment vertical="center"/>
    </xf>
    <xf numFmtId="0" fontId="105" fillId="35" borderId="0" applyNumberFormat="0" applyBorder="0" applyAlignment="0" applyProtection="0"/>
    <xf numFmtId="0" fontId="1" fillId="27" borderId="0" applyNumberFormat="0" applyBorder="0" applyAlignment="0" applyProtection="0"/>
    <xf numFmtId="0" fontId="105" fillId="35" borderId="0" applyNumberFormat="0" applyBorder="0" applyAlignment="0" applyProtection="0"/>
    <xf numFmtId="0" fontId="106" fillId="36" borderId="0" applyNumberFormat="0" applyBorder="0" applyAlignment="0" applyProtection="0">
      <alignment vertical="center"/>
    </xf>
    <xf numFmtId="0" fontId="105" fillId="37" borderId="0" applyNumberFormat="0" applyBorder="0" applyAlignment="0" applyProtection="0"/>
    <xf numFmtId="0" fontId="106" fillId="38" borderId="0" applyNumberFormat="0" applyBorder="0" applyAlignment="0" applyProtection="0">
      <alignment vertical="center"/>
    </xf>
    <xf numFmtId="0" fontId="105" fillId="27" borderId="0" applyNumberFormat="0" applyBorder="0" applyAlignment="0" applyProtection="0"/>
    <xf numFmtId="0" fontId="1" fillId="33" borderId="0" applyNumberFormat="0" applyBorder="0" applyAlignment="0" applyProtection="0"/>
    <xf numFmtId="0" fontId="105" fillId="27" borderId="0" applyNumberFormat="0" applyBorder="0" applyAlignment="0" applyProtection="0"/>
    <xf numFmtId="0" fontId="106" fillId="39" borderId="0" applyNumberFormat="0" applyBorder="0" applyAlignment="0" applyProtection="0">
      <alignment vertical="center"/>
    </xf>
    <xf numFmtId="0" fontId="107" fillId="40" borderId="0" applyNumberFormat="0" applyBorder="0" applyAlignment="0" applyProtection="0">
      <alignment vertical="center"/>
    </xf>
    <xf numFmtId="0" fontId="107" fillId="40" borderId="0" applyNumberFormat="0" applyBorder="0" applyAlignment="0" applyProtection="0">
      <alignment vertical="center"/>
    </xf>
    <xf numFmtId="0" fontId="107" fillId="26" borderId="0" applyNumberFormat="0" applyBorder="0" applyAlignment="0" applyProtection="0">
      <alignment vertical="center"/>
    </xf>
    <xf numFmtId="0" fontId="107" fillId="30" borderId="0" applyNumberFormat="0" applyBorder="0" applyAlignment="0" applyProtection="0">
      <alignment vertical="center"/>
    </xf>
    <xf numFmtId="0" fontId="107" fillId="30" borderId="0" applyNumberFormat="0" applyBorder="0" applyAlignment="0" applyProtection="0">
      <alignment vertical="center"/>
    </xf>
    <xf numFmtId="0" fontId="107" fillId="29" borderId="0" applyNumberFormat="0" applyBorder="0" applyAlignment="0" applyProtection="0">
      <alignment vertical="center"/>
    </xf>
    <xf numFmtId="0" fontId="107" fillId="33" borderId="0" applyNumberFormat="0" applyBorder="0" applyAlignment="0" applyProtection="0">
      <alignment vertical="center"/>
    </xf>
    <xf numFmtId="0" fontId="107" fillId="33" borderId="0" applyNumberFormat="0" applyBorder="0" applyAlignment="0" applyProtection="0">
      <alignment vertical="center"/>
    </xf>
    <xf numFmtId="0" fontId="107" fillId="32" borderId="0" applyNumberFormat="0" applyBorder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07" fillId="35" borderId="0" applyNumberFormat="0" applyBorder="0" applyAlignment="0" applyProtection="0">
      <alignment vertical="center"/>
    </xf>
    <xf numFmtId="0" fontId="107" fillId="37" borderId="0" applyNumberFormat="0" applyBorder="0" applyAlignment="0" applyProtection="0">
      <alignment vertical="center"/>
    </xf>
    <xf numFmtId="0" fontId="107" fillId="33" borderId="0" applyNumberFormat="0" applyBorder="0" applyAlignment="0" applyProtection="0">
      <alignment vertical="center"/>
    </xf>
    <xf numFmtId="0" fontId="107" fillId="33" borderId="0" applyNumberFormat="0" applyBorder="0" applyAlignment="0" applyProtection="0">
      <alignment vertical="center"/>
    </xf>
    <xf numFmtId="0" fontId="107" fillId="27" borderId="0" applyNumberFormat="0" applyBorder="0" applyAlignment="0" applyProtection="0">
      <alignment vertical="center"/>
    </xf>
    <xf numFmtId="0" fontId="108" fillId="0" borderId="11">
      <alignment horizontal="center" vertical="center"/>
    </xf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216" fontId="104" fillId="0" borderId="0">
      <alignment horizontal="right"/>
    </xf>
    <xf numFmtId="0" fontId="105" fillId="40" borderId="0" applyNumberFormat="0" applyBorder="0" applyAlignment="0" applyProtection="0"/>
    <xf numFmtId="0" fontId="1" fillId="41" borderId="0" applyNumberFormat="0" applyBorder="0" applyAlignment="0" applyProtection="0"/>
    <xf numFmtId="0" fontId="105" fillId="40" borderId="0" applyNumberFormat="0" applyBorder="0" applyAlignment="0" applyProtection="0"/>
    <xf numFmtId="0" fontId="106" fillId="42" borderId="0" applyNumberFormat="0" applyBorder="0" applyAlignment="0" applyProtection="0">
      <alignment vertical="center"/>
    </xf>
    <xf numFmtId="0" fontId="105" fillId="30" borderId="0" applyNumberFormat="0" applyBorder="0" applyAlignment="0" applyProtection="0"/>
    <xf numFmtId="0" fontId="106" fillId="43" borderId="0" applyNumberFormat="0" applyBorder="0" applyAlignment="0" applyProtection="0">
      <alignment vertical="center"/>
    </xf>
    <xf numFmtId="0" fontId="105" fillId="44" borderId="0" applyNumberFormat="0" applyBorder="0" applyAlignment="0" applyProtection="0"/>
    <xf numFmtId="0" fontId="1" fillId="25" borderId="0" applyNumberFormat="0" applyBorder="0" applyAlignment="0" applyProtection="0"/>
    <xf numFmtId="0" fontId="105" fillId="44" borderId="0" applyNumberFormat="0" applyBorder="0" applyAlignment="0" applyProtection="0"/>
    <xf numFmtId="0" fontId="106" fillId="45" borderId="0" applyNumberFormat="0" applyBorder="0" applyAlignment="0" applyProtection="0">
      <alignment vertical="center"/>
    </xf>
    <xf numFmtId="0" fontId="105" fillId="35" borderId="0" applyNumberFormat="0" applyBorder="0" applyAlignment="0" applyProtection="0"/>
    <xf numFmtId="0" fontId="1" fillId="41" borderId="0" applyNumberFormat="0" applyBorder="0" applyAlignment="0" applyProtection="0"/>
    <xf numFmtId="0" fontId="105" fillId="35" borderId="0" applyNumberFormat="0" applyBorder="0" applyAlignment="0" applyProtection="0"/>
    <xf numFmtId="0" fontId="106" fillId="36" borderId="0" applyNumberFormat="0" applyBorder="0" applyAlignment="0" applyProtection="0">
      <alignment vertical="center"/>
    </xf>
    <xf numFmtId="0" fontId="105" fillId="40" borderId="0" applyNumberFormat="0" applyBorder="0" applyAlignment="0" applyProtection="0"/>
    <xf numFmtId="0" fontId="106" fillId="42" borderId="0" applyNumberFormat="0" applyBorder="0" applyAlignment="0" applyProtection="0">
      <alignment vertical="center"/>
    </xf>
    <xf numFmtId="0" fontId="105" fillId="46" borderId="0" applyNumberFormat="0" applyBorder="0" applyAlignment="0" applyProtection="0"/>
    <xf numFmtId="0" fontId="1" fillId="25" borderId="0" applyNumberFormat="0" applyBorder="0" applyAlignment="0" applyProtection="0"/>
    <xf numFmtId="0" fontId="105" fillId="46" borderId="0" applyNumberFormat="0" applyBorder="0" applyAlignment="0" applyProtection="0"/>
    <xf numFmtId="0" fontId="106" fillId="47" borderId="0" applyNumberFormat="0" applyBorder="0" applyAlignment="0" applyProtection="0">
      <alignment vertical="center"/>
    </xf>
    <xf numFmtId="0" fontId="107" fillId="37" borderId="0" applyNumberFormat="0" applyBorder="0" applyAlignment="0" applyProtection="0">
      <alignment vertical="center"/>
    </xf>
    <xf numFmtId="0" fontId="107" fillId="37" borderId="0" applyNumberFormat="0" applyBorder="0" applyAlignment="0" applyProtection="0">
      <alignment vertical="center"/>
    </xf>
    <xf numFmtId="0" fontId="107" fillId="40" borderId="0" applyNumberFormat="0" applyBorder="0" applyAlignment="0" applyProtection="0">
      <alignment vertical="center"/>
    </xf>
    <xf numFmtId="0" fontId="107" fillId="30" borderId="0" applyNumberFormat="0" applyBorder="0" applyAlignment="0" applyProtection="0">
      <alignment vertical="center"/>
    </xf>
    <xf numFmtId="0" fontId="107" fillId="25" borderId="0" applyNumberFormat="0" applyBorder="0" applyAlignment="0" applyProtection="0">
      <alignment vertical="center"/>
    </xf>
    <xf numFmtId="0" fontId="107" fillId="25" borderId="0" applyNumberFormat="0" applyBorder="0" applyAlignment="0" applyProtection="0">
      <alignment vertical="center"/>
    </xf>
    <xf numFmtId="0" fontId="107" fillId="44" borderId="0" applyNumberFormat="0" applyBorder="0" applyAlignment="0" applyProtection="0">
      <alignment vertical="center"/>
    </xf>
    <xf numFmtId="0" fontId="107" fillId="29" borderId="0" applyNumberFormat="0" applyBorder="0" applyAlignment="0" applyProtection="0">
      <alignment vertical="center"/>
    </xf>
    <xf numFmtId="0" fontId="107" fillId="29" borderId="0" applyNumberFormat="0" applyBorder="0" applyAlignment="0" applyProtection="0">
      <alignment vertical="center"/>
    </xf>
    <xf numFmtId="0" fontId="107" fillId="35" borderId="0" applyNumberFormat="0" applyBorder="0" applyAlignment="0" applyProtection="0">
      <alignment vertical="center"/>
    </xf>
    <xf numFmtId="0" fontId="107" fillId="37" borderId="0" applyNumberFormat="0" applyBorder="0" applyAlignment="0" applyProtection="0">
      <alignment vertical="center"/>
    </xf>
    <xf numFmtId="0" fontId="107" fillId="37" borderId="0" applyNumberFormat="0" applyBorder="0" applyAlignment="0" applyProtection="0">
      <alignment vertical="center"/>
    </xf>
    <xf numFmtId="0" fontId="107" fillId="40" borderId="0" applyNumberFormat="0" applyBorder="0" applyAlignment="0" applyProtection="0">
      <alignment vertical="center"/>
    </xf>
    <xf numFmtId="0" fontId="107" fillId="33" borderId="0" applyNumberFormat="0" applyBorder="0" applyAlignment="0" applyProtection="0">
      <alignment vertical="center"/>
    </xf>
    <xf numFmtId="0" fontId="107" fillId="33" borderId="0" applyNumberFormat="0" applyBorder="0" applyAlignment="0" applyProtection="0">
      <alignment vertical="center"/>
    </xf>
    <xf numFmtId="0" fontId="107" fillId="46" borderId="0" applyNumberFormat="0" applyBorder="0" applyAlignment="0" applyProtection="0">
      <alignment vertical="center"/>
    </xf>
    <xf numFmtId="0" fontId="109" fillId="48" borderId="0" applyNumberFormat="0" applyBorder="0" applyAlignment="0" applyProtection="0"/>
    <xf numFmtId="0" fontId="72" fillId="49" borderId="0" applyNumberFormat="0" applyBorder="0" applyAlignment="0" applyProtection="0"/>
    <xf numFmtId="0" fontId="109" fillId="48" borderId="0" applyNumberFormat="0" applyBorder="0" applyAlignment="0" applyProtection="0"/>
    <xf numFmtId="0" fontId="110" fillId="50" borderId="0" applyNumberFormat="0" applyBorder="0" applyAlignment="0" applyProtection="0">
      <alignment vertical="center"/>
    </xf>
    <xf numFmtId="0" fontId="109" fillId="30" borderId="0" applyNumberFormat="0" applyBorder="0" applyAlignment="0" applyProtection="0"/>
    <xf numFmtId="0" fontId="110" fillId="43" borderId="0" applyNumberFormat="0" applyBorder="0" applyAlignment="0" applyProtection="0">
      <alignment vertical="center"/>
    </xf>
    <xf numFmtId="0" fontId="109" fillId="44" borderId="0" applyNumberFormat="0" applyBorder="0" applyAlignment="0" applyProtection="0"/>
    <xf numFmtId="0" fontId="72" fillId="25" borderId="0" applyNumberFormat="0" applyBorder="0" applyAlignment="0" applyProtection="0"/>
    <xf numFmtId="0" fontId="109" fillId="44" borderId="0" applyNumberFormat="0" applyBorder="0" applyAlignment="0" applyProtection="0"/>
    <xf numFmtId="0" fontId="110" fillId="45" borderId="0" applyNumberFormat="0" applyBorder="0" applyAlignment="0" applyProtection="0">
      <alignment vertical="center"/>
    </xf>
    <xf numFmtId="0" fontId="109" fillId="51" borderId="0" applyNumberFormat="0" applyBorder="0" applyAlignment="0" applyProtection="0"/>
    <xf numFmtId="0" fontId="72" fillId="41" borderId="0" applyNumberFormat="0" applyBorder="0" applyAlignment="0" applyProtection="0"/>
    <xf numFmtId="0" fontId="109" fillId="51" borderId="0" applyNumberFormat="0" applyBorder="0" applyAlignment="0" applyProtection="0"/>
    <xf numFmtId="0" fontId="110" fillId="52" borderId="0" applyNumberFormat="0" applyBorder="0" applyAlignment="0" applyProtection="0">
      <alignment vertical="center"/>
    </xf>
    <xf numFmtId="0" fontId="109" fillId="49" borderId="0" applyNumberFormat="0" applyBorder="0" applyAlignment="0" applyProtection="0"/>
    <xf numFmtId="0" fontId="110" fillId="53" borderId="0" applyNumberFormat="0" applyBorder="0" applyAlignment="0" applyProtection="0">
      <alignment vertical="center"/>
    </xf>
    <xf numFmtId="0" fontId="109" fillId="54" borderId="0" applyNumberFormat="0" applyBorder="0" applyAlignment="0" applyProtection="0"/>
    <xf numFmtId="0" fontId="72" fillId="30" borderId="0" applyNumberFormat="0" applyBorder="0" applyAlignment="0" applyProtection="0"/>
    <xf numFmtId="0" fontId="109" fillId="54" borderId="0" applyNumberFormat="0" applyBorder="0" applyAlignment="0" applyProtection="0"/>
    <xf numFmtId="0" fontId="110" fillId="55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48" borderId="0" applyNumberFormat="0" applyBorder="0" applyAlignment="0" applyProtection="0">
      <alignment vertical="center"/>
    </xf>
    <xf numFmtId="0" fontId="111" fillId="56" borderId="0" applyNumberFormat="0" applyBorder="0" applyAlignment="0" applyProtection="0">
      <alignment vertical="center"/>
    </xf>
    <xf numFmtId="0" fontId="111" fillId="56" borderId="0" applyNumberFormat="0" applyBorder="0" applyAlignment="0" applyProtection="0">
      <alignment vertical="center"/>
    </xf>
    <xf numFmtId="0" fontId="111" fillId="30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11" fillId="44" borderId="0" applyNumberFormat="0" applyBorder="0" applyAlignment="0" applyProtection="0">
      <alignment vertical="center"/>
    </xf>
    <xf numFmtId="0" fontId="111" fillId="29" borderId="0" applyNumberFormat="0" applyBorder="0" applyAlignment="0" applyProtection="0">
      <alignment vertical="center"/>
    </xf>
    <xf numFmtId="0" fontId="111" fillId="29" borderId="0" applyNumberFormat="0" applyBorder="0" applyAlignment="0" applyProtection="0">
      <alignment vertical="center"/>
    </xf>
    <xf numFmtId="0" fontId="111" fillId="51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30" borderId="0" applyNumberFormat="0" applyBorder="0" applyAlignment="0" applyProtection="0">
      <alignment vertical="center"/>
    </xf>
    <xf numFmtId="0" fontId="111" fillId="30" borderId="0" applyNumberFormat="0" applyBorder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37" fontId="112" fillId="0" borderId="0">
      <alignment horizontal="center"/>
    </xf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4" fillId="0" borderId="0" applyFont="0" applyFill="0" applyBorder="0" applyAlignment="0" applyProtection="0"/>
    <xf numFmtId="0" fontId="114" fillId="0" borderId="0" applyFont="0" applyFill="0" applyBorder="0" applyAlignment="0" applyProtection="0"/>
    <xf numFmtId="0" fontId="109" fillId="57" borderId="0" applyNumberFormat="0" applyBorder="0" applyAlignment="0" applyProtection="0"/>
    <xf numFmtId="0" fontId="72" fillId="49" borderId="0" applyNumberFormat="0" applyBorder="0" applyAlignment="0" applyProtection="0"/>
    <xf numFmtId="0" fontId="109" fillId="57" borderId="0" applyNumberFormat="0" applyBorder="0" applyAlignment="0" applyProtection="0"/>
    <xf numFmtId="0" fontId="110" fillId="58" borderId="0" applyNumberFormat="0" applyBorder="0" applyAlignment="0" applyProtection="0">
      <alignment vertical="center"/>
    </xf>
    <xf numFmtId="0" fontId="109" fillId="59" borderId="0" applyNumberFormat="0" applyBorder="0" applyAlignment="0" applyProtection="0"/>
    <xf numFmtId="0" fontId="110" fillId="60" borderId="0" applyNumberFormat="0" applyBorder="0" applyAlignment="0" applyProtection="0">
      <alignment vertical="center"/>
    </xf>
    <xf numFmtId="0" fontId="109" fillId="59" borderId="0" applyNumberFormat="0" applyBorder="0" applyAlignment="0" applyProtection="0"/>
    <xf numFmtId="0" fontId="109" fillId="61" borderId="0" applyNumberFormat="0" applyBorder="0" applyAlignment="0" applyProtection="0"/>
    <xf numFmtId="0" fontId="110" fillId="62" borderId="0" applyNumberFormat="0" applyBorder="0" applyAlignment="0" applyProtection="0">
      <alignment vertical="center"/>
    </xf>
    <xf numFmtId="0" fontId="109" fillId="61" borderId="0" applyNumberFormat="0" applyBorder="0" applyAlignment="0" applyProtection="0"/>
    <xf numFmtId="0" fontId="109" fillId="51" borderId="0" applyNumberFormat="0" applyBorder="0" applyAlignment="0" applyProtection="0"/>
    <xf numFmtId="0" fontId="72" fillId="63" borderId="0" applyNumberFormat="0" applyBorder="0" applyAlignment="0" applyProtection="0"/>
    <xf numFmtId="0" fontId="109" fillId="51" borderId="0" applyNumberFormat="0" applyBorder="0" applyAlignment="0" applyProtection="0"/>
    <xf numFmtId="0" fontId="110" fillId="52" borderId="0" applyNumberFormat="0" applyBorder="0" applyAlignment="0" applyProtection="0">
      <alignment vertical="center"/>
    </xf>
    <xf numFmtId="0" fontId="109" fillId="49" borderId="0" applyNumberFormat="0" applyBorder="0" applyAlignment="0" applyProtection="0"/>
    <xf numFmtId="0" fontId="110" fillId="53" borderId="0" applyNumberFormat="0" applyBorder="0" applyAlignment="0" applyProtection="0">
      <alignment vertical="center"/>
    </xf>
    <xf numFmtId="0" fontId="109" fillId="56" borderId="0" applyNumberFormat="0" applyBorder="0" applyAlignment="0" applyProtection="0"/>
    <xf numFmtId="0" fontId="110" fillId="64" borderId="0" applyNumberFormat="0" applyBorder="0" applyAlignment="0" applyProtection="0">
      <alignment vertical="center"/>
    </xf>
    <xf numFmtId="0" fontId="109" fillId="56" borderId="0" applyNumberFormat="0" applyBorder="0" applyAlignment="0" applyProtection="0"/>
    <xf numFmtId="217" fontId="4" fillId="0" borderId="0" applyFont="0" applyFill="0" applyBorder="0" applyAlignment="0" applyProtection="0">
      <protection hidden="1"/>
    </xf>
    <xf numFmtId="218" fontId="115" fillId="65" borderId="0" applyFont="0" applyFill="0" applyBorder="0" applyAlignment="0" applyProtection="0">
      <protection hidden="1"/>
    </xf>
    <xf numFmtId="219" fontId="4" fillId="0" borderId="0" applyFont="0" applyFill="0" applyBorder="0" applyAlignment="0" applyProtection="0">
      <protection hidden="1"/>
    </xf>
    <xf numFmtId="220" fontId="116" fillId="4" borderId="0" applyFont="0" applyFill="0" applyBorder="0" applyAlignment="0" applyProtection="0">
      <protection locked="0"/>
    </xf>
    <xf numFmtId="221" fontId="117" fillId="0" borderId="0" applyFont="0" applyFill="0" applyBorder="0" applyAlignment="0" applyProtection="0"/>
    <xf numFmtId="222" fontId="4" fillId="0" borderId="0" applyFont="0" applyFill="0" applyBorder="0" applyProtection="0"/>
    <xf numFmtId="223" fontId="118" fillId="66" borderId="0" applyNumberFormat="0" applyFont="0" applyBorder="0" applyAlignment="0">
      <alignment horizontal="right"/>
    </xf>
    <xf numFmtId="223" fontId="118" fillId="66" borderId="0" applyNumberFormat="0" applyFont="0" applyBorder="0" applyAlignment="0">
      <alignment horizontal="right"/>
    </xf>
    <xf numFmtId="224" fontId="7" fillId="42" borderId="35">
      <alignment horizontal="center" vertical="center"/>
    </xf>
    <xf numFmtId="225" fontId="13" fillId="66" borderId="11" applyFont="0">
      <alignment horizontal="right"/>
    </xf>
    <xf numFmtId="225" fontId="13" fillId="66" borderId="11" applyFont="0">
      <alignment horizontal="right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68" fontId="3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120" fillId="0" borderId="0" applyFont="0" applyFill="0" applyBorder="0" applyAlignment="0" applyProtection="0"/>
    <xf numFmtId="223" fontId="3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120" fillId="0" borderId="0" applyFont="0" applyFill="0" applyBorder="0" applyAlignment="0" applyProtection="0"/>
    <xf numFmtId="0" fontId="114" fillId="0" borderId="0" applyFont="0" applyFill="0" applyBorder="0" applyAlignment="0" applyProtection="0"/>
    <xf numFmtId="0" fontId="114" fillId="0" borderId="0" applyFont="0" applyFill="0" applyBorder="0" applyAlignment="0" applyProtection="0"/>
    <xf numFmtId="0" fontId="121" fillId="0" borderId="0"/>
    <xf numFmtId="0" fontId="3" fillId="0" borderId="0"/>
    <xf numFmtId="0" fontId="121" fillId="0" borderId="0"/>
    <xf numFmtId="0" fontId="121" fillId="0" borderId="0"/>
    <xf numFmtId="0" fontId="3" fillId="0" borderId="0"/>
    <xf numFmtId="226" fontId="122" fillId="0" borderId="0">
      <alignment horizontal="left"/>
    </xf>
    <xf numFmtId="227" fontId="123" fillId="0" borderId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24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10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9" fillId="0" borderId="36" applyNumberFormat="0" applyFill="0" applyBorder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0" fontId="4" fillId="0" borderId="36" applyNumberFormat="0" applyFill="0" applyAlignment="0" applyProtection="0"/>
    <xf numFmtId="202" fontId="3" fillId="53" borderId="8" applyNumberFormat="0" applyFont="0" applyAlignment="0" applyProtection="0"/>
    <xf numFmtId="202" fontId="3" fillId="53" borderId="8" applyNumberFormat="0" applyFont="0" applyAlignment="0" applyProtection="0"/>
    <xf numFmtId="202" fontId="3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120" fillId="0" borderId="0" applyFont="0" applyFill="0" applyBorder="0" applyAlignment="0" applyProtection="0"/>
    <xf numFmtId="0" fontId="125" fillId="0" borderId="0" applyFont="0" applyFill="0" applyBorder="0" applyAlignment="0" applyProtection="0"/>
    <xf numFmtId="0" fontId="3" fillId="0" borderId="0" applyFont="0" applyFill="0" applyBorder="0" applyAlignment="0" applyProtection="0"/>
    <xf numFmtId="228" fontId="3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120" fillId="0" borderId="0" applyFont="0" applyFill="0" applyBorder="0" applyAlignment="0" applyProtection="0"/>
    <xf numFmtId="0" fontId="126" fillId="0" borderId="0" applyFont="0" applyFill="0" applyBorder="0" applyAlignment="0" applyProtection="0"/>
    <xf numFmtId="0" fontId="3" fillId="0" borderId="0" applyFont="0" applyFill="0" applyBorder="0" applyAlignment="0" applyProtection="0"/>
    <xf numFmtId="229" fontId="79" fillId="0" borderId="31">
      <alignment vertical="top"/>
    </xf>
    <xf numFmtId="10" fontId="127" fillId="0" borderId="0" applyNumberFormat="0" applyFill="0" applyBorder="0" applyAlignment="0" applyProtection="0">
      <alignment horizontal="right"/>
    </xf>
    <xf numFmtId="168" fontId="120" fillId="0" borderId="0" applyFont="0" applyFill="0" applyBorder="0" applyAlignment="0" applyProtection="0"/>
    <xf numFmtId="0" fontId="36" fillId="6" borderId="0" applyNumberFormat="0" applyBorder="0" applyAlignment="0" applyProtection="0"/>
    <xf numFmtId="0" fontId="128" fillId="31" borderId="0" applyNumberFormat="0" applyBorder="0" applyAlignment="0" applyProtection="0">
      <alignment vertical="center"/>
    </xf>
    <xf numFmtId="0" fontId="129" fillId="29" borderId="0" applyNumberFormat="0" applyBorder="0" applyAlignment="0" applyProtection="0"/>
    <xf numFmtId="0" fontId="63" fillId="6" borderId="0" applyNumberFormat="0" applyBorder="0" applyAlignment="0" applyProtection="0"/>
    <xf numFmtId="175" fontId="82" fillId="0" borderId="0"/>
    <xf numFmtId="175" fontId="82" fillId="0" borderId="0"/>
    <xf numFmtId="230" fontId="130" fillId="0" borderId="0" applyFont="0" applyFill="0" applyBorder="0" applyAlignment="0" applyProtection="0">
      <protection hidden="1"/>
    </xf>
    <xf numFmtId="202" fontId="115" fillId="0" borderId="0" applyFont="0" applyFill="0" applyBorder="0" applyAlignment="0" applyProtection="0"/>
    <xf numFmtId="202" fontId="115" fillId="0" borderId="0" applyFont="0" applyFill="0" applyBorder="0" applyAlignment="0" applyProtection="0"/>
    <xf numFmtId="1" fontId="131" fillId="67" borderId="5" applyNumberFormat="0" applyBorder="0" applyAlignment="0">
      <alignment horizontal="center" vertical="top" wrapText="1"/>
      <protection hidden="1"/>
    </xf>
    <xf numFmtId="0" fontId="132" fillId="0" borderId="37">
      <alignment horizontal="left"/>
    </xf>
    <xf numFmtId="0" fontId="73" fillId="0" borderId="0"/>
    <xf numFmtId="0" fontId="133" fillId="0" borderId="37">
      <alignment horizontal="left" wrapText="1"/>
    </xf>
    <xf numFmtId="0" fontId="73" fillId="0" borderId="0"/>
    <xf numFmtId="37" fontId="7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226" fontId="134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38" fontId="115" fillId="0" borderId="0" applyFont="0" applyFill="0" applyBorder="0" applyAlignment="0" applyProtection="0"/>
    <xf numFmtId="0" fontId="135" fillId="68" borderId="0"/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184" fontId="8" fillId="0" borderId="0"/>
    <xf numFmtId="0" fontId="137" fillId="0" borderId="0" applyNumberFormat="0" applyFill="0" applyBorder="0" applyAlignment="0" applyProtection="0"/>
    <xf numFmtId="0" fontId="138" fillId="0" borderId="11" applyNumberFormat="0">
      <alignment horizontal="right" vertical="center"/>
    </xf>
    <xf numFmtId="0" fontId="139" fillId="0" borderId="2" applyNumberFormat="0" applyFill="0" applyAlignment="0" applyProtection="0"/>
    <xf numFmtId="0" fontId="139" fillId="0" borderId="2" applyNumberFormat="0" applyFill="0" applyAlignment="0" applyProtection="0"/>
    <xf numFmtId="0" fontId="139" fillId="0" borderId="2" applyNumberFormat="0" applyFill="0" applyAlignment="0" applyProtection="0"/>
    <xf numFmtId="0" fontId="139" fillId="0" borderId="2" applyNumberForma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184" fontId="3" fillId="0" borderId="7" applyNumberFormat="0" applyFont="0" applyFill="0" applyAlignment="0" applyProtection="0"/>
    <xf numFmtId="0" fontId="76" fillId="0" borderId="2" applyNumberFormat="0" applyFont="0" applyFill="0" applyAlignment="0" applyProtection="0"/>
    <xf numFmtId="0" fontId="76" fillId="0" borderId="2" applyNumberFormat="0" applyFont="0" applyFill="0" applyAlignment="0" applyProtection="0"/>
    <xf numFmtId="0" fontId="76" fillId="0" borderId="2" applyNumberFormat="0" applyFont="0" applyFill="0" applyAlignment="0" applyProtection="0"/>
    <xf numFmtId="0" fontId="76" fillId="0" borderId="2" applyNumberFormat="0" applyFont="0" applyFill="0" applyAlignment="0" applyProtection="0"/>
    <xf numFmtId="0" fontId="76" fillId="0" borderId="5" applyNumberFormat="0" applyFont="0" applyFill="0" applyAlignment="0" applyProtection="0"/>
    <xf numFmtId="0" fontId="76" fillId="0" borderId="15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76" fillId="0" borderId="7" applyNumberFormat="0" applyFont="0" applyFill="0" applyAlignment="0" applyProtection="0"/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0" fontId="140" fillId="0" borderId="38" applyFill="0" applyProtection="0">
      <alignment horizontal="right"/>
    </xf>
    <xf numFmtId="37" fontId="141" fillId="0" borderId="0" applyNumberFormat="0" applyFill="0" applyBorder="0" applyAlignment="0" applyProtection="0">
      <alignment horizontal="center"/>
    </xf>
    <xf numFmtId="231" fontId="4" fillId="0" borderId="0"/>
    <xf numFmtId="232" fontId="101" fillId="0" borderId="0" applyFont="0" applyFill="0" applyBorder="0" applyAlignment="0" applyProtection="0"/>
    <xf numFmtId="0" fontId="120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42" fillId="0" borderId="0"/>
    <xf numFmtId="0" fontId="143" fillId="0" borderId="0"/>
    <xf numFmtId="0" fontId="6" fillId="0" borderId="0"/>
    <xf numFmtId="0" fontId="142" fillId="0" borderId="0"/>
    <xf numFmtId="0" fontId="125" fillId="0" borderId="0"/>
    <xf numFmtId="0" fontId="119" fillId="0" borderId="0"/>
    <xf numFmtId="0" fontId="125" fillId="0" borderId="0"/>
    <xf numFmtId="0" fontId="119" fillId="0" borderId="0"/>
    <xf numFmtId="0" fontId="125" fillId="0" borderId="0"/>
    <xf numFmtId="0" fontId="119" fillId="0" borderId="0"/>
    <xf numFmtId="0" fontId="3" fillId="0" borderId="0"/>
    <xf numFmtId="233" fontId="144" fillId="0" borderId="0" applyFont="0" applyFill="0" applyBorder="0" applyAlignment="0" applyProtection="0"/>
    <xf numFmtId="234" fontId="144" fillId="0" borderId="0" applyFont="0" applyFill="0" applyBorder="0" applyAlignment="0" applyProtection="0"/>
    <xf numFmtId="233" fontId="144" fillId="0" borderId="0" applyFont="0" applyFill="0" applyBorder="0" applyAlignment="0" applyProtection="0"/>
    <xf numFmtId="234" fontId="144" fillId="0" borderId="0" applyFont="0" applyFill="0" applyBorder="0" applyAlignment="0" applyProtection="0"/>
    <xf numFmtId="233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0" fontId="4" fillId="0" borderId="0"/>
    <xf numFmtId="2" fontId="4" fillId="69" borderId="0" applyNumberFormat="0" applyFont="0" applyBorder="0" applyAlignment="0" applyProtection="0"/>
    <xf numFmtId="2" fontId="4" fillId="69" borderId="0" applyNumberFormat="0" applyFont="0" applyBorder="0" applyAlignment="0" applyProtection="0"/>
    <xf numFmtId="235" fontId="85" fillId="0" borderId="0" applyFill="0" applyBorder="0" applyAlignment="0"/>
    <xf numFmtId="38" fontId="145" fillId="70" borderId="39">
      <alignment horizontal="right"/>
    </xf>
    <xf numFmtId="0" fontId="146" fillId="41" borderId="40" applyNumberFormat="0" applyAlignment="0" applyProtection="0"/>
    <xf numFmtId="0" fontId="147" fillId="71" borderId="3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6" fillId="41" borderId="40" applyNumberFormat="0" applyAlignment="0" applyProtection="0"/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0" fontId="148" fillId="4" borderId="40" applyNumberFormat="0" applyAlignment="0" applyProtection="0">
      <alignment vertical="center"/>
    </xf>
    <xf numFmtId="202" fontId="149" fillId="0" borderId="0" applyFont="0" applyFill="0" applyBorder="0" applyAlignment="0" applyProtection="0"/>
    <xf numFmtId="202" fontId="149" fillId="0" borderId="0" applyFont="0" applyFill="0" applyBorder="0" applyAlignment="0" applyProtection="0"/>
    <xf numFmtId="0" fontId="133" fillId="0" borderId="41">
      <alignment horizontal="right" vertical="center"/>
    </xf>
    <xf numFmtId="0" fontId="133" fillId="0" borderId="0">
      <alignment horizontal="right" vertical="center"/>
    </xf>
    <xf numFmtId="0" fontId="150" fillId="0" borderId="0">
      <alignment horizontal="right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132" fillId="72" borderId="40">
      <alignment horizontal="center" vertical="center"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92" fillId="0" borderId="0"/>
  </cellStyleXfs>
  <cellXfs count="707">
    <xf numFmtId="0" fontId="0" fillId="0" borderId="0" xfId="0"/>
    <xf numFmtId="0" fontId="3" fillId="0" borderId="0" xfId="13"/>
    <xf numFmtId="49" fontId="0" fillId="0" borderId="0" xfId="0" applyNumberFormat="1"/>
    <xf numFmtId="0" fontId="41" fillId="0" borderId="0" xfId="0" applyFont="1" applyBorder="1"/>
    <xf numFmtId="3" fontId="42" fillId="0" borderId="0" xfId="0" applyNumberFormat="1" applyFont="1" applyFill="1" applyBorder="1" applyAlignment="1">
      <alignment horizontal="right"/>
    </xf>
    <xf numFmtId="3" fontId="43" fillId="0" borderId="0" xfId="0" applyNumberFormat="1" applyFont="1" applyFill="1" applyBorder="1"/>
    <xf numFmtId="3" fontId="43" fillId="0" borderId="0" xfId="0" applyNumberFormat="1" applyFont="1" applyBorder="1"/>
    <xf numFmtId="3" fontId="43" fillId="9" borderId="0" xfId="0" applyNumberFormat="1" applyFont="1" applyFill="1" applyBorder="1"/>
    <xf numFmtId="17" fontId="42" fillId="0" borderId="0" xfId="0" applyNumberFormat="1" applyFont="1" applyFill="1" applyBorder="1" applyAlignment="1">
      <alignment horizontal="right"/>
    </xf>
    <xf numFmtId="3" fontId="44" fillId="0" borderId="0" xfId="0" applyNumberFormat="1" applyFont="1" applyFill="1" applyBorder="1"/>
    <xf numFmtId="3" fontId="44" fillId="0" borderId="0" xfId="0" applyNumberFormat="1" applyFont="1" applyBorder="1"/>
    <xf numFmtId="3" fontId="42" fillId="0" borderId="0" xfId="0" applyNumberFormat="1" applyFont="1" applyBorder="1" applyAlignment="1">
      <alignment horizontal="left"/>
    </xf>
    <xf numFmtId="0" fontId="43" fillId="0" borderId="0" xfId="0" applyFont="1" applyFill="1" applyBorder="1"/>
    <xf numFmtId="0" fontId="43" fillId="0" borderId="0" xfId="0" applyFont="1" applyBorder="1"/>
    <xf numFmtId="3" fontId="43" fillId="0" borderId="0" xfId="0" applyNumberFormat="1" applyFont="1" applyBorder="1" applyAlignment="1"/>
    <xf numFmtId="3" fontId="44" fillId="0" borderId="0" xfId="0" applyNumberFormat="1" applyFont="1"/>
    <xf numFmtId="3" fontId="17" fillId="0" borderId="0" xfId="0" applyNumberFormat="1" applyFont="1" applyBorder="1"/>
    <xf numFmtId="3" fontId="45" fillId="0" borderId="0" xfId="0" applyNumberFormat="1" applyFont="1" applyBorder="1"/>
    <xf numFmtId="3" fontId="42" fillId="0" borderId="2" xfId="0" applyNumberFormat="1" applyFont="1" applyBorder="1" applyAlignment="1"/>
    <xf numFmtId="3" fontId="43" fillId="0" borderId="2" xfId="0" applyNumberFormat="1" applyFont="1" applyBorder="1"/>
    <xf numFmtId="3" fontId="42" fillId="0" borderId="2" xfId="0" applyNumberFormat="1" applyFont="1" applyBorder="1"/>
    <xf numFmtId="3" fontId="18" fillId="0" borderId="2" xfId="0" applyNumberFormat="1" applyFont="1" applyBorder="1"/>
    <xf numFmtId="3" fontId="42" fillId="0" borderId="0" xfId="0" applyNumberFormat="1" applyFont="1" applyFill="1" applyBorder="1"/>
    <xf numFmtId="3" fontId="43" fillId="0" borderId="0" xfId="0" applyNumberFormat="1" applyFont="1"/>
    <xf numFmtId="3" fontId="17" fillId="0" borderId="0" xfId="0" applyNumberFormat="1" applyFont="1"/>
    <xf numFmtId="3" fontId="46" fillId="0" borderId="0" xfId="0" applyNumberFormat="1" applyFont="1"/>
    <xf numFmtId="3" fontId="19" fillId="0" borderId="0" xfId="0" applyNumberFormat="1" applyFont="1"/>
    <xf numFmtId="9" fontId="43" fillId="0" borderId="0" xfId="26" applyFont="1"/>
    <xf numFmtId="0" fontId="47" fillId="0" borderId="0" xfId="0" applyFont="1"/>
    <xf numFmtId="3" fontId="44" fillId="0" borderId="0" xfId="0" applyNumberFormat="1" applyFont="1" applyBorder="1" applyAlignment="1"/>
    <xf numFmtId="3" fontId="20" fillId="0" borderId="0" xfId="0" applyNumberFormat="1" applyFont="1" applyBorder="1"/>
    <xf numFmtId="3" fontId="42" fillId="0" borderId="0" xfId="0" applyNumberFormat="1" applyFont="1" applyFill="1" applyBorder="1" applyAlignment="1"/>
    <xf numFmtId="3" fontId="43" fillId="0" borderId="0" xfId="0" quotePrefix="1" applyNumberFormat="1" applyFont="1" applyBorder="1" applyAlignment="1"/>
    <xf numFmtId="3" fontId="42" fillId="0" borderId="19" xfId="0" applyNumberFormat="1" applyFont="1" applyBorder="1" applyAlignment="1"/>
    <xf numFmtId="3" fontId="43" fillId="0" borderId="19" xfId="0" applyNumberFormat="1" applyFont="1" applyBorder="1"/>
    <xf numFmtId="0" fontId="48" fillId="0" borderId="0" xfId="0" applyFont="1" applyBorder="1"/>
    <xf numFmtId="3" fontId="48" fillId="0" borderId="0" xfId="0" applyNumberFormat="1" applyFont="1" applyBorder="1"/>
    <xf numFmtId="3" fontId="48" fillId="0" borderId="0" xfId="0" applyNumberFormat="1" applyFont="1" applyFill="1" applyBorder="1"/>
    <xf numFmtId="0" fontId="48" fillId="0" borderId="0" xfId="0" applyFont="1" applyFill="1" applyBorder="1"/>
    <xf numFmtId="0" fontId="43" fillId="0" borderId="0" xfId="0" applyFont="1"/>
    <xf numFmtId="3" fontId="49" fillId="0" borderId="2" xfId="0" applyNumberFormat="1" applyFont="1" applyBorder="1"/>
    <xf numFmtId="9" fontId="43" fillId="0" borderId="0" xfId="26" applyFont="1" applyBorder="1"/>
    <xf numFmtId="9" fontId="45" fillId="0" borderId="0" xfId="26" applyFont="1" applyBorder="1"/>
    <xf numFmtId="0" fontId="42" fillId="0" borderId="0" xfId="0" applyFont="1" applyFill="1" applyBorder="1" applyAlignment="1">
      <alignment horizontal="left" indent="1"/>
    </xf>
    <xf numFmtId="0" fontId="43" fillId="0" borderId="0" xfId="0" applyFont="1" applyFill="1" applyBorder="1" applyAlignment="1">
      <alignment horizontal="left" indent="2"/>
    </xf>
    <xf numFmtId="164" fontId="44" fillId="0" borderId="0" xfId="0" applyNumberFormat="1" applyFont="1"/>
    <xf numFmtId="0" fontId="43" fillId="0" borderId="0" xfId="0" applyFont="1" applyBorder="1" applyAlignment="1">
      <alignment horizontal="left" indent="2"/>
    </xf>
    <xf numFmtId="3" fontId="42" fillId="0" borderId="2" xfId="0" applyNumberFormat="1" applyFont="1" applyFill="1" applyBorder="1"/>
    <xf numFmtId="164" fontId="44" fillId="0" borderId="0" xfId="0" applyNumberFormat="1" applyFont="1" applyBorder="1"/>
    <xf numFmtId="0" fontId="43" fillId="0" borderId="0" xfId="0" applyFont="1" applyFill="1" applyBorder="1" applyAlignment="1">
      <alignment horizontal="left" indent="1"/>
    </xf>
    <xf numFmtId="0" fontId="43" fillId="0" borderId="0" xfId="0" applyFont="1" applyBorder="1" applyAlignment="1">
      <alignment horizontal="left" indent="1"/>
    </xf>
    <xf numFmtId="0" fontId="41" fillId="0" borderId="0" xfId="0" applyFont="1" applyFill="1" applyBorder="1"/>
    <xf numFmtId="0" fontId="42" fillId="7" borderId="2" xfId="0" applyFont="1" applyFill="1" applyBorder="1"/>
    <xf numFmtId="3" fontId="49" fillId="0" borderId="2" xfId="0" applyNumberFormat="1" applyFont="1" applyFill="1" applyBorder="1" applyAlignment="1"/>
    <xf numFmtId="3" fontId="42" fillId="0" borderId="2" xfId="0" applyNumberFormat="1" applyFont="1" applyFill="1" applyBorder="1" applyAlignment="1"/>
    <xf numFmtId="3" fontId="50" fillId="0" borderId="0" xfId="0" applyNumberFormat="1" applyFont="1" applyFill="1" applyBorder="1" applyAlignment="1"/>
    <xf numFmtId="0" fontId="43" fillId="7" borderId="0" xfId="0" applyFont="1" applyFill="1" applyBorder="1"/>
    <xf numFmtId="3" fontId="51" fillId="0" borderId="0" xfId="0" applyNumberFormat="1" applyFont="1" applyFill="1" applyBorder="1" applyAlignment="1"/>
    <xf numFmtId="3" fontId="43" fillId="0" borderId="0" xfId="0" applyNumberFormat="1" applyFont="1" applyFill="1" applyBorder="1" applyAlignment="1"/>
    <xf numFmtId="3" fontId="49" fillId="0" borderId="0" xfId="0" applyNumberFormat="1" applyFont="1" applyFill="1" applyBorder="1" applyAlignment="1"/>
    <xf numFmtId="3" fontId="44" fillId="0" borderId="0" xfId="0" applyNumberFormat="1" applyFont="1" applyFill="1" applyBorder="1" applyAlignment="1"/>
    <xf numFmtId="3" fontId="43" fillId="7" borderId="0" xfId="7" applyNumberFormat="1" applyFont="1" applyFill="1" applyBorder="1"/>
    <xf numFmtId="3" fontId="43" fillId="0" borderId="0" xfId="7" applyNumberFormat="1" applyFont="1" applyFill="1" applyBorder="1"/>
    <xf numFmtId="3" fontId="44" fillId="7" borderId="0" xfId="7" applyNumberFormat="1" applyFont="1" applyFill="1" applyBorder="1"/>
    <xf numFmtId="3" fontId="45" fillId="0" borderId="0" xfId="0" applyNumberFormat="1" applyFont="1" applyFill="1" applyBorder="1"/>
    <xf numFmtId="0" fontId="43" fillId="0" borderId="0" xfId="0" applyFont="1" applyFill="1"/>
    <xf numFmtId="3" fontId="49" fillId="0" borderId="2" xfId="0" applyNumberFormat="1" applyFont="1" applyFill="1" applyBorder="1"/>
    <xf numFmtId="3" fontId="21" fillId="0" borderId="2" xfId="0" applyNumberFormat="1" applyFont="1" applyFill="1" applyBorder="1"/>
    <xf numFmtId="164" fontId="42" fillId="0" borderId="2" xfId="0" applyNumberFormat="1" applyFont="1" applyFill="1" applyBorder="1"/>
    <xf numFmtId="164" fontId="43" fillId="0" borderId="0" xfId="0" applyNumberFormat="1" applyFont="1" applyFill="1" applyBorder="1" applyAlignment="1"/>
    <xf numFmtId="164" fontId="44" fillId="0" borderId="0" xfId="0" applyNumberFormat="1" applyFont="1" applyFill="1" applyBorder="1"/>
    <xf numFmtId="164" fontId="50" fillId="0" borderId="0" xfId="0" applyNumberFormat="1" applyFont="1" applyFill="1" applyBorder="1" applyAlignment="1"/>
    <xf numFmtId="164" fontId="43" fillId="0" borderId="0" xfId="0" applyNumberFormat="1" applyFont="1" applyFill="1" applyBorder="1"/>
    <xf numFmtId="164" fontId="43" fillId="7" borderId="0" xfId="7" applyNumberFormat="1" applyFont="1" applyFill="1" applyBorder="1"/>
    <xf numFmtId="4" fontId="43" fillId="0" borderId="0" xfId="0" applyNumberFormat="1" applyFont="1" applyFill="1" applyBorder="1"/>
    <xf numFmtId="43" fontId="48" fillId="0" borderId="0" xfId="7" applyFont="1" applyFill="1" applyBorder="1"/>
    <xf numFmtId="164" fontId="45" fillId="0" borderId="0" xfId="7" applyNumberFormat="1" applyFont="1" applyFill="1" applyBorder="1"/>
    <xf numFmtId="4" fontId="43" fillId="7" borderId="0" xfId="7" applyNumberFormat="1" applyFont="1" applyFill="1" applyBorder="1"/>
    <xf numFmtId="4" fontId="43" fillId="0" borderId="0" xfId="7" applyNumberFormat="1" applyFont="1" applyFill="1" applyBorder="1"/>
    <xf numFmtId="3" fontId="21" fillId="0" borderId="2" xfId="0" applyNumberFormat="1" applyFont="1" applyBorder="1"/>
    <xf numFmtId="3" fontId="52" fillId="0" borderId="2" xfId="0" applyNumberFormat="1" applyFont="1" applyFill="1" applyBorder="1"/>
    <xf numFmtId="164" fontId="49" fillId="0" borderId="2" xfId="0" applyNumberFormat="1" applyFont="1" applyBorder="1"/>
    <xf numFmtId="164" fontId="49" fillId="0" borderId="2" xfId="0" applyNumberFormat="1" applyFont="1" applyFill="1" applyBorder="1"/>
    <xf numFmtId="164" fontId="53" fillId="0" borderId="2" xfId="0" applyNumberFormat="1" applyFont="1" applyFill="1" applyBorder="1"/>
    <xf numFmtId="3" fontId="42" fillId="0" borderId="0" xfId="0" applyNumberFormat="1" applyFont="1" applyBorder="1"/>
    <xf numFmtId="3" fontId="49" fillId="0" borderId="0" xfId="0" applyNumberFormat="1" applyFont="1" applyBorder="1"/>
    <xf numFmtId="0" fontId="43" fillId="0" borderId="0" xfId="0" applyFont="1" applyBorder="1" applyAlignment="1"/>
    <xf numFmtId="3" fontId="42" fillId="7" borderId="2" xfId="0" applyNumberFormat="1" applyFont="1" applyFill="1" applyBorder="1"/>
    <xf numFmtId="0" fontId="43" fillId="0" borderId="2" xfId="0" applyFont="1" applyFill="1" applyBorder="1"/>
    <xf numFmtId="3" fontId="43" fillId="0" borderId="2" xfId="0" applyNumberFormat="1" applyFont="1" applyFill="1" applyBorder="1"/>
    <xf numFmtId="0" fontId="42" fillId="0" borderId="2" xfId="0" applyFont="1" applyFill="1" applyBorder="1"/>
    <xf numFmtId="0" fontId="43" fillId="0" borderId="0" xfId="0" applyFont="1" applyBorder="1" applyAlignment="1">
      <alignment horizontal="left"/>
    </xf>
    <xf numFmtId="164" fontId="43" fillId="0" borderId="0" xfId="0" applyNumberFormat="1" applyFont="1" applyBorder="1" applyAlignment="1">
      <alignment horizontal="left"/>
    </xf>
    <xf numFmtId="164" fontId="42" fillId="0" borderId="0" xfId="0" applyNumberFormat="1" applyFont="1" applyBorder="1"/>
    <xf numFmtId="0" fontId="49" fillId="0" borderId="0" xfId="0" applyFont="1"/>
    <xf numFmtId="3" fontId="43" fillId="0" borderId="0" xfId="0" applyNumberFormat="1" applyFont="1" applyBorder="1" applyAlignment="1">
      <alignment horizontal="left" indent="1"/>
    </xf>
    <xf numFmtId="3" fontId="17" fillId="0" borderId="0" xfId="0" applyNumberFormat="1" applyFont="1" applyFill="1" applyBorder="1"/>
    <xf numFmtId="3" fontId="42" fillId="0" borderId="13" xfId="0" applyNumberFormat="1" applyFont="1" applyBorder="1"/>
    <xf numFmtId="3" fontId="49" fillId="0" borderId="13" xfId="0" applyNumberFormat="1" applyFont="1" applyBorder="1"/>
    <xf numFmtId="0" fontId="49" fillId="0" borderId="13" xfId="0" applyFont="1" applyBorder="1"/>
    <xf numFmtId="0" fontId="54" fillId="0" borderId="0" xfId="0" applyFont="1" applyFill="1" applyBorder="1"/>
    <xf numFmtId="3" fontId="54" fillId="0" borderId="0" xfId="7" applyNumberFormat="1" applyFont="1" applyBorder="1"/>
    <xf numFmtId="3" fontId="54" fillId="0" borderId="0" xfId="7" applyNumberFormat="1" applyFont="1" applyFill="1" applyBorder="1"/>
    <xf numFmtId="3" fontId="54" fillId="0" borderId="0" xfId="0" applyNumberFormat="1" applyFont="1" applyFill="1" applyBorder="1"/>
    <xf numFmtId="3" fontId="55" fillId="0" borderId="2" xfId="0" applyNumberFormat="1" applyFont="1" applyBorder="1"/>
    <xf numFmtId="3" fontId="42" fillId="0" borderId="0" xfId="0" applyNumberFormat="1" applyFont="1"/>
    <xf numFmtId="3" fontId="42" fillId="0" borderId="9" xfId="0" applyNumberFormat="1" applyFont="1" applyBorder="1"/>
    <xf numFmtId="3" fontId="43" fillId="0" borderId="9" xfId="0" applyNumberFormat="1" applyFont="1" applyBorder="1"/>
    <xf numFmtId="3" fontId="49" fillId="0" borderId="9" xfId="0" applyNumberFormat="1" applyFont="1" applyBorder="1"/>
    <xf numFmtId="166" fontId="48" fillId="0" borderId="0" xfId="7" applyNumberFormat="1" applyFont="1" applyBorder="1"/>
    <xf numFmtId="166" fontId="48" fillId="0" borderId="0" xfId="7" applyNumberFormat="1" applyFont="1" applyFill="1" applyBorder="1"/>
    <xf numFmtId="0" fontId="43" fillId="10" borderId="0" xfId="0" applyFont="1" applyFill="1" applyBorder="1" applyAlignment="1">
      <alignment horizontal="right"/>
    </xf>
    <xf numFmtId="3" fontId="43" fillId="10" borderId="0" xfId="0" applyNumberFormat="1" applyFont="1" applyFill="1" applyBorder="1" applyAlignment="1">
      <alignment horizontal="right"/>
    </xf>
    <xf numFmtId="3" fontId="43" fillId="0" borderId="0" xfId="0" applyNumberFormat="1" applyFont="1" applyFill="1" applyBorder="1" applyAlignment="1">
      <alignment horizontal="right"/>
    </xf>
    <xf numFmtId="0" fontId="56" fillId="0" borderId="0" xfId="0" applyFont="1" applyBorder="1"/>
    <xf numFmtId="0" fontId="42" fillId="0" borderId="0" xfId="0" applyFont="1" applyFill="1" applyBorder="1"/>
    <xf numFmtId="0" fontId="42" fillId="0" borderId="0" xfId="0" applyFont="1" applyBorder="1"/>
    <xf numFmtId="9" fontId="43" fillId="0" borderId="0" xfId="26" applyFont="1" applyFill="1" applyBorder="1"/>
    <xf numFmtId="3" fontId="43" fillId="0" borderId="0" xfId="0" applyNumberFormat="1" applyFont="1" applyBorder="1" applyAlignment="1">
      <alignment horizontal="right"/>
    </xf>
    <xf numFmtId="43" fontId="48" fillId="0" borderId="0" xfId="7" applyFont="1" applyBorder="1"/>
    <xf numFmtId="3" fontId="49" fillId="0" borderId="9" xfId="0" applyNumberFormat="1" applyFont="1" applyBorder="1" applyAlignment="1"/>
    <xf numFmtId="3" fontId="49" fillId="0" borderId="9" xfId="7" applyNumberFormat="1" applyFont="1" applyBorder="1" applyAlignment="1">
      <alignment horizontal="right"/>
    </xf>
    <xf numFmtId="3" fontId="44" fillId="0" borderId="9" xfId="0" applyNumberFormat="1" applyFont="1" applyBorder="1"/>
    <xf numFmtId="164" fontId="43" fillId="0" borderId="0" xfId="0" applyNumberFormat="1" applyFont="1" applyBorder="1"/>
    <xf numFmtId="165" fontId="43" fillId="0" borderId="0" xfId="7" applyNumberFormat="1" applyFont="1" applyBorder="1"/>
    <xf numFmtId="43" fontId="43" fillId="0" borderId="0" xfId="7" applyFont="1" applyBorder="1"/>
    <xf numFmtId="3" fontId="43" fillId="0" borderId="0" xfId="7" applyNumberFormat="1" applyFont="1" applyBorder="1"/>
    <xf numFmtId="43" fontId="43" fillId="0" borderId="0" xfId="7" applyFont="1" applyFill="1" applyBorder="1"/>
    <xf numFmtId="0" fontId="57" fillId="0" borderId="0" xfId="0" applyFont="1" applyFill="1" applyBorder="1"/>
    <xf numFmtId="0" fontId="57" fillId="0" borderId="0" xfId="0" applyFont="1" applyFill="1" applyBorder="1" applyAlignment="1"/>
    <xf numFmtId="0" fontId="57" fillId="0" borderId="0" xfId="0" applyFont="1" applyFill="1" applyBorder="1" applyAlignment="1">
      <alignment wrapText="1"/>
    </xf>
    <xf numFmtId="0" fontId="43" fillId="0" borderId="0" xfId="0" applyFont="1" applyFill="1" applyBorder="1" applyAlignment="1">
      <alignment wrapText="1"/>
    </xf>
    <xf numFmtId="0" fontId="57" fillId="0" borderId="0" xfId="0" applyFont="1" applyBorder="1"/>
    <xf numFmtId="0" fontId="44" fillId="0" borderId="0" xfId="0" applyFont="1"/>
    <xf numFmtId="3" fontId="43" fillId="11" borderId="0" xfId="0" applyNumberFormat="1" applyFont="1" applyFill="1" applyBorder="1"/>
    <xf numFmtId="4" fontId="43" fillId="11" borderId="0" xfId="0" applyNumberFormat="1" applyFont="1" applyFill="1" applyBorder="1"/>
    <xf numFmtId="4" fontId="45" fillId="11" borderId="0" xfId="0" applyNumberFormat="1" applyFont="1" applyFill="1" applyBorder="1"/>
    <xf numFmtId="0" fontId="58" fillId="0" borderId="0" xfId="0" applyFont="1" applyFill="1" applyBorder="1"/>
    <xf numFmtId="0" fontId="43" fillId="0" borderId="0" xfId="0" applyFont="1" applyBorder="1" applyAlignment="1">
      <alignment horizontal="right"/>
    </xf>
    <xf numFmtId="0" fontId="43" fillId="0" borderId="0" xfId="0" applyFont="1" applyBorder="1" applyAlignment="1">
      <alignment horizontal="centerContinuous"/>
    </xf>
    <xf numFmtId="0" fontId="52" fillId="0" borderId="0" xfId="0" applyFont="1" applyBorder="1" applyAlignment="1">
      <alignment horizontal="left"/>
    </xf>
    <xf numFmtId="3" fontId="17" fillId="0" borderId="7" xfId="0" applyNumberFormat="1" applyFont="1" applyBorder="1"/>
    <xf numFmtId="3" fontId="44" fillId="0" borderId="7" xfId="0" applyNumberFormat="1" applyFont="1" applyBorder="1"/>
    <xf numFmtId="0" fontId="43" fillId="0" borderId="13" xfId="0" applyFont="1" applyBorder="1"/>
    <xf numFmtId="0" fontId="42" fillId="0" borderId="2" xfId="0" applyFont="1" applyBorder="1"/>
    <xf numFmtId="0" fontId="43" fillId="0" borderId="2" xfId="0" applyFont="1" applyBorder="1"/>
    <xf numFmtId="0" fontId="42" fillId="0" borderId="3" xfId="0" applyFont="1" applyBorder="1"/>
    <xf numFmtId="3" fontId="42" fillId="0" borderId="3" xfId="0" applyNumberFormat="1" applyFont="1" applyBorder="1"/>
    <xf numFmtId="0" fontId="43" fillId="0" borderId="3" xfId="0" applyFont="1" applyBorder="1"/>
    <xf numFmtId="3" fontId="44" fillId="0" borderId="2" xfId="0" applyNumberFormat="1" applyFont="1" applyBorder="1"/>
    <xf numFmtId="0" fontId="43" fillId="0" borderId="4" xfId="0" applyFont="1" applyBorder="1"/>
    <xf numFmtId="3" fontId="42" fillId="7" borderId="3" xfId="0" applyNumberFormat="1" applyFont="1" applyFill="1" applyBorder="1" applyAlignment="1"/>
    <xf numFmtId="164" fontId="45" fillId="0" borderId="0" xfId="0" applyNumberFormat="1" applyFont="1" applyBorder="1"/>
    <xf numFmtId="3" fontId="42" fillId="0" borderId="9" xfId="0" applyNumberFormat="1" applyFont="1" applyBorder="1" applyAlignment="1"/>
    <xf numFmtId="0" fontId="43" fillId="0" borderId="9" xfId="0" applyFont="1" applyBorder="1"/>
    <xf numFmtId="1" fontId="43" fillId="0" borderId="0" xfId="0" applyNumberFormat="1" applyFont="1" applyBorder="1"/>
    <xf numFmtId="168" fontId="43" fillId="0" borderId="0" xfId="0" applyNumberFormat="1" applyFont="1" applyBorder="1"/>
    <xf numFmtId="168" fontId="43" fillId="0" borderId="0" xfId="26" applyNumberFormat="1" applyFont="1" applyBorder="1"/>
    <xf numFmtId="0" fontId="54" fillId="0" borderId="0" xfId="15" applyFont="1" applyBorder="1"/>
    <xf numFmtId="9" fontId="44" fillId="0" borderId="0" xfId="0" applyNumberFormat="1" applyFont="1" applyBorder="1"/>
    <xf numFmtId="0" fontId="44" fillId="0" borderId="0" xfId="0" applyFont="1" applyFill="1" applyBorder="1"/>
    <xf numFmtId="0" fontId="44" fillId="0" borderId="0" xfId="0" applyFont="1" applyBorder="1"/>
    <xf numFmtId="164" fontId="17" fillId="0" borderId="0" xfId="0" applyNumberFormat="1" applyFont="1" applyBorder="1"/>
    <xf numFmtId="164" fontId="21" fillId="0" borderId="2" xfId="0" applyNumberFormat="1" applyFont="1" applyBorder="1"/>
    <xf numFmtId="164" fontId="42" fillId="0" borderId="2" xfId="0" applyNumberFormat="1" applyFont="1" applyBorder="1"/>
    <xf numFmtId="4" fontId="43" fillId="0" borderId="0" xfId="7" applyNumberFormat="1" applyFont="1" applyBorder="1"/>
    <xf numFmtId="4" fontId="44" fillId="0" borderId="0" xfId="7" applyNumberFormat="1" applyFont="1" applyBorder="1"/>
    <xf numFmtId="4" fontId="43" fillId="0" borderId="0" xfId="0" applyNumberFormat="1" applyFont="1" applyBorder="1"/>
    <xf numFmtId="164" fontId="17" fillId="0" borderId="0" xfId="0" applyNumberFormat="1" applyFont="1"/>
    <xf numFmtId="3" fontId="19" fillId="0" borderId="0" xfId="0" applyNumberFormat="1" applyFont="1" applyBorder="1"/>
    <xf numFmtId="164" fontId="43" fillId="0" borderId="0" xfId="7" applyNumberFormat="1" applyFont="1" applyBorder="1"/>
    <xf numFmtId="164" fontId="44" fillId="0" borderId="0" xfId="7" applyNumberFormat="1" applyFont="1" applyBorder="1"/>
    <xf numFmtId="3" fontId="59" fillId="0" borderId="0" xfId="0" applyNumberFormat="1" applyFont="1" applyFill="1" applyBorder="1"/>
    <xf numFmtId="3" fontId="43" fillId="3" borderId="0" xfId="0" applyNumberFormat="1" applyFont="1" applyFill="1" applyBorder="1" applyAlignment="1"/>
    <xf numFmtId="3" fontId="19" fillId="0" borderId="0" xfId="0" applyNumberFormat="1" applyFont="1" applyBorder="1" applyAlignment="1"/>
    <xf numFmtId="3" fontId="41" fillId="0" borderId="0" xfId="0" applyNumberFormat="1" applyFont="1" applyBorder="1"/>
    <xf numFmtId="3" fontId="41" fillId="5" borderId="0" xfId="0" applyNumberFormat="1" applyFont="1" applyFill="1" applyBorder="1"/>
    <xf numFmtId="3" fontId="41" fillId="0" borderId="0" xfId="0" applyNumberFormat="1" applyFont="1" applyFill="1" applyBorder="1"/>
    <xf numFmtId="164" fontId="43" fillId="0" borderId="0" xfId="0" applyNumberFormat="1" applyFont="1"/>
    <xf numFmtId="164" fontId="43" fillId="0" borderId="0" xfId="7" applyNumberFormat="1" applyFont="1"/>
    <xf numFmtId="3" fontId="42" fillId="11" borderId="11" xfId="0" applyNumberFormat="1" applyFont="1" applyFill="1" applyBorder="1" applyAlignment="1"/>
    <xf numFmtId="3" fontId="43" fillId="11" borderId="11" xfId="7" applyNumberFormat="1" applyFont="1" applyFill="1" applyBorder="1"/>
    <xf numFmtId="0" fontId="22" fillId="0" borderId="7" xfId="0" applyFont="1" applyFill="1" applyBorder="1" applyAlignment="1"/>
    <xf numFmtId="0" fontId="43" fillId="0" borderId="7" xfId="0" applyFont="1" applyFill="1" applyBorder="1"/>
    <xf numFmtId="164" fontId="42" fillId="0" borderId="0" xfId="0" applyNumberFormat="1" applyFont="1" applyFill="1" applyBorder="1"/>
    <xf numFmtId="10" fontId="43" fillId="0" borderId="0" xfId="26" applyNumberFormat="1" applyFont="1" applyBorder="1"/>
    <xf numFmtId="0" fontId="60" fillId="0" borderId="0" xfId="11" applyFont="1" applyFill="1" applyBorder="1"/>
    <xf numFmtId="3" fontId="60" fillId="0" borderId="0" xfId="11" applyNumberFormat="1" applyFont="1" applyBorder="1"/>
    <xf numFmtId="164" fontId="60" fillId="0" borderId="0" xfId="11" applyNumberFormat="1" applyFont="1" applyBorder="1"/>
    <xf numFmtId="0" fontId="42" fillId="11" borderId="11" xfId="0" applyFont="1" applyFill="1" applyBorder="1"/>
    <xf numFmtId="3" fontId="49" fillId="11" borderId="11" xfId="0" applyNumberFormat="1" applyFont="1" applyFill="1" applyBorder="1"/>
    <xf numFmtId="3" fontId="49" fillId="0" borderId="0" xfId="0" applyNumberFormat="1" applyFont="1" applyFill="1" applyBorder="1"/>
    <xf numFmtId="0" fontId="43" fillId="0" borderId="0" xfId="0" applyFont="1" applyFill="1" applyBorder="1" applyAlignment="1">
      <alignment horizontal="left"/>
    </xf>
    <xf numFmtId="3" fontId="22" fillId="0" borderId="9" xfId="0" applyNumberFormat="1" applyFont="1" applyFill="1" applyBorder="1" applyAlignment="1"/>
    <xf numFmtId="3" fontId="44" fillId="0" borderId="9" xfId="0" applyNumberFormat="1" applyFont="1" applyFill="1" applyBorder="1"/>
    <xf numFmtId="3" fontId="42" fillId="0" borderId="0" xfId="7" applyNumberFormat="1" applyFont="1" applyFill="1" applyBorder="1"/>
    <xf numFmtId="3" fontId="42" fillId="11" borderId="11" xfId="7" applyNumberFormat="1" applyFont="1" applyFill="1" applyBorder="1"/>
    <xf numFmtId="3" fontId="42" fillId="11" borderId="11" xfId="0" applyNumberFormat="1" applyFont="1" applyFill="1" applyBorder="1"/>
    <xf numFmtId="0" fontId="22" fillId="0" borderId="0" xfId="0" applyFont="1" applyFill="1" applyBorder="1" applyAlignment="1"/>
    <xf numFmtId="0" fontId="22" fillId="0" borderId="20" xfId="0" applyFont="1" applyFill="1" applyBorder="1" applyAlignment="1"/>
    <xf numFmtId="0" fontId="22" fillId="0" borderId="20" xfId="0" applyFont="1" applyFill="1" applyBorder="1" applyAlignment="1">
      <alignment horizontal="right"/>
    </xf>
    <xf numFmtId="0" fontId="22" fillId="0" borderId="20" xfId="0" applyFont="1" applyFill="1" applyBorder="1"/>
    <xf numFmtId="0" fontId="42" fillId="0" borderId="20" xfId="0" applyFont="1" applyFill="1" applyBorder="1"/>
    <xf numFmtId="3" fontId="44" fillId="0" borderId="0" xfId="7" applyNumberFormat="1" applyFont="1"/>
    <xf numFmtId="164" fontId="45" fillId="0" borderId="0" xfId="5" applyNumberFormat="1" applyFont="1" applyFill="1" applyBorder="1"/>
    <xf numFmtId="3" fontId="61" fillId="0" borderId="0" xfId="7" applyNumberFormat="1" applyFont="1"/>
    <xf numFmtId="164" fontId="44" fillId="0" borderId="0" xfId="7" applyNumberFormat="1" applyFont="1"/>
    <xf numFmtId="3" fontId="59" fillId="0" borderId="0" xfId="7" applyNumberFormat="1" applyFont="1" applyBorder="1"/>
    <xf numFmtId="0" fontId="22" fillId="0" borderId="0" xfId="0" applyFont="1" applyFill="1" applyBorder="1"/>
    <xf numFmtId="3" fontId="45" fillId="0" borderId="0" xfId="5" applyNumberFormat="1" applyFont="1" applyFill="1" applyBorder="1"/>
    <xf numFmtId="3" fontId="44" fillId="0" borderId="0" xfId="7" applyNumberFormat="1" applyFont="1" applyBorder="1"/>
    <xf numFmtId="1" fontId="43" fillId="0" borderId="0" xfId="0" applyNumberFormat="1" applyFont="1" applyFill="1" applyBorder="1"/>
    <xf numFmtId="3" fontId="48" fillId="0" borderId="0" xfId="7" applyNumberFormat="1" applyFont="1" applyBorder="1"/>
    <xf numFmtId="3" fontId="44" fillId="0" borderId="0" xfId="7" applyNumberFormat="1" applyFont="1" applyBorder="1" applyAlignment="1">
      <alignment horizontal="right"/>
    </xf>
    <xf numFmtId="3" fontId="50" fillId="0" borderId="7" xfId="0" applyNumberFormat="1" applyFont="1" applyBorder="1" applyAlignment="1"/>
    <xf numFmtId="3" fontId="43" fillId="0" borderId="0" xfId="26" applyNumberFormat="1" applyFont="1" applyBorder="1"/>
    <xf numFmtId="9" fontId="43" fillId="0" borderId="0" xfId="0" applyNumberFormat="1" applyFont="1" applyBorder="1"/>
    <xf numFmtId="3" fontId="44" fillId="0" borderId="0" xfId="0" applyNumberFormat="1" applyFont="1" applyBorder="1" applyAlignment="1">
      <alignment horizontal="right"/>
    </xf>
    <xf numFmtId="9" fontId="43" fillId="0" borderId="0" xfId="26" applyFont="1" applyBorder="1" applyAlignment="1">
      <alignment horizontal="right"/>
    </xf>
    <xf numFmtId="164" fontId="42" fillId="0" borderId="0" xfId="0" applyNumberFormat="1" applyFont="1" applyFill="1" applyBorder="1" applyAlignment="1">
      <alignment horizontal="left"/>
    </xf>
    <xf numFmtId="3" fontId="42" fillId="0" borderId="0" xfId="7" applyNumberFormat="1" applyFont="1" applyBorder="1"/>
    <xf numFmtId="3" fontId="62" fillId="0" borderId="0" xfId="7" applyNumberFormat="1" applyFont="1" applyFill="1" applyBorder="1"/>
    <xf numFmtId="3" fontId="43" fillId="0" borderId="13" xfId="7" applyNumberFormat="1" applyFont="1" applyBorder="1"/>
    <xf numFmtId="3" fontId="59" fillId="0" borderId="13" xfId="7" applyNumberFormat="1" applyFont="1" applyBorder="1"/>
    <xf numFmtId="3" fontId="43" fillId="0" borderId="13" xfId="0" applyNumberFormat="1" applyFont="1" applyFill="1" applyBorder="1"/>
    <xf numFmtId="3" fontId="41" fillId="0" borderId="0" xfId="7" applyNumberFormat="1" applyFont="1" applyBorder="1"/>
    <xf numFmtId="0" fontId="43" fillId="0" borderId="0" xfId="0" quotePrefix="1" applyFont="1" applyBorder="1" applyAlignment="1">
      <alignment horizontal="left" indent="1"/>
    </xf>
    <xf numFmtId="0" fontId="56" fillId="0" borderId="0" xfId="0" applyFont="1" applyFill="1" applyBorder="1"/>
    <xf numFmtId="0" fontId="56" fillId="0" borderId="2" xfId="0" applyFont="1" applyBorder="1"/>
    <xf numFmtId="0" fontId="54" fillId="0" borderId="0" xfId="0" applyFont="1" applyBorder="1"/>
    <xf numFmtId="164" fontId="45" fillId="0" borderId="0" xfId="26" applyNumberFormat="1" applyFont="1" applyBorder="1"/>
    <xf numFmtId="0" fontId="43" fillId="0" borderId="0" xfId="0" applyFont="1" applyBorder="1" applyAlignment="1">
      <alignment horizontal="left" wrapText="1" indent="1"/>
    </xf>
    <xf numFmtId="3" fontId="59" fillId="0" borderId="0" xfId="0" applyNumberFormat="1" applyFont="1" applyBorder="1"/>
    <xf numFmtId="9" fontId="45" fillId="0" borderId="0" xfId="26" applyFont="1" applyFill="1" applyBorder="1"/>
    <xf numFmtId="0" fontId="59" fillId="0" borderId="0" xfId="0" applyFont="1"/>
    <xf numFmtId="0" fontId="52" fillId="0" borderId="0" xfId="0" applyFont="1"/>
    <xf numFmtId="9" fontId="43" fillId="0" borderId="0" xfId="0" applyNumberFormat="1" applyFont="1"/>
    <xf numFmtId="0" fontId="41" fillId="0" borderId="0" xfId="0" applyNumberFormat="1" applyFont="1" applyBorder="1"/>
    <xf numFmtId="3" fontId="59" fillId="0" borderId="0" xfId="0" applyNumberFormat="1" applyFont="1"/>
    <xf numFmtId="9" fontId="59" fillId="0" borderId="0" xfId="26" applyFont="1"/>
    <xf numFmtId="9" fontId="48" fillId="0" borderId="0" xfId="26" applyFont="1"/>
    <xf numFmtId="9" fontId="48" fillId="0" borderId="0" xfId="0" applyNumberFormat="1" applyFont="1"/>
    <xf numFmtId="0" fontId="41" fillId="0" borderId="0" xfId="0" applyFont="1"/>
    <xf numFmtId="3" fontId="49" fillId="0" borderId="0" xfId="7" applyNumberFormat="1" applyFont="1"/>
    <xf numFmtId="164" fontId="49" fillId="0" borderId="0" xfId="7" applyNumberFormat="1" applyFont="1"/>
    <xf numFmtId="3" fontId="42" fillId="11" borderId="0" xfId="0" applyNumberFormat="1" applyFont="1" applyFill="1"/>
    <xf numFmtId="166" fontId="42" fillId="0" borderId="0" xfId="7" applyNumberFormat="1" applyFont="1"/>
    <xf numFmtId="3" fontId="42" fillId="11" borderId="0" xfId="7" applyNumberFormat="1" applyFont="1" applyFill="1"/>
    <xf numFmtId="0" fontId="42" fillId="0" borderId="0" xfId="0" applyFont="1"/>
    <xf numFmtId="0" fontId="56" fillId="0" borderId="0" xfId="0" applyFont="1"/>
    <xf numFmtId="3" fontId="43" fillId="0" borderId="0" xfId="7" applyNumberFormat="1" applyFont="1"/>
    <xf numFmtId="3" fontId="48" fillId="0" borderId="0" xfId="7" applyNumberFormat="1" applyFont="1" applyFill="1" applyBorder="1"/>
    <xf numFmtId="166" fontId="43" fillId="0" borderId="0" xfId="7" applyNumberFormat="1" applyFont="1"/>
    <xf numFmtId="3" fontId="42" fillId="0" borderId="0" xfId="7" applyNumberFormat="1" applyFont="1"/>
    <xf numFmtId="164" fontId="42" fillId="0" borderId="0" xfId="7" applyNumberFormat="1" applyFont="1"/>
    <xf numFmtId="3" fontId="60" fillId="0" borderId="0" xfId="11" applyNumberFormat="1" applyFont="1" applyFill="1"/>
    <xf numFmtId="164" fontId="60" fillId="0" borderId="0" xfId="11" applyNumberFormat="1" applyFont="1" applyFill="1"/>
    <xf numFmtId="164" fontId="60" fillId="0" borderId="0" xfId="11" applyNumberFormat="1" applyFont="1" applyFill="1" applyAlignment="1">
      <alignment horizontal="right"/>
    </xf>
    <xf numFmtId="0" fontId="41" fillId="0" borderId="0" xfId="0" applyFont="1" applyFill="1"/>
    <xf numFmtId="3" fontId="42" fillId="0" borderId="20" xfId="0" applyNumberFormat="1" applyFont="1" applyFill="1" applyBorder="1"/>
    <xf numFmtId="164" fontId="49" fillId="0" borderId="20" xfId="0" applyNumberFormat="1" applyFont="1" applyFill="1" applyBorder="1"/>
    <xf numFmtId="164" fontId="62" fillId="11" borderId="20" xfId="0" applyNumberFormat="1" applyFont="1" applyFill="1" applyBorder="1"/>
    <xf numFmtId="3" fontId="49" fillId="0" borderId="20" xfId="0" applyNumberFormat="1" applyFont="1" applyFill="1" applyBorder="1"/>
    <xf numFmtId="3" fontId="62" fillId="11" borderId="20" xfId="0" applyNumberFormat="1" applyFont="1" applyFill="1" applyBorder="1"/>
    <xf numFmtId="3" fontId="42" fillId="11" borderId="20" xfId="0" applyNumberFormat="1" applyFont="1" applyFill="1" applyBorder="1"/>
    <xf numFmtId="165" fontId="42" fillId="0" borderId="20" xfId="0" applyNumberFormat="1" applyFont="1" applyFill="1" applyBorder="1"/>
    <xf numFmtId="164" fontId="43" fillId="0" borderId="20" xfId="7" applyNumberFormat="1" applyFont="1" applyFill="1" applyBorder="1"/>
    <xf numFmtId="3" fontId="60" fillId="0" borderId="0" xfId="11" applyNumberFormat="1" applyFont="1" applyFill="1" applyAlignment="1">
      <alignment horizontal="right"/>
    </xf>
    <xf numFmtId="3" fontId="43" fillId="0" borderId="0" xfId="0" applyNumberFormat="1" applyFont="1" applyFill="1"/>
    <xf numFmtId="3" fontId="59" fillId="0" borderId="0" xfId="0" applyNumberFormat="1" applyFont="1" applyFill="1"/>
    <xf numFmtId="164" fontId="43" fillId="11" borderId="0" xfId="7" applyNumberFormat="1" applyFont="1" applyFill="1"/>
    <xf numFmtId="3" fontId="59" fillId="11" borderId="0" xfId="0" applyNumberFormat="1" applyFont="1" applyFill="1"/>
    <xf numFmtId="3" fontId="43" fillId="11" borderId="0" xfId="0" applyNumberFormat="1" applyFont="1" applyFill="1"/>
    <xf numFmtId="164" fontId="43" fillId="11" borderId="0" xfId="0" applyNumberFormat="1" applyFont="1" applyFill="1"/>
    <xf numFmtId="3" fontId="43" fillId="11" borderId="0" xfId="7" applyNumberFormat="1" applyFont="1" applyFill="1"/>
    <xf numFmtId="164" fontId="60" fillId="0" borderId="0" xfId="11" quotePrefix="1" applyNumberFormat="1" applyFont="1" applyFill="1" applyAlignment="1">
      <alignment horizontal="right"/>
    </xf>
    <xf numFmtId="3" fontId="42" fillId="0" borderId="20" xfId="7" applyNumberFormat="1" applyFont="1" applyFill="1" applyBorder="1"/>
    <xf numFmtId="164" fontId="49" fillId="0" borderId="20" xfId="7" applyNumberFormat="1" applyFont="1" applyFill="1" applyBorder="1"/>
    <xf numFmtId="3" fontId="42" fillId="11" borderId="20" xfId="7" applyNumberFormat="1" applyFont="1" applyFill="1" applyBorder="1"/>
    <xf numFmtId="3" fontId="49" fillId="0" borderId="20" xfId="7" applyNumberFormat="1" applyFont="1" applyFill="1" applyBorder="1"/>
    <xf numFmtId="3" fontId="43" fillId="0" borderId="0" xfId="7" applyNumberFormat="1" applyFont="1" applyFill="1"/>
    <xf numFmtId="43" fontId="59" fillId="0" borderId="0" xfId="7" applyFont="1"/>
    <xf numFmtId="0" fontId="42" fillId="12" borderId="0" xfId="0" applyFont="1" applyFill="1"/>
    <xf numFmtId="3" fontId="43" fillId="12" borderId="0" xfId="7" applyNumberFormat="1" applyFont="1" applyFill="1"/>
    <xf numFmtId="3" fontId="43" fillId="12" borderId="0" xfId="0" applyNumberFormat="1" applyFont="1" applyFill="1"/>
    <xf numFmtId="3" fontId="59" fillId="12" borderId="0" xfId="0" applyNumberFormat="1" applyFont="1" applyFill="1"/>
    <xf numFmtId="9" fontId="59" fillId="12" borderId="0" xfId="26" applyFont="1" applyFill="1"/>
    <xf numFmtId="9" fontId="43" fillId="12" borderId="0" xfId="26" applyFont="1" applyFill="1"/>
    <xf numFmtId="3" fontId="49" fillId="12" borderId="0" xfId="0" applyNumberFormat="1" applyFont="1" applyFill="1"/>
    <xf numFmtId="3" fontId="49" fillId="12" borderId="0" xfId="26" applyNumberFormat="1" applyFont="1" applyFill="1"/>
    <xf numFmtId="0" fontId="43" fillId="12" borderId="0" xfId="0" applyFont="1" applyFill="1"/>
    <xf numFmtId="3" fontId="43" fillId="8" borderId="0" xfId="0" applyNumberFormat="1" applyFont="1" applyFill="1"/>
    <xf numFmtId="9" fontId="43" fillId="8" borderId="0" xfId="26" applyFont="1" applyFill="1"/>
    <xf numFmtId="3" fontId="59" fillId="0" borderId="0" xfId="7" applyNumberFormat="1" applyFont="1"/>
    <xf numFmtId="3" fontId="62" fillId="0" borderId="0" xfId="7" applyNumberFormat="1" applyFont="1"/>
    <xf numFmtId="3" fontId="48" fillId="0" borderId="0" xfId="0" applyNumberFormat="1" applyFont="1"/>
    <xf numFmtId="3" fontId="59" fillId="11" borderId="0" xfId="7" applyNumberFormat="1" applyFont="1" applyFill="1"/>
    <xf numFmtId="165" fontId="42" fillId="0" borderId="0" xfId="0" applyNumberFormat="1" applyFont="1" applyFill="1" applyBorder="1"/>
    <xf numFmtId="3" fontId="62" fillId="0" borderId="20" xfId="0" applyNumberFormat="1" applyFont="1" applyFill="1" applyBorder="1"/>
    <xf numFmtId="43" fontId="43" fillId="0" borderId="0" xfId="0" applyNumberFormat="1" applyFont="1"/>
    <xf numFmtId="43" fontId="43" fillId="0" borderId="0" xfId="0" applyNumberFormat="1" applyFont="1" applyFill="1" applyBorder="1"/>
    <xf numFmtId="43" fontId="59" fillId="0" borderId="0" xfId="0" applyNumberFormat="1" applyFont="1"/>
    <xf numFmtId="0" fontId="37" fillId="0" borderId="0" xfId="11"/>
    <xf numFmtId="3" fontId="43" fillId="0" borderId="0" xfId="0" applyNumberFormat="1" applyFont="1" applyAlignment="1"/>
    <xf numFmtId="14" fontId="42" fillId="0" borderId="0" xfId="0" applyNumberFormat="1" applyFont="1"/>
    <xf numFmtId="17" fontId="43" fillId="0" borderId="0" xfId="0" applyNumberFormat="1" applyFont="1"/>
    <xf numFmtId="0" fontId="42" fillId="0" borderId="19" xfId="0" applyFont="1" applyBorder="1"/>
    <xf numFmtId="3" fontId="42" fillId="0" borderId="19" xfId="0" applyNumberFormat="1" applyFont="1" applyBorder="1"/>
    <xf numFmtId="9" fontId="42" fillId="0" borderId="0" xfId="0" applyNumberFormat="1" applyFont="1"/>
    <xf numFmtId="0" fontId="43" fillId="0" borderId="0" xfId="0" applyNumberFormat="1" applyFont="1"/>
    <xf numFmtId="0" fontId="42" fillId="0" borderId="7" xfId="0" applyFont="1" applyFill="1" applyBorder="1"/>
    <xf numFmtId="164" fontId="43" fillId="0" borderId="7" xfId="0" applyNumberFormat="1" applyFont="1" applyBorder="1"/>
    <xf numFmtId="3" fontId="57" fillId="0" borderId="0" xfId="0" applyNumberFormat="1" applyFont="1" applyBorder="1"/>
    <xf numFmtId="9" fontId="57" fillId="0" borderId="0" xfId="26" applyFont="1" applyBorder="1"/>
    <xf numFmtId="0" fontId="52" fillId="0" borderId="0" xfId="0" applyFont="1" applyFill="1"/>
    <xf numFmtId="0" fontId="43" fillId="0" borderId="0" xfId="0" applyFont="1" applyAlignment="1">
      <alignment horizontal="right"/>
    </xf>
    <xf numFmtId="164" fontId="43" fillId="8" borderId="0" xfId="0" applyNumberFormat="1" applyFont="1" applyFill="1"/>
    <xf numFmtId="168" fontId="43" fillId="0" borderId="0" xfId="26" applyNumberFormat="1" applyFont="1"/>
    <xf numFmtId="9" fontId="44" fillId="0" borderId="0" xfId="26" applyFont="1" applyBorder="1"/>
    <xf numFmtId="9" fontId="63" fillId="0" borderId="0" xfId="26" applyFont="1" applyBorder="1"/>
    <xf numFmtId="9" fontId="48" fillId="0" borderId="0" xfId="26" applyFont="1" applyBorder="1"/>
    <xf numFmtId="9" fontId="44" fillId="0" borderId="0" xfId="26" applyFont="1"/>
    <xf numFmtId="9" fontId="43" fillId="0" borderId="0" xfId="26" applyFont="1"/>
    <xf numFmtId="9" fontId="43" fillId="0" borderId="0" xfId="26" applyFont="1" applyBorder="1"/>
    <xf numFmtId="3" fontId="43" fillId="0" borderId="0" xfId="7" applyNumberFormat="1" applyFont="1" applyBorder="1"/>
    <xf numFmtId="164" fontId="60" fillId="0" borderId="0" xfId="11" applyNumberFormat="1" applyFont="1" applyBorder="1" applyAlignment="1">
      <alignment horizontal="right"/>
    </xf>
    <xf numFmtId="9" fontId="44" fillId="0" borderId="0" xfId="26" applyFont="1" applyBorder="1"/>
    <xf numFmtId="9" fontId="59" fillId="0" borderId="0" xfId="26" applyFont="1" applyBorder="1"/>
    <xf numFmtId="9" fontId="43" fillId="7" borderId="0" xfId="26" applyFont="1" applyFill="1" applyBorder="1"/>
    <xf numFmtId="9" fontId="63" fillId="0" borderId="0" xfId="26" applyFont="1" applyFill="1" applyBorder="1"/>
    <xf numFmtId="3" fontId="43" fillId="7" borderId="0" xfId="0" applyNumberFormat="1" applyFont="1" applyFill="1" applyBorder="1"/>
    <xf numFmtId="3" fontId="48" fillId="7" borderId="0" xfId="0" applyNumberFormat="1" applyFont="1" applyFill="1" applyBorder="1"/>
    <xf numFmtId="0" fontId="41" fillId="7" borderId="0" xfId="0" applyFont="1" applyFill="1" applyBorder="1"/>
    <xf numFmtId="168" fontId="45" fillId="0" borderId="0" xfId="26" applyNumberFormat="1" applyFont="1"/>
    <xf numFmtId="164" fontId="64" fillId="0" borderId="0" xfId="0" applyNumberFormat="1" applyFont="1" applyAlignment="1">
      <alignment horizontal="right"/>
    </xf>
    <xf numFmtId="0" fontId="64" fillId="0" borderId="0" xfId="0" applyFont="1"/>
    <xf numFmtId="0" fontId="64" fillId="0" borderId="0" xfId="0" applyFont="1" applyFill="1" applyBorder="1"/>
    <xf numFmtId="3" fontId="64" fillId="0" borderId="0" xfId="7" applyNumberFormat="1" applyFont="1"/>
    <xf numFmtId="164" fontId="64" fillId="0" borderId="0" xfId="7" applyNumberFormat="1" applyFont="1"/>
    <xf numFmtId="164" fontId="64" fillId="0" borderId="0" xfId="7" applyNumberFormat="1" applyFont="1" applyAlignment="1">
      <alignment horizontal="right"/>
    </xf>
    <xf numFmtId="164" fontId="64" fillId="0" borderId="0" xfId="7" quotePrefix="1" applyNumberFormat="1" applyFont="1" applyAlignment="1">
      <alignment horizontal="right"/>
    </xf>
    <xf numFmtId="9" fontId="45" fillId="0" borderId="0" xfId="26" applyFont="1"/>
    <xf numFmtId="164" fontId="43" fillId="0" borderId="0" xfId="7" applyNumberFormat="1" applyFont="1" applyFill="1" applyBorder="1"/>
    <xf numFmtId="164" fontId="42" fillId="0" borderId="20" xfId="0" applyNumberFormat="1" applyFont="1" applyFill="1" applyBorder="1"/>
    <xf numFmtId="164" fontId="41" fillId="0" borderId="0" xfId="26" applyNumberFormat="1" applyFont="1" applyBorder="1"/>
    <xf numFmtId="164" fontId="41" fillId="0" borderId="0" xfId="7" applyNumberFormat="1" applyFont="1" applyBorder="1"/>
    <xf numFmtId="3" fontId="45" fillId="7" borderId="0" xfId="0" applyNumberFormat="1" applyFont="1" applyFill="1" applyBorder="1"/>
    <xf numFmtId="10" fontId="48" fillId="0" borderId="0" xfId="26" applyNumberFormat="1" applyFont="1"/>
    <xf numFmtId="168" fontId="48" fillId="0" borderId="0" xfId="26" applyNumberFormat="1" applyFont="1"/>
    <xf numFmtId="9" fontId="48" fillId="0" borderId="0" xfId="26" applyNumberFormat="1" applyFont="1"/>
    <xf numFmtId="9" fontId="48" fillId="0" borderId="0" xfId="26" applyFont="1" applyFill="1" applyBorder="1"/>
    <xf numFmtId="9" fontId="43" fillId="0" borderId="0" xfId="26" applyFont="1" applyFill="1"/>
    <xf numFmtId="9" fontId="44" fillId="0" borderId="0" xfId="26" applyFont="1" applyFill="1"/>
    <xf numFmtId="168" fontId="59" fillId="0" borderId="0" xfId="26" applyNumberFormat="1" applyFont="1"/>
    <xf numFmtId="9" fontId="44" fillId="0" borderId="0" xfId="26" applyFont="1" applyBorder="1" applyAlignment="1">
      <alignment horizontal="right"/>
    </xf>
    <xf numFmtId="164" fontId="43" fillId="0" borderId="0" xfId="26" applyNumberFormat="1" applyFont="1" applyBorder="1"/>
    <xf numFmtId="164" fontId="45" fillId="0" borderId="0" xfId="7" applyNumberFormat="1" applyFont="1" applyBorder="1" applyAlignment="1">
      <alignment horizontal="right"/>
    </xf>
    <xf numFmtId="168" fontId="45" fillId="0" borderId="0" xfId="26" applyNumberFormat="1" applyFont="1" applyBorder="1"/>
    <xf numFmtId="9" fontId="45" fillId="0" borderId="0" xfId="26" quotePrefix="1" applyFont="1" applyBorder="1" applyAlignment="1">
      <alignment horizontal="right"/>
    </xf>
    <xf numFmtId="3" fontId="45" fillId="0" borderId="0" xfId="7" applyNumberFormat="1" applyFont="1" applyBorder="1" applyAlignment="1">
      <alignment horizontal="right"/>
    </xf>
    <xf numFmtId="0" fontId="66" fillId="0" borderId="0" xfId="15" applyFont="1" applyBorder="1"/>
    <xf numFmtId="164" fontId="44" fillId="0" borderId="0" xfId="26" applyNumberFormat="1" applyFont="1" applyFill="1" applyBorder="1"/>
    <xf numFmtId="9" fontId="44" fillId="0" borderId="0" xfId="26" applyFont="1" applyFill="1" applyBorder="1"/>
    <xf numFmtId="0" fontId="42" fillId="11" borderId="21" xfId="0" applyFont="1" applyFill="1" applyBorder="1"/>
    <xf numFmtId="3" fontId="43" fillId="11" borderId="21" xfId="7" applyNumberFormat="1" applyFont="1" applyFill="1" applyBorder="1"/>
    <xf numFmtId="3" fontId="43" fillId="11" borderId="21" xfId="0" applyNumberFormat="1" applyFont="1" applyFill="1" applyBorder="1"/>
    <xf numFmtId="3" fontId="42" fillId="11" borderId="21" xfId="7" applyNumberFormat="1" applyFont="1" applyFill="1" applyBorder="1"/>
    <xf numFmtId="3" fontId="42" fillId="11" borderId="21" xfId="0" applyNumberFormat="1" applyFont="1" applyFill="1" applyBorder="1"/>
    <xf numFmtId="3" fontId="45" fillId="0" borderId="0" xfId="7" applyNumberFormat="1" applyFont="1" applyBorder="1"/>
    <xf numFmtId="164" fontId="42" fillId="0" borderId="0" xfId="26" applyNumberFormat="1" applyFont="1" applyBorder="1"/>
    <xf numFmtId="168" fontId="45" fillId="0" borderId="0" xfId="26" applyNumberFormat="1" applyFont="1" applyBorder="1" applyAlignment="1">
      <alignment horizontal="right"/>
    </xf>
    <xf numFmtId="164" fontId="17" fillId="13" borderId="0" xfId="0" applyNumberFormat="1" applyFont="1" applyFill="1"/>
    <xf numFmtId="3" fontId="42" fillId="0" borderId="0" xfId="26" applyNumberFormat="1" applyFont="1" applyBorder="1"/>
    <xf numFmtId="3" fontId="62" fillId="0" borderId="0" xfId="0" applyNumberFormat="1" applyFont="1" applyFill="1" applyBorder="1"/>
    <xf numFmtId="0" fontId="64" fillId="0" borderId="0" xfId="0" applyFont="1" applyBorder="1" applyAlignment="1">
      <alignment horizontal="left"/>
    </xf>
    <xf numFmtId="10" fontId="43" fillId="0" borderId="0" xfId="26" applyNumberFormat="1" applyFont="1" applyFill="1" applyBorder="1"/>
    <xf numFmtId="10" fontId="45" fillId="0" borderId="0" xfId="26" applyNumberFormat="1" applyFont="1" applyFill="1" applyBorder="1"/>
    <xf numFmtId="0" fontId="67" fillId="0" borderId="0" xfId="0" applyFont="1" applyBorder="1" applyAlignment="1">
      <alignment horizontal="left"/>
    </xf>
    <xf numFmtId="10" fontId="45" fillId="0" borderId="0" xfId="26" applyNumberFormat="1" applyFont="1"/>
    <xf numFmtId="3" fontId="42" fillId="0" borderId="2" xfId="7" applyNumberFormat="1" applyFont="1" applyBorder="1"/>
    <xf numFmtId="3" fontId="49" fillId="0" borderId="2" xfId="7" applyNumberFormat="1" applyFont="1" applyBorder="1"/>
    <xf numFmtId="171" fontId="44" fillId="0" borderId="0" xfId="7" applyNumberFormat="1" applyFont="1" applyBorder="1"/>
    <xf numFmtId="171" fontId="44" fillId="0" borderId="0" xfId="0" applyNumberFormat="1" applyFont="1" applyBorder="1"/>
    <xf numFmtId="171" fontId="45" fillId="0" borderId="0" xfId="0" applyNumberFormat="1" applyFont="1" applyBorder="1"/>
    <xf numFmtId="3" fontId="50" fillId="0" borderId="0" xfId="0" applyNumberFormat="1" applyFont="1" applyBorder="1" applyAlignment="1"/>
    <xf numFmtId="164" fontId="42" fillId="0" borderId="2" xfId="7" applyNumberFormat="1" applyFont="1" applyBorder="1"/>
    <xf numFmtId="164" fontId="49" fillId="0" borderId="2" xfId="7" applyNumberFormat="1" applyFont="1" applyBorder="1"/>
    <xf numFmtId="164" fontId="44" fillId="0" borderId="0" xfId="26" applyNumberFormat="1" applyFont="1" applyBorder="1"/>
    <xf numFmtId="3" fontId="43" fillId="10" borderId="0" xfId="0" applyNumberFormat="1" applyFont="1" applyFill="1" applyBorder="1"/>
    <xf numFmtId="3" fontId="44" fillId="0" borderId="0" xfId="0" applyNumberFormat="1" applyFont="1" applyFill="1"/>
    <xf numFmtId="3" fontId="62" fillId="11" borderId="0" xfId="0" applyNumberFormat="1" applyFont="1" applyFill="1" applyBorder="1"/>
    <xf numFmtId="9" fontId="43" fillId="0" borderId="5" xfId="26" applyFont="1" applyBorder="1" applyAlignment="1">
      <alignment horizontal="right" vertical="center"/>
    </xf>
    <xf numFmtId="9" fontId="43" fillId="0" borderId="0" xfId="26" applyFont="1" applyBorder="1" applyAlignment="1">
      <alignment horizontal="right" vertical="center"/>
    </xf>
    <xf numFmtId="9" fontId="43" fillId="0" borderId="6" xfId="26" applyFont="1" applyBorder="1" applyAlignment="1">
      <alignment horizontal="right" vertical="center"/>
    </xf>
    <xf numFmtId="9" fontId="43" fillId="0" borderId="2" xfId="26" applyFont="1" applyBorder="1" applyAlignment="1">
      <alignment horizontal="right" vertical="center"/>
    </xf>
    <xf numFmtId="9" fontId="43" fillId="0" borderId="15" xfId="26" applyNumberFormat="1" applyFont="1" applyBorder="1" applyAlignment="1">
      <alignment horizontal="center" vertical="center"/>
    </xf>
    <xf numFmtId="9" fontId="43" fillId="0" borderId="16" xfId="26" applyNumberFormat="1" applyFont="1" applyBorder="1" applyAlignment="1">
      <alignment horizontal="center" vertical="center"/>
    </xf>
    <xf numFmtId="3" fontId="40" fillId="0" borderId="8" xfId="0" applyNumberFormat="1" applyFont="1" applyFill="1" applyBorder="1" applyAlignment="1">
      <alignment horizontal="center"/>
    </xf>
    <xf numFmtId="168" fontId="45" fillId="0" borderId="0" xfId="26" applyNumberFormat="1" applyFont="1" applyFill="1" applyBorder="1"/>
    <xf numFmtId="171" fontId="43" fillId="0" borderId="0" xfId="7" applyNumberFormat="1" applyFont="1" applyBorder="1"/>
    <xf numFmtId="3" fontId="42" fillId="0" borderId="0" xfId="0" applyNumberFormat="1" applyFont="1" applyBorder="1" applyAlignment="1"/>
    <xf numFmtId="164" fontId="24" fillId="0" borderId="0" xfId="0" applyNumberFormat="1" applyFont="1" applyBorder="1"/>
    <xf numFmtId="164" fontId="44" fillId="0" borderId="0" xfId="0" applyNumberFormat="1" applyFont="1" applyFill="1" applyBorder="1"/>
    <xf numFmtId="4" fontId="44" fillId="0" borderId="0" xfId="7" applyNumberFormat="1" applyFont="1" applyFill="1" applyBorder="1"/>
    <xf numFmtId="3" fontId="25" fillId="0" borderId="0" xfId="0" applyNumberFormat="1" applyFont="1" applyFill="1" applyBorder="1"/>
    <xf numFmtId="164" fontId="17" fillId="0" borderId="0" xfId="7" applyNumberFormat="1" applyFont="1" applyBorder="1"/>
    <xf numFmtId="164" fontId="19" fillId="0" borderId="0" xfId="7" applyNumberFormat="1" applyFont="1" applyBorder="1"/>
    <xf numFmtId="3" fontId="27" fillId="0" borderId="0" xfId="5" applyNumberFormat="1" applyFont="1" applyFill="1" applyBorder="1"/>
    <xf numFmtId="164" fontId="23" fillId="0" borderId="0" xfId="5" applyNumberFormat="1" applyFont="1" applyFill="1" applyBorder="1"/>
    <xf numFmtId="3" fontId="26" fillId="0" borderId="0" xfId="0" applyNumberFormat="1" applyFont="1" applyFill="1"/>
    <xf numFmtId="3" fontId="25" fillId="0" borderId="0" xfId="0" applyNumberFormat="1" applyFont="1"/>
    <xf numFmtId="3" fontId="26" fillId="0" borderId="0" xfId="7" applyNumberFormat="1" applyFont="1" applyFill="1"/>
    <xf numFmtId="3" fontId="26" fillId="0" borderId="0" xfId="7" applyNumberFormat="1" applyFont="1"/>
    <xf numFmtId="3" fontId="26" fillId="0" borderId="20" xfId="0" applyNumberFormat="1" applyFont="1" applyFill="1" applyBorder="1"/>
    <xf numFmtId="3" fontId="24" fillId="0" borderId="0" xfId="0" applyNumberFormat="1" applyFont="1" applyFill="1"/>
    <xf numFmtId="164" fontId="24" fillId="0" borderId="0" xfId="0" applyNumberFormat="1" applyFont="1" applyFill="1"/>
    <xf numFmtId="9" fontId="24" fillId="0" borderId="0" xfId="26" applyFont="1"/>
    <xf numFmtId="0" fontId="29" fillId="0" borderId="0" xfId="0" applyFont="1"/>
    <xf numFmtId="3" fontId="26" fillId="0" borderId="20" xfId="7" applyNumberFormat="1" applyFont="1" applyFill="1" applyBorder="1"/>
    <xf numFmtId="3" fontId="24" fillId="0" borderId="0" xfId="0" applyNumberFormat="1" applyFont="1"/>
    <xf numFmtId="9" fontId="24" fillId="0" borderId="0" xfId="26" applyFont="1" applyFill="1"/>
    <xf numFmtId="3" fontId="24" fillId="0" borderId="0" xfId="7" applyNumberFormat="1" applyFont="1"/>
    <xf numFmtId="3" fontId="28" fillId="0" borderId="0" xfId="0" applyNumberFormat="1" applyFont="1" applyFill="1"/>
    <xf numFmtId="9" fontId="25" fillId="0" borderId="0" xfId="26" applyFont="1"/>
    <xf numFmtId="3" fontId="30" fillId="0" borderId="0" xfId="7" applyNumberFormat="1" applyFont="1" applyFill="1"/>
    <xf numFmtId="3" fontId="30" fillId="0" borderId="0" xfId="7" applyNumberFormat="1" applyFont="1"/>
    <xf numFmtId="3" fontId="30" fillId="0" borderId="20" xfId="0" applyNumberFormat="1" applyFont="1" applyFill="1" applyBorder="1"/>
    <xf numFmtId="3" fontId="27" fillId="0" borderId="0" xfId="0" applyNumberFormat="1" applyFont="1" applyFill="1"/>
    <xf numFmtId="3" fontId="25" fillId="0" borderId="0" xfId="7" applyNumberFormat="1" applyFont="1" applyFill="1"/>
    <xf numFmtId="3" fontId="30" fillId="0" borderId="20" xfId="7" applyNumberFormat="1" applyFont="1" applyFill="1" applyBorder="1"/>
    <xf numFmtId="3" fontId="27" fillId="0" borderId="0" xfId="0" applyNumberFormat="1" applyFont="1"/>
    <xf numFmtId="3" fontId="42" fillId="0" borderId="0" xfId="0" applyNumberFormat="1" applyFont="1" applyFill="1"/>
    <xf numFmtId="3" fontId="42" fillId="4" borderId="0" xfId="7" applyNumberFormat="1" applyFont="1" applyFill="1"/>
    <xf numFmtId="3" fontId="25" fillId="0" borderId="0" xfId="7" applyNumberFormat="1" applyFont="1"/>
    <xf numFmtId="168" fontId="25" fillId="0" borderId="0" xfId="26" applyNumberFormat="1" applyFont="1"/>
    <xf numFmtId="3" fontId="43" fillId="4" borderId="0" xfId="0" applyNumberFormat="1" applyFont="1" applyFill="1"/>
    <xf numFmtId="0" fontId="28" fillId="4" borderId="20" xfId="0" applyFont="1" applyFill="1" applyBorder="1"/>
    <xf numFmtId="3" fontId="42" fillId="4" borderId="20" xfId="0" applyNumberFormat="1" applyFont="1" applyFill="1" applyBorder="1"/>
    <xf numFmtId="3" fontId="42" fillId="4" borderId="20" xfId="7" applyNumberFormat="1" applyFont="1" applyFill="1" applyBorder="1"/>
    <xf numFmtId="9" fontId="42" fillId="0" borderId="0" xfId="26" applyFont="1" applyFill="1" applyBorder="1"/>
    <xf numFmtId="9" fontId="43" fillId="0" borderId="0" xfId="26" applyNumberFormat="1" applyFont="1"/>
    <xf numFmtId="9" fontId="43" fillId="11" borderId="11" xfId="26" applyFont="1" applyFill="1" applyBorder="1"/>
    <xf numFmtId="3" fontId="42" fillId="0" borderId="2" xfId="7" applyNumberFormat="1" applyFont="1" applyFill="1" applyBorder="1"/>
    <xf numFmtId="9" fontId="53" fillId="0" borderId="2" xfId="26" applyFont="1" applyBorder="1"/>
    <xf numFmtId="168" fontId="42" fillId="0" borderId="2" xfId="26" applyNumberFormat="1" applyFont="1" applyBorder="1"/>
    <xf numFmtId="164" fontId="42" fillId="0" borderId="2" xfId="26" applyNumberFormat="1" applyFont="1" applyBorder="1"/>
    <xf numFmtId="168" fontId="43" fillId="0" borderId="0" xfId="7" applyNumberFormat="1" applyFont="1" applyBorder="1"/>
    <xf numFmtId="164" fontId="60" fillId="0" borderId="0" xfId="11" applyNumberFormat="1" applyFont="1" applyFill="1" applyAlignment="1">
      <alignment horizontal="right" vertical="top"/>
    </xf>
    <xf numFmtId="3" fontId="60" fillId="0" borderId="0" xfId="11" applyNumberFormat="1" applyFont="1" applyFill="1" applyAlignment="1">
      <alignment horizontal="right" vertical="top"/>
    </xf>
    <xf numFmtId="164" fontId="60" fillId="0" borderId="0" xfId="11" quotePrefix="1" applyNumberFormat="1" applyFont="1" applyFill="1" applyAlignment="1">
      <alignment horizontal="right" vertical="top"/>
    </xf>
    <xf numFmtId="164" fontId="31" fillId="0" borderId="0" xfId="0" applyNumberFormat="1" applyFont="1" applyAlignment="1">
      <alignment horizontal="right"/>
    </xf>
    <xf numFmtId="9" fontId="17" fillId="0" borderId="0" xfId="26" applyFont="1"/>
    <xf numFmtId="164" fontId="17" fillId="0" borderId="0" xfId="7" applyNumberFormat="1" applyFont="1"/>
    <xf numFmtId="9" fontId="17" fillId="0" borderId="0" xfId="26" applyFont="1" applyFill="1"/>
    <xf numFmtId="3" fontId="21" fillId="0" borderId="20" xfId="7" applyNumberFormat="1" applyFont="1" applyFill="1" applyBorder="1"/>
    <xf numFmtId="3" fontId="17" fillId="0" borderId="0" xfId="7" applyNumberFormat="1" applyFont="1"/>
    <xf numFmtId="9" fontId="17" fillId="0" borderId="0" xfId="26" applyNumberFormat="1" applyFont="1"/>
    <xf numFmtId="9" fontId="45" fillId="0" borderId="0" xfId="26" applyNumberFormat="1" applyFont="1" applyBorder="1"/>
    <xf numFmtId="168" fontId="49" fillId="0" borderId="0" xfId="26" applyNumberFormat="1" applyFont="1" applyFill="1" applyBorder="1" applyAlignment="1">
      <alignment horizontal="right"/>
    </xf>
    <xf numFmtId="168" fontId="43" fillId="0" borderId="0" xfId="26" applyNumberFormat="1" applyFont="1" applyFill="1" applyBorder="1"/>
    <xf numFmtId="3" fontId="44" fillId="0" borderId="0" xfId="7" applyNumberFormat="1" applyFont="1" applyFill="1" applyBorder="1" applyAlignment="1">
      <alignment horizontal="right"/>
    </xf>
    <xf numFmtId="164" fontId="43" fillId="0" borderId="0" xfId="26" applyNumberFormat="1" applyFont="1" applyFill="1" applyBorder="1"/>
    <xf numFmtId="164" fontId="42" fillId="0" borderId="0" xfId="26" applyNumberFormat="1" applyFont="1" applyFill="1" applyBorder="1"/>
    <xf numFmtId="9" fontId="43" fillId="0" borderId="0" xfId="0" applyNumberFormat="1" applyFont="1" applyFill="1" applyBorder="1"/>
    <xf numFmtId="171" fontId="42" fillId="0" borderId="0" xfId="0" applyNumberFormat="1" applyFont="1" applyFill="1" applyBorder="1" applyAlignment="1"/>
    <xf numFmtId="3" fontId="41" fillId="0" borderId="0" xfId="7" applyNumberFormat="1" applyFont="1" applyFill="1" applyBorder="1"/>
    <xf numFmtId="4" fontId="45" fillId="0" borderId="0" xfId="7" applyNumberFormat="1" applyFont="1" applyFill="1" applyBorder="1"/>
    <xf numFmtId="3" fontId="45" fillId="0" borderId="0" xfId="0" applyNumberFormat="1" applyFont="1" applyFill="1" applyBorder="1" applyAlignment="1"/>
    <xf numFmtId="3" fontId="42" fillId="0" borderId="13" xfId="0" applyNumberFormat="1" applyFont="1" applyFill="1" applyBorder="1"/>
    <xf numFmtId="17" fontId="49" fillId="0" borderId="0" xfId="0" applyNumberFormat="1" applyFont="1" applyFill="1" applyBorder="1" applyAlignment="1">
      <alignment horizontal="right"/>
    </xf>
    <xf numFmtId="3" fontId="42" fillId="14" borderId="2" xfId="0" applyNumberFormat="1" applyFont="1" applyFill="1" applyBorder="1" applyAlignment="1"/>
    <xf numFmtId="17" fontId="49" fillId="14" borderId="2" xfId="0" applyNumberFormat="1" applyFont="1" applyFill="1" applyBorder="1" applyAlignment="1">
      <alignment horizontal="right"/>
    </xf>
    <xf numFmtId="9" fontId="49" fillId="14" borderId="2" xfId="26" applyFont="1" applyFill="1" applyBorder="1" applyAlignment="1">
      <alignment horizontal="right"/>
    </xf>
    <xf numFmtId="164" fontId="49" fillId="14" borderId="2" xfId="26" applyNumberFormat="1" applyFont="1" applyFill="1" applyBorder="1" applyAlignment="1">
      <alignment horizontal="right"/>
    </xf>
    <xf numFmtId="3" fontId="49" fillId="14" borderId="2" xfId="0" applyNumberFormat="1" applyFont="1" applyFill="1" applyBorder="1" applyAlignment="1"/>
    <xf numFmtId="168" fontId="49" fillId="14" borderId="2" xfId="26" applyNumberFormat="1" applyFont="1" applyFill="1" applyBorder="1" applyAlignment="1">
      <alignment horizontal="right"/>
    </xf>
    <xf numFmtId="3" fontId="49" fillId="14" borderId="2" xfId="26" applyNumberFormat="1" applyFont="1" applyFill="1" applyBorder="1" applyAlignment="1">
      <alignment horizontal="right"/>
    </xf>
    <xf numFmtId="0" fontId="42" fillId="14" borderId="11" xfId="0" applyFont="1" applyFill="1" applyBorder="1"/>
    <xf numFmtId="3" fontId="43" fillId="14" borderId="11" xfId="0" applyNumberFormat="1" applyFont="1" applyFill="1" applyBorder="1"/>
    <xf numFmtId="3" fontId="42" fillId="14" borderId="7" xfId="0" applyNumberFormat="1" applyFont="1" applyFill="1" applyBorder="1" applyAlignment="1"/>
    <xf numFmtId="3" fontId="49" fillId="14" borderId="7" xfId="7" applyNumberFormat="1" applyFont="1" applyFill="1" applyBorder="1" applyAlignment="1">
      <alignment horizontal="right"/>
    </xf>
    <xf numFmtId="3" fontId="44" fillId="14" borderId="7" xfId="7" applyNumberFormat="1" applyFont="1" applyFill="1" applyBorder="1" applyAlignment="1">
      <alignment horizontal="right"/>
    </xf>
    <xf numFmtId="3" fontId="49" fillId="14" borderId="7" xfId="0" applyNumberFormat="1" applyFont="1" applyFill="1" applyBorder="1" applyAlignment="1"/>
    <xf numFmtId="3" fontId="44" fillId="14" borderId="7" xfId="0" applyNumberFormat="1" applyFont="1" applyFill="1" applyBorder="1"/>
    <xf numFmtId="3" fontId="22" fillId="14" borderId="7" xfId="0" applyNumberFormat="1" applyFont="1" applyFill="1" applyBorder="1" applyAlignment="1"/>
    <xf numFmtId="3" fontId="42" fillId="15" borderId="11" xfId="0" applyNumberFormat="1" applyFont="1" applyFill="1" applyBorder="1" applyAlignment="1"/>
    <xf numFmtId="3" fontId="49" fillId="15" borderId="11" xfId="7" applyNumberFormat="1" applyFont="1" applyFill="1" applyBorder="1" applyAlignment="1">
      <alignment horizontal="right"/>
    </xf>
    <xf numFmtId="3" fontId="44" fillId="15" borderId="11" xfId="0" applyNumberFormat="1" applyFont="1" applyFill="1" applyBorder="1"/>
    <xf numFmtId="3" fontId="44" fillId="15" borderId="0" xfId="0" applyNumberFormat="1" applyFont="1" applyFill="1" applyBorder="1"/>
    <xf numFmtId="3" fontId="44" fillId="15" borderId="11" xfId="7" applyNumberFormat="1" applyFont="1" applyFill="1" applyBorder="1" applyAlignment="1">
      <alignment horizontal="right"/>
    </xf>
    <xf numFmtId="3" fontId="44" fillId="7" borderId="0" xfId="0" applyNumberFormat="1" applyFont="1" applyFill="1" applyBorder="1"/>
    <xf numFmtId="0" fontId="22" fillId="0" borderId="0" xfId="0" applyFont="1" applyBorder="1"/>
    <xf numFmtId="3" fontId="22" fillId="0" borderId="0" xfId="0" applyNumberFormat="1" applyFont="1" applyBorder="1"/>
    <xf numFmtId="3" fontId="22" fillId="0" borderId="0" xfId="0" applyNumberFormat="1" applyFont="1" applyFill="1" applyBorder="1"/>
    <xf numFmtId="0" fontId="68" fillId="0" borderId="0" xfId="0" applyFont="1" applyBorder="1"/>
    <xf numFmtId="0" fontId="68" fillId="0" borderId="0" xfId="0" applyFont="1" applyFill="1" applyBorder="1"/>
    <xf numFmtId="3" fontId="68" fillId="0" borderId="0" xfId="0" applyNumberFormat="1" applyFont="1" applyBorder="1"/>
    <xf numFmtId="3" fontId="68" fillId="0" borderId="0" xfId="0" applyNumberFormat="1" applyFont="1" applyFill="1" applyBorder="1"/>
    <xf numFmtId="3" fontId="53" fillId="0" borderId="0" xfId="0" applyNumberFormat="1" applyFont="1" applyBorder="1"/>
    <xf numFmtId="164" fontId="22" fillId="0" borderId="0" xfId="0" applyNumberFormat="1" applyFont="1" applyFill="1" applyBorder="1"/>
    <xf numFmtId="3" fontId="34" fillId="0" borderId="0" xfId="0" applyNumberFormat="1" applyFont="1" applyFill="1" applyBorder="1"/>
    <xf numFmtId="3" fontId="43" fillId="16" borderId="9" xfId="0" applyNumberFormat="1" applyFont="1" applyFill="1" applyBorder="1"/>
    <xf numFmtId="0" fontId="59" fillId="7" borderId="0" xfId="0" applyFont="1" applyFill="1"/>
    <xf numFmtId="168" fontId="45" fillId="7" borderId="0" xfId="26" applyNumberFormat="1" applyFont="1" applyFill="1"/>
    <xf numFmtId="168" fontId="45" fillId="7" borderId="0" xfId="0" applyNumberFormat="1" applyFont="1" applyFill="1"/>
    <xf numFmtId="3" fontId="43" fillId="17" borderId="0" xfId="0" applyNumberFormat="1" applyFont="1" applyFill="1" applyBorder="1"/>
    <xf numFmtId="3" fontId="65" fillId="18" borderId="0" xfId="0" applyNumberFormat="1" applyFont="1" applyFill="1" applyBorder="1"/>
    <xf numFmtId="3" fontId="67" fillId="18" borderId="0" xfId="0" applyNumberFormat="1" applyFont="1" applyFill="1" applyBorder="1" applyAlignment="1">
      <alignment horizontal="right"/>
    </xf>
    <xf numFmtId="3" fontId="67" fillId="18" borderId="2" xfId="0" applyNumberFormat="1" applyFont="1" applyFill="1" applyBorder="1" applyAlignment="1"/>
    <xf numFmtId="17" fontId="67" fillId="18" borderId="2" xfId="0" applyNumberFormat="1" applyFont="1" applyFill="1" applyBorder="1" applyAlignment="1">
      <alignment horizontal="right"/>
    </xf>
    <xf numFmtId="9" fontId="42" fillId="0" borderId="0" xfId="26" applyFont="1"/>
    <xf numFmtId="1" fontId="28" fillId="4" borderId="20" xfId="0" applyNumberFormat="1" applyFont="1" applyFill="1" applyBorder="1"/>
    <xf numFmtId="3" fontId="67" fillId="18" borderId="7" xfId="0" applyNumberFormat="1" applyFont="1" applyFill="1" applyBorder="1" applyAlignment="1"/>
    <xf numFmtId="3" fontId="67" fillId="18" borderId="7" xfId="0" applyNumberFormat="1" applyFont="1" applyFill="1" applyBorder="1" applyAlignment="1">
      <alignment horizontal="right"/>
    </xf>
    <xf numFmtId="17" fontId="67" fillId="18" borderId="0" xfId="0" applyNumberFormat="1" applyFont="1" applyFill="1" applyBorder="1" applyAlignment="1">
      <alignment horizontal="right"/>
    </xf>
    <xf numFmtId="0" fontId="41" fillId="7" borderId="0" xfId="0" applyFont="1" applyFill="1" applyBorder="1" applyAlignment="1">
      <alignment horizontal="right"/>
    </xf>
    <xf numFmtId="0" fontId="43" fillId="10" borderId="0" xfId="0" applyFont="1" applyFill="1" applyBorder="1" applyAlignment="1">
      <alignment horizontal="left"/>
    </xf>
    <xf numFmtId="3" fontId="42" fillId="17" borderId="11" xfId="0" applyNumberFormat="1" applyFont="1" applyFill="1" applyBorder="1" applyAlignment="1"/>
    <xf numFmtId="3" fontId="42" fillId="17" borderId="11" xfId="7" applyNumberFormat="1" applyFont="1" applyFill="1" applyBorder="1"/>
    <xf numFmtId="3" fontId="69" fillId="17" borderId="11" xfId="5" applyNumberFormat="1" applyFont="1" applyFill="1" applyBorder="1"/>
    <xf numFmtId="3" fontId="53" fillId="17" borderId="11" xfId="7" applyNumberFormat="1" applyFont="1" applyFill="1" applyBorder="1"/>
    <xf numFmtId="164" fontId="42" fillId="17" borderId="11" xfId="26" applyNumberFormat="1" applyFont="1" applyFill="1" applyBorder="1"/>
    <xf numFmtId="3" fontId="43" fillId="17" borderId="11" xfId="26" applyNumberFormat="1" applyFont="1" applyFill="1" applyBorder="1"/>
    <xf numFmtId="0" fontId="42" fillId="19" borderId="0" xfId="0" applyFont="1" applyFill="1" applyBorder="1"/>
    <xf numFmtId="3" fontId="43" fillId="19" borderId="0" xfId="0" applyNumberFormat="1" applyFont="1" applyFill="1" applyBorder="1"/>
    <xf numFmtId="3" fontId="43" fillId="19" borderId="0" xfId="7" applyNumberFormat="1" applyFont="1" applyFill="1" applyBorder="1"/>
    <xf numFmtId="3" fontId="50" fillId="17" borderId="11" xfId="0" applyNumberFormat="1" applyFont="1" applyFill="1" applyBorder="1" applyAlignment="1"/>
    <xf numFmtId="171" fontId="42" fillId="17" borderId="11" xfId="0" applyNumberFormat="1" applyFont="1" applyFill="1" applyBorder="1" applyAlignment="1"/>
    <xf numFmtId="0" fontId="43" fillId="17" borderId="0" xfId="0" applyFont="1" applyFill="1" applyBorder="1"/>
    <xf numFmtId="164" fontId="42" fillId="17" borderId="11" xfId="0" applyNumberFormat="1" applyFont="1" applyFill="1" applyBorder="1" applyAlignment="1"/>
    <xf numFmtId="0" fontId="42" fillId="17" borderId="11" xfId="0" applyFont="1" applyFill="1" applyBorder="1"/>
    <xf numFmtId="0" fontId="56" fillId="17" borderId="11" xfId="0" applyFont="1" applyFill="1" applyBorder="1"/>
    <xf numFmtId="3" fontId="42" fillId="17" borderId="11" xfId="0" applyNumberFormat="1" applyFont="1" applyFill="1" applyBorder="1"/>
    <xf numFmtId="3" fontId="42" fillId="17" borderId="0" xfId="0" applyNumberFormat="1" applyFont="1" applyFill="1" applyBorder="1"/>
    <xf numFmtId="3" fontId="22" fillId="20" borderId="0" xfId="5" applyNumberFormat="1" applyFont="1" applyFill="1" applyBorder="1"/>
    <xf numFmtId="3" fontId="63" fillId="7" borderId="0" xfId="5" applyNumberFormat="1" applyFont="1" applyFill="1" applyBorder="1"/>
    <xf numFmtId="3" fontId="69" fillId="11" borderId="11" xfId="5" applyNumberFormat="1" applyFont="1" applyFill="1" applyBorder="1"/>
    <xf numFmtId="3" fontId="69" fillId="11" borderId="11" xfId="7" applyNumberFormat="1" applyFont="1" applyFill="1" applyBorder="1"/>
    <xf numFmtId="164" fontId="22" fillId="20" borderId="0" xfId="5" applyNumberFormat="1" applyFont="1" applyFill="1" applyBorder="1"/>
    <xf numFmtId="3" fontId="34" fillId="11" borderId="11" xfId="7" applyNumberFormat="1" applyFont="1" applyFill="1" applyBorder="1"/>
    <xf numFmtId="3" fontId="53" fillId="11" borderId="11" xfId="5" applyNumberFormat="1" applyFont="1" applyFill="1" applyBorder="1"/>
    <xf numFmtId="3" fontId="53" fillId="7" borderId="11" xfId="5" applyNumberFormat="1" applyFont="1" applyFill="1" applyBorder="1"/>
    <xf numFmtId="3" fontId="45" fillId="7" borderId="0" xfId="5" applyNumberFormat="1" applyFont="1" applyFill="1" applyBorder="1"/>
    <xf numFmtId="3" fontId="53" fillId="11" borderId="11" xfId="7" applyNumberFormat="1" applyFont="1" applyFill="1" applyBorder="1"/>
    <xf numFmtId="3" fontId="34" fillId="20" borderId="0" xfId="5" applyNumberFormat="1" applyFont="1" applyFill="1" applyBorder="1"/>
    <xf numFmtId="9" fontId="22" fillId="20" borderId="0" xfId="26" applyFont="1" applyFill="1" applyBorder="1"/>
    <xf numFmtId="3" fontId="69" fillId="7" borderId="0" xfId="5" applyNumberFormat="1" applyFont="1" applyFill="1" applyBorder="1"/>
    <xf numFmtId="9" fontId="63" fillId="7" borderId="0" xfId="26" applyFont="1" applyFill="1" applyBorder="1"/>
    <xf numFmtId="3" fontId="63" fillId="11" borderId="11" xfId="5" applyNumberFormat="1" applyFont="1" applyFill="1" applyBorder="1"/>
    <xf numFmtId="3" fontId="22" fillId="20" borderId="11" xfId="5" applyNumberFormat="1" applyFont="1" applyFill="1" applyBorder="1"/>
    <xf numFmtId="3" fontId="34" fillId="20" borderId="11" xfId="5" applyNumberFormat="1" applyFont="1" applyFill="1" applyBorder="1"/>
    <xf numFmtId="3" fontId="42" fillId="11" borderId="0" xfId="0" applyNumberFormat="1" applyFont="1" applyFill="1" applyBorder="1" applyAlignment="1"/>
    <xf numFmtId="164" fontId="42" fillId="11" borderId="0" xfId="0" applyNumberFormat="1" applyFont="1" applyFill="1" applyBorder="1" applyAlignment="1"/>
    <xf numFmtId="3" fontId="22" fillId="20" borderId="0" xfId="0" applyNumberFormat="1" applyFont="1" applyFill="1" applyBorder="1"/>
    <xf numFmtId="164" fontId="45" fillId="7" borderId="0" xfId="7" applyNumberFormat="1" applyFont="1" applyFill="1" applyBorder="1"/>
    <xf numFmtId="3" fontId="42" fillId="7" borderId="0" xfId="0" applyNumberFormat="1" applyFont="1" applyFill="1" applyBorder="1" applyAlignment="1"/>
    <xf numFmtId="3" fontId="34" fillId="17" borderId="11" xfId="7" applyNumberFormat="1" applyFont="1" applyFill="1" applyBorder="1"/>
    <xf numFmtId="3" fontId="34" fillId="17" borderId="11" xfId="5" applyNumberFormat="1" applyFont="1" applyFill="1" applyBorder="1"/>
    <xf numFmtId="3" fontId="22" fillId="17" borderId="11" xfId="26" applyNumberFormat="1" applyFont="1" applyFill="1" applyBorder="1"/>
    <xf numFmtId="3" fontId="34" fillId="11" borderId="11" xfId="5" applyNumberFormat="1" applyFont="1" applyFill="1" applyBorder="1"/>
    <xf numFmtId="9" fontId="22" fillId="0" borderId="0" xfId="26" applyFont="1" applyBorder="1"/>
    <xf numFmtId="3" fontId="59" fillId="0" borderId="0" xfId="5" applyNumberFormat="1" applyFont="1" applyFill="1" applyBorder="1"/>
    <xf numFmtId="3" fontId="22" fillId="11" borderId="11" xfId="5" applyNumberFormat="1" applyFont="1" applyFill="1" applyBorder="1"/>
    <xf numFmtId="3" fontId="45" fillId="11" borderId="11" xfId="5" applyNumberFormat="1" applyFont="1" applyFill="1" applyBorder="1"/>
    <xf numFmtId="1" fontId="63" fillId="0" borderId="0" xfId="26" applyNumberFormat="1" applyFont="1" applyBorder="1"/>
    <xf numFmtId="3" fontId="34" fillId="11" borderId="11" xfId="0" applyNumberFormat="1" applyFont="1" applyFill="1" applyBorder="1"/>
    <xf numFmtId="3" fontId="34" fillId="0" borderId="0" xfId="0" applyNumberFormat="1" applyFont="1" applyBorder="1"/>
    <xf numFmtId="3" fontId="34" fillId="0" borderId="0" xfId="5" applyNumberFormat="1" applyFont="1" applyFill="1" applyBorder="1"/>
    <xf numFmtId="3" fontId="34" fillId="0" borderId="0" xfId="7" applyNumberFormat="1" applyFont="1" applyBorder="1"/>
    <xf numFmtId="164" fontId="34" fillId="0" borderId="0" xfId="7" applyNumberFormat="1" applyFont="1" applyBorder="1"/>
    <xf numFmtId="164" fontId="22" fillId="0" borderId="0" xfId="0" applyNumberFormat="1" applyFont="1" applyBorder="1"/>
    <xf numFmtId="3" fontId="34" fillId="17" borderId="11" xfId="0" applyNumberFormat="1" applyFont="1" applyFill="1" applyBorder="1" applyAlignment="1"/>
    <xf numFmtId="3" fontId="22" fillId="0" borderId="13" xfId="7" applyNumberFormat="1" applyFont="1" applyBorder="1"/>
    <xf numFmtId="3" fontId="22" fillId="0" borderId="0" xfId="7" applyNumberFormat="1" applyFont="1" applyBorder="1"/>
    <xf numFmtId="164" fontId="22" fillId="0" borderId="0" xfId="26" applyNumberFormat="1" applyFont="1" applyBorder="1"/>
    <xf numFmtId="9" fontId="22" fillId="7" borderId="0" xfId="26" applyFont="1" applyFill="1" applyBorder="1"/>
    <xf numFmtId="3" fontId="53" fillId="0" borderId="0" xfId="7" applyNumberFormat="1" applyFont="1" applyFill="1" applyBorder="1"/>
    <xf numFmtId="3" fontId="53" fillId="0" borderId="0" xfId="0" applyNumberFormat="1" applyFont="1" applyFill="1" applyBorder="1"/>
    <xf numFmtId="3" fontId="34" fillId="7" borderId="0" xfId="0" applyNumberFormat="1" applyFont="1" applyFill="1" applyBorder="1"/>
    <xf numFmtId="3" fontId="22" fillId="7" borderId="0" xfId="0" applyNumberFormat="1" applyFont="1" applyFill="1" applyBorder="1"/>
    <xf numFmtId="164" fontId="34" fillId="0" borderId="0" xfId="0" applyNumberFormat="1" applyFont="1" applyBorder="1"/>
    <xf numFmtId="164" fontId="34" fillId="7" borderId="0" xfId="0" applyNumberFormat="1" applyFont="1" applyFill="1" applyBorder="1"/>
    <xf numFmtId="0" fontId="22" fillId="7" borderId="0" xfId="0" applyFont="1" applyFill="1" applyBorder="1"/>
    <xf numFmtId="164" fontId="53" fillId="0" borderId="0" xfId="0" applyNumberFormat="1" applyFont="1" applyFill="1" applyBorder="1"/>
    <xf numFmtId="0" fontId="45" fillId="0" borderId="0" xfId="0" applyFont="1" applyBorder="1"/>
    <xf numFmtId="3" fontId="34" fillId="0" borderId="0" xfId="7" applyNumberFormat="1" applyFont="1" applyFill="1" applyBorder="1"/>
    <xf numFmtId="9" fontId="22" fillId="0" borderId="0" xfId="26" applyNumberFormat="1" applyFont="1" applyBorder="1"/>
    <xf numFmtId="168" fontId="22" fillId="0" borderId="0" xfId="26" applyNumberFormat="1" applyFont="1" applyBorder="1"/>
    <xf numFmtId="3" fontId="34" fillId="0" borderId="2" xfId="0" applyNumberFormat="1" applyFont="1" applyBorder="1"/>
    <xf numFmtId="164" fontId="22" fillId="0" borderId="0" xfId="0" applyNumberFormat="1" applyFont="1"/>
    <xf numFmtId="3" fontId="34" fillId="0" borderId="2" xfId="0" applyNumberFormat="1" applyFont="1" applyFill="1" applyBorder="1" applyAlignment="1"/>
    <xf numFmtId="3" fontId="34" fillId="0" borderId="2" xfId="0" applyNumberFormat="1" applyFont="1" applyFill="1" applyBorder="1"/>
    <xf numFmtId="3" fontId="34" fillId="7" borderId="2" xfId="0" applyNumberFormat="1" applyFont="1" applyFill="1" applyBorder="1"/>
    <xf numFmtId="3" fontId="21" fillId="0" borderId="0" xfId="0" applyNumberFormat="1" applyFont="1" applyFill="1"/>
    <xf numFmtId="3" fontId="21" fillId="0" borderId="0" xfId="7" applyNumberFormat="1" applyFont="1" applyFill="1"/>
    <xf numFmtId="3" fontId="62" fillId="11" borderId="0" xfId="7" applyNumberFormat="1" applyFont="1" applyFill="1"/>
    <xf numFmtId="3" fontId="21" fillId="0" borderId="20" xfId="0" applyNumberFormat="1" applyFont="1" applyFill="1" applyBorder="1"/>
    <xf numFmtId="166" fontId="22" fillId="0" borderId="0" xfId="7" applyNumberFormat="1" applyFont="1" applyBorder="1"/>
    <xf numFmtId="9" fontId="22" fillId="0" borderId="0" xfId="26" applyFont="1"/>
    <xf numFmtId="9" fontId="43" fillId="7" borderId="0" xfId="26" applyFont="1" applyFill="1"/>
    <xf numFmtId="3" fontId="42" fillId="7" borderId="0" xfId="7" applyNumberFormat="1" applyFont="1" applyFill="1" applyBorder="1"/>
    <xf numFmtId="3" fontId="42" fillId="7" borderId="2" xfId="7" applyNumberFormat="1" applyFont="1" applyFill="1" applyBorder="1"/>
    <xf numFmtId="164" fontId="59" fillId="11" borderId="0" xfId="0" applyNumberFormat="1" applyFont="1" applyFill="1"/>
    <xf numFmtId="9" fontId="45" fillId="0" borderId="0" xfId="26" applyNumberFormat="1" applyFont="1"/>
    <xf numFmtId="3" fontId="42" fillId="7" borderId="9" xfId="0" applyNumberFormat="1" applyFont="1" applyFill="1" applyBorder="1"/>
    <xf numFmtId="3" fontId="70" fillId="0" borderId="0" xfId="7" applyNumberFormat="1" applyFont="1" applyAlignment="1">
      <alignment horizontal="right"/>
    </xf>
    <xf numFmtId="9" fontId="45" fillId="7" borderId="0" xfId="26" applyFont="1" applyFill="1" applyBorder="1"/>
    <xf numFmtId="164" fontId="22" fillId="7" borderId="0" xfId="5" applyNumberFormat="1" applyFont="1" applyFill="1" applyBorder="1"/>
    <xf numFmtId="164" fontId="45" fillId="7" borderId="0" xfId="5" applyNumberFormat="1" applyFont="1" applyFill="1" applyBorder="1"/>
    <xf numFmtId="164" fontId="44" fillId="7" borderId="0" xfId="5" applyNumberFormat="1" applyFont="1" applyFill="1" applyBorder="1"/>
    <xf numFmtId="9" fontId="43" fillId="0" borderId="0" xfId="26" applyNumberFormat="1" applyFont="1" applyBorder="1"/>
    <xf numFmtId="0" fontId="43" fillId="7" borderId="0" xfId="0" applyFont="1" applyFill="1"/>
    <xf numFmtId="3" fontId="42" fillId="16" borderId="3" xfId="0" applyNumberFormat="1" applyFont="1" applyFill="1" applyBorder="1"/>
    <xf numFmtId="0" fontId="7" fillId="22" borderId="0" xfId="14" applyFont="1" applyFill="1" applyBorder="1"/>
    <xf numFmtId="0" fontId="3" fillId="22" borderId="0" xfId="14" applyFont="1" applyFill="1" applyBorder="1"/>
    <xf numFmtId="0" fontId="3" fillId="3" borderId="0" xfId="14" applyFont="1" applyFill="1" applyBorder="1"/>
    <xf numFmtId="9" fontId="3" fillId="3" borderId="0" xfId="27" applyFont="1" applyFill="1" applyBorder="1"/>
    <xf numFmtId="0" fontId="35" fillId="0" borderId="0" xfId="13" applyFont="1"/>
    <xf numFmtId="9" fontId="3" fillId="3" borderId="0" xfId="14" applyNumberFormat="1" applyFont="1" applyFill="1" applyBorder="1"/>
    <xf numFmtId="0" fontId="3" fillId="23" borderId="0" xfId="14" applyFont="1" applyFill="1" applyBorder="1"/>
    <xf numFmtId="10" fontId="3" fillId="23" borderId="0" xfId="14" applyNumberFormat="1" applyFont="1" applyFill="1" applyBorder="1"/>
    <xf numFmtId="0" fontId="7" fillId="0" borderId="0" xfId="14" applyFont="1" applyFill="1" applyBorder="1"/>
    <xf numFmtId="0" fontId="3" fillId="0" borderId="0" xfId="14" applyFont="1" applyFill="1" applyBorder="1"/>
    <xf numFmtId="168" fontId="3" fillId="3" borderId="0" xfId="27" applyNumberFormat="1" applyFont="1" applyFill="1" applyBorder="1"/>
    <xf numFmtId="0" fontId="7" fillId="3" borderId="0" xfId="14" applyFont="1" applyFill="1" applyBorder="1"/>
    <xf numFmtId="168" fontId="7" fillId="3" borderId="0" xfId="27" applyNumberFormat="1" applyFont="1" applyFill="1" applyBorder="1"/>
    <xf numFmtId="0" fontId="71" fillId="22" borderId="0" xfId="12" applyFont="1" applyFill="1"/>
    <xf numFmtId="0" fontId="38" fillId="22" borderId="0" xfId="12" applyFill="1"/>
    <xf numFmtId="0" fontId="38" fillId="0" borderId="0" xfId="12"/>
    <xf numFmtId="9" fontId="38" fillId="0" borderId="0" xfId="12" applyNumberFormat="1"/>
    <xf numFmtId="167" fontId="38" fillId="0" borderId="0" xfId="12" applyNumberFormat="1"/>
    <xf numFmtId="0" fontId="35" fillId="0" borderId="0" xfId="13" applyFont="1"/>
    <xf numFmtId="167" fontId="35" fillId="0" borderId="0" xfId="13" applyNumberFormat="1" applyFont="1"/>
    <xf numFmtId="0" fontId="38" fillId="0" borderId="0" xfId="12" applyBorder="1"/>
    <xf numFmtId="167" fontId="38" fillId="0" borderId="0" xfId="12" applyNumberFormat="1" applyBorder="1"/>
    <xf numFmtId="0" fontId="39" fillId="0" borderId="0" xfId="13" applyFont="1"/>
    <xf numFmtId="167" fontId="39" fillId="0" borderId="0" xfId="13" applyNumberFormat="1" applyFont="1"/>
    <xf numFmtId="9" fontId="35" fillId="0" borderId="0" xfId="13" applyNumberFormat="1" applyFont="1"/>
    <xf numFmtId="168" fontId="3" fillId="23" borderId="0" xfId="26" applyNumberFormat="1" applyFont="1" applyFill="1" applyBorder="1"/>
    <xf numFmtId="167" fontId="43" fillId="0" borderId="0" xfId="0" applyNumberFormat="1" applyFont="1"/>
    <xf numFmtId="167" fontId="52" fillId="0" borderId="0" xfId="0" applyNumberFormat="1" applyFont="1"/>
    <xf numFmtId="164" fontId="43" fillId="16" borderId="0" xfId="0" applyNumberFormat="1" applyFont="1" applyFill="1"/>
    <xf numFmtId="3" fontId="67" fillId="21" borderId="22" xfId="0" applyNumberFormat="1" applyFont="1" applyFill="1" applyBorder="1" applyAlignment="1"/>
    <xf numFmtId="3" fontId="67" fillId="21" borderId="23" xfId="0" applyNumberFormat="1" applyFont="1" applyFill="1" applyBorder="1" applyAlignment="1">
      <alignment horizontal="right"/>
    </xf>
    <xf numFmtId="3" fontId="65" fillId="21" borderId="24" xfId="0" applyNumberFormat="1" applyFont="1" applyFill="1" applyBorder="1" applyAlignment="1"/>
    <xf numFmtId="17" fontId="67" fillId="21" borderId="25" xfId="0" applyNumberFormat="1" applyFont="1" applyFill="1" applyBorder="1" applyAlignment="1">
      <alignment horizontal="right"/>
    </xf>
    <xf numFmtId="0" fontId="67" fillId="21" borderId="28" xfId="0" applyFont="1" applyFill="1" applyBorder="1" applyAlignment="1">
      <alignment horizontal="right" vertical="center"/>
    </xf>
    <xf numFmtId="0" fontId="67" fillId="21" borderId="29" xfId="0" applyFont="1" applyFill="1" applyBorder="1" applyAlignment="1">
      <alignment horizontal="right" vertical="center"/>
    </xf>
    <xf numFmtId="0" fontId="67" fillId="21" borderId="17" xfId="0" applyFont="1" applyFill="1" applyBorder="1" applyAlignment="1">
      <alignment horizontal="center" vertical="center"/>
    </xf>
    <xf numFmtId="9" fontId="43" fillId="0" borderId="0" xfId="7" applyNumberFormat="1" applyFont="1" applyFill="1" applyBorder="1"/>
    <xf numFmtId="168" fontId="43" fillId="0" borderId="0" xfId="7" applyNumberFormat="1" applyFont="1" applyFill="1" applyBorder="1"/>
    <xf numFmtId="236" fontId="53" fillId="0" borderId="0" xfId="9" applyNumberFormat="1" applyFont="1" applyBorder="1"/>
    <xf numFmtId="3" fontId="151" fillId="0" borderId="0" xfId="11" applyNumberFormat="1" applyFont="1" applyFill="1"/>
    <xf numFmtId="164" fontId="52" fillId="11" borderId="0" xfId="0" applyNumberFormat="1" applyFont="1" applyFill="1" applyBorder="1" applyAlignment="1">
      <alignment horizontal="right"/>
    </xf>
    <xf numFmtId="9" fontId="43" fillId="0" borderId="0" xfId="26" applyNumberFormat="1" applyFont="1" applyFill="1"/>
    <xf numFmtId="3" fontId="17" fillId="7" borderId="0" xfId="0" applyNumberFormat="1" applyFont="1" applyFill="1" applyBorder="1"/>
    <xf numFmtId="3" fontId="43" fillId="0" borderId="5" xfId="7" applyNumberFormat="1" applyFont="1" applyBorder="1" applyAlignment="1">
      <alignment horizontal="center" vertical="center"/>
    </xf>
    <xf numFmtId="3" fontId="43" fillId="0" borderId="14" xfId="7" applyNumberFormat="1" applyFont="1" applyBorder="1" applyAlignment="1">
      <alignment horizontal="center" vertical="center"/>
    </xf>
    <xf numFmtId="9" fontId="43" fillId="0" borderId="15" xfId="26" applyFont="1" applyBorder="1" applyAlignment="1">
      <alignment horizontal="right" vertical="center"/>
    </xf>
    <xf numFmtId="3" fontId="43" fillId="0" borderId="6" xfId="7" applyNumberFormat="1" applyFont="1" applyBorder="1" applyAlignment="1">
      <alignment horizontal="center" vertical="center"/>
    </xf>
    <xf numFmtId="9" fontId="43" fillId="0" borderId="16" xfId="26" applyFont="1" applyBorder="1" applyAlignment="1">
      <alignment horizontal="right" vertical="center"/>
    </xf>
    <xf numFmtId="0" fontId="67" fillId="21" borderId="26" xfId="0" applyFont="1" applyFill="1" applyBorder="1" applyAlignment="1">
      <alignment vertical="center"/>
    </xf>
    <xf numFmtId="0" fontId="67" fillId="21" borderId="18" xfId="0" applyFont="1" applyFill="1" applyBorder="1" applyAlignment="1">
      <alignment vertical="center"/>
    </xf>
    <xf numFmtId="0" fontId="67" fillId="21" borderId="18" xfId="0" applyFont="1" applyFill="1" applyBorder="1" applyAlignment="1">
      <alignment horizontal="center" vertical="center"/>
    </xf>
    <xf numFmtId="0" fontId="67" fillId="21" borderId="27" xfId="0" applyFont="1" applyFill="1" applyBorder="1" applyAlignment="1">
      <alignment vertical="center"/>
    </xf>
    <xf numFmtId="0" fontId="42" fillId="0" borderId="5" xfId="0" applyFont="1" applyBorder="1" applyAlignment="1">
      <alignment vertical="center"/>
    </xf>
    <xf numFmtId="0" fontId="42" fillId="0" borderId="6" xfId="0" applyFont="1" applyBorder="1" applyAlignment="1">
      <alignment vertical="center"/>
    </xf>
    <xf numFmtId="0" fontId="48" fillId="0" borderId="0" xfId="0" applyFont="1" applyAlignment="1">
      <alignment horizontal="left"/>
    </xf>
    <xf numFmtId="0" fontId="67" fillId="21" borderId="10" xfId="0" applyFont="1" applyFill="1" applyBorder="1" applyAlignment="1">
      <alignment horizontal="center" vertical="center"/>
    </xf>
    <xf numFmtId="0" fontId="67" fillId="21" borderId="11" xfId="0" applyFont="1" applyFill="1" applyBorder="1" applyAlignment="1">
      <alignment horizontal="center" vertical="center"/>
    </xf>
    <xf numFmtId="0" fontId="67" fillId="21" borderId="12" xfId="0" applyFont="1" applyFill="1" applyBorder="1" applyAlignment="1">
      <alignment horizontal="center" vertical="center"/>
    </xf>
    <xf numFmtId="164" fontId="42" fillId="7" borderId="2" xfId="0" applyNumberFormat="1" applyFont="1" applyFill="1" applyBorder="1"/>
    <xf numFmtId="9" fontId="22" fillId="0" borderId="0" xfId="26" applyFont="1" applyFill="1" applyBorder="1"/>
    <xf numFmtId="9" fontId="60" fillId="0" borderId="0" xfId="26" applyFont="1" applyFill="1" applyAlignment="1">
      <alignment horizontal="right"/>
    </xf>
    <xf numFmtId="3" fontId="70" fillId="0" borderId="0" xfId="0" applyNumberFormat="1" applyFont="1" applyFill="1" applyBorder="1"/>
    <xf numFmtId="168" fontId="59" fillId="0" borderId="0" xfId="26" applyNumberFormat="1" applyFont="1" applyBorder="1"/>
    <xf numFmtId="9" fontId="60" fillId="0" borderId="0" xfId="26" applyFont="1" applyFill="1"/>
    <xf numFmtId="1" fontId="43" fillId="0" borderId="0" xfId="0" applyNumberFormat="1" applyFont="1"/>
    <xf numFmtId="168" fontId="24" fillId="0" borderId="0" xfId="26" applyNumberFormat="1" applyFont="1"/>
    <xf numFmtId="3" fontId="70" fillId="0" borderId="0" xfId="0" applyNumberFormat="1" applyFont="1" applyFill="1" applyBorder="1" applyAlignment="1">
      <alignment horizontal="left"/>
    </xf>
    <xf numFmtId="164" fontId="60" fillId="0" borderId="0" xfId="11" applyNumberFormat="1" applyFont="1" applyFill="1" applyAlignment="1">
      <alignment horizontal="left"/>
    </xf>
    <xf numFmtId="0" fontId="3" fillId="73" borderId="0" xfId="29652" applyFont="1" applyFill="1" applyAlignment="1">
      <alignment vertical="top"/>
    </xf>
    <xf numFmtId="0" fontId="3" fillId="73" borderId="0" xfId="13" applyFill="1" applyAlignment="1">
      <alignment vertical="top"/>
    </xf>
    <xf numFmtId="0" fontId="3" fillId="73" borderId="0" xfId="13" applyFill="1"/>
    <xf numFmtId="0" fontId="152" fillId="73" borderId="0" xfId="29652" applyFont="1" applyFill="1" applyAlignment="1">
      <alignment horizontal="left" vertical="top"/>
    </xf>
    <xf numFmtId="0" fontId="3" fillId="73" borderId="0" xfId="13" applyFont="1" applyFill="1" applyAlignment="1">
      <alignment vertical="top"/>
    </xf>
    <xf numFmtId="0" fontId="153" fillId="73" borderId="0" xfId="29652" applyFont="1" applyFill="1" applyAlignment="1">
      <alignment vertical="top"/>
    </xf>
    <xf numFmtId="0" fontId="0" fillId="73" borderId="0" xfId="0" applyFill="1" applyAlignment="1">
      <alignment vertical="top"/>
    </xf>
    <xf numFmtId="0" fontId="154" fillId="73" borderId="0" xfId="0" applyFont="1" applyFill="1" applyAlignment="1">
      <alignment vertical="top"/>
    </xf>
    <xf numFmtId="0" fontId="155" fillId="73" borderId="0" xfId="0" applyFont="1" applyFill="1" applyAlignment="1">
      <alignment vertical="top"/>
    </xf>
    <xf numFmtId="0" fontId="154" fillId="73" borderId="42" xfId="0" applyFont="1" applyFill="1" applyBorder="1" applyAlignment="1">
      <alignment vertical="top"/>
    </xf>
    <xf numFmtId="9" fontId="154" fillId="73" borderId="42" xfId="0" applyNumberFormat="1" applyFont="1" applyFill="1" applyBorder="1" applyAlignment="1">
      <alignment vertical="top"/>
    </xf>
    <xf numFmtId="3" fontId="154" fillId="73" borderId="42" xfId="0" applyNumberFormat="1" applyFont="1" applyFill="1" applyBorder="1" applyAlignment="1">
      <alignment vertical="top"/>
    </xf>
    <xf numFmtId="2" fontId="3" fillId="0" borderId="0" xfId="13" applyNumberFormat="1" applyAlignment="1">
      <alignment horizontal="left"/>
    </xf>
    <xf numFmtId="0" fontId="3" fillId="0" borderId="0" xfId="13" applyNumberFormat="1" applyAlignment="1">
      <alignment horizontal="left"/>
    </xf>
    <xf numFmtId="1" fontId="3" fillId="0" borderId="0" xfId="13" applyNumberFormat="1" applyAlignment="1">
      <alignment horizontal="left"/>
    </xf>
    <xf numFmtId="0" fontId="3" fillId="0" borderId="0" xfId="13" applyFont="1"/>
    <xf numFmtId="237" fontId="3" fillId="0" borderId="0" xfId="13" applyNumberFormat="1" applyAlignment="1">
      <alignment horizontal="left"/>
    </xf>
    <xf numFmtId="49" fontId="3" fillId="0" borderId="0" xfId="13" applyNumberFormat="1"/>
    <xf numFmtId="0" fontId="0" fillId="73" borderId="47" xfId="0" applyFill="1" applyBorder="1" applyAlignment="1">
      <alignment vertical="top"/>
    </xf>
    <xf numFmtId="0" fontId="154" fillId="73" borderId="0" xfId="0" applyFont="1" applyFill="1" applyAlignment="1">
      <alignment vertical="top"/>
    </xf>
    <xf numFmtId="0" fontId="154" fillId="73" borderId="43" xfId="0" applyFont="1" applyFill="1" applyBorder="1" applyAlignment="1">
      <alignment vertical="top"/>
    </xf>
    <xf numFmtId="0" fontId="154" fillId="73" borderId="44" xfId="0" applyFont="1" applyFill="1" applyBorder="1" applyAlignment="1">
      <alignment vertical="top"/>
    </xf>
    <xf numFmtId="0" fontId="154" fillId="73" borderId="45" xfId="0" applyFont="1" applyFill="1" applyBorder="1" applyAlignment="1">
      <alignment vertical="top"/>
    </xf>
    <xf numFmtId="0" fontId="155" fillId="73" borderId="0" xfId="0" applyFont="1" applyFill="1" applyAlignment="1">
      <alignment vertical="top"/>
    </xf>
    <xf numFmtId="0" fontId="0" fillId="73" borderId="0" xfId="0" applyFill="1" applyAlignment="1">
      <alignment vertical="top"/>
    </xf>
    <xf numFmtId="0" fontId="0" fillId="73" borderId="46" xfId="0" applyFill="1" applyBorder="1" applyAlignment="1">
      <alignment vertical="top"/>
    </xf>
  </cellXfs>
  <cellStyles count="29653">
    <cellStyle name="_x0007_" xfId="32"/>
    <cellStyle name="_x0010_" xfId="33"/>
    <cellStyle name="-" xfId="34"/>
    <cellStyle name="—" xfId="35"/>
    <cellStyle name="          _x000d__x000a_386grabber=VGA.3GR_x000d__x000a_" xfId="36"/>
    <cellStyle name=" 1" xfId="37"/>
    <cellStyle name=" 1 2" xfId="38"/>
    <cellStyle name=" 1 2 2" xfId="39"/>
    <cellStyle name=" 1 2 3" xfId="40"/>
    <cellStyle name=" 1 2 4" xfId="41"/>
    <cellStyle name=" 1 3" xfId="42"/>
    <cellStyle name=" 1 4" xfId="43"/>
    <cellStyle name=" 1 5" xfId="44"/>
    <cellStyle name=" 1 6" xfId="45"/>
    <cellStyle name=" 2" xfId="46"/>
    <cellStyle name="— 2" xfId="47"/>
    <cellStyle name=" 2 10" xfId="48"/>
    <cellStyle name=" 2 2" xfId="49"/>
    <cellStyle name=" 2 2 2" xfId="50"/>
    <cellStyle name=" 2 3" xfId="51"/>
    <cellStyle name=" 2 3 2" xfId="52"/>
    <cellStyle name=" 2 3 3" xfId="53"/>
    <cellStyle name=" 2 4" xfId="54"/>
    <cellStyle name=" 2 5" xfId="55"/>
    <cellStyle name=" 2 6" xfId="56"/>
    <cellStyle name=" 2 7" xfId="57"/>
    <cellStyle name=" 2 8" xfId="58"/>
    <cellStyle name=" 2 9" xfId="59"/>
    <cellStyle name=" Writer Import]_x000d__x000a_Display Dialog=No_x000d__x000a__x000d__x000a_[Horizontal Arrange]_x000d__x000a_Dimensions Interlocking=Yes_x000d__x000a_Sum Hierarchy=Yes_x000d__x000a_Generate" xfId="60"/>
    <cellStyle name="_x000a_386grabber=M" xfId="61"/>
    <cellStyle name="_x000a_386grabber=M 2" xfId="62"/>
    <cellStyle name="_x000a_386grabber=M 3" xfId="63"/>
    <cellStyle name="$" xfId="64"/>
    <cellStyle name="$ &amp; ¢" xfId="65"/>
    <cellStyle name="$ 1 decimal" xfId="66"/>
    <cellStyle name="$_AA - BenefitsBonus " xfId="67"/>
    <cellStyle name="$norm" xfId="68"/>
    <cellStyle name="$normbold" xfId="69"/>
    <cellStyle name="%" xfId="70"/>
    <cellStyle name="% 2" xfId="71"/>
    <cellStyle name="% 2 2" xfId="72"/>
    <cellStyle name="% 3" xfId="73"/>
    <cellStyle name="% 3 2" xfId="74"/>
    <cellStyle name="% 3 2 2" xfId="75"/>
    <cellStyle name="% 3 3" xfId="76"/>
    <cellStyle name="% 4" xfId="77"/>
    <cellStyle name="% Growth" xfId="78"/>
    <cellStyle name="% Growth 2" xfId="79"/>
    <cellStyle name="% of Revenues" xfId="80"/>
    <cellStyle name="% of Revenues 2" xfId="81"/>
    <cellStyle name="%.00" xfId="82"/>
    <cellStyle name="%_Main" xfId="83"/>
    <cellStyle name="(1,000)" xfId="84"/>
    <cellStyle name="(1,000)x" xfId="85"/>
    <cellStyle name="(1,000)x 2" xfId="86"/>
    <cellStyle name="******************************************" xfId="87"/>
    <cellStyle name="****************************************** 2" xfId="88"/>
    <cellStyle name="??" xfId="89"/>
    <cellStyle name="?? [0.00]_HELPDESK" xfId="90"/>
    <cellStyle name="?? [0]_??" xfId="91"/>
    <cellStyle name="?? 2" xfId="92"/>
    <cellStyle name="?? 3" xfId="93"/>
    <cellStyle name="?? 4" xfId="94"/>
    <cellStyle name="?? 5" xfId="95"/>
    <cellStyle name="?? 6" xfId="96"/>
    <cellStyle name="?? 7" xfId="97"/>
    <cellStyle name="??&amp;O?&amp;H?_x0008_??_x0007__x0001__x0001_" xfId="98"/>
    <cellStyle name="??&amp;O龡&amp;H?_x0008_??_x0007__x0001__x0001_" xfId="99"/>
    <cellStyle name="???? [0.00]_HELPDESK" xfId="100"/>
    <cellStyle name="?????_VERA" xfId="101"/>
    <cellStyle name="????_GTParentheet" xfId="102"/>
    <cellStyle name="??_?.????" xfId="103"/>
    <cellStyle name="?@?_1101.TW" xfId="104"/>
    <cellStyle name="?@疾_2332JT3_2313COP2 " xfId="105"/>
    <cellStyle name="?_GS_Cash " xfId="106"/>
    <cellStyle name="?Q\?1@" xfId="107"/>
    <cellStyle name="?Q\?1@ 2" xfId="108"/>
    <cellStyle name="@_text" xfId="109"/>
    <cellStyle name="@_text_030811.TPH.Aigner.JA list_20060612.soufun.deferred tax reconciliation v2 " xfId="110"/>
    <cellStyle name="@_text_030811.TPH.Aigner.JA list_20060612.soufun.deferred tax reconciliation v2---0618-2210 " xfId="111"/>
    <cellStyle name="@_text_030811.TPH.Aigner.JA list_20060623.soufun.deferred tax reconciliation v2 " xfId="112"/>
    <cellStyle name="@_text_030811.TPH.Aigner.JA list_20060626.soufun.deferred tax reconciliation v1 " xfId="113"/>
    <cellStyle name="@_text_030811.TPH.Aigner.JA list_20060626.soufun.deferred tax reconciliation v12 " xfId="114"/>
    <cellStyle name="@_text_030811.TPH.Aigner.JA list_20060626.soufun.deferred tax reconciliation v7 " xfId="115"/>
    <cellStyle name="@_text_030811.TPH.Aigner.JA list_20060626.soufun.deferred tax reconciliation v8 " xfId="116"/>
    <cellStyle name="@_text_030811.TPH.Aigner.JA list_20060812.soufun.deferred tax reconciliation v14 " xfId="117"/>
    <cellStyle name="@_text_2002.Ferragamo.wp_20060612.soufun.deferred tax reconciliation v2 " xfId="118"/>
    <cellStyle name="@_text_2002.Ferragamo.wp_20060612.soufun.deferred tax reconciliation v2---0618-2210 " xfId="119"/>
    <cellStyle name="@_text_2002.Ferragamo.wp_20060623.soufun.deferred tax reconciliation v2 " xfId="120"/>
    <cellStyle name="@_text_2002.Ferragamo.wp_20060626.soufun.deferred tax reconciliation v1 " xfId="121"/>
    <cellStyle name="@_text_2002.Ferragamo.wp_20060626.soufun.deferred tax reconciliation v12 " xfId="122"/>
    <cellStyle name="@_text_2002.Ferragamo.wp_20060626.soufun.deferred tax reconciliation v7 " xfId="123"/>
    <cellStyle name="@_text_2002.Ferragamo.wp_20060626.soufun.deferred tax reconciliation v8 " xfId="124"/>
    <cellStyle name="@_text_2002.Ferragamo.wp_20060812.soufun.deferred tax reconciliation v14 " xfId="125"/>
    <cellStyle name="@_text_20060612.soufun.deferred tax reconciliation v2 " xfId="126"/>
    <cellStyle name="@_text_20060612.soufun.deferred tax reconciliation v2---0618-2210 " xfId="127"/>
    <cellStyle name="@_text_20060623.soufun.deferred tax reconciliation v2 " xfId="128"/>
    <cellStyle name="@_text_20060626.soufun.deferred tax reconciliation v1 " xfId="129"/>
    <cellStyle name="@_text_20060626.soufun.deferred tax reconciliation v12 " xfId="130"/>
    <cellStyle name="@_text_20060626.soufun.deferred tax reconciliation v7 " xfId="131"/>
    <cellStyle name="@_text_20060626.soufun.deferred tax reconciliation v8 " xfId="132"/>
    <cellStyle name="@_text_20060812.soufun.deferred tax reconciliation v14 " xfId="133"/>
    <cellStyle name="@_text_Balance sheet of ESCADA 2002_20060612.soufun.deferred tax reconciliation v2 " xfId="134"/>
    <cellStyle name="@_text_Balance sheet of ESCADA 2002_20060612.soufun.deferred tax reconciliation v2---0618-2210 " xfId="135"/>
    <cellStyle name="@_text_Balance sheet of ESCADA 2002_20060623.soufun.deferred tax reconciliation v2 " xfId="136"/>
    <cellStyle name="@_text_Balance sheet of ESCADA 2002_20060626.soufun.deferred tax reconciliation v1 " xfId="137"/>
    <cellStyle name="@_text_Balance sheet of ESCADA 2002_20060626.soufun.deferred tax reconciliation v12 " xfId="138"/>
    <cellStyle name="@_text_Balance sheet of ESCADA 2002_20060626.soufun.deferred tax reconciliation v7 " xfId="139"/>
    <cellStyle name="@_text_Balance sheet of ESCADA 2002_20060626.soufun.deferred tax reconciliation v8 " xfId="140"/>
    <cellStyle name="@_text_Balance sheet of ESCADA 2002_20060812.soufun.deferred tax reconciliation v14 " xfId="141"/>
    <cellStyle name="@_text_Balance sheet of ESCADA_20060612.soufun.deferred tax reconciliation v2 " xfId="142"/>
    <cellStyle name="@_text_Balance sheet of ESCADA_20060612.soufun.deferred tax reconciliation v2---0618-2210 " xfId="143"/>
    <cellStyle name="@_text_Balance sheet of ESCADA_20060623.soufun.deferred tax reconciliation v2 " xfId="144"/>
    <cellStyle name="@_text_Balance sheet of ESCADA_20060626.soufun.deferred tax reconciliation v1 " xfId="145"/>
    <cellStyle name="@_text_Balance sheet of ESCADA_20060626.soufun.deferred tax reconciliation v12 " xfId="146"/>
    <cellStyle name="@_text_Balance sheet of ESCADA_20060626.soufun.deferred tax reconciliation v7 " xfId="147"/>
    <cellStyle name="@_text_Balance sheet of ESCADA_20060626.soufun.deferred tax reconciliation v8 " xfId="148"/>
    <cellStyle name="@_text_Balance sheet of ESCADA_20060812.soufun.deferred tax reconciliation v14 " xfId="149"/>
    <cellStyle name="@_text_deferred tax SITL_20060612.soufun.deferred tax reconciliation v2 " xfId="150"/>
    <cellStyle name="@_text_deferred tax SITL_20060612.soufun.deferred tax reconciliation v2---0618-2210 " xfId="151"/>
    <cellStyle name="@_text_deferred tax SITL_20060623.soufun.deferred tax reconciliation v2 " xfId="152"/>
    <cellStyle name="@_text_deferred tax SITL_20060626.soufun.deferred tax reconciliation v1 " xfId="153"/>
    <cellStyle name="@_text_deferred tax SITL_20060626.soufun.deferred tax reconciliation v12 " xfId="154"/>
    <cellStyle name="@_text_deferred tax SITL_20060626.soufun.deferred tax reconciliation v7 " xfId="155"/>
    <cellStyle name="@_text_deferred tax SITL_20060626.soufun.deferred tax reconciliation v8 " xfId="156"/>
    <cellStyle name="@_text_deferred tax SITL_20060812.soufun.deferred tax reconciliation v14 " xfId="157"/>
    <cellStyle name="@_text_pre-order list_20060612.soufun.deferred tax reconciliation v2 " xfId="158"/>
    <cellStyle name="@_text_pre-order list_20060612.soufun.deferred tax reconciliation v2---0618-2210 " xfId="159"/>
    <cellStyle name="@_text_pre-order list_20060623.soufun.deferred tax reconciliation v2 " xfId="160"/>
    <cellStyle name="@_text_pre-order list_20060626.soufun.deferred tax reconciliation v1 " xfId="161"/>
    <cellStyle name="@_text_pre-order list_20060626.soufun.deferred tax reconciliation v12 " xfId="162"/>
    <cellStyle name="@_text_pre-order list_20060626.soufun.deferred tax reconciliation v7 " xfId="163"/>
    <cellStyle name="@_text_pre-order list_20060626.soufun.deferred tax reconciliation v8 " xfId="164"/>
    <cellStyle name="@_text_pre-order list_20060812.soufun.deferred tax reconciliation v14 " xfId="165"/>
    <cellStyle name="@_text_sheet_20060612.soufun.deferred tax reconciliation v2 " xfId="166"/>
    <cellStyle name="@_text_sheet_20060612.soufun.deferred tax reconciliation v2---0618-2210 " xfId="167"/>
    <cellStyle name="@_text_sheet_20060623.soufun.deferred tax reconciliation v2 " xfId="168"/>
    <cellStyle name="@_text_sheet_20060626.soufun.deferred tax reconciliation v1 " xfId="169"/>
    <cellStyle name="@_text_sheet_20060626.soufun.deferred tax reconciliation v12 " xfId="170"/>
    <cellStyle name="@_text_sheet_20060626.soufun.deferred tax reconciliation v7 " xfId="171"/>
    <cellStyle name="@_text_sheet_20060626.soufun.deferred tax reconciliation v8 " xfId="172"/>
    <cellStyle name="@_text_sheet_20060812.soufun.deferred tax reconciliation v14 " xfId="173"/>
    <cellStyle name="@_text_SITL.WP.SL_20060612.soufun.deferred tax reconciliation v2 " xfId="174"/>
    <cellStyle name="@_text_SITL.WP.SL_20060612.soufun.deferred tax reconciliation v2---0618-2210 " xfId="175"/>
    <cellStyle name="@_text_SITL.WP.SL_20060623.soufun.deferred tax reconciliation v2 " xfId="176"/>
    <cellStyle name="@_text_SITL.WP.SL_20060626.soufun.deferred tax reconciliation v1 " xfId="177"/>
    <cellStyle name="@_text_SITL.WP.SL_20060626.soufun.deferred tax reconciliation v12 " xfId="178"/>
    <cellStyle name="@_text_SITL.WP.SL_20060626.soufun.deferred tax reconciliation v7 " xfId="179"/>
    <cellStyle name="@_text_SITL.WP.SL_20060626.soufun.deferred tax reconciliation v8 " xfId="180"/>
    <cellStyle name="@_text_SITL.WP.SL_20060812.soufun.deferred tax reconciliation v14 " xfId="181"/>
    <cellStyle name="@_text_unbilled cost_20060612.soufun.deferred tax reconciliation v2 " xfId="182"/>
    <cellStyle name="@_text_unbilled cost_20060612.soufun.deferred tax reconciliation v2---0618-2210 " xfId="183"/>
    <cellStyle name="@_text_unbilled cost_20060623.soufun.deferred tax reconciliation v2 " xfId="184"/>
    <cellStyle name="@_text_unbilled cost_20060626.soufun.deferred tax reconciliation v1 " xfId="185"/>
    <cellStyle name="@_text_unbilled cost_20060626.soufun.deferred tax reconciliation v12 " xfId="186"/>
    <cellStyle name="@_text_unbilled cost_20060626.soufun.deferred tax reconciliation v7 " xfId="187"/>
    <cellStyle name="@_text_unbilled cost_20060626.soufun.deferred tax reconciliation v8 " xfId="188"/>
    <cellStyle name="@_text_unbilled cost_20060812.soufun.deferred tax reconciliation v14 " xfId="189"/>
    <cellStyle name="_%(SignOnly)" xfId="190"/>
    <cellStyle name="_%(SignOnly) 2" xfId="191"/>
    <cellStyle name="_%(SignSpaceOnly)" xfId="192"/>
    <cellStyle name="_%(SignSpaceOnly) 2" xfId="193"/>
    <cellStyle name="_000039" xfId="194"/>
    <cellStyle name="_000039 2" xfId="195"/>
    <cellStyle name="_000039_Ini" xfId="196"/>
    <cellStyle name="_000039_Ini 2" xfId="197"/>
    <cellStyle name="_000157_Mar2009" xfId="198"/>
    <cellStyle name="_000157_Mar2009 2" xfId="199"/>
    <cellStyle name="_060522.soufun.deferred tax working 2004(3)_20060612.soufun.deferred tax reconciliation v2 " xfId="200"/>
    <cellStyle name="_060522.soufun.deferred tax working 2004(3)_20060612.soufun.deferred tax reconciliation v2  2" xfId="201"/>
    <cellStyle name="_060522.soufun.deferred tax working 2004(3)_20060612.soufun.deferred tax reconciliation v2---0618-2210 " xfId="202"/>
    <cellStyle name="_060522.soufun.deferred tax working 2004(3)_20060612.soufun.deferred tax reconciliation v2---0618-2210  2" xfId="203"/>
    <cellStyle name="_060522.soufun.deferred tax working 2004(3)_20060623.soufun.deferred tax reconciliation v2 " xfId="204"/>
    <cellStyle name="_060522.soufun.deferred tax working 2004(3)_20060623.soufun.deferred tax reconciliation v2  2" xfId="205"/>
    <cellStyle name="_060522.soufun.deferred tax working 2004(3)_20060626.soufun.deferred tax reconciliation v1 " xfId="206"/>
    <cellStyle name="_060522.soufun.deferred tax working 2004(3)_20060626.soufun.deferred tax reconciliation v1  2" xfId="207"/>
    <cellStyle name="_060522.soufun.deferred tax working 2004(3)_20060626.soufun.deferred tax reconciliation v12 " xfId="208"/>
    <cellStyle name="_060522.soufun.deferred tax working 2004(3)_20060626.soufun.deferred tax reconciliation v12  2" xfId="209"/>
    <cellStyle name="_060522.soufun.deferred tax working 2004(3)_20060626.soufun.deferred tax reconciliation v7 " xfId="210"/>
    <cellStyle name="_060522.soufun.deferred tax working 2004(3)_20060626.soufun.deferred tax reconciliation v7  2" xfId="211"/>
    <cellStyle name="_060522.soufun.deferred tax working 2004(3)_20060626.soufun.deferred tax reconciliation v8 " xfId="212"/>
    <cellStyle name="_060522.soufun.deferred tax working 2004(3)_20060626.soufun.deferred tax reconciliation v8  2" xfId="213"/>
    <cellStyle name="_060522.soufun.deferred tax working 2004(3)_20060812.soufun.deferred tax reconciliation v14 " xfId="214"/>
    <cellStyle name="_060522.soufun.deferred tax working 2004(3)_20060812.soufun.deferred tax reconciliation v14  2" xfId="215"/>
    <cellStyle name="_2006年第一季台灣行動電話產業產銷動態瞭望 " xfId="216"/>
    <cellStyle name="_600031_Mar2009" xfId="217"/>
    <cellStyle name="_600031_Mar2009 2" xfId="218"/>
    <cellStyle name="_9952 formal model(070322)-1" xfId="219"/>
    <cellStyle name="_9952 formal model(070322)-1 2" xfId="220"/>
    <cellStyle name="_AA - BenefitsBonus " xfId="221"/>
    <cellStyle name="_AA - BenefitsBonus  2" xfId="222"/>
    <cellStyle name="_AAPL_MS_Model (2)" xfId="223"/>
    <cellStyle name="_Annual" xfId="224"/>
    <cellStyle name="_applicable tax rate(2)_20060612.soufun.deferred tax reconciliation v2 " xfId="225"/>
    <cellStyle name="_applicable tax rate(2)_20060612.soufun.deferred tax reconciliation v2  2" xfId="226"/>
    <cellStyle name="_applicable tax rate(2)_20060612.soufun.deferred tax reconciliation v2---0618-2210 " xfId="227"/>
    <cellStyle name="_applicable tax rate(2)_20060612.soufun.deferred tax reconciliation v2---0618-2210  2" xfId="228"/>
    <cellStyle name="_applicable tax rate(2)_20060623.soufun.deferred tax reconciliation v2 " xfId="229"/>
    <cellStyle name="_applicable tax rate(2)_20060623.soufun.deferred tax reconciliation v2  2" xfId="230"/>
    <cellStyle name="_applicable tax rate(2)_20060626.soufun.deferred tax reconciliation v1 " xfId="231"/>
    <cellStyle name="_applicable tax rate(2)_20060626.soufun.deferred tax reconciliation v1  2" xfId="232"/>
    <cellStyle name="_applicable tax rate(2)_20060626.soufun.deferred tax reconciliation v12 " xfId="233"/>
    <cellStyle name="_applicable tax rate(2)_20060626.soufun.deferred tax reconciliation v12  2" xfId="234"/>
    <cellStyle name="_applicable tax rate(2)_20060626.soufun.deferred tax reconciliation v7 " xfId="235"/>
    <cellStyle name="_applicable tax rate(2)_20060626.soufun.deferred tax reconciliation v7  2" xfId="236"/>
    <cellStyle name="_applicable tax rate(2)_20060626.soufun.deferred tax reconciliation v8 " xfId="237"/>
    <cellStyle name="_applicable tax rate(2)_20060626.soufun.deferred tax reconciliation v8  2" xfId="238"/>
    <cellStyle name="_applicable tax rate(2)_20060812.soufun.deferred tax reconciliation v14 " xfId="239"/>
    <cellStyle name="_applicable tax rate(2)_20060812.soufun.deferred tax reconciliation v14  2" xfId="240"/>
    <cellStyle name="—_Book2" xfId="241"/>
    <cellStyle name="—_Book2_Book7" xfId="242"/>
    <cellStyle name="—_Book2_DoCoMo table 10July2000" xfId="243"/>
    <cellStyle name="—_Book2_earnings" xfId="244"/>
    <cellStyle name="—_Book2_EM_FETone_new" xfId="245"/>
    <cellStyle name="—_Book2_EM_TCC_new" xfId="246"/>
    <cellStyle name="—_Book2_operating stats comp" xfId="247"/>
    <cellStyle name="—_Book2_Strategy_data_update" xfId="248"/>
    <cellStyle name="—_Book7" xfId="249"/>
    <cellStyle name="_By Technology, Market Share_Copy of Model2018_AAC_(WIP) " xfId="250"/>
    <cellStyle name="_Catalog" xfId="251"/>
    <cellStyle name="_Chartered_Copy of Model2018_AAC_(WIP) " xfId="252"/>
    <cellStyle name="_Chartered_Ichia Model2402_Modelware_Copy of Model2018_AAC_(WIP) " xfId="253"/>
    <cellStyle name="_Chartered_Model_2402(New)_Modelware_Copy of Model2018_AAC_(WIP) " xfId="254"/>
    <cellStyle name="_Chartered_Model_3311(New)_Copy of Model2018_AAC_(WIP) " xfId="255"/>
    <cellStyle name="_China COSCO OLD " xfId="256"/>
    <cellStyle name="_China COSCO OLD  2" xfId="257"/>
    <cellStyle name="_Chiwan Wharf" xfId="258"/>
    <cellStyle name="—_CHT" xfId="259"/>
    <cellStyle name="_CIMC IS" xfId="260"/>
    <cellStyle name="_CIMC-000039.Now" xfId="261"/>
    <cellStyle name="_CMHI Request (Soros)" xfId="262"/>
    <cellStyle name="_CMHI Request (Soros) 2" xfId="263"/>
    <cellStyle name="_CMHI-em-modelware.Now" xfId="264"/>
    <cellStyle name="_CMHI-em-modelware.Now 2" xfId="265"/>
    <cellStyle name="_Comma" xfId="266"/>
    <cellStyle name="_Comma 2" xfId="267"/>
    <cellStyle name="_Comma_AA - BenefitsBonus " xfId="268"/>
    <cellStyle name="_Comma_AA - BenefitsBonus  2" xfId="269"/>
    <cellStyle name="_Comma_DCFTemplate- 101503" xfId="270"/>
    <cellStyle name="_Comma_DCFTemplate- 101503 2" xfId="271"/>
    <cellStyle name="_CONSENSUS " xfId="272"/>
    <cellStyle name="_Container Terminals" xfId="273"/>
    <cellStyle name="_Copy of Ctrip Model Link" xfId="274"/>
    <cellStyle name="_Copy of Ctrip Model Link 2" xfId="275"/>
    <cellStyle name="_Copy of Model2018_AAC_(WIP) " xfId="276"/>
    <cellStyle name="_CSD-traffic_MS" xfId="277"/>
    <cellStyle name="_CSD-traffic_MS 2" xfId="278"/>
    <cellStyle name="_Currency" xfId="279"/>
    <cellStyle name="_Currency_AA - BenefitsBonus " xfId="280"/>
    <cellStyle name="_Currency_AA - BenefitsBonus  2" xfId="281"/>
    <cellStyle name="_Currency_DCFTemplate- 101503" xfId="282"/>
    <cellStyle name="_Currency_DCFTemplate- 101503 2" xfId="283"/>
    <cellStyle name="_CurrencySpace" xfId="284"/>
    <cellStyle name="_CurrencySpace 2" xfId="285"/>
    <cellStyle name="_CurrencySpace_AA - BenefitsBonus " xfId="286"/>
    <cellStyle name="_CurrencySpace_AA - BenefitsBonus  2" xfId="287"/>
    <cellStyle name="_CurrencySpace_AA - BenefitsBonus  3" xfId="288"/>
    <cellStyle name="_CurrencySpace_DCFTemplate- 101503" xfId="289"/>
    <cellStyle name="_CurrencySpace_DCFTemplate- 101503 2" xfId="290"/>
    <cellStyle name="_DA" xfId="291"/>
    <cellStyle name="_DA 2" xfId="292"/>
    <cellStyle name="_DCF" xfId="293"/>
    <cellStyle name="_DCF 2" xfId="294"/>
    <cellStyle name="_DPA" xfId="295"/>
    <cellStyle name="_DPA 2" xfId="296"/>
    <cellStyle name="_Drivers" xfId="297"/>
    <cellStyle name="—_earnings" xfId="298"/>
    <cellStyle name="—_EM_ChinaTelecom" xfId="299"/>
    <cellStyle name="—_EM_CMHK" xfId="300"/>
    <cellStyle name="—_EM_CMHK_consolidated" xfId="301"/>
    <cellStyle name="—_EM_CMHKconsolidatednew_WIP.xls Chart 1" xfId="302"/>
    <cellStyle name="—_EM_CMHKnew" xfId="303"/>
    <cellStyle name="—_EM_CU" xfId="304"/>
    <cellStyle name="—_EM_FETone" xfId="305"/>
    <cellStyle name="—_EM_FETone 2" xfId="306"/>
    <cellStyle name="—_EM_FETone_new" xfId="307"/>
    <cellStyle name="—_EM_FETone_new 2" xfId="308"/>
    <cellStyle name="—_EM_TCC" xfId="309"/>
    <cellStyle name="—_EM_TCC_new" xfId="310"/>
    <cellStyle name="—_EM_UTStarcom_new" xfId="311"/>
    <cellStyle name="—_EM-Chunghwa" xfId="312"/>
    <cellStyle name="—_EM-Chunghwa 2" xfId="313"/>
    <cellStyle name="—_EM-HTI" xfId="314"/>
    <cellStyle name="—_EM-HTI 2" xfId="315"/>
    <cellStyle name="—_EM-HTI_EM_ChinaTelecom" xfId="316"/>
    <cellStyle name="—_EM-HTI_EM_ChinaTelecom 2" xfId="317"/>
    <cellStyle name="—_EM-HTI_EM_FETone_new" xfId="318"/>
    <cellStyle name="—_EM-HTI_EM_FETone_new 2" xfId="319"/>
    <cellStyle name="—_EM-HTI_EM_TCC" xfId="320"/>
    <cellStyle name="—_EM-HTI_EM_TCC_new" xfId="321"/>
    <cellStyle name="—_EM-HTI_EM-Chunghwa" xfId="322"/>
    <cellStyle name="—_EM-HTI_EM-Chunghwa 2" xfId="323"/>
    <cellStyle name="—_EM-KT" xfId="324"/>
    <cellStyle name="—_EM-KT 2" xfId="325"/>
    <cellStyle name="—_EM-MobileOne" xfId="326"/>
    <cellStyle name="—_EM-Optus" xfId="327"/>
    <cellStyle name="—_EM-PLDT" xfId="328"/>
    <cellStyle name="—_EM-SKTelecom_old" xfId="329"/>
    <cellStyle name="—_EM-SKTelecom_old 2" xfId="330"/>
    <cellStyle name="—_EM-SKTelecom_old_Book7" xfId="331"/>
    <cellStyle name="—_EM-SKTelecom_old_Book7 2" xfId="332"/>
    <cellStyle name="—_EM-SKTelecom_old_earnings" xfId="333"/>
    <cellStyle name="—_EM-SKTelecom_old_earnings 2" xfId="334"/>
    <cellStyle name="—_EM-SKTelecom_old_EM_ChinaTelecom" xfId="335"/>
    <cellStyle name="—_EM-SKTelecom_old_EM_ChinaTelecom 2" xfId="336"/>
    <cellStyle name="—_EM-SKTelecom_old_EM_CU" xfId="337"/>
    <cellStyle name="—_EM-SKTelecom_old_EM_CU 2" xfId="338"/>
    <cellStyle name="—_EM-SKTelecom_old_EM_FETone" xfId="339"/>
    <cellStyle name="—_EM-SKTelecom_old_EM_FETone 2" xfId="340"/>
    <cellStyle name="—_EM-SKTelecom_old_EM_FETone_new" xfId="341"/>
    <cellStyle name="—_EM-SKTelecom_old_EM_FETone_new 2" xfId="342"/>
    <cellStyle name="—_EM-SKTelecom_old_EM_TCC" xfId="343"/>
    <cellStyle name="—_EM-SKTelecom_old_EM_TCC 2" xfId="344"/>
    <cellStyle name="—_EM-SKTelecom_old_EM_TCC_new" xfId="345"/>
    <cellStyle name="—_EM-SKTelecom_old_EM_TCC_new 2" xfId="346"/>
    <cellStyle name="—_EM-SKTelecom_old_EM-Chunghwa" xfId="347"/>
    <cellStyle name="—_EM-SKTelecom_old_EM-Chunghwa 2" xfId="348"/>
    <cellStyle name="—_EM-SKTelecom_old_EM-HTI" xfId="349"/>
    <cellStyle name="—_EM-SKTelecom_old_EM-HTI 2" xfId="350"/>
    <cellStyle name="—_EM-SKTelecom_old_EM-HTI_EM_ChinaTelecom" xfId="351"/>
    <cellStyle name="—_EM-SKTelecom_old_EM-HTI_EM_ChinaTelecom 2" xfId="352"/>
    <cellStyle name="—_EM-SKTelecom_old_EM-HTI_EM_FETone_new" xfId="353"/>
    <cellStyle name="—_EM-SKTelecom_old_EM-HTI_EM_FETone_new 2" xfId="354"/>
    <cellStyle name="—_EM-SKTelecom_old_EM-HTI_EM_TCC" xfId="355"/>
    <cellStyle name="—_EM-SKTelecom_old_EM-HTI_EM_TCC_new" xfId="356"/>
    <cellStyle name="—_EM-SKTelecom_old_EM-HTI_EM-Chunghwa" xfId="357"/>
    <cellStyle name="—_EM-SKTelecom_old_EM-HTI_EM-Chunghwa 2" xfId="358"/>
    <cellStyle name="—_EM-SKTelecom_old_Revenue" xfId="359"/>
    <cellStyle name="—_EM-SKTelecom_old_Revenue 2" xfId="360"/>
    <cellStyle name="—_EM-SKTelecom_old_Strategy_data_update" xfId="361"/>
    <cellStyle name="—_EM-SKTelecom_old_Strategy_data_update 2" xfId="362"/>
    <cellStyle name="_EPS" xfId="363"/>
    <cellStyle name="_EPS 2" xfId="364"/>
    <cellStyle name="_EPS1" xfId="365"/>
    <cellStyle name="_EPS1 2" xfId="366"/>
    <cellStyle name="_Euro" xfId="367"/>
    <cellStyle name="_Euro 2" xfId="368"/>
    <cellStyle name="_FACEBOOK_model" xfId="369"/>
    <cellStyle name="_FACEBOOK_model 2" xfId="370"/>
    <cellStyle name="_Financial Summary" xfId="371"/>
    <cellStyle name="_Financial Summary 2" xfId="372"/>
    <cellStyle name="_Fuel" xfId="373"/>
    <cellStyle name="_GBIA" xfId="374"/>
    <cellStyle name="_GBIA 2" xfId="375"/>
    <cellStyle name="_GG2-1 AR - Bad debt provision " xfId="376"/>
    <cellStyle name="_GG2-1 AR - Bad debt provision  2" xfId="377"/>
    <cellStyle name="_Global Comps - Full Service - 12 Jan  2001_Telecom update may 03 New " xfId="378"/>
    <cellStyle name="_Global Comps - Full Service - 12 Jan  2001_Telecom update may 03 New  2" xfId="379"/>
    <cellStyle name="_Global Comps - Full Service - 18 June 2001_Telecom update may 03 New " xfId="380"/>
    <cellStyle name="_Global Comps - Full Service - 18 June 2001_Telecom update may 03 New  2" xfId="381"/>
    <cellStyle name="_Global Comps - Full Service - 20 June 2001_Telecom update may 03 New " xfId="382"/>
    <cellStyle name="_Global Comps - Full Service - 20 June 2001_Telecom update may 03 New  2" xfId="383"/>
    <cellStyle name="_GOOG_model" xfId="384"/>
    <cellStyle name="_GOOG_model 2" xfId="385"/>
    <cellStyle name="—_GS Assumptions-F" xfId="386"/>
    <cellStyle name="—_GS Assumptions-F_Book7" xfId="387"/>
    <cellStyle name="—_GS Assumptions-F_DoCoMo table 10July2000" xfId="388"/>
    <cellStyle name="—_GS Assumptions-F_earnings" xfId="389"/>
    <cellStyle name="—_GS Assumptions-F_EM_CMHK" xfId="390"/>
    <cellStyle name="—_GS Assumptions-F_EM_FETone_new" xfId="391"/>
    <cellStyle name="—_GS Assumptions-F_EM_TCC_new" xfId="392"/>
    <cellStyle name="—_GS Assumptions-F_EM-Optus" xfId="393"/>
    <cellStyle name="—_GS Assumptions-F_operating stats comp" xfId="394"/>
    <cellStyle name="—_GS Assumptions-F_Strategy_data_update" xfId="395"/>
    <cellStyle name="—_GS_Balance" xfId="396"/>
    <cellStyle name="—_GS_Balance_Book7" xfId="397"/>
    <cellStyle name="—_GS_Balance_DoCoMo table 10July2000" xfId="398"/>
    <cellStyle name="—_GS_Balance_earnings" xfId="399"/>
    <cellStyle name="—_GS_Balance_EM_CMHK" xfId="400"/>
    <cellStyle name="—_GS_Balance_EM_FETone_new" xfId="401"/>
    <cellStyle name="—_GS_Balance_EM_TCC_new" xfId="402"/>
    <cellStyle name="—_GS_Balance_EM-Optus" xfId="403"/>
    <cellStyle name="—_GS_Balance_operating stats comp" xfId="404"/>
    <cellStyle name="—_GS_Balance_Strategy_data_update" xfId="405"/>
    <cellStyle name="—_GS_Cash " xfId="406"/>
    <cellStyle name="—_GS_Cash  (2)" xfId="407"/>
    <cellStyle name="—_GS_Cash  (2)_Book7" xfId="408"/>
    <cellStyle name="—_GS_Cash  (2)_DoCoMo table 10July2000" xfId="409"/>
    <cellStyle name="—_GS_Cash  (2)_earnings" xfId="410"/>
    <cellStyle name="—_GS_Cash  (2)_EM_CMHK" xfId="411"/>
    <cellStyle name="—_GS_Cash  (2)_EM_FETone_new" xfId="412"/>
    <cellStyle name="—_GS_Cash  (2)_EM_TCC_new" xfId="413"/>
    <cellStyle name="—_GS_Cash  (2)_EM-Optus" xfId="414"/>
    <cellStyle name="—_GS_Cash  (2)_operating stats comp" xfId="415"/>
    <cellStyle name="—_GS_Cash  (2)_Strategy_data_update" xfId="416"/>
    <cellStyle name="—_GS_Cash  2" xfId="417"/>
    <cellStyle name="—_GS_Cash _Book7" xfId="418"/>
    <cellStyle name="—_GS_Cash _DoCoMo table 10July2000" xfId="419"/>
    <cellStyle name="—_GS_Cash _earnings" xfId="420"/>
    <cellStyle name="—_GS_Cash _EM_CMHK" xfId="421"/>
    <cellStyle name="—_GS_Cash _EM_FETone_new" xfId="422"/>
    <cellStyle name="—_GS_Cash _EM_TCC_new" xfId="423"/>
    <cellStyle name="—_GS_Cash _EM-Optus" xfId="424"/>
    <cellStyle name="—_GS_Cash _mwareDates" xfId="425"/>
    <cellStyle name="—_GS_Cash _mwareDates 2" xfId="426"/>
    <cellStyle name="—_GS_Cash _mwareDates_1" xfId="427"/>
    <cellStyle name="—_GS_Cash _operating stats comp" xfId="428"/>
    <cellStyle name="—_GS_Cash _Quarterly" xfId="429"/>
    <cellStyle name="—_GS_Cash _Quarterly_mwareDates" xfId="430"/>
    <cellStyle name="—_GS_Cash _Quarterly_mwareDates 2" xfId="431"/>
    <cellStyle name="—_GS_Cash _Sheet1" xfId="432"/>
    <cellStyle name="—_GS_Cash _Sheet1 2" xfId="433"/>
    <cellStyle name="—_GS_Cash _Strategy_data_update" xfId="434"/>
    <cellStyle name="—_GS_Cash _Valuation" xfId="435"/>
    <cellStyle name="—_GS_Cash _Valuation 2" xfId="436"/>
    <cellStyle name="—_GS_DCF" xfId="437"/>
    <cellStyle name="—_GS_DCF_Book7" xfId="438"/>
    <cellStyle name="—_GS_DCF_DoCoMo table 10July2000" xfId="439"/>
    <cellStyle name="—_GS_DCF_earnings" xfId="440"/>
    <cellStyle name="—_GS_DCF_EM_CMHK" xfId="441"/>
    <cellStyle name="—_GS_DCF_EM_FETone_new" xfId="442"/>
    <cellStyle name="—_GS_DCF_EM_TCC_new" xfId="443"/>
    <cellStyle name="—_GS_DCF_EM-Optus" xfId="444"/>
    <cellStyle name="—_GS_DCF_operating stats comp" xfId="445"/>
    <cellStyle name="—_GS_DCF_Strategy_data_update" xfId="446"/>
    <cellStyle name="—_GS_PNL" xfId="447"/>
    <cellStyle name="—_GS_PNL_Book7" xfId="448"/>
    <cellStyle name="—_GS_PNL_DoCoMo table 10July2000" xfId="449"/>
    <cellStyle name="—_GS_PNL_earnings" xfId="450"/>
    <cellStyle name="—_GS_PNL_EM_CMHK" xfId="451"/>
    <cellStyle name="—_GS_PNL_EM_FETone_new" xfId="452"/>
    <cellStyle name="—_GS_PNL_EM_TCC_new" xfId="453"/>
    <cellStyle name="—_GS_PNL_EM-Optus" xfId="454"/>
    <cellStyle name="—_GS_PNL_operating stats comp" xfId="455"/>
    <cellStyle name="—_GS_PNL_Strategy_data_update" xfId="456"/>
    <cellStyle name="_Heading" xfId="457"/>
    <cellStyle name="_Highlight" xfId="458"/>
    <cellStyle name="_Highlight 2" xfId="459"/>
    <cellStyle name="—_I&amp;O Report Tables" xfId="460"/>
    <cellStyle name="—_I&amp;O Report Tables_Book7" xfId="461"/>
    <cellStyle name="—_I&amp;O Report Tables_candicetables" xfId="462"/>
    <cellStyle name="—_I&amp;O Report Tables_candicetables 2" xfId="463"/>
    <cellStyle name="—_I&amp;O Report Tables_candicetables_Book7" xfId="464"/>
    <cellStyle name="—_I&amp;O Report Tables_candicetables_Book7 2" xfId="465"/>
    <cellStyle name="—_I&amp;O Report Tables_candicetables_DoCoMo table 10July2000" xfId="466"/>
    <cellStyle name="—_I&amp;O Report Tables_candicetables_DoCoMo table 10July2000 2" xfId="467"/>
    <cellStyle name="—_I&amp;O Report Tables_candicetables_earnings" xfId="468"/>
    <cellStyle name="—_I&amp;O Report Tables_candicetables_earnings 2" xfId="469"/>
    <cellStyle name="—_I&amp;O Report Tables_candicetables_EM_FETone_new" xfId="470"/>
    <cellStyle name="—_I&amp;O Report Tables_candicetables_EM_FETone_new 2" xfId="471"/>
    <cellStyle name="—_I&amp;O Report Tables_candicetables_EM_TCC_new" xfId="472"/>
    <cellStyle name="—_I&amp;O Report Tables_candicetables_EM_TCC_new 2" xfId="473"/>
    <cellStyle name="—_I&amp;O Report Tables_candicetables_operating stats comp" xfId="474"/>
    <cellStyle name="—_I&amp;O Report Tables_candicetables_operating stats comp 2" xfId="475"/>
    <cellStyle name="—_I&amp;O Report Tables_candicetables_Strategy_data_update" xfId="476"/>
    <cellStyle name="—_I&amp;O Report Tables_candicetables_Strategy_data_update 2" xfId="477"/>
    <cellStyle name="—_I&amp;O Report Tables_DoCoMo table 10July2000" xfId="478"/>
    <cellStyle name="—_I&amp;O Report Tables_earnings" xfId="479"/>
    <cellStyle name="—_I&amp;O Report Tables_EM_FETone_new" xfId="480"/>
    <cellStyle name="—_I&amp;O Report Tables_EM_TCC_new" xfId="481"/>
    <cellStyle name="—_I&amp;O Report Tables_operating stats comp" xfId="482"/>
    <cellStyle name="—_I&amp;O Report Tables_Strategy_data_update" xfId="483"/>
    <cellStyle name="_Ichia Model2402_Modelware_Copy of Model2018_AAC_(WIP) " xfId="484"/>
    <cellStyle name="_IV2" xfId="485"/>
    <cellStyle name="_IV2 2" xfId="486"/>
    <cellStyle name="_IV2_000039_Ini" xfId="487"/>
    <cellStyle name="_IV2_000039_Ini 2" xfId="488"/>
    <cellStyle name="_IV2_000157_Mar2009" xfId="489"/>
    <cellStyle name="_IV2_000157_Mar2009 2" xfId="490"/>
    <cellStyle name="_IV2_600031_Mar2009" xfId="491"/>
    <cellStyle name="_IV2_600031_Mar2009 2" xfId="492"/>
    <cellStyle name="_IV2_600150_Jan2009" xfId="493"/>
    <cellStyle name="_IV2_600150_Jan2009 2" xfId="494"/>
    <cellStyle name="_IV2_600150_Jan2009_000039_Ini" xfId="495"/>
    <cellStyle name="_IV2_600150_Jan2009_000039_Ini 2" xfId="496"/>
    <cellStyle name="_IV2_600150_Jan2009_CIMC-000039.Now" xfId="497"/>
    <cellStyle name="_IV2_600150_Jan2009_MWA RR_000039.SZ" xfId="498"/>
    <cellStyle name="_IV2_600150_Jan2009_MWA RR_200039.SZ" xfId="499"/>
    <cellStyle name="_IV2_600150_Jan2009_New vs. Old" xfId="500"/>
    <cellStyle name="_IV2_600685_Jan2009" xfId="501"/>
    <cellStyle name="_IV2_600685_Jan2009 2" xfId="502"/>
    <cellStyle name="_IV2_600685_Jan2009_000039_Ini" xfId="503"/>
    <cellStyle name="_IV2_600685_Jan2009_000039_Ini 2" xfId="504"/>
    <cellStyle name="_IV2_600685_Jan2009_000157_Mar2009" xfId="505"/>
    <cellStyle name="_IV2_600685_Jan2009_000157_Mar2009 2" xfId="506"/>
    <cellStyle name="_IV2_600685_Jan2009_600031_Mar2009" xfId="507"/>
    <cellStyle name="_IV2_600685_Jan2009_600031_Mar2009 2" xfId="508"/>
    <cellStyle name="_IV2_600685_Jan2009_CIMC-000039.Now" xfId="509"/>
    <cellStyle name="_IV2_600685_Jan2009_MWA RR_000039.SZ" xfId="510"/>
    <cellStyle name="_IV2_600685_Jan2009_MWA RR_200039.SZ" xfId="511"/>
    <cellStyle name="_IV2_600685_Jan2009_New vs. Old" xfId="512"/>
    <cellStyle name="_IV2_CIMC-000039.Now" xfId="513"/>
    <cellStyle name="_IV2_MWA RR_000039.SZ" xfId="514"/>
    <cellStyle name="_IV2_MWA RR_200039.SZ" xfId="515"/>
    <cellStyle name="_IV2_New vs. Old" xfId="516"/>
    <cellStyle name="_JapaneseCatalog" xfId="517"/>
    <cellStyle name="_JSEC-177.em.Now" xfId="518"/>
    <cellStyle name="_JSEC-177.Now" xfId="519"/>
    <cellStyle name="_JSEC-177_200911" xfId="520"/>
    <cellStyle name="_JSEC-177_200911 2" xfId="521"/>
    <cellStyle name="_Main" xfId="522"/>
    <cellStyle name="_MCIT_Telecom update may 03 New " xfId="523"/>
    <cellStyle name="_MCIT_Telecom update may 03 New  2" xfId="524"/>
    <cellStyle name="_MM_model" xfId="525"/>
    <cellStyle name="_MM_model 2" xfId="526"/>
    <cellStyle name="_MM_model 2 2" xfId="527"/>
    <cellStyle name="_MM_model 3" xfId="528"/>
    <cellStyle name="_MM_model 3 2" xfId="529"/>
    <cellStyle name="_MM_model 3 2 2" xfId="530"/>
    <cellStyle name="_MM_model 3 3" xfId="531"/>
    <cellStyle name="_MM_model 4" xfId="532"/>
    <cellStyle name="_Model " xfId="533"/>
    <cellStyle name="_Model_2402(New)_Modelware_Copy of Model2018_AAC_(WIP) " xfId="534"/>
    <cellStyle name="_Model_3311(New)_Copy of Model2018_AAC_(WIP) " xfId="535"/>
    <cellStyle name="_Multiple" xfId="536"/>
    <cellStyle name="_Multiple_AA - BenefitsBonus " xfId="537"/>
    <cellStyle name="_Multiple_AA - BenefitsBonus  2" xfId="538"/>
    <cellStyle name="_Multiple_AA - BenefitsBonus  3" xfId="539"/>
    <cellStyle name="_Multiple_DCFTemplate- 101503" xfId="540"/>
    <cellStyle name="_Multiple_DCFTemplate- 101503 2" xfId="541"/>
    <cellStyle name="_MultipleSpace" xfId="542"/>
    <cellStyle name="_MultipleSpace_AA - BenefitsBonus " xfId="543"/>
    <cellStyle name="_MultipleSpace_AA - BenefitsBonus  2" xfId="544"/>
    <cellStyle name="_MultipleSpace_DCFTemplate- 101503" xfId="545"/>
    <cellStyle name="_MultipleSpace_DCFTemplate- 101503 2" xfId="546"/>
    <cellStyle name="_MW FDS" xfId="547"/>
    <cellStyle name="_MWA RR" xfId="548"/>
    <cellStyle name="_MWA RR_000039.SZ" xfId="549"/>
    <cellStyle name="_MWA RR_200039.SZ" xfId="550"/>
    <cellStyle name="_MWAnalytics" xfId="551"/>
    <cellStyle name="_MWAnalytics 2" xfId="552"/>
    <cellStyle name="_MWAnalytics_000039_Ini" xfId="553"/>
    <cellStyle name="_MWAnalytics_000039_Ini 2" xfId="554"/>
    <cellStyle name="_MWAnalytics_000157_Mar2009" xfId="555"/>
    <cellStyle name="_MWAnalytics_000157_Mar2009 2" xfId="556"/>
    <cellStyle name="_MWAnalytics_600031_Mar2009" xfId="557"/>
    <cellStyle name="_MWAnalytics_600031_Mar2009 2" xfId="558"/>
    <cellStyle name="_MWAnalytics_CIMC-000039.Now" xfId="559"/>
    <cellStyle name="_MWAnalytics_JSEC-177.em.Now" xfId="560"/>
    <cellStyle name="_MWAnalytics_MWA RR_000039.SZ" xfId="561"/>
    <cellStyle name="_MWAnalytics_MWA RR_200039.SZ" xfId="562"/>
    <cellStyle name="_MWAnalytics_New vs. Old" xfId="563"/>
    <cellStyle name="_MWAnalytics_P&amp;L" xfId="564"/>
    <cellStyle name="_MWAnalytics_P&amp;L 2" xfId="565"/>
    <cellStyle name="_MWAnalytics_v2" xfId="566"/>
    <cellStyle name="_MWAnalytics_v2 2" xfId="567"/>
    <cellStyle name="_MWAnalytics_Zhejiang Base" xfId="568"/>
    <cellStyle name="_MWAnalytics_Zhejiang Base 2" xfId="569"/>
    <cellStyle name="_MWAnalytics_ZJEC" xfId="570"/>
    <cellStyle name="_MWAnalytics_ZJEC 2" xfId="571"/>
    <cellStyle name="_mwareDates" xfId="572"/>
    <cellStyle name="_Nanshan&amp;SZW" xfId="573"/>
    <cellStyle name="_New vs. Old" xfId="574"/>
    <cellStyle name="_New vs. Org" xfId="575"/>
    <cellStyle name="_New vs. Org 2" xfId="576"/>
    <cellStyle name="_New WCOM_Telecom update may 03 New " xfId="577"/>
    <cellStyle name="_New WCOM_Telecom update may 03 New  2" xfId="578"/>
    <cellStyle name="—_operating stats comp" xfId="579"/>
    <cellStyle name="_P&amp;L" xfId="580"/>
    <cellStyle name="_P&amp;L 2" xfId="581"/>
    <cellStyle name="_P&amp;L_1" xfId="582"/>
    <cellStyle name="_P&amp;L_1 2" xfId="583"/>
    <cellStyle name="_Percent" xfId="584"/>
    <cellStyle name="_Percent_AA - BenefitsBonus " xfId="585"/>
    <cellStyle name="_Percent_AA - BenefitsBonus  2" xfId="586"/>
    <cellStyle name="_PercentSpace" xfId="587"/>
    <cellStyle name="_PercentSpace_AA - BenefitsBonus " xfId="588"/>
    <cellStyle name="_PercentSpace_AA - BenefitsBonus  2" xfId="589"/>
    <cellStyle name="_PercentSpace_AA - BenefitsBonus  3" xfId="590"/>
    <cellStyle name="_PF Quarterly Financial Model " xfId="591"/>
    <cellStyle name="—_price chart1" xfId="592"/>
    <cellStyle name="_Quarterly" xfId="593"/>
    <cellStyle name="_Quarterly Results (Tommy)" xfId="594"/>
    <cellStyle name="_Quarterly Results (Tommy) 2" xfId="595"/>
    <cellStyle name="—_report1198tables" xfId="596"/>
    <cellStyle name="—_report1198tables_anne" xfId="597"/>
    <cellStyle name="—_report1198tables_anne_Book7" xfId="598"/>
    <cellStyle name="—_report1198tables_anne_DoCoMo table 10July2000" xfId="599"/>
    <cellStyle name="—_report1198tables_anne_earnings" xfId="600"/>
    <cellStyle name="—_report1198tables_anne_EM_FETone_new" xfId="601"/>
    <cellStyle name="—_report1198tables_anne_EM_TCC_new" xfId="602"/>
    <cellStyle name="—_report1198tables_anne_operating stats comp" xfId="603"/>
    <cellStyle name="—_report1198tables_anne_Strategy_data_update" xfId="604"/>
    <cellStyle name="—_report1198tables_Book7" xfId="605"/>
    <cellStyle name="—_report1198tables_DoCoMo table 10July2000" xfId="606"/>
    <cellStyle name="—_report1198tables_earnings" xfId="607"/>
    <cellStyle name="—_report1198tables_EM_FETone_new" xfId="608"/>
    <cellStyle name="—_report1198tables_EM_TCC_new" xfId="609"/>
    <cellStyle name="—_report1198tables_operating stats comp" xfId="610"/>
    <cellStyle name="—_report1198tables_Strategy_data_update" xfId="611"/>
    <cellStyle name="—_report1198tables_tables_99" xfId="612"/>
    <cellStyle name="—_report1198tables_tables_99_Book7" xfId="613"/>
    <cellStyle name="—_report1198tables_tables_99_DoCoMo table 10July2000" xfId="614"/>
    <cellStyle name="—_report1198tables_tables_99_earnings" xfId="615"/>
    <cellStyle name="—_report1198tables_tables_99_EM_FETone_new" xfId="616"/>
    <cellStyle name="—_report1198tables_tables_99_EM_TCC_new" xfId="617"/>
    <cellStyle name="—_report1198tables_tables_99_operating stats comp" xfId="618"/>
    <cellStyle name="—_report1198tables_tables_99_Strategy_data_update" xfId="619"/>
    <cellStyle name="—_Results_DCF ANALYSIS_HPI " xfId="620"/>
    <cellStyle name="—_Results_Rmb_HPI " xfId="621"/>
    <cellStyle name="—_Results_SH_HPI " xfId="622"/>
    <cellStyle name="—_Revenue" xfId="623"/>
    <cellStyle name="—_Revenues" xfId="624"/>
    <cellStyle name="—_Revenues 2" xfId="625"/>
    <cellStyle name="_RRS1" xfId="626"/>
    <cellStyle name="_RRS1 2" xfId="627"/>
    <cellStyle name="_RRS1_000039" xfId="628"/>
    <cellStyle name="_RRS1_000039 2" xfId="629"/>
    <cellStyle name="_RRS1_000157_Mar2009" xfId="630"/>
    <cellStyle name="_RRS1_000157_Mar2009 2" xfId="631"/>
    <cellStyle name="_RRS1_1" xfId="632"/>
    <cellStyle name="_RRS1_1 2" xfId="633"/>
    <cellStyle name="_RRS1_600031_Mar2009" xfId="634"/>
    <cellStyle name="_RRS1_600031_Mar2009 2" xfId="635"/>
    <cellStyle name="_RRS1_995.HK_Anhui_Ini" xfId="636"/>
    <cellStyle name="_RRS1_995.HK_Anhui_Ini 2" xfId="637"/>
    <cellStyle name="_RRS1_CIMC IS" xfId="638"/>
    <cellStyle name="_RRS1_CMHI-em-modelware.Now" xfId="639"/>
    <cellStyle name="_RRS1_CMHI-em-modelware.Now 2" xfId="640"/>
    <cellStyle name="_RRS1_CSD-traffic_MS" xfId="641"/>
    <cellStyle name="_RRS1_CSD-traffic_MS 2" xfId="642"/>
    <cellStyle name="_RRS1_Daqin" xfId="643"/>
    <cellStyle name="_RRS1_Daqin 2" xfId="644"/>
    <cellStyle name="_RRS1_JSEC-177.em.Now" xfId="645"/>
    <cellStyle name="_RRS1_JSEC-177.em.Now 2" xfId="646"/>
    <cellStyle name="_RRS1_Main" xfId="647"/>
    <cellStyle name="_RRS1_P&amp;L" xfId="648"/>
    <cellStyle name="_RRS1_P&amp;L 2" xfId="649"/>
    <cellStyle name="_RRS1_Sheet1" xfId="650"/>
    <cellStyle name="_RRS1_Sheet1 2" xfId="651"/>
    <cellStyle name="_RRS1_Sinotrans" xfId="652"/>
    <cellStyle name="_RRS1_Sinotrans 2" xfId="653"/>
    <cellStyle name="_RRS1_SITC" xfId="654"/>
    <cellStyle name="_RRS1_SITC 2" xfId="655"/>
    <cellStyle name="_RRS10" xfId="656"/>
    <cellStyle name="_RRS10 2" xfId="657"/>
    <cellStyle name="_RRS10_Games " xfId="658"/>
    <cellStyle name="_RRS10_Games  2" xfId="659"/>
    <cellStyle name="_RRS11" xfId="660"/>
    <cellStyle name="_RRS11 2" xfId="661"/>
    <cellStyle name="_RRS12" xfId="662"/>
    <cellStyle name="_RRS12 2" xfId="663"/>
    <cellStyle name="_RRS14" xfId="664"/>
    <cellStyle name="_RRS14 2" xfId="665"/>
    <cellStyle name="_RRS15" xfId="666"/>
    <cellStyle name="_RRS15 2" xfId="667"/>
    <cellStyle name="_RRS16" xfId="668"/>
    <cellStyle name="_RRS16 2" xfId="669"/>
    <cellStyle name="_RRS17" xfId="670"/>
    <cellStyle name="_RRS17 2" xfId="671"/>
    <cellStyle name="_RRS2" xfId="672"/>
    <cellStyle name="_RRS20" xfId="673"/>
    <cellStyle name="_RRS20 2" xfId="674"/>
    <cellStyle name="_RRS21" xfId="675"/>
    <cellStyle name="_RRS21 2" xfId="676"/>
    <cellStyle name="_RRS25" xfId="677"/>
    <cellStyle name="_RRS25 2" xfId="678"/>
    <cellStyle name="_RRS3" xfId="679"/>
    <cellStyle name="_RRS3 2" xfId="680"/>
    <cellStyle name="_RRS33" xfId="681"/>
    <cellStyle name="_RRS33 2" xfId="682"/>
    <cellStyle name="_RRS35" xfId="683"/>
    <cellStyle name="_RRS35 2" xfId="684"/>
    <cellStyle name="_RRS38" xfId="685"/>
    <cellStyle name="_RRS38 2" xfId="686"/>
    <cellStyle name="_RRS4" xfId="687"/>
    <cellStyle name="_RRS4 2" xfId="688"/>
    <cellStyle name="_RRS5" xfId="689"/>
    <cellStyle name="_RRS5 2" xfId="690"/>
    <cellStyle name="_RRS6" xfId="691"/>
    <cellStyle name="_RRS6 2" xfId="692"/>
    <cellStyle name="_RRS7" xfId="693"/>
    <cellStyle name="_RRS7 2" xfId="694"/>
    <cellStyle name="_RRS9" xfId="695"/>
    <cellStyle name="_RRS9 2" xfId="696"/>
    <cellStyle name="—_RSA" xfId="697"/>
    <cellStyle name="—_RSA_Book7" xfId="698"/>
    <cellStyle name="—_RSA_DoCoMo table 10July2000" xfId="699"/>
    <cellStyle name="—_RSA_earnings" xfId="700"/>
    <cellStyle name="—_RSA_EM_CMHK" xfId="701"/>
    <cellStyle name="—_RSA_EM_FETone_new" xfId="702"/>
    <cellStyle name="—_RSA_EM_TCC_new" xfId="703"/>
    <cellStyle name="—_RSA_operating stats comp" xfId="704"/>
    <cellStyle name="—_RSA_Strategy_data_update" xfId="705"/>
    <cellStyle name="_SACL" xfId="706"/>
    <cellStyle name="_SACL 2" xfId="707"/>
    <cellStyle name="_Scenario" xfId="708"/>
    <cellStyle name="_Sheet1" xfId="709"/>
    <cellStyle name="_Sheet1 2" xfId="710"/>
    <cellStyle name="_Sheet1_1" xfId="711"/>
    <cellStyle name="_Sheet3" xfId="712"/>
    <cellStyle name="_ShtReferance" xfId="713"/>
    <cellStyle name="_ShtReferance 2" xfId="714"/>
    <cellStyle name="_SIAC" xfId="715"/>
    <cellStyle name="_SIAC 2" xfId="716"/>
    <cellStyle name="_Sinotrans" xfId="717"/>
    <cellStyle name="_Sinotrans 2" xfId="718"/>
    <cellStyle name="_SIPG" xfId="719"/>
    <cellStyle name="_SITC" xfId="720"/>
    <cellStyle name="_SITC 2" xfId="721"/>
    <cellStyle name="—_ST 1H03 results handout" xfId="722"/>
    <cellStyle name="—_Strategy_data_update" xfId="723"/>
    <cellStyle name="_SubHeading" xfId="724"/>
    <cellStyle name="_Sum-consumption by category" xfId="725"/>
    <cellStyle name="_SUMMARY " xfId="1"/>
    <cellStyle name="_SUMMARY  2" xfId="726"/>
    <cellStyle name="_SUMMARY  2 2" xfId="727"/>
    <cellStyle name="_SUMMARY  3" xfId="728"/>
    <cellStyle name="_SUMMARY  3 2" xfId="729"/>
    <cellStyle name="_SUMMARY  3 2 2" xfId="730"/>
    <cellStyle name="_SUMMARY  3 3" xfId="731"/>
    <cellStyle name="_SUMMARY  4" xfId="732"/>
    <cellStyle name="_SUMMARY _000039" xfId="733"/>
    <cellStyle name="_SUMMARY _000039 2" xfId="734"/>
    <cellStyle name="_SUMMARY _000039_Ini" xfId="735"/>
    <cellStyle name="_SUMMARY _000039_Ini 2" xfId="736"/>
    <cellStyle name="_SUMMARY _000157_Mar2009" xfId="737"/>
    <cellStyle name="_SUMMARY _000157_Mar2009 2" xfId="738"/>
    <cellStyle name="_SUMMARY _600031_Mar2009" xfId="739"/>
    <cellStyle name="_SUMMARY _600031_Mar2009 2" xfId="740"/>
    <cellStyle name="_SUMMARY _600150_Jan2009" xfId="741"/>
    <cellStyle name="_SUMMARY _600150_Jan2009 2" xfId="742"/>
    <cellStyle name="_SUMMARY _Annual" xfId="743"/>
    <cellStyle name="_SUMMARY _CIMC IS" xfId="744"/>
    <cellStyle name="_SUMMARY _CIMC-000039.Now" xfId="745"/>
    <cellStyle name="_SUMMARY _CMHI-em-modelware.Now" xfId="746"/>
    <cellStyle name="_SUMMARY _CMHI-em-modelware.Now 2" xfId="747"/>
    <cellStyle name="_SUMMARY _CSD-traffic_MS" xfId="748"/>
    <cellStyle name="_SUMMARY _CSD-traffic_MS 2" xfId="749"/>
    <cellStyle name="_SUMMARY _GRUB_Draft_123114" xfId="750"/>
    <cellStyle name="_SUMMARY _JSEC-177.em.Now" xfId="751"/>
    <cellStyle name="_SUMMARY _Main" xfId="752"/>
    <cellStyle name="_SUMMARY _MWA RR_000039.SZ" xfId="753"/>
    <cellStyle name="_SUMMARY _MWA RR_1919.HK" xfId="754"/>
    <cellStyle name="_SUMMARY _MWA RR_200039.SZ" xfId="755"/>
    <cellStyle name="_SUMMARY _MWA RR_601919.SS" xfId="756"/>
    <cellStyle name="_SUMMARY _mwareDates" xfId="757"/>
    <cellStyle name="_SUMMARY _mwareDates_1" xfId="758"/>
    <cellStyle name="_SUMMARY _New vs. Old" xfId="759"/>
    <cellStyle name="_SUMMARY _New vs. Org" xfId="760"/>
    <cellStyle name="_SUMMARY _Pop and Inc_CEIC_20140619" xfId="761"/>
    <cellStyle name="_SUMMARY _Quarterly" xfId="762"/>
    <cellStyle name="_SUMMARY _Quarterly_mwareDates" xfId="763"/>
    <cellStyle name="_SUMMARY _RRS1" xfId="764"/>
    <cellStyle name="_SUMMARY _RRS1 2" xfId="765"/>
    <cellStyle name="_SUMMARY _RRS1_1" xfId="766"/>
    <cellStyle name="_SUMMARY _RRS6" xfId="767"/>
    <cellStyle name="_SUMMARY _RRS6 2" xfId="768"/>
    <cellStyle name="_SUMMARY _RRST1" xfId="769"/>
    <cellStyle name="_SUMMARY _Scenario" xfId="770"/>
    <cellStyle name="_SUMMARY _Sheet1" xfId="771"/>
    <cellStyle name="_SUMMARY _Sheet3" xfId="772"/>
    <cellStyle name="_SUMMARY _Z_Draft_010115" xfId="773"/>
    <cellStyle name="_SUMMARY _Z_Draft_123114_v1" xfId="774"/>
    <cellStyle name="_SUMMARY _Z_Draft_123114_v4" xfId="775"/>
    <cellStyle name="_Summary-ann cons by category" xfId="776"/>
    <cellStyle name="_Summary-ann cons by category_1" xfId="777"/>
    <cellStyle name="_t060425.soufun.tax payable.v2_20060612.soufun.deferred tax reconciliation v2 " xfId="778"/>
    <cellStyle name="_t060425.soufun.tax payable.v2_20060612.soufun.deferred tax reconciliation v2  2" xfId="779"/>
    <cellStyle name="_t060425.soufun.tax payable.v2_20060612.soufun.deferred tax reconciliation v2---0618-2210 " xfId="780"/>
    <cellStyle name="_t060425.soufun.tax payable.v2_20060612.soufun.deferred tax reconciliation v2---0618-2210  2" xfId="781"/>
    <cellStyle name="_t060425.soufun.tax payable.v2_20060623.soufun.deferred tax reconciliation v2 " xfId="782"/>
    <cellStyle name="_t060425.soufun.tax payable.v2_20060623.soufun.deferred tax reconciliation v2  2" xfId="783"/>
    <cellStyle name="_t060425.soufun.tax payable.v2_20060626.soufun.deferred tax reconciliation v1 " xfId="784"/>
    <cellStyle name="_t060425.soufun.tax payable.v2_20060626.soufun.deferred tax reconciliation v1  2" xfId="785"/>
    <cellStyle name="_t060425.soufun.tax payable.v2_20060626.soufun.deferred tax reconciliation v12 " xfId="786"/>
    <cellStyle name="_t060425.soufun.tax payable.v2_20060626.soufun.deferred tax reconciliation v12  2" xfId="787"/>
    <cellStyle name="_t060425.soufun.tax payable.v2_20060626.soufun.deferred tax reconciliation v7 " xfId="788"/>
    <cellStyle name="_t060425.soufun.tax payable.v2_20060626.soufun.deferred tax reconciliation v7  2" xfId="789"/>
    <cellStyle name="_t060425.soufun.tax payable.v2_20060626.soufun.deferred tax reconciliation v8 " xfId="790"/>
    <cellStyle name="_t060425.soufun.tax payable.v2_20060626.soufun.deferred tax reconciliation v8  2" xfId="791"/>
    <cellStyle name="_t060425.soufun.tax payable.v2_20060812.soufun.deferred tax reconciliation v14 " xfId="792"/>
    <cellStyle name="_t060425.soufun.tax payable.v2_20060812.soufun.deferred tax reconciliation v14  2" xfId="793"/>
    <cellStyle name="_Table" xfId="794"/>
    <cellStyle name="_TableHead" xfId="795"/>
    <cellStyle name="_TableRowHead" xfId="796"/>
    <cellStyle name="_TableSuperHead" xfId="797"/>
    <cellStyle name="_Telecom update may 03 New " xfId="798"/>
    <cellStyle name="_Telecom update may 03 New  2" xfId="799"/>
    <cellStyle name="_TemplateSheets" xfId="800"/>
    <cellStyle name="_TemplateSheets 2" xfId="801"/>
    <cellStyle name="_Tianjin Base" xfId="802"/>
    <cellStyle name="_Tianjin Base 2" xfId="803"/>
    <cellStyle name="_TPD Base" xfId="804"/>
    <cellStyle name="_TPD Base 2" xfId="805"/>
    <cellStyle name="_US GAAP_Copy of Model2018_AAC_(WIP) " xfId="806"/>
    <cellStyle name="_Valuation" xfId="807"/>
    <cellStyle name="_VNTModellastestimates_Telecom update may 03 New " xfId="808"/>
    <cellStyle name="_VNTModellastestimates_Telecom update may 03 New  2" xfId="809"/>
    <cellStyle name="_VOUCH_20060612.soufun.deferred tax reconciliation v2 " xfId="810"/>
    <cellStyle name="_VOUCH_20060612.soufun.deferred tax reconciliation v2  2" xfId="811"/>
    <cellStyle name="_VOUCH_20060612.soufun.deferred tax reconciliation v2---0618-2210 " xfId="812"/>
    <cellStyle name="_VOUCH_20060612.soufun.deferred tax reconciliation v2---0618-2210  2" xfId="813"/>
    <cellStyle name="_VOUCH_20060623.soufun.deferred tax reconciliation v2 " xfId="814"/>
    <cellStyle name="_VOUCH_20060623.soufun.deferred tax reconciliation v2  2" xfId="815"/>
    <cellStyle name="_VOUCH_20060626.soufun.deferred tax reconciliation v1 " xfId="816"/>
    <cellStyle name="_VOUCH_20060626.soufun.deferred tax reconciliation v1  2" xfId="817"/>
    <cellStyle name="_VOUCH_20060626.soufun.deferred tax reconciliation v12 " xfId="818"/>
    <cellStyle name="_VOUCH_20060626.soufun.deferred tax reconciliation v12  2" xfId="819"/>
    <cellStyle name="_VOUCH_20060626.soufun.deferred tax reconciliation v7 " xfId="820"/>
    <cellStyle name="_VOUCH_20060626.soufun.deferred tax reconciliation v7  2" xfId="821"/>
    <cellStyle name="_VOUCH_20060626.soufun.deferred tax reconciliation v8 " xfId="822"/>
    <cellStyle name="_VOUCH_20060626.soufun.deferred tax reconciliation v8  2" xfId="823"/>
    <cellStyle name="_VOUCH_20060812.soufun.deferred tax reconciliation v14 " xfId="824"/>
    <cellStyle name="_VOUCH_20060812.soufun.deferred tax reconciliation v14  2" xfId="825"/>
    <cellStyle name="_Wireline Tel Forecast " xfId="826"/>
    <cellStyle name="_Wireline Tel Forecast  2" xfId="827"/>
    <cellStyle name="_XIAC" xfId="828"/>
    <cellStyle name="_XIAC (2)" xfId="829"/>
    <cellStyle name="_XIAC (2) 2" xfId="830"/>
    <cellStyle name="_XIAC 2" xfId="831"/>
    <cellStyle name="_XIAC 3" xfId="832"/>
    <cellStyle name="_XIAC 4" xfId="833"/>
    <cellStyle name="_XIAC 5" xfId="834"/>
    <cellStyle name="_Yield on TL loan book " xfId="835"/>
    <cellStyle name="_Zhejiang" xfId="836"/>
    <cellStyle name="_Zhejiang 2" xfId="837"/>
    <cellStyle name="_ZJEC" xfId="838"/>
    <cellStyle name="_ZJEC 2" xfId="839"/>
    <cellStyle name="_内_20060612.soufun.deferred tax reconciliation v2 " xfId="840"/>
    <cellStyle name="_内_20060612.soufun.deferred tax reconciliation v2  2" xfId="841"/>
    <cellStyle name="_内_20060612.soufun.deferred tax reconciliation v2---0618-2210 " xfId="842"/>
    <cellStyle name="_内_20060612.soufun.deferred tax reconciliation v2---0618-2210  2" xfId="843"/>
    <cellStyle name="_内_20060623.soufun.deferred tax reconciliation v2 " xfId="844"/>
    <cellStyle name="_内_20060623.soufun.deferred tax reconciliation v2  2" xfId="845"/>
    <cellStyle name="_内_20060626.soufun.deferred tax reconciliation v1 " xfId="846"/>
    <cellStyle name="_内_20060626.soufun.deferred tax reconciliation v1  2" xfId="847"/>
    <cellStyle name="_内_20060626.soufun.deferred tax reconciliation v12 " xfId="848"/>
    <cellStyle name="_内_20060626.soufun.deferred tax reconciliation v12  2" xfId="849"/>
    <cellStyle name="_内_20060626.soufun.deferred tax reconciliation v7 " xfId="850"/>
    <cellStyle name="_内_20060626.soufun.deferred tax reconciliation v7  2" xfId="851"/>
    <cellStyle name="_内_20060626.soufun.deferred tax reconciliation v8 " xfId="852"/>
    <cellStyle name="_内_20060626.soufun.deferred tax reconciliation v8  2" xfId="853"/>
    <cellStyle name="_内_20060812.soufun.deferred tax reconciliation v14 " xfId="854"/>
    <cellStyle name="_内_20060812.soufun.deferred tax reconciliation v14  2" xfId="855"/>
    <cellStyle name="_外_20060612.soufun.deferred tax reconciliation v2 " xfId="856"/>
    <cellStyle name="_外_20060612.soufun.deferred tax reconciliation v2  2" xfId="857"/>
    <cellStyle name="_外_20060612.soufun.deferred tax reconciliation v2---0618-2210 " xfId="858"/>
    <cellStyle name="_外_20060612.soufun.deferred tax reconciliation v2---0618-2210  2" xfId="859"/>
    <cellStyle name="_外_20060623.soufun.deferred tax reconciliation v2 " xfId="860"/>
    <cellStyle name="_外_20060623.soufun.deferred tax reconciliation v2  2" xfId="861"/>
    <cellStyle name="_外_20060626.soufun.deferred tax reconciliation v1 " xfId="862"/>
    <cellStyle name="_外_20060626.soufun.deferred tax reconciliation v1  2" xfId="863"/>
    <cellStyle name="_外_20060626.soufun.deferred tax reconciliation v12 " xfId="864"/>
    <cellStyle name="_外_20060626.soufun.deferred tax reconciliation v12  2" xfId="865"/>
    <cellStyle name="_外_20060626.soufun.deferred tax reconciliation v7 " xfId="866"/>
    <cellStyle name="_外_20060626.soufun.deferred tax reconciliation v7  2" xfId="867"/>
    <cellStyle name="_外_20060626.soufun.deferred tax reconciliation v8 " xfId="868"/>
    <cellStyle name="_外_20060626.soufun.deferred tax reconciliation v8  2" xfId="869"/>
    <cellStyle name="_外_20060812.soufun.deferred tax reconciliation v14 " xfId="870"/>
    <cellStyle name="_外_20060812.soufun.deferred tax reconciliation v14  2" xfId="871"/>
    <cellStyle name="{Comma [0]}" xfId="872"/>
    <cellStyle name="{Comma}" xfId="873"/>
    <cellStyle name="{Date}" xfId="874"/>
    <cellStyle name="{Month}" xfId="875"/>
    <cellStyle name="{Percent}" xfId="876"/>
    <cellStyle name="{Thousand [0]}" xfId="877"/>
    <cellStyle name="{Thousand}" xfId="878"/>
    <cellStyle name="{Z'0000(1 dec)}" xfId="879"/>
    <cellStyle name="{Z'0000(4 dec)}" xfId="880"/>
    <cellStyle name="’Ê‰Ý [0.00]_COMPANY" xfId="881"/>
    <cellStyle name="’Ê‰Ý_COMPANY" xfId="882"/>
    <cellStyle name="“ú–{Œê" xfId="883"/>
    <cellStyle name="“ú–{Œê 10" xfId="884"/>
    <cellStyle name="“ú–{Œê 10 2" xfId="885"/>
    <cellStyle name="“ú–{Œê 10 3" xfId="886"/>
    <cellStyle name="“ú–{Œê 10 4" xfId="887"/>
    <cellStyle name="“ú–{Œê 10 5" xfId="888"/>
    <cellStyle name="“ú–{Œê 10 6" xfId="889"/>
    <cellStyle name="“ú–{Œê 10 7" xfId="890"/>
    <cellStyle name="“ú–{Œê 11" xfId="891"/>
    <cellStyle name="“ú–{Œê 11 2" xfId="892"/>
    <cellStyle name="“ú–{Œê 11 3" xfId="893"/>
    <cellStyle name="“ú–{Œê 11 4" xfId="894"/>
    <cellStyle name="“ú–{Œê 11 5" xfId="895"/>
    <cellStyle name="“ú–{Œê 11 6" xfId="896"/>
    <cellStyle name="“ú–{Œê 11 7" xfId="897"/>
    <cellStyle name="“ú–{Œê 12" xfId="898"/>
    <cellStyle name="“ú–{Œê 12 2" xfId="899"/>
    <cellStyle name="“ú–{Œê 12 3" xfId="900"/>
    <cellStyle name="“ú–{Œê 12 4" xfId="901"/>
    <cellStyle name="“ú–{Œê 12 5" xfId="902"/>
    <cellStyle name="“ú–{Œê 12 6" xfId="903"/>
    <cellStyle name="“ú–{Œê 13" xfId="904"/>
    <cellStyle name="“ú–{Œê 13 2" xfId="905"/>
    <cellStyle name="“ú–{Œê 13 3" xfId="906"/>
    <cellStyle name="“ú–{Œê 13 4" xfId="907"/>
    <cellStyle name="“ú–{Œê 13 5" xfId="908"/>
    <cellStyle name="“ú–{Œê 13 6" xfId="909"/>
    <cellStyle name="“ú–{Œê 14" xfId="910"/>
    <cellStyle name="“ú–{Œê 15" xfId="911"/>
    <cellStyle name="“ú–{Œê 16" xfId="912"/>
    <cellStyle name="“ú–{Œê 17" xfId="913"/>
    <cellStyle name="“ú–{Œê 2" xfId="914"/>
    <cellStyle name="“ú–{Œê 2 10" xfId="915"/>
    <cellStyle name="“ú–{Œê 2 10 2" xfId="916"/>
    <cellStyle name="“ú–{Œê 2 10 3" xfId="917"/>
    <cellStyle name="“ú–{Œê 2 10 4" xfId="918"/>
    <cellStyle name="“ú–{Œê 2 10 5" xfId="919"/>
    <cellStyle name="“ú–{Œê 2 10 6" xfId="920"/>
    <cellStyle name="“ú–{Œê 2 11" xfId="921"/>
    <cellStyle name="“ú–{Œê 2 11 2" xfId="922"/>
    <cellStyle name="“ú–{Œê 2 11 3" xfId="923"/>
    <cellStyle name="“ú–{Œê 2 11 4" xfId="924"/>
    <cellStyle name="“ú–{Œê 2 11 5" xfId="925"/>
    <cellStyle name="“ú–{Œê 2 11 6" xfId="926"/>
    <cellStyle name="“ú–{Œê 2 12" xfId="927"/>
    <cellStyle name="“ú–{Œê 2 13" xfId="928"/>
    <cellStyle name="“ú–{Œê 2 14" xfId="929"/>
    <cellStyle name="“ú–{Œê 2 15" xfId="930"/>
    <cellStyle name="“ú–{Œê 2 2" xfId="931"/>
    <cellStyle name="“ú–{Œê 2 2 2" xfId="932"/>
    <cellStyle name="“ú–{Œê 2 2 3" xfId="933"/>
    <cellStyle name="“ú–{Œê 2 2 4" xfId="934"/>
    <cellStyle name="“ú–{Œê 2 2 5" xfId="935"/>
    <cellStyle name="“ú–{Œê 2 2 6" xfId="936"/>
    <cellStyle name="“ú–{Œê 2 2 7" xfId="937"/>
    <cellStyle name="“ú–{Œê 2 3" xfId="938"/>
    <cellStyle name="“ú–{Œê 2 3 2" xfId="939"/>
    <cellStyle name="“ú–{Œê 2 3 3" xfId="940"/>
    <cellStyle name="“ú–{Œê 2 3 4" xfId="941"/>
    <cellStyle name="“ú–{Œê 2 3 5" xfId="942"/>
    <cellStyle name="“ú–{Œê 2 3 6" xfId="943"/>
    <cellStyle name="“ú–{Œê 2 3 7" xfId="944"/>
    <cellStyle name="“ú–{Œê 2 4" xfId="945"/>
    <cellStyle name="“ú–{Œê 2 4 2" xfId="946"/>
    <cellStyle name="“ú–{Œê 2 4 3" xfId="947"/>
    <cellStyle name="“ú–{Œê 2 4 4" xfId="948"/>
    <cellStyle name="“ú–{Œê 2 4 5" xfId="949"/>
    <cellStyle name="“ú–{Œê 2 4 6" xfId="950"/>
    <cellStyle name="“ú–{Œê 2 4 7" xfId="951"/>
    <cellStyle name="“ú–{Œê 2 5" xfId="952"/>
    <cellStyle name="“ú–{Œê 2 5 2" xfId="953"/>
    <cellStyle name="“ú–{Œê 2 5 3" xfId="954"/>
    <cellStyle name="“ú–{Œê 2 5 4" xfId="955"/>
    <cellStyle name="“ú–{Œê 2 5 5" xfId="956"/>
    <cellStyle name="“ú–{Œê 2 5 6" xfId="957"/>
    <cellStyle name="“ú–{Œê 2 5 7" xfId="958"/>
    <cellStyle name="“ú–{Œê 2 6" xfId="959"/>
    <cellStyle name="“ú–{Œê 2 6 2" xfId="960"/>
    <cellStyle name="“ú–{Œê 2 6 3" xfId="961"/>
    <cellStyle name="“ú–{Œê 2 6 4" xfId="962"/>
    <cellStyle name="“ú–{Œê 2 6 5" xfId="963"/>
    <cellStyle name="“ú–{Œê 2 6 6" xfId="964"/>
    <cellStyle name="“ú–{Œê 2 6 7" xfId="965"/>
    <cellStyle name="“ú–{Œê 2 7" xfId="966"/>
    <cellStyle name="“ú–{Œê 2 7 2" xfId="967"/>
    <cellStyle name="“ú–{Œê 2 7 3" xfId="968"/>
    <cellStyle name="“ú–{Œê 2 7 4" xfId="969"/>
    <cellStyle name="“ú–{Œê 2 7 5" xfId="970"/>
    <cellStyle name="“ú–{Œê 2 7 6" xfId="971"/>
    <cellStyle name="“ú–{Œê 2 7 7" xfId="972"/>
    <cellStyle name="“ú–{Œê 2 8" xfId="973"/>
    <cellStyle name="“ú–{Œê 2 8 2" xfId="974"/>
    <cellStyle name="“ú–{Œê 2 8 3" xfId="975"/>
    <cellStyle name="“ú–{Œê 2 8 4" xfId="976"/>
    <cellStyle name="“ú–{Œê 2 8 5" xfId="977"/>
    <cellStyle name="“ú–{Œê 2 8 6" xfId="978"/>
    <cellStyle name="“ú–{Œê 2 8 7" xfId="979"/>
    <cellStyle name="“ú–{Œê 2 9" xfId="980"/>
    <cellStyle name="“ú–{Œê 2 9 2" xfId="981"/>
    <cellStyle name="“ú–{Œê 2 9 3" xfId="982"/>
    <cellStyle name="“ú–{Œê 2 9 4" xfId="983"/>
    <cellStyle name="“ú–{Œê 2 9 5" xfId="984"/>
    <cellStyle name="“ú–{Œê 2 9 6" xfId="985"/>
    <cellStyle name="“ú–{Œê 2 9 7" xfId="986"/>
    <cellStyle name="“ú–{Œê 3" xfId="987"/>
    <cellStyle name="“ú–{Œê 3 10" xfId="988"/>
    <cellStyle name="“ú–{Œê 3 10 2" xfId="989"/>
    <cellStyle name="“ú–{Œê 3 10 3" xfId="990"/>
    <cellStyle name="“ú–{Œê 3 10 4" xfId="991"/>
    <cellStyle name="“ú–{Œê 3 10 5" xfId="992"/>
    <cellStyle name="“ú–{Œê 3 10 6" xfId="993"/>
    <cellStyle name="“ú–{Œê 3 11" xfId="994"/>
    <cellStyle name="“ú–{Œê 3 11 2" xfId="995"/>
    <cellStyle name="“ú–{Œê 3 11 3" xfId="996"/>
    <cellStyle name="“ú–{Œê 3 11 4" xfId="997"/>
    <cellStyle name="“ú–{Œê 3 11 5" xfId="998"/>
    <cellStyle name="“ú–{Œê 3 11 6" xfId="999"/>
    <cellStyle name="“ú–{Œê 3 12" xfId="1000"/>
    <cellStyle name="“ú–{Œê 3 13" xfId="1001"/>
    <cellStyle name="“ú–{Œê 3 14" xfId="1002"/>
    <cellStyle name="“ú–{Œê 3 15" xfId="1003"/>
    <cellStyle name="“ú–{Œê 3 2" xfId="1004"/>
    <cellStyle name="“ú–{Œê 3 2 2" xfId="1005"/>
    <cellStyle name="“ú–{Œê 3 2 3" xfId="1006"/>
    <cellStyle name="“ú–{Œê 3 2 4" xfId="1007"/>
    <cellStyle name="“ú–{Œê 3 2 5" xfId="1008"/>
    <cellStyle name="“ú–{Œê 3 2 6" xfId="1009"/>
    <cellStyle name="“ú–{Œê 3 2 7" xfId="1010"/>
    <cellStyle name="“ú–{Œê 3 3" xfId="1011"/>
    <cellStyle name="“ú–{Œê 3 3 2" xfId="1012"/>
    <cellStyle name="“ú–{Œê 3 3 3" xfId="1013"/>
    <cellStyle name="“ú–{Œê 3 3 4" xfId="1014"/>
    <cellStyle name="“ú–{Œê 3 3 5" xfId="1015"/>
    <cellStyle name="“ú–{Œê 3 3 6" xfId="1016"/>
    <cellStyle name="“ú–{Œê 3 3 7" xfId="1017"/>
    <cellStyle name="“ú–{Œê 3 4" xfId="1018"/>
    <cellStyle name="“ú–{Œê 3 4 2" xfId="1019"/>
    <cellStyle name="“ú–{Œê 3 4 3" xfId="1020"/>
    <cellStyle name="“ú–{Œê 3 4 4" xfId="1021"/>
    <cellStyle name="“ú–{Œê 3 4 5" xfId="1022"/>
    <cellStyle name="“ú–{Œê 3 4 6" xfId="1023"/>
    <cellStyle name="“ú–{Œê 3 4 7" xfId="1024"/>
    <cellStyle name="“ú–{Œê 3 5" xfId="1025"/>
    <cellStyle name="“ú–{Œê 3 5 2" xfId="1026"/>
    <cellStyle name="“ú–{Œê 3 5 3" xfId="1027"/>
    <cellStyle name="“ú–{Œê 3 5 4" xfId="1028"/>
    <cellStyle name="“ú–{Œê 3 5 5" xfId="1029"/>
    <cellStyle name="“ú–{Œê 3 5 6" xfId="1030"/>
    <cellStyle name="“ú–{Œê 3 5 7" xfId="1031"/>
    <cellStyle name="“ú–{Œê 3 6" xfId="1032"/>
    <cellStyle name="“ú–{Œê 3 6 2" xfId="1033"/>
    <cellStyle name="“ú–{Œê 3 6 3" xfId="1034"/>
    <cellStyle name="“ú–{Œê 3 6 4" xfId="1035"/>
    <cellStyle name="“ú–{Œê 3 6 5" xfId="1036"/>
    <cellStyle name="“ú–{Œê 3 6 6" xfId="1037"/>
    <cellStyle name="“ú–{Œê 3 6 7" xfId="1038"/>
    <cellStyle name="“ú–{Œê 3 7" xfId="1039"/>
    <cellStyle name="“ú–{Œê 3 7 2" xfId="1040"/>
    <cellStyle name="“ú–{Œê 3 7 3" xfId="1041"/>
    <cellStyle name="“ú–{Œê 3 7 4" xfId="1042"/>
    <cellStyle name="“ú–{Œê 3 7 5" xfId="1043"/>
    <cellStyle name="“ú–{Œê 3 7 6" xfId="1044"/>
    <cellStyle name="“ú–{Œê 3 7 7" xfId="1045"/>
    <cellStyle name="“ú–{Œê 3 8" xfId="1046"/>
    <cellStyle name="“ú–{Œê 3 8 2" xfId="1047"/>
    <cellStyle name="“ú–{Œê 3 8 3" xfId="1048"/>
    <cellStyle name="“ú–{Œê 3 8 4" xfId="1049"/>
    <cellStyle name="“ú–{Œê 3 8 5" xfId="1050"/>
    <cellStyle name="“ú–{Œê 3 8 6" xfId="1051"/>
    <cellStyle name="“ú–{Œê 3 8 7" xfId="1052"/>
    <cellStyle name="“ú–{Œê 3 9" xfId="1053"/>
    <cellStyle name="“ú–{Œê 3 9 2" xfId="1054"/>
    <cellStyle name="“ú–{Œê 3 9 3" xfId="1055"/>
    <cellStyle name="“ú–{Œê 3 9 4" xfId="1056"/>
    <cellStyle name="“ú–{Œê 3 9 5" xfId="1057"/>
    <cellStyle name="“ú–{Œê 3 9 6" xfId="1058"/>
    <cellStyle name="“ú–{Œê 3 9 7" xfId="1059"/>
    <cellStyle name="“ú–{Œê 4" xfId="1060"/>
    <cellStyle name="“ú–{Œê 4 2" xfId="1061"/>
    <cellStyle name="“ú–{Œê 4 3" xfId="1062"/>
    <cellStyle name="“ú–{Œê 4 4" xfId="1063"/>
    <cellStyle name="“ú–{Œê 4 5" xfId="1064"/>
    <cellStyle name="“ú–{Œê 4 6" xfId="1065"/>
    <cellStyle name="“ú–{Œê 4 7" xfId="1066"/>
    <cellStyle name="“ú–{Œê 5" xfId="1067"/>
    <cellStyle name="“ú–{Œê 5 2" xfId="1068"/>
    <cellStyle name="“ú–{Œê 5 3" xfId="1069"/>
    <cellStyle name="“ú–{Œê 5 4" xfId="1070"/>
    <cellStyle name="“ú–{Œê 5 5" xfId="1071"/>
    <cellStyle name="“ú–{Œê 5 6" xfId="1072"/>
    <cellStyle name="“ú–{Œê 5 7" xfId="1073"/>
    <cellStyle name="“ú–{Œê 6" xfId="1074"/>
    <cellStyle name="“ú–{Œê 6 2" xfId="1075"/>
    <cellStyle name="“ú–{Œê 6 3" xfId="1076"/>
    <cellStyle name="“ú–{Œê 6 4" xfId="1077"/>
    <cellStyle name="“ú–{Œê 6 5" xfId="1078"/>
    <cellStyle name="“ú–{Œê 6 6" xfId="1079"/>
    <cellStyle name="“ú–{Œê 6 7" xfId="1080"/>
    <cellStyle name="“ú–{Œê 7" xfId="1081"/>
    <cellStyle name="“ú–{Œê 7 2" xfId="1082"/>
    <cellStyle name="“ú–{Œê 7 3" xfId="1083"/>
    <cellStyle name="“ú–{Œê 7 4" xfId="1084"/>
    <cellStyle name="“ú–{Œê 7 5" xfId="1085"/>
    <cellStyle name="“ú–{Œê 7 6" xfId="1086"/>
    <cellStyle name="“ú–{Œê 7 7" xfId="1087"/>
    <cellStyle name="“ú–{Œê 8" xfId="1088"/>
    <cellStyle name="“ú–{Œê 8 2" xfId="1089"/>
    <cellStyle name="“ú–{Œê 8 3" xfId="1090"/>
    <cellStyle name="“ú–{Œê 8 4" xfId="1091"/>
    <cellStyle name="“ú–{Œê 8 5" xfId="1092"/>
    <cellStyle name="“ú–{Œê 8 6" xfId="1093"/>
    <cellStyle name="“ú–{Œê 8 7" xfId="1094"/>
    <cellStyle name="“ú–{Œê 9" xfId="1095"/>
    <cellStyle name="“ú–{Œê 9 2" xfId="1096"/>
    <cellStyle name="“ú–{Œê 9 3" xfId="1097"/>
    <cellStyle name="“ú–{Œê 9 4" xfId="1098"/>
    <cellStyle name="“ú–{Œê 9 5" xfId="1099"/>
    <cellStyle name="“ú–{Œê 9 6" xfId="1100"/>
    <cellStyle name="“ú–{Œê 9 7" xfId="1101"/>
    <cellStyle name="£ BP" xfId="1102"/>
    <cellStyle name="£ BP 2" xfId="1103"/>
    <cellStyle name="¥ JY" xfId="1104"/>
    <cellStyle name="¥ JY 2" xfId="1105"/>
    <cellStyle name="=C:\WINNT\SYSTEM32\COMMAND.COM" xfId="1106"/>
    <cellStyle name="=C:\WINNT\SYSTEM32\COMMAND.COM 2" xfId="1107"/>
    <cellStyle name="=C:\WINNT35\SYSTEM32\COMMAND.COM" xfId="1108"/>
    <cellStyle name="=C:\WINNT35\SYSTEM32\COMMAND.COM 2" xfId="1109"/>
    <cellStyle name="=C:\WINNT35\SYSTEM32\COMMAND.COM 2 2" xfId="1110"/>
    <cellStyle name="=C:\WINNT35\SYSTEM32\COMMAND.COM 3" xfId="1111"/>
    <cellStyle name="=C:\WINNT35\SYSTEM32\COMMAND.COM 3 2" xfId="1112"/>
    <cellStyle name="=C:\WINNT35\SYSTEM32\COMMAND.COM 3 2 2" xfId="1113"/>
    <cellStyle name="=C:\WINNT35\SYSTEM32\COMMAND.COM 3 3" xfId="1114"/>
    <cellStyle name="=C:\WINNT35\SYSTEM32\COMMAND.COM 4" xfId="1115"/>
    <cellStyle name="§Q\?1@" xfId="1116"/>
    <cellStyle name="§Q\òm1@À" xfId="1117"/>
    <cellStyle name="•W€_Comparables" xfId="1118"/>
    <cellStyle name="•W_EditLog" xfId="1119"/>
    <cellStyle name="æØè [0.00]_COMPANY" xfId="1120"/>
    <cellStyle name="æØè_COMPANY" xfId="1121"/>
    <cellStyle name="ÊÝ [0.00]_COMPANY" xfId="1122"/>
    <cellStyle name="ÊÝ_COMPANY" xfId="1123"/>
    <cellStyle name="W_GTParent" xfId="1124"/>
    <cellStyle name="0" xfId="1125"/>
    <cellStyle name="0 2" xfId="1126"/>
    <cellStyle name="0%" xfId="1127"/>
    <cellStyle name="0% 2" xfId="1128"/>
    <cellStyle name="0.0" xfId="1129"/>
    <cellStyle name="0.0 2" xfId="1130"/>
    <cellStyle name="0.0%" xfId="1131"/>
    <cellStyle name="0.0% 2" xfId="1132"/>
    <cellStyle name="0.0_000039" xfId="1133"/>
    <cellStyle name="0.00" xfId="1134"/>
    <cellStyle name="0.00 2" xfId="1135"/>
    <cellStyle name="0.00%" xfId="1136"/>
    <cellStyle name="0.00% 2" xfId="1137"/>
    <cellStyle name="0.00_40050504 (pension)" xfId="1138"/>
    <cellStyle name="0_000039" xfId="1139"/>
    <cellStyle name="0_40050504 (pension)" xfId="1140"/>
    <cellStyle name="0_9952 formal model(070322)-1" xfId="1141"/>
    <cellStyle name="0_Book4" xfId="1142"/>
    <cellStyle name="0_bs" xfId="1143"/>
    <cellStyle name="0_bs 2" xfId="1144"/>
    <cellStyle name="0_CALMODC-Modelware-test" xfId="1145"/>
    <cellStyle name="0_Capacity Module" xfId="1146"/>
    <cellStyle name="0_Capex &amp; Depreciation " xfId="2"/>
    <cellStyle name="0_Capex &amp; Depreciation  2" xfId="1147"/>
    <cellStyle name="0_Capex &amp; Depreciation  3" xfId="1148"/>
    <cellStyle name="0_Capex &amp; Depreciation _000039" xfId="1149"/>
    <cellStyle name="0_Capex &amp; Depreciation _000157_Mar2009" xfId="1150"/>
    <cellStyle name="0_Capex &amp; Depreciation _000157_Mar2009 2" xfId="1151"/>
    <cellStyle name="0_Capex &amp; Depreciation _600031_Mar2009" xfId="1152"/>
    <cellStyle name="0_Capex &amp; Depreciation _600031_Mar2009 2" xfId="1153"/>
    <cellStyle name="0_Capex &amp; Depreciation _600150_Jan2009" xfId="1154"/>
    <cellStyle name="0_Capex &amp; Depreciation _Annual" xfId="1155"/>
    <cellStyle name="0_Capex &amp; Depreciation _CIMC IS" xfId="1156"/>
    <cellStyle name="0_Capex &amp; Depreciation _CMHI-em-modelware.Now" xfId="1157"/>
    <cellStyle name="0_Capex &amp; Depreciation _CMHI-em-modelware.Now 2" xfId="1158"/>
    <cellStyle name="0_Capex &amp; Depreciation _CSD-traffic_MS" xfId="1159"/>
    <cellStyle name="0_Capex &amp; Depreciation _DCF" xfId="1160"/>
    <cellStyle name="0_Capex &amp; Depreciation _JSEC-177.em.Now" xfId="1161"/>
    <cellStyle name="0_Capex &amp; Depreciation _Main" xfId="1162"/>
    <cellStyle name="0_Capex &amp; Depreciation _mwareDates" xfId="1163"/>
    <cellStyle name="0_Capex &amp; Depreciation _mwareDates_1" xfId="1164"/>
    <cellStyle name="0_Capex &amp; Depreciation _Pop and Inc_CEIC_20140619" xfId="1165"/>
    <cellStyle name="0_Capex &amp; Depreciation _Quarterly" xfId="1166"/>
    <cellStyle name="0_Capex &amp; Depreciation _Quarterly_mwareDates" xfId="1167"/>
    <cellStyle name="0_Capex &amp; Depreciation _RRS1" xfId="1168"/>
    <cellStyle name="0_Capex &amp; Depreciation _RRS1_000039_Ini" xfId="1169"/>
    <cellStyle name="0_Capex &amp; Depreciation _RRS1_1" xfId="1170"/>
    <cellStyle name="0_Capex &amp; Depreciation _RRS1_CIMC-000039.Now" xfId="1171"/>
    <cellStyle name="0_Capex &amp; Depreciation _RRS1_MWA RR_000039.SZ" xfId="1172"/>
    <cellStyle name="0_Capex &amp; Depreciation _RRS1_MWA RR_200039.SZ" xfId="1173"/>
    <cellStyle name="0_Capex &amp; Depreciation _RRS1_New vs. Old" xfId="1174"/>
    <cellStyle name="0_Capex &amp; Depreciation _RRS6" xfId="1175"/>
    <cellStyle name="0_Capex &amp; Depreciation _RRS6_000039_Ini" xfId="1176"/>
    <cellStyle name="0_Capex &amp; Depreciation _RRS6_CIMC-000039.Now" xfId="1177"/>
    <cellStyle name="0_Capex &amp; Depreciation _RRS6_MWA RR_000039.SZ" xfId="1178"/>
    <cellStyle name="0_Capex &amp; Depreciation _RRS6_MWA RR_200039.SZ" xfId="1179"/>
    <cellStyle name="0_Capex &amp; Depreciation _RRS6_New vs. Old" xfId="1180"/>
    <cellStyle name="0_Capex &amp; Depreciation _RRST1" xfId="1181"/>
    <cellStyle name="0_Capex &amp; Depreciation _RRST1 2" xfId="1182"/>
    <cellStyle name="0_Capex &amp; Depreciation _RRST14" xfId="1183"/>
    <cellStyle name="0_Capex &amp; Depreciation _RRST2" xfId="1184"/>
    <cellStyle name="0_Capex &amp; Depreciation _RRST3" xfId="1185"/>
    <cellStyle name="0_Capex &amp; Depreciation _Scenario" xfId="1186"/>
    <cellStyle name="0_Capex &amp; Depreciation _Sheet1" xfId="1187"/>
    <cellStyle name="0_Capex &amp; Depreciation _Sheet3" xfId="1188"/>
    <cellStyle name="0_Cashflow" xfId="1189"/>
    <cellStyle name="0_CIMC IS" xfId="1190"/>
    <cellStyle name="0_CMHI-em-modelware.Now" xfId="1191"/>
    <cellStyle name="0_Conso-inc" xfId="1192"/>
    <cellStyle name="0_Conso-inc 2" xfId="1193"/>
    <cellStyle name="0_Copy of Model2018_AAC_(WIP) " xfId="1194"/>
    <cellStyle name="0_CSA Base" xfId="1195"/>
    <cellStyle name="0_CSA Base 2" xfId="1196"/>
    <cellStyle name="0_Debt Module" xfId="1197"/>
    <cellStyle name="0_Eva-fs" xfId="1198"/>
    <cellStyle name="0_EVAMODC-Modelware" xfId="1199"/>
    <cellStyle name="0_Handset component data_Copy of Model2018_AAC_(WIP) " xfId="1200"/>
    <cellStyle name="0_IPR Playthingy " xfId="1201"/>
    <cellStyle name="0_Japan Pension Module Sumitomo Chemical" xfId="1202"/>
    <cellStyle name="0_JapaneseCatalog" xfId="1203"/>
    <cellStyle name="0_JapaneseCatalog 2" xfId="1204"/>
    <cellStyle name="0_JSEC-177.em.Now" xfId="1205"/>
    <cellStyle name="0_Lease examples 04082004" xfId="1206"/>
    <cellStyle name="0_Lease examples 23072004" xfId="1207"/>
    <cellStyle name="0_Lease Module" xfId="1208"/>
    <cellStyle name="0_Lease Module Neptune Orient example 2004-06-29" xfId="1209"/>
    <cellStyle name="0_Lonmin_request" xfId="1210"/>
    <cellStyle name="0_Lonmin_request 2" xfId="1211"/>
    <cellStyle name="0_MWAnalytics" xfId="1212"/>
    <cellStyle name="0_MWAnalytics 2" xfId="1213"/>
    <cellStyle name="0_MWAnalytics_v2" xfId="1214"/>
    <cellStyle name="0_MWAnalytics_v2 2" xfId="1215"/>
    <cellStyle name="0_NOLMODC-Modelware" xfId="1216"/>
    <cellStyle name="0_Rio_main" xfId="1217"/>
    <cellStyle name="0_Rio_main 2" xfId="1218"/>
    <cellStyle name="0_ShtReferance" xfId="1219"/>
    <cellStyle name="0_ShtReferance 2" xfId="1220"/>
    <cellStyle name="0_SIA-FS" xfId="1221"/>
    <cellStyle name="0_SIAMODC-Modelware" xfId="1222"/>
    <cellStyle name="0_SmartChart_B1035" xfId="1223"/>
    <cellStyle name="0_SmartChart_B1200" xfId="1224"/>
    <cellStyle name="0_SmartChart_C1035" xfId="1225"/>
    <cellStyle name="0_SmartChart_O1200" xfId="1226"/>
    <cellStyle name="0_TemplateSheets" xfId="1227"/>
    <cellStyle name="0_TemplateSheets 2" xfId="1228"/>
    <cellStyle name="0_Valuing BP " xfId="3"/>
    <cellStyle name="0_Valuing BP  2" xfId="1229"/>
    <cellStyle name="0_Valuing BP  3" xfId="1230"/>
    <cellStyle name="0_Valuing BP _000039" xfId="1231"/>
    <cellStyle name="0_Valuing BP _000157_Mar2009" xfId="1232"/>
    <cellStyle name="0_Valuing BP _000157_Mar2009 2" xfId="1233"/>
    <cellStyle name="0_Valuing BP _600031_Mar2009" xfId="1234"/>
    <cellStyle name="0_Valuing BP _600031_Mar2009 2" xfId="1235"/>
    <cellStyle name="0_Valuing BP _600150_Jan2009" xfId="1236"/>
    <cellStyle name="0_Valuing BP _Annual" xfId="1237"/>
    <cellStyle name="0_Valuing BP _CIMC IS" xfId="1238"/>
    <cellStyle name="0_Valuing BP _CMHI-em-modelware.Now" xfId="1239"/>
    <cellStyle name="0_Valuing BP _CMHI-em-modelware.Now 2" xfId="1240"/>
    <cellStyle name="0_Valuing BP _CSD-traffic_MS" xfId="1241"/>
    <cellStyle name="0_Valuing BP _DCF" xfId="1242"/>
    <cellStyle name="0_Valuing BP _JSEC-177.em.Now" xfId="1243"/>
    <cellStyle name="0_Valuing BP _Main" xfId="1244"/>
    <cellStyle name="0_Valuing BP _mwareDates" xfId="1245"/>
    <cellStyle name="0_Valuing BP _mwareDates_1" xfId="1246"/>
    <cellStyle name="0_Valuing BP _Pop and Inc_CEIC_20140619" xfId="1247"/>
    <cellStyle name="0_Valuing BP _Quarterly" xfId="1248"/>
    <cellStyle name="0_Valuing BP _Quarterly_mwareDates" xfId="1249"/>
    <cellStyle name="0_Valuing BP _RRS1" xfId="1250"/>
    <cellStyle name="0_Valuing BP _RRS1_000039_Ini" xfId="1251"/>
    <cellStyle name="0_Valuing BP _RRS1_1" xfId="1252"/>
    <cellStyle name="0_Valuing BP _RRS1_CIMC-000039.Now" xfId="1253"/>
    <cellStyle name="0_Valuing BP _RRS1_MWA RR_000039.SZ" xfId="1254"/>
    <cellStyle name="0_Valuing BP _RRS1_MWA RR_200039.SZ" xfId="1255"/>
    <cellStyle name="0_Valuing BP _RRS1_New vs. Old" xfId="1256"/>
    <cellStyle name="0_Valuing BP _RRS6" xfId="1257"/>
    <cellStyle name="0_Valuing BP _RRS6_000039_Ini" xfId="1258"/>
    <cellStyle name="0_Valuing BP _RRS6_CIMC-000039.Now" xfId="1259"/>
    <cellStyle name="0_Valuing BP _RRS6_MWA RR_000039.SZ" xfId="1260"/>
    <cellStyle name="0_Valuing BP _RRS6_MWA RR_200039.SZ" xfId="1261"/>
    <cellStyle name="0_Valuing BP _RRS6_New vs. Old" xfId="1262"/>
    <cellStyle name="0_Valuing BP _RRST1" xfId="1263"/>
    <cellStyle name="0_Valuing BP _RRST1 2" xfId="1264"/>
    <cellStyle name="0_Valuing BP _RRST14" xfId="1265"/>
    <cellStyle name="0_Valuing BP _RRST2" xfId="1266"/>
    <cellStyle name="0_Valuing BP _RRST3" xfId="1267"/>
    <cellStyle name="0_Valuing BP _Scenario" xfId="1268"/>
    <cellStyle name="0_Valuing BP _Sheet1" xfId="1269"/>
    <cellStyle name="0_Valuing BP _Sheet3" xfId="1270"/>
    <cellStyle name="0_Vendor revenues_Copy of Model2018_AAC_(WIP) " xfId="1271"/>
    <cellStyle name="0_Wireline Tel Forecast " xfId="1272"/>
    <cellStyle name="1 Decimal" xfId="1273"/>
    <cellStyle name="1,000" xfId="1274"/>
    <cellStyle name="1,000x" xfId="1275"/>
    <cellStyle name="1,000x 2" xfId="1276"/>
    <cellStyle name="1,comma" xfId="1277"/>
    <cellStyle name="1,comma 2" xfId="1278"/>
    <cellStyle name="1DEC%" xfId="1279"/>
    <cellStyle name="2 Decimals" xfId="1280"/>
    <cellStyle name="2 Decimals 2" xfId="1281"/>
    <cellStyle name="20% - Accent1 2" xfId="1282"/>
    <cellStyle name="20% - Accent1 2 2" xfId="1283"/>
    <cellStyle name="20% - Accent1 2 2 2" xfId="1284"/>
    <cellStyle name="20% - Accent1 3" xfId="1285"/>
    <cellStyle name="20% - Accent2 2" xfId="1286"/>
    <cellStyle name="20% - Accent2 2 2" xfId="1287"/>
    <cellStyle name="20% - Accent2 2 2 2" xfId="1288"/>
    <cellStyle name="20% - Accent2 3" xfId="1289"/>
    <cellStyle name="20% - Accent3 2" xfId="1290"/>
    <cellStyle name="20% - Accent3 2 2" xfId="1291"/>
    <cellStyle name="20% - Accent3 2 2 2" xfId="1292"/>
    <cellStyle name="20% - Accent3 3" xfId="1293"/>
    <cellStyle name="20% - Accent4 2" xfId="1294"/>
    <cellStyle name="20% - Accent4 2 2" xfId="1295"/>
    <cellStyle name="20% - Accent4 2 2 2" xfId="1296"/>
    <cellStyle name="20% - Accent4 3" xfId="1297"/>
    <cellStyle name="20% - Accent5 2" xfId="1298"/>
    <cellStyle name="20% - Accent5 2 2" xfId="1299"/>
    <cellStyle name="20% - Accent6 2" xfId="1300"/>
    <cellStyle name="20% - Accent6 2 2" xfId="1301"/>
    <cellStyle name="20% - Accent6 2 2 2" xfId="1302"/>
    <cellStyle name="20% - Accent6 3" xfId="1303"/>
    <cellStyle name="20% - 强调文字颜色 1" xfId="1304"/>
    <cellStyle name="20% - 强调文字颜色 1 2" xfId="1305"/>
    <cellStyle name="20% - 强调文字颜色 1 3" xfId="1306"/>
    <cellStyle name="20% - 强调文字颜色 2" xfId="1307"/>
    <cellStyle name="20% - 强调文字颜色 2 2" xfId="1308"/>
    <cellStyle name="20% - 强调文字颜色 2 3" xfId="1309"/>
    <cellStyle name="20% - 强调文字颜色 3" xfId="1310"/>
    <cellStyle name="20% - 强调文字颜色 3 2" xfId="1311"/>
    <cellStyle name="20% - 强调文字颜色 3 3" xfId="1312"/>
    <cellStyle name="20% - 强调文字颜色 4" xfId="1313"/>
    <cellStyle name="20% - 强调文字颜色 4 2" xfId="1314"/>
    <cellStyle name="20% - 强调文字颜色 4 3" xfId="1315"/>
    <cellStyle name="20% - 强调文字颜色 5" xfId="1316"/>
    <cellStyle name="20% - 强调文字颜色 6" xfId="1317"/>
    <cellStyle name="20% - 强调文字颜色 6 2" xfId="1318"/>
    <cellStyle name="20% - 强调文字颜色 6 3" xfId="1319"/>
    <cellStyle name="2002 1" xfId="1320"/>
    <cellStyle name="3 Decimals" xfId="1321"/>
    <cellStyle name="3 Decimals 2" xfId="1322"/>
    <cellStyle name="³£¹æ_PLDT" xfId="1323"/>
    <cellStyle name="3232" xfId="1324"/>
    <cellStyle name="3232 2" xfId="1325"/>
    <cellStyle name="3DEC" xfId="1326"/>
    <cellStyle name="40% - Accent1 2" xfId="1327"/>
    <cellStyle name="40% - Accent1 2 2" xfId="1328"/>
    <cellStyle name="40% - Accent1 2 2 2" xfId="1329"/>
    <cellStyle name="40% - Accent1 3" xfId="1330"/>
    <cellStyle name="40% - Accent2 2" xfId="1331"/>
    <cellStyle name="40% - Accent2 2 2" xfId="1332"/>
    <cellStyle name="40% - Accent3 2" xfId="1333"/>
    <cellStyle name="40% - Accent3 2 2" xfId="1334"/>
    <cellStyle name="40% - Accent3 2 2 2" xfId="1335"/>
    <cellStyle name="40% - Accent3 3" xfId="1336"/>
    <cellStyle name="40% - Accent4 2" xfId="1337"/>
    <cellStyle name="40% - Accent4 2 2" xfId="1338"/>
    <cellStyle name="40% - Accent4 2 2 2" xfId="1339"/>
    <cellStyle name="40% - Accent4 3" xfId="1340"/>
    <cellStyle name="40% - Accent5 2" xfId="1341"/>
    <cellStyle name="40% - Accent5 2 2" xfId="1342"/>
    <cellStyle name="40% - Accent6 2" xfId="1343"/>
    <cellStyle name="40% - Accent6 2 2" xfId="1344"/>
    <cellStyle name="40% - Accent6 2 2 2" xfId="1345"/>
    <cellStyle name="40% - Accent6 3" xfId="1346"/>
    <cellStyle name="40% - 强调文字颜色 1" xfId="1347"/>
    <cellStyle name="40% - 强调文字颜色 1 2" xfId="1348"/>
    <cellStyle name="40% - 强调文字颜色 1 3" xfId="1349"/>
    <cellStyle name="40% - 强调文字颜色 2" xfId="1350"/>
    <cellStyle name="40% - 强调文字颜色 3" xfId="1351"/>
    <cellStyle name="40% - 强调文字颜色 3 2" xfId="1352"/>
    <cellStyle name="40% - 强调文字颜色 3 3" xfId="1353"/>
    <cellStyle name="40% - 强调文字颜色 4" xfId="1354"/>
    <cellStyle name="40% - 强调文字颜色 4 2" xfId="1355"/>
    <cellStyle name="40% - 强调文字颜色 4 3" xfId="1356"/>
    <cellStyle name="40% - 强调文字颜色 5" xfId="1357"/>
    <cellStyle name="40% - 强调文字颜色 5 2" xfId="1358"/>
    <cellStyle name="40% - 强调文字颜色 5 3" xfId="1359"/>
    <cellStyle name="40% - 强调文字颜色 6" xfId="1360"/>
    <cellStyle name="40% - 强调文字颜色 6 2" xfId="1361"/>
    <cellStyle name="40% - 强调文字颜色 6 3" xfId="1362"/>
    <cellStyle name="60% - Accent1 2" xfId="1363"/>
    <cellStyle name="60% - Accent1 2 2" xfId="1364"/>
    <cellStyle name="60% - Accent1 2 2 2" xfId="1365"/>
    <cellStyle name="60% - Accent1 3" xfId="1366"/>
    <cellStyle name="60% - Accent2 2" xfId="1367"/>
    <cellStyle name="60% - Accent2 2 2" xfId="1368"/>
    <cellStyle name="60% - Accent3 2" xfId="1369"/>
    <cellStyle name="60% - Accent3 2 2" xfId="1370"/>
    <cellStyle name="60% - Accent3 2 2 2" xfId="1371"/>
    <cellStyle name="60% - Accent3 3" xfId="1372"/>
    <cellStyle name="60% - Accent4 2" xfId="1373"/>
    <cellStyle name="60% - Accent4 2 2" xfId="1374"/>
    <cellStyle name="60% - Accent4 2 2 2" xfId="1375"/>
    <cellStyle name="60% - Accent4 3" xfId="1376"/>
    <cellStyle name="60% - Accent5 2" xfId="1377"/>
    <cellStyle name="60% - Accent5 2 2" xfId="1378"/>
    <cellStyle name="60% - Accent6 2" xfId="1379"/>
    <cellStyle name="60% - Accent6 2 2" xfId="1380"/>
    <cellStyle name="60% - Accent6 2 2 2" xfId="1381"/>
    <cellStyle name="60% - Accent6 3" xfId="1382"/>
    <cellStyle name="60% - 强调文字颜色 1" xfId="1383"/>
    <cellStyle name="60% - 强调文字颜色 1 2" xfId="1384"/>
    <cellStyle name="60% - 强调文字颜色 1 3" xfId="1385"/>
    <cellStyle name="60% - 强调文字颜色 2" xfId="1386"/>
    <cellStyle name="60% - 强调文字颜色 2 2" xfId="1387"/>
    <cellStyle name="60% - 强调文字颜色 2 3" xfId="1388"/>
    <cellStyle name="60% - 强调文字颜色 3" xfId="1389"/>
    <cellStyle name="60% - 强调文字颜色 3 2" xfId="1390"/>
    <cellStyle name="60% - 强调文字颜色 3 3" xfId="1391"/>
    <cellStyle name="60% - 强调文字颜色 4" xfId="1392"/>
    <cellStyle name="60% - 强调文字颜色 4 2" xfId="1393"/>
    <cellStyle name="60% - 强调文字颜色 4 3" xfId="1394"/>
    <cellStyle name="60% - 强调文字颜色 5" xfId="1395"/>
    <cellStyle name="60% - 强调文字颜色 5 2" xfId="1396"/>
    <cellStyle name="60% - 强调文字颜色 5 3" xfId="1397"/>
    <cellStyle name="60% - 强调文字颜色 6" xfId="1398"/>
    <cellStyle name="60% - 强调文字颜色 6 2" xfId="1399"/>
    <cellStyle name="60% - 强调文字颜色 6 3" xfId="1400"/>
    <cellStyle name="752131" xfId="1401"/>
    <cellStyle name="9_MCEL-Disclosure-MRC2004-AP " xfId="1402"/>
    <cellStyle name="9_MCEL-Disclosure-MRC2004-AR " xfId="1403"/>
    <cellStyle name="9_MCEL-Disclosure-MRC2004-Inventory " xfId="1404"/>
    <cellStyle name="9_MCEL-Disclosure-MRC2004-Inventory reserve " xfId="1405"/>
    <cellStyle name="9_MCEL-Disclosure-MRC2004-tax " xfId="1406"/>
    <cellStyle name="A¨­￠￢￠O [0]_¨oCAuCoEⓒ÷ " xfId="1407"/>
    <cellStyle name="A¨­￠￢￠O_¨oCAuCoEⓒ÷ " xfId="1408"/>
    <cellStyle name="Accent1 2" xfId="1409"/>
    <cellStyle name="Accent1 2 2" xfId="1410"/>
    <cellStyle name="Accent1 2 2 2" xfId="1411"/>
    <cellStyle name="Accent1 3" xfId="1412"/>
    <cellStyle name="Accent2 2" xfId="1413"/>
    <cellStyle name="Accent2 2 2" xfId="1414"/>
    <cellStyle name="Accent2 2 2 2" xfId="1415"/>
    <cellStyle name="Accent3 2" xfId="1416"/>
    <cellStyle name="Accent3 2 2" xfId="1417"/>
    <cellStyle name="Accent3 2 2 2" xfId="1418"/>
    <cellStyle name="Accent4 2" xfId="1419"/>
    <cellStyle name="Accent4 2 2" xfId="1420"/>
    <cellStyle name="Accent4 2 2 2" xfId="1421"/>
    <cellStyle name="Accent4 3" xfId="1422"/>
    <cellStyle name="Accent5 2" xfId="1423"/>
    <cellStyle name="Accent5 2 2" xfId="1424"/>
    <cellStyle name="Accent6 2" xfId="1425"/>
    <cellStyle name="Accent6 2 2" xfId="1426"/>
    <cellStyle name="Accent6 2 2 2" xfId="1427"/>
    <cellStyle name="Account[0]" xfId="1428"/>
    <cellStyle name="Account[1]" xfId="1429"/>
    <cellStyle name="Account[2]" xfId="1430"/>
    <cellStyle name="Account[3]" xfId="1431"/>
    <cellStyle name="Acctg" xfId="1432"/>
    <cellStyle name="ActgNumber" xfId="1433"/>
    <cellStyle name="Actual data" xfId="1434"/>
    <cellStyle name="Actual data 2" xfId="1435"/>
    <cellStyle name="Actual Date" xfId="1436"/>
    <cellStyle name="Actual year" xfId="1437"/>
    <cellStyle name="Actual year 2" xfId="1438"/>
    <cellStyle name="Actuals Cells" xfId="1439"/>
    <cellStyle name="Actuals Cells 2" xfId="1440"/>
    <cellStyle name="ÅëÈ­ [0]_µ¥ÀÌÅ¸" xfId="1441"/>
    <cellStyle name="AeE­ [0]_¼oAa½CAu " xfId="1442"/>
    <cellStyle name="ÅëÈ­ [0]_cover " xfId="1443"/>
    <cellStyle name="AeE­ [0]_INQUIRY ¿μ¾÷AßAø " xfId="1444"/>
    <cellStyle name="ÅëÈ­_µ¥ÀÌÅ¸" xfId="1445"/>
    <cellStyle name="AeE­_¼oAa½CAu " xfId="1446"/>
    <cellStyle name="ÅëÈ­_cover " xfId="1447"/>
    <cellStyle name="AeE­_INQUIRY ¿μ¾÷AßAø " xfId="1448"/>
    <cellStyle name="AeE¡ⓒ [0]_¨oCAuCoEⓒ÷ " xfId="1449"/>
    <cellStyle name="AeE¡ⓒ_¨oCAuCoEⓒ÷ " xfId="1450"/>
    <cellStyle name="AFE" xfId="4"/>
    <cellStyle name="AFE 2" xfId="1451"/>
    <cellStyle name="AFE 2 2" xfId="1452"/>
    <cellStyle name="AFE 3" xfId="1453"/>
    <cellStyle name="AFE 3 2" xfId="1454"/>
    <cellStyle name="AFE 4" xfId="1455"/>
    <cellStyle name="ales" xfId="1456"/>
    <cellStyle name="AMN" xfId="1457"/>
    <cellStyle name="Arial6Bold" xfId="1458"/>
    <cellStyle name="Arial6Bold 10" xfId="1459"/>
    <cellStyle name="Arial6Bold 10 2" xfId="1460"/>
    <cellStyle name="Arial6Bold 10 3" xfId="1461"/>
    <cellStyle name="Arial6Bold 10 4" xfId="1462"/>
    <cellStyle name="Arial6Bold 10 5" xfId="1463"/>
    <cellStyle name="Arial6Bold 10 6" xfId="1464"/>
    <cellStyle name="Arial6Bold 10 7" xfId="1465"/>
    <cellStyle name="Arial6Bold 11" xfId="1466"/>
    <cellStyle name="Arial6Bold 11 2" xfId="1467"/>
    <cellStyle name="Arial6Bold 11 3" xfId="1468"/>
    <cellStyle name="Arial6Bold 11 4" xfId="1469"/>
    <cellStyle name="Arial6Bold 11 5" xfId="1470"/>
    <cellStyle name="Arial6Bold 11 6" xfId="1471"/>
    <cellStyle name="Arial6Bold 11 7" xfId="1472"/>
    <cellStyle name="Arial6Bold 12" xfId="1473"/>
    <cellStyle name="Arial6Bold 12 2" xfId="1474"/>
    <cellStyle name="Arial6Bold 12 3" xfId="1475"/>
    <cellStyle name="Arial6Bold 12 4" xfId="1476"/>
    <cellStyle name="Arial6Bold 12 5" xfId="1477"/>
    <cellStyle name="Arial6Bold 12 6" xfId="1478"/>
    <cellStyle name="Arial6Bold 12 7" xfId="1479"/>
    <cellStyle name="Arial6Bold 13" xfId="1480"/>
    <cellStyle name="Arial6Bold 13 2" xfId="1481"/>
    <cellStyle name="Arial6Bold 13 3" xfId="1482"/>
    <cellStyle name="Arial6Bold 13 4" xfId="1483"/>
    <cellStyle name="Arial6Bold 13 5" xfId="1484"/>
    <cellStyle name="Arial6Bold 13 6" xfId="1485"/>
    <cellStyle name="Arial6Bold 14" xfId="1486"/>
    <cellStyle name="Arial6Bold 14 2" xfId="1487"/>
    <cellStyle name="Arial6Bold 14 3" xfId="1488"/>
    <cellStyle name="Arial6Bold 14 4" xfId="1489"/>
    <cellStyle name="Arial6Bold 14 5" xfId="1490"/>
    <cellStyle name="Arial6Bold 14 6" xfId="1491"/>
    <cellStyle name="Arial6Bold 15" xfId="1492"/>
    <cellStyle name="Arial6Bold 16" xfId="1493"/>
    <cellStyle name="Arial6Bold 17" xfId="1494"/>
    <cellStyle name="Arial6Bold 18" xfId="1495"/>
    <cellStyle name="Arial6Bold 2" xfId="1496"/>
    <cellStyle name="Arial6Bold 2 10" xfId="1497"/>
    <cellStyle name="Arial6Bold 2 10 2" xfId="1498"/>
    <cellStyle name="Arial6Bold 2 10 3" xfId="1499"/>
    <cellStyle name="Arial6Bold 2 10 4" xfId="1500"/>
    <cellStyle name="Arial6Bold 2 10 5" xfId="1501"/>
    <cellStyle name="Arial6Bold 2 10 6" xfId="1502"/>
    <cellStyle name="Arial6Bold 2 11" xfId="1503"/>
    <cellStyle name="Arial6Bold 2 12" xfId="1504"/>
    <cellStyle name="Arial6Bold 2 13" xfId="1505"/>
    <cellStyle name="Arial6Bold 2 14" xfId="1506"/>
    <cellStyle name="Arial6Bold 2 15" xfId="1507"/>
    <cellStyle name="Arial6Bold 2 2" xfId="1508"/>
    <cellStyle name="Arial6Bold 2 2 2" xfId="1509"/>
    <cellStyle name="Arial6Bold 2 2 3" xfId="1510"/>
    <cellStyle name="Arial6Bold 2 2 4" xfId="1511"/>
    <cellStyle name="Arial6Bold 2 2 5" xfId="1512"/>
    <cellStyle name="Arial6Bold 2 2 6" xfId="1513"/>
    <cellStyle name="Arial6Bold 2 2 7" xfId="1514"/>
    <cellStyle name="Arial6Bold 2 3" xfId="1515"/>
    <cellStyle name="Arial6Bold 2 3 2" xfId="1516"/>
    <cellStyle name="Arial6Bold 2 3 3" xfId="1517"/>
    <cellStyle name="Arial6Bold 2 3 4" xfId="1518"/>
    <cellStyle name="Arial6Bold 2 3 5" xfId="1519"/>
    <cellStyle name="Arial6Bold 2 3 6" xfId="1520"/>
    <cellStyle name="Arial6Bold 2 3 7" xfId="1521"/>
    <cellStyle name="Arial6Bold 2 4" xfId="1522"/>
    <cellStyle name="Arial6Bold 2 4 2" xfId="1523"/>
    <cellStyle name="Arial6Bold 2 4 3" xfId="1524"/>
    <cellStyle name="Arial6Bold 2 4 4" xfId="1525"/>
    <cellStyle name="Arial6Bold 2 4 5" xfId="1526"/>
    <cellStyle name="Arial6Bold 2 4 6" xfId="1527"/>
    <cellStyle name="Arial6Bold 2 4 7" xfId="1528"/>
    <cellStyle name="Arial6Bold 2 5" xfId="1529"/>
    <cellStyle name="Arial6Bold 2 5 2" xfId="1530"/>
    <cellStyle name="Arial6Bold 2 5 3" xfId="1531"/>
    <cellStyle name="Arial6Bold 2 5 4" xfId="1532"/>
    <cellStyle name="Arial6Bold 2 5 5" xfId="1533"/>
    <cellStyle name="Arial6Bold 2 5 6" xfId="1534"/>
    <cellStyle name="Arial6Bold 2 5 7" xfId="1535"/>
    <cellStyle name="Arial6Bold 2 6" xfId="1536"/>
    <cellStyle name="Arial6Bold 2 6 2" xfId="1537"/>
    <cellStyle name="Arial6Bold 2 6 3" xfId="1538"/>
    <cellStyle name="Arial6Bold 2 6 4" xfId="1539"/>
    <cellStyle name="Arial6Bold 2 6 5" xfId="1540"/>
    <cellStyle name="Arial6Bold 2 6 6" xfId="1541"/>
    <cellStyle name="Arial6Bold 2 6 7" xfId="1542"/>
    <cellStyle name="Arial6Bold 2 7" xfId="1543"/>
    <cellStyle name="Arial6Bold 2 7 2" xfId="1544"/>
    <cellStyle name="Arial6Bold 2 7 3" xfId="1545"/>
    <cellStyle name="Arial6Bold 2 7 4" xfId="1546"/>
    <cellStyle name="Arial6Bold 2 7 5" xfId="1547"/>
    <cellStyle name="Arial6Bold 2 7 6" xfId="1548"/>
    <cellStyle name="Arial6Bold 2 7 7" xfId="1549"/>
    <cellStyle name="Arial6Bold 2 8" xfId="1550"/>
    <cellStyle name="Arial6Bold 2 8 2" xfId="1551"/>
    <cellStyle name="Arial6Bold 2 8 3" xfId="1552"/>
    <cellStyle name="Arial6Bold 2 8 4" xfId="1553"/>
    <cellStyle name="Arial6Bold 2 8 5" xfId="1554"/>
    <cellStyle name="Arial6Bold 2 8 6" xfId="1555"/>
    <cellStyle name="Arial6Bold 2 8 7" xfId="1556"/>
    <cellStyle name="Arial6Bold 2 9" xfId="1557"/>
    <cellStyle name="Arial6Bold 2 9 2" xfId="1558"/>
    <cellStyle name="Arial6Bold 2 9 3" xfId="1559"/>
    <cellStyle name="Arial6Bold 2 9 4" xfId="1560"/>
    <cellStyle name="Arial6Bold 2 9 5" xfId="1561"/>
    <cellStyle name="Arial6Bold 2 9 6" xfId="1562"/>
    <cellStyle name="Arial6Bold 2 9 7" xfId="1563"/>
    <cellStyle name="Arial6Bold 3" xfId="1564"/>
    <cellStyle name="Arial6Bold 3 10" xfId="1565"/>
    <cellStyle name="Arial6Bold 3 10 2" xfId="1566"/>
    <cellStyle name="Arial6Bold 3 10 3" xfId="1567"/>
    <cellStyle name="Arial6Bold 3 10 4" xfId="1568"/>
    <cellStyle name="Arial6Bold 3 10 5" xfId="1569"/>
    <cellStyle name="Arial6Bold 3 10 6" xfId="1570"/>
    <cellStyle name="Arial6Bold 3 11" xfId="1571"/>
    <cellStyle name="Arial6Bold 3 12" xfId="1572"/>
    <cellStyle name="Arial6Bold 3 13" xfId="1573"/>
    <cellStyle name="Arial6Bold 3 14" xfId="1574"/>
    <cellStyle name="Arial6Bold 3 15" xfId="1575"/>
    <cellStyle name="Arial6Bold 3 2" xfId="1576"/>
    <cellStyle name="Arial6Bold 3 2 2" xfId="1577"/>
    <cellStyle name="Arial6Bold 3 2 3" xfId="1578"/>
    <cellStyle name="Arial6Bold 3 2 4" xfId="1579"/>
    <cellStyle name="Arial6Bold 3 2 5" xfId="1580"/>
    <cellStyle name="Arial6Bold 3 2 6" xfId="1581"/>
    <cellStyle name="Arial6Bold 3 2 7" xfId="1582"/>
    <cellStyle name="Arial6Bold 3 3" xfId="1583"/>
    <cellStyle name="Arial6Bold 3 3 2" xfId="1584"/>
    <cellStyle name="Arial6Bold 3 3 3" xfId="1585"/>
    <cellStyle name="Arial6Bold 3 3 4" xfId="1586"/>
    <cellStyle name="Arial6Bold 3 3 5" xfId="1587"/>
    <cellStyle name="Arial6Bold 3 3 6" xfId="1588"/>
    <cellStyle name="Arial6Bold 3 3 7" xfId="1589"/>
    <cellStyle name="Arial6Bold 3 4" xfId="1590"/>
    <cellStyle name="Arial6Bold 3 4 2" xfId="1591"/>
    <cellStyle name="Arial6Bold 3 4 3" xfId="1592"/>
    <cellStyle name="Arial6Bold 3 4 4" xfId="1593"/>
    <cellStyle name="Arial6Bold 3 4 5" xfId="1594"/>
    <cellStyle name="Arial6Bold 3 4 6" xfId="1595"/>
    <cellStyle name="Arial6Bold 3 4 7" xfId="1596"/>
    <cellStyle name="Arial6Bold 3 5" xfId="1597"/>
    <cellStyle name="Arial6Bold 3 5 2" xfId="1598"/>
    <cellStyle name="Arial6Bold 3 5 3" xfId="1599"/>
    <cellStyle name="Arial6Bold 3 5 4" xfId="1600"/>
    <cellStyle name="Arial6Bold 3 5 5" xfId="1601"/>
    <cellStyle name="Arial6Bold 3 5 6" xfId="1602"/>
    <cellStyle name="Arial6Bold 3 5 7" xfId="1603"/>
    <cellStyle name="Arial6Bold 3 6" xfId="1604"/>
    <cellStyle name="Arial6Bold 3 6 2" xfId="1605"/>
    <cellStyle name="Arial6Bold 3 6 3" xfId="1606"/>
    <cellStyle name="Arial6Bold 3 6 4" xfId="1607"/>
    <cellStyle name="Arial6Bold 3 6 5" xfId="1608"/>
    <cellStyle name="Arial6Bold 3 6 6" xfId="1609"/>
    <cellStyle name="Arial6Bold 3 6 7" xfId="1610"/>
    <cellStyle name="Arial6Bold 3 7" xfId="1611"/>
    <cellStyle name="Arial6Bold 3 7 2" xfId="1612"/>
    <cellStyle name="Arial6Bold 3 7 3" xfId="1613"/>
    <cellStyle name="Arial6Bold 3 7 4" xfId="1614"/>
    <cellStyle name="Arial6Bold 3 7 5" xfId="1615"/>
    <cellStyle name="Arial6Bold 3 7 6" xfId="1616"/>
    <cellStyle name="Arial6Bold 3 7 7" xfId="1617"/>
    <cellStyle name="Arial6Bold 3 8" xfId="1618"/>
    <cellStyle name="Arial6Bold 3 8 2" xfId="1619"/>
    <cellStyle name="Arial6Bold 3 8 3" xfId="1620"/>
    <cellStyle name="Arial6Bold 3 8 4" xfId="1621"/>
    <cellStyle name="Arial6Bold 3 8 5" xfId="1622"/>
    <cellStyle name="Arial6Bold 3 8 6" xfId="1623"/>
    <cellStyle name="Arial6Bold 3 8 7" xfId="1624"/>
    <cellStyle name="Arial6Bold 3 9" xfId="1625"/>
    <cellStyle name="Arial6Bold 3 9 2" xfId="1626"/>
    <cellStyle name="Arial6Bold 3 9 3" xfId="1627"/>
    <cellStyle name="Arial6Bold 3 9 4" xfId="1628"/>
    <cellStyle name="Arial6Bold 3 9 5" xfId="1629"/>
    <cellStyle name="Arial6Bold 3 9 6" xfId="1630"/>
    <cellStyle name="Arial6Bold 3 9 7" xfId="1631"/>
    <cellStyle name="Arial6Bold 4" xfId="1632"/>
    <cellStyle name="Arial6Bold 4 10" xfId="1633"/>
    <cellStyle name="Arial6Bold 4 10 2" xfId="1634"/>
    <cellStyle name="Arial6Bold 4 10 3" xfId="1635"/>
    <cellStyle name="Arial6Bold 4 10 4" xfId="1636"/>
    <cellStyle name="Arial6Bold 4 10 5" xfId="1637"/>
    <cellStyle name="Arial6Bold 4 10 6" xfId="1638"/>
    <cellStyle name="Arial6Bold 4 11" xfId="1639"/>
    <cellStyle name="Arial6Bold 4 12" xfId="1640"/>
    <cellStyle name="Arial6Bold 4 13" xfId="1641"/>
    <cellStyle name="Arial6Bold 4 14" xfId="1642"/>
    <cellStyle name="Arial6Bold 4 15" xfId="1643"/>
    <cellStyle name="Arial6Bold 4 2" xfId="1644"/>
    <cellStyle name="Arial6Bold 4 2 2" xfId="1645"/>
    <cellStyle name="Arial6Bold 4 2 3" xfId="1646"/>
    <cellStyle name="Arial6Bold 4 2 4" xfId="1647"/>
    <cellStyle name="Arial6Bold 4 2 5" xfId="1648"/>
    <cellStyle name="Arial6Bold 4 2 6" xfId="1649"/>
    <cellStyle name="Arial6Bold 4 2 7" xfId="1650"/>
    <cellStyle name="Arial6Bold 4 3" xfId="1651"/>
    <cellStyle name="Arial6Bold 4 3 2" xfId="1652"/>
    <cellStyle name="Arial6Bold 4 3 3" xfId="1653"/>
    <cellStyle name="Arial6Bold 4 3 4" xfId="1654"/>
    <cellStyle name="Arial6Bold 4 3 5" xfId="1655"/>
    <cellStyle name="Arial6Bold 4 3 6" xfId="1656"/>
    <cellStyle name="Arial6Bold 4 3 7" xfId="1657"/>
    <cellStyle name="Arial6Bold 4 4" xfId="1658"/>
    <cellStyle name="Arial6Bold 4 4 2" xfId="1659"/>
    <cellStyle name="Arial6Bold 4 4 3" xfId="1660"/>
    <cellStyle name="Arial6Bold 4 4 4" xfId="1661"/>
    <cellStyle name="Arial6Bold 4 4 5" xfId="1662"/>
    <cellStyle name="Arial6Bold 4 4 6" xfId="1663"/>
    <cellStyle name="Arial6Bold 4 4 7" xfId="1664"/>
    <cellStyle name="Arial6Bold 4 5" xfId="1665"/>
    <cellStyle name="Arial6Bold 4 5 2" xfId="1666"/>
    <cellStyle name="Arial6Bold 4 5 3" xfId="1667"/>
    <cellStyle name="Arial6Bold 4 5 4" xfId="1668"/>
    <cellStyle name="Arial6Bold 4 5 5" xfId="1669"/>
    <cellStyle name="Arial6Bold 4 5 6" xfId="1670"/>
    <cellStyle name="Arial6Bold 4 5 7" xfId="1671"/>
    <cellStyle name="Arial6Bold 4 6" xfId="1672"/>
    <cellStyle name="Arial6Bold 4 6 2" xfId="1673"/>
    <cellStyle name="Arial6Bold 4 6 3" xfId="1674"/>
    <cellStyle name="Arial6Bold 4 6 4" xfId="1675"/>
    <cellStyle name="Arial6Bold 4 6 5" xfId="1676"/>
    <cellStyle name="Arial6Bold 4 6 6" xfId="1677"/>
    <cellStyle name="Arial6Bold 4 6 7" xfId="1678"/>
    <cellStyle name="Arial6Bold 4 7" xfId="1679"/>
    <cellStyle name="Arial6Bold 4 7 2" xfId="1680"/>
    <cellStyle name="Arial6Bold 4 7 3" xfId="1681"/>
    <cellStyle name="Arial6Bold 4 7 4" xfId="1682"/>
    <cellStyle name="Arial6Bold 4 7 5" xfId="1683"/>
    <cellStyle name="Arial6Bold 4 7 6" xfId="1684"/>
    <cellStyle name="Arial6Bold 4 7 7" xfId="1685"/>
    <cellStyle name="Arial6Bold 4 8" xfId="1686"/>
    <cellStyle name="Arial6Bold 4 8 2" xfId="1687"/>
    <cellStyle name="Arial6Bold 4 8 3" xfId="1688"/>
    <cellStyle name="Arial6Bold 4 8 4" xfId="1689"/>
    <cellStyle name="Arial6Bold 4 8 5" xfId="1690"/>
    <cellStyle name="Arial6Bold 4 8 6" xfId="1691"/>
    <cellStyle name="Arial6Bold 4 8 7" xfId="1692"/>
    <cellStyle name="Arial6Bold 4 9" xfId="1693"/>
    <cellStyle name="Arial6Bold 4 9 2" xfId="1694"/>
    <cellStyle name="Arial6Bold 4 9 3" xfId="1695"/>
    <cellStyle name="Arial6Bold 4 9 4" xfId="1696"/>
    <cellStyle name="Arial6Bold 4 9 5" xfId="1697"/>
    <cellStyle name="Arial6Bold 4 9 6" xfId="1698"/>
    <cellStyle name="Arial6Bold 4 9 7" xfId="1699"/>
    <cellStyle name="Arial6Bold 5" xfId="1700"/>
    <cellStyle name="Arial6Bold 5 2" xfId="1701"/>
    <cellStyle name="Arial6Bold 5 3" xfId="1702"/>
    <cellStyle name="Arial6Bold 5 4" xfId="1703"/>
    <cellStyle name="Arial6Bold 5 5" xfId="1704"/>
    <cellStyle name="Arial6Bold 5 6" xfId="1705"/>
    <cellStyle name="Arial6Bold 5 7" xfId="1706"/>
    <cellStyle name="Arial6Bold 6" xfId="1707"/>
    <cellStyle name="Arial6Bold 6 2" xfId="1708"/>
    <cellStyle name="Arial6Bold 6 3" xfId="1709"/>
    <cellStyle name="Arial6Bold 6 4" xfId="1710"/>
    <cellStyle name="Arial6Bold 6 5" xfId="1711"/>
    <cellStyle name="Arial6Bold 6 6" xfId="1712"/>
    <cellStyle name="Arial6Bold 6 7" xfId="1713"/>
    <cellStyle name="Arial6Bold 7" xfId="1714"/>
    <cellStyle name="Arial6Bold 7 2" xfId="1715"/>
    <cellStyle name="Arial6Bold 7 3" xfId="1716"/>
    <cellStyle name="Arial6Bold 7 4" xfId="1717"/>
    <cellStyle name="Arial6Bold 7 5" xfId="1718"/>
    <cellStyle name="Arial6Bold 7 6" xfId="1719"/>
    <cellStyle name="Arial6Bold 7 7" xfId="1720"/>
    <cellStyle name="Arial6Bold 8" xfId="1721"/>
    <cellStyle name="Arial6Bold 8 2" xfId="1722"/>
    <cellStyle name="Arial6Bold 8 3" xfId="1723"/>
    <cellStyle name="Arial6Bold 8 4" xfId="1724"/>
    <cellStyle name="Arial6Bold 8 5" xfId="1725"/>
    <cellStyle name="Arial6Bold 8 6" xfId="1726"/>
    <cellStyle name="Arial6Bold 8 7" xfId="1727"/>
    <cellStyle name="Arial6Bold 9" xfId="1728"/>
    <cellStyle name="Arial6Bold 9 2" xfId="1729"/>
    <cellStyle name="Arial6Bold 9 3" xfId="1730"/>
    <cellStyle name="Arial6Bold 9 4" xfId="1731"/>
    <cellStyle name="Arial6Bold 9 5" xfId="1732"/>
    <cellStyle name="Arial6Bold 9 6" xfId="1733"/>
    <cellStyle name="Arial6Bold 9 7" xfId="1734"/>
    <cellStyle name="Arial8Bold" xfId="1735"/>
    <cellStyle name="Arial8Bold 10" xfId="1736"/>
    <cellStyle name="Arial8Bold 10 2" xfId="1737"/>
    <cellStyle name="Arial8Bold 10 3" xfId="1738"/>
    <cellStyle name="Arial8Bold 10 4" xfId="1739"/>
    <cellStyle name="Arial8Bold 10 5" xfId="1740"/>
    <cellStyle name="Arial8Bold 10 6" xfId="1741"/>
    <cellStyle name="Arial8Bold 10 7" xfId="1742"/>
    <cellStyle name="Arial8Bold 11" xfId="1743"/>
    <cellStyle name="Arial8Bold 11 2" xfId="1744"/>
    <cellStyle name="Arial8Bold 11 3" xfId="1745"/>
    <cellStyle name="Arial8Bold 11 4" xfId="1746"/>
    <cellStyle name="Arial8Bold 11 5" xfId="1747"/>
    <cellStyle name="Arial8Bold 11 6" xfId="1748"/>
    <cellStyle name="Arial8Bold 11 7" xfId="1749"/>
    <cellStyle name="Arial8Bold 12" xfId="1750"/>
    <cellStyle name="Arial8Bold 12 2" xfId="1751"/>
    <cellStyle name="Arial8Bold 12 3" xfId="1752"/>
    <cellStyle name="Arial8Bold 12 4" xfId="1753"/>
    <cellStyle name="Arial8Bold 12 5" xfId="1754"/>
    <cellStyle name="Arial8Bold 12 6" xfId="1755"/>
    <cellStyle name="Arial8Bold 12 7" xfId="1756"/>
    <cellStyle name="Arial8Bold 13" xfId="1757"/>
    <cellStyle name="Arial8Bold 13 2" xfId="1758"/>
    <cellStyle name="Arial8Bold 13 3" xfId="1759"/>
    <cellStyle name="Arial8Bold 13 4" xfId="1760"/>
    <cellStyle name="Arial8Bold 13 5" xfId="1761"/>
    <cellStyle name="Arial8Bold 13 6" xfId="1762"/>
    <cellStyle name="Arial8Bold 14" xfId="1763"/>
    <cellStyle name="Arial8Bold 14 2" xfId="1764"/>
    <cellStyle name="Arial8Bold 14 3" xfId="1765"/>
    <cellStyle name="Arial8Bold 14 4" xfId="1766"/>
    <cellStyle name="Arial8Bold 14 5" xfId="1767"/>
    <cellStyle name="Arial8Bold 14 6" xfId="1768"/>
    <cellStyle name="Arial8Bold 15" xfId="1769"/>
    <cellStyle name="Arial8Bold 16" xfId="1770"/>
    <cellStyle name="Arial8Bold 17" xfId="1771"/>
    <cellStyle name="Arial8Bold 18" xfId="1772"/>
    <cellStyle name="Arial8Bold 2" xfId="1773"/>
    <cellStyle name="Arial8Bold 2 10" xfId="1774"/>
    <cellStyle name="Arial8Bold 2 10 2" xfId="1775"/>
    <cellStyle name="Arial8Bold 2 10 3" xfId="1776"/>
    <cellStyle name="Arial8Bold 2 10 4" xfId="1777"/>
    <cellStyle name="Arial8Bold 2 10 5" xfId="1778"/>
    <cellStyle name="Arial8Bold 2 10 6" xfId="1779"/>
    <cellStyle name="Arial8Bold 2 11" xfId="1780"/>
    <cellStyle name="Arial8Bold 2 12" xfId="1781"/>
    <cellStyle name="Arial8Bold 2 13" xfId="1782"/>
    <cellStyle name="Arial8Bold 2 14" xfId="1783"/>
    <cellStyle name="Arial8Bold 2 15" xfId="1784"/>
    <cellStyle name="Arial8Bold 2 2" xfId="1785"/>
    <cellStyle name="Arial8Bold 2 2 2" xfId="1786"/>
    <cellStyle name="Arial8Bold 2 2 3" xfId="1787"/>
    <cellStyle name="Arial8Bold 2 2 4" xfId="1788"/>
    <cellStyle name="Arial8Bold 2 2 5" xfId="1789"/>
    <cellStyle name="Arial8Bold 2 2 6" xfId="1790"/>
    <cellStyle name="Arial8Bold 2 2 7" xfId="1791"/>
    <cellStyle name="Arial8Bold 2 3" xfId="1792"/>
    <cellStyle name="Arial8Bold 2 3 2" xfId="1793"/>
    <cellStyle name="Arial8Bold 2 3 3" xfId="1794"/>
    <cellStyle name="Arial8Bold 2 3 4" xfId="1795"/>
    <cellStyle name="Arial8Bold 2 3 5" xfId="1796"/>
    <cellStyle name="Arial8Bold 2 3 6" xfId="1797"/>
    <cellStyle name="Arial8Bold 2 3 7" xfId="1798"/>
    <cellStyle name="Arial8Bold 2 4" xfId="1799"/>
    <cellStyle name="Arial8Bold 2 4 2" xfId="1800"/>
    <cellStyle name="Arial8Bold 2 4 3" xfId="1801"/>
    <cellStyle name="Arial8Bold 2 4 4" xfId="1802"/>
    <cellStyle name="Arial8Bold 2 4 5" xfId="1803"/>
    <cellStyle name="Arial8Bold 2 4 6" xfId="1804"/>
    <cellStyle name="Arial8Bold 2 4 7" xfId="1805"/>
    <cellStyle name="Arial8Bold 2 5" xfId="1806"/>
    <cellStyle name="Arial8Bold 2 5 2" xfId="1807"/>
    <cellStyle name="Arial8Bold 2 5 3" xfId="1808"/>
    <cellStyle name="Arial8Bold 2 5 4" xfId="1809"/>
    <cellStyle name="Arial8Bold 2 5 5" xfId="1810"/>
    <cellStyle name="Arial8Bold 2 5 6" xfId="1811"/>
    <cellStyle name="Arial8Bold 2 5 7" xfId="1812"/>
    <cellStyle name="Arial8Bold 2 6" xfId="1813"/>
    <cellStyle name="Arial8Bold 2 6 2" xfId="1814"/>
    <cellStyle name="Arial8Bold 2 6 3" xfId="1815"/>
    <cellStyle name="Arial8Bold 2 6 4" xfId="1816"/>
    <cellStyle name="Arial8Bold 2 6 5" xfId="1817"/>
    <cellStyle name="Arial8Bold 2 6 6" xfId="1818"/>
    <cellStyle name="Arial8Bold 2 6 7" xfId="1819"/>
    <cellStyle name="Arial8Bold 2 7" xfId="1820"/>
    <cellStyle name="Arial8Bold 2 7 2" xfId="1821"/>
    <cellStyle name="Arial8Bold 2 7 3" xfId="1822"/>
    <cellStyle name="Arial8Bold 2 7 4" xfId="1823"/>
    <cellStyle name="Arial8Bold 2 7 5" xfId="1824"/>
    <cellStyle name="Arial8Bold 2 7 6" xfId="1825"/>
    <cellStyle name="Arial8Bold 2 7 7" xfId="1826"/>
    <cellStyle name="Arial8Bold 2 8" xfId="1827"/>
    <cellStyle name="Arial8Bold 2 8 2" xfId="1828"/>
    <cellStyle name="Arial8Bold 2 8 3" xfId="1829"/>
    <cellStyle name="Arial8Bold 2 8 4" xfId="1830"/>
    <cellStyle name="Arial8Bold 2 8 5" xfId="1831"/>
    <cellStyle name="Arial8Bold 2 8 6" xfId="1832"/>
    <cellStyle name="Arial8Bold 2 8 7" xfId="1833"/>
    <cellStyle name="Arial8Bold 2 9" xfId="1834"/>
    <cellStyle name="Arial8Bold 2 9 2" xfId="1835"/>
    <cellStyle name="Arial8Bold 2 9 3" xfId="1836"/>
    <cellStyle name="Arial8Bold 2 9 4" xfId="1837"/>
    <cellStyle name="Arial8Bold 2 9 5" xfId="1838"/>
    <cellStyle name="Arial8Bold 2 9 6" xfId="1839"/>
    <cellStyle name="Arial8Bold 2 9 7" xfId="1840"/>
    <cellStyle name="Arial8Bold 3" xfId="1841"/>
    <cellStyle name="Arial8Bold 3 10" xfId="1842"/>
    <cellStyle name="Arial8Bold 3 10 2" xfId="1843"/>
    <cellStyle name="Arial8Bold 3 10 3" xfId="1844"/>
    <cellStyle name="Arial8Bold 3 10 4" xfId="1845"/>
    <cellStyle name="Arial8Bold 3 10 5" xfId="1846"/>
    <cellStyle name="Arial8Bold 3 10 6" xfId="1847"/>
    <cellStyle name="Arial8Bold 3 11" xfId="1848"/>
    <cellStyle name="Arial8Bold 3 12" xfId="1849"/>
    <cellStyle name="Arial8Bold 3 13" xfId="1850"/>
    <cellStyle name="Arial8Bold 3 14" xfId="1851"/>
    <cellStyle name="Arial8Bold 3 15" xfId="1852"/>
    <cellStyle name="Arial8Bold 3 2" xfId="1853"/>
    <cellStyle name="Arial8Bold 3 2 2" xfId="1854"/>
    <cellStyle name="Arial8Bold 3 2 3" xfId="1855"/>
    <cellStyle name="Arial8Bold 3 2 4" xfId="1856"/>
    <cellStyle name="Arial8Bold 3 2 5" xfId="1857"/>
    <cellStyle name="Arial8Bold 3 2 6" xfId="1858"/>
    <cellStyle name="Arial8Bold 3 2 7" xfId="1859"/>
    <cellStyle name="Arial8Bold 3 3" xfId="1860"/>
    <cellStyle name="Arial8Bold 3 3 2" xfId="1861"/>
    <cellStyle name="Arial8Bold 3 3 3" xfId="1862"/>
    <cellStyle name="Arial8Bold 3 3 4" xfId="1863"/>
    <cellStyle name="Arial8Bold 3 3 5" xfId="1864"/>
    <cellStyle name="Arial8Bold 3 3 6" xfId="1865"/>
    <cellStyle name="Arial8Bold 3 3 7" xfId="1866"/>
    <cellStyle name="Arial8Bold 3 4" xfId="1867"/>
    <cellStyle name="Arial8Bold 3 4 2" xfId="1868"/>
    <cellStyle name="Arial8Bold 3 4 3" xfId="1869"/>
    <cellStyle name="Arial8Bold 3 4 4" xfId="1870"/>
    <cellStyle name="Arial8Bold 3 4 5" xfId="1871"/>
    <cellStyle name="Arial8Bold 3 4 6" xfId="1872"/>
    <cellStyle name="Arial8Bold 3 4 7" xfId="1873"/>
    <cellStyle name="Arial8Bold 3 5" xfId="1874"/>
    <cellStyle name="Arial8Bold 3 5 2" xfId="1875"/>
    <cellStyle name="Arial8Bold 3 5 3" xfId="1876"/>
    <cellStyle name="Arial8Bold 3 5 4" xfId="1877"/>
    <cellStyle name="Arial8Bold 3 5 5" xfId="1878"/>
    <cellStyle name="Arial8Bold 3 5 6" xfId="1879"/>
    <cellStyle name="Arial8Bold 3 5 7" xfId="1880"/>
    <cellStyle name="Arial8Bold 3 6" xfId="1881"/>
    <cellStyle name="Arial8Bold 3 6 2" xfId="1882"/>
    <cellStyle name="Arial8Bold 3 6 3" xfId="1883"/>
    <cellStyle name="Arial8Bold 3 6 4" xfId="1884"/>
    <cellStyle name="Arial8Bold 3 6 5" xfId="1885"/>
    <cellStyle name="Arial8Bold 3 6 6" xfId="1886"/>
    <cellStyle name="Arial8Bold 3 6 7" xfId="1887"/>
    <cellStyle name="Arial8Bold 3 7" xfId="1888"/>
    <cellStyle name="Arial8Bold 3 7 2" xfId="1889"/>
    <cellStyle name="Arial8Bold 3 7 3" xfId="1890"/>
    <cellStyle name="Arial8Bold 3 7 4" xfId="1891"/>
    <cellStyle name="Arial8Bold 3 7 5" xfId="1892"/>
    <cellStyle name="Arial8Bold 3 7 6" xfId="1893"/>
    <cellStyle name="Arial8Bold 3 7 7" xfId="1894"/>
    <cellStyle name="Arial8Bold 3 8" xfId="1895"/>
    <cellStyle name="Arial8Bold 3 8 2" xfId="1896"/>
    <cellStyle name="Arial8Bold 3 8 3" xfId="1897"/>
    <cellStyle name="Arial8Bold 3 8 4" xfId="1898"/>
    <cellStyle name="Arial8Bold 3 8 5" xfId="1899"/>
    <cellStyle name="Arial8Bold 3 8 6" xfId="1900"/>
    <cellStyle name="Arial8Bold 3 8 7" xfId="1901"/>
    <cellStyle name="Arial8Bold 3 9" xfId="1902"/>
    <cellStyle name="Arial8Bold 3 9 2" xfId="1903"/>
    <cellStyle name="Arial8Bold 3 9 3" xfId="1904"/>
    <cellStyle name="Arial8Bold 3 9 4" xfId="1905"/>
    <cellStyle name="Arial8Bold 3 9 5" xfId="1906"/>
    <cellStyle name="Arial8Bold 3 9 6" xfId="1907"/>
    <cellStyle name="Arial8Bold 3 9 7" xfId="1908"/>
    <cellStyle name="Arial8Bold 4" xfId="1909"/>
    <cellStyle name="Arial8Bold 4 10" xfId="1910"/>
    <cellStyle name="Arial8Bold 4 10 2" xfId="1911"/>
    <cellStyle name="Arial8Bold 4 10 3" xfId="1912"/>
    <cellStyle name="Arial8Bold 4 10 4" xfId="1913"/>
    <cellStyle name="Arial8Bold 4 10 5" xfId="1914"/>
    <cellStyle name="Arial8Bold 4 10 6" xfId="1915"/>
    <cellStyle name="Arial8Bold 4 11" xfId="1916"/>
    <cellStyle name="Arial8Bold 4 12" xfId="1917"/>
    <cellStyle name="Arial8Bold 4 13" xfId="1918"/>
    <cellStyle name="Arial8Bold 4 14" xfId="1919"/>
    <cellStyle name="Arial8Bold 4 15" xfId="1920"/>
    <cellStyle name="Arial8Bold 4 2" xfId="1921"/>
    <cellStyle name="Arial8Bold 4 2 2" xfId="1922"/>
    <cellStyle name="Arial8Bold 4 2 3" xfId="1923"/>
    <cellStyle name="Arial8Bold 4 2 4" xfId="1924"/>
    <cellStyle name="Arial8Bold 4 2 5" xfId="1925"/>
    <cellStyle name="Arial8Bold 4 2 6" xfId="1926"/>
    <cellStyle name="Arial8Bold 4 2 7" xfId="1927"/>
    <cellStyle name="Arial8Bold 4 3" xfId="1928"/>
    <cellStyle name="Arial8Bold 4 3 2" xfId="1929"/>
    <cellStyle name="Arial8Bold 4 3 3" xfId="1930"/>
    <cellStyle name="Arial8Bold 4 3 4" xfId="1931"/>
    <cellStyle name="Arial8Bold 4 3 5" xfId="1932"/>
    <cellStyle name="Arial8Bold 4 3 6" xfId="1933"/>
    <cellStyle name="Arial8Bold 4 3 7" xfId="1934"/>
    <cellStyle name="Arial8Bold 4 4" xfId="1935"/>
    <cellStyle name="Arial8Bold 4 4 2" xfId="1936"/>
    <cellStyle name="Arial8Bold 4 4 3" xfId="1937"/>
    <cellStyle name="Arial8Bold 4 4 4" xfId="1938"/>
    <cellStyle name="Arial8Bold 4 4 5" xfId="1939"/>
    <cellStyle name="Arial8Bold 4 4 6" xfId="1940"/>
    <cellStyle name="Arial8Bold 4 4 7" xfId="1941"/>
    <cellStyle name="Arial8Bold 4 5" xfId="1942"/>
    <cellStyle name="Arial8Bold 4 5 2" xfId="1943"/>
    <cellStyle name="Arial8Bold 4 5 3" xfId="1944"/>
    <cellStyle name="Arial8Bold 4 5 4" xfId="1945"/>
    <cellStyle name="Arial8Bold 4 5 5" xfId="1946"/>
    <cellStyle name="Arial8Bold 4 5 6" xfId="1947"/>
    <cellStyle name="Arial8Bold 4 5 7" xfId="1948"/>
    <cellStyle name="Arial8Bold 4 6" xfId="1949"/>
    <cellStyle name="Arial8Bold 4 6 2" xfId="1950"/>
    <cellStyle name="Arial8Bold 4 6 3" xfId="1951"/>
    <cellStyle name="Arial8Bold 4 6 4" xfId="1952"/>
    <cellStyle name="Arial8Bold 4 6 5" xfId="1953"/>
    <cellStyle name="Arial8Bold 4 6 6" xfId="1954"/>
    <cellStyle name="Arial8Bold 4 6 7" xfId="1955"/>
    <cellStyle name="Arial8Bold 4 7" xfId="1956"/>
    <cellStyle name="Arial8Bold 4 7 2" xfId="1957"/>
    <cellStyle name="Arial8Bold 4 7 3" xfId="1958"/>
    <cellStyle name="Arial8Bold 4 7 4" xfId="1959"/>
    <cellStyle name="Arial8Bold 4 7 5" xfId="1960"/>
    <cellStyle name="Arial8Bold 4 7 6" xfId="1961"/>
    <cellStyle name="Arial8Bold 4 7 7" xfId="1962"/>
    <cellStyle name="Arial8Bold 4 8" xfId="1963"/>
    <cellStyle name="Arial8Bold 4 8 2" xfId="1964"/>
    <cellStyle name="Arial8Bold 4 8 3" xfId="1965"/>
    <cellStyle name="Arial8Bold 4 8 4" xfId="1966"/>
    <cellStyle name="Arial8Bold 4 8 5" xfId="1967"/>
    <cellStyle name="Arial8Bold 4 8 6" xfId="1968"/>
    <cellStyle name="Arial8Bold 4 8 7" xfId="1969"/>
    <cellStyle name="Arial8Bold 4 9" xfId="1970"/>
    <cellStyle name="Arial8Bold 4 9 2" xfId="1971"/>
    <cellStyle name="Arial8Bold 4 9 3" xfId="1972"/>
    <cellStyle name="Arial8Bold 4 9 4" xfId="1973"/>
    <cellStyle name="Arial8Bold 4 9 5" xfId="1974"/>
    <cellStyle name="Arial8Bold 4 9 6" xfId="1975"/>
    <cellStyle name="Arial8Bold 4 9 7" xfId="1976"/>
    <cellStyle name="Arial8Bold 5" xfId="1977"/>
    <cellStyle name="Arial8Bold 5 2" xfId="1978"/>
    <cellStyle name="Arial8Bold 5 3" xfId="1979"/>
    <cellStyle name="Arial8Bold 5 4" xfId="1980"/>
    <cellStyle name="Arial8Bold 5 5" xfId="1981"/>
    <cellStyle name="Arial8Bold 5 6" xfId="1982"/>
    <cellStyle name="Arial8Bold 5 7" xfId="1983"/>
    <cellStyle name="Arial8Bold 6" xfId="1984"/>
    <cellStyle name="Arial8Bold 6 2" xfId="1985"/>
    <cellStyle name="Arial8Bold 6 3" xfId="1986"/>
    <cellStyle name="Arial8Bold 6 4" xfId="1987"/>
    <cellStyle name="Arial8Bold 6 5" xfId="1988"/>
    <cellStyle name="Arial8Bold 6 6" xfId="1989"/>
    <cellStyle name="Arial8Bold 6 7" xfId="1990"/>
    <cellStyle name="Arial8Bold 7" xfId="1991"/>
    <cellStyle name="Arial8Bold 7 2" xfId="1992"/>
    <cellStyle name="Arial8Bold 7 3" xfId="1993"/>
    <cellStyle name="Arial8Bold 7 4" xfId="1994"/>
    <cellStyle name="Arial8Bold 7 5" xfId="1995"/>
    <cellStyle name="Arial8Bold 7 6" xfId="1996"/>
    <cellStyle name="Arial8Bold 7 7" xfId="1997"/>
    <cellStyle name="Arial8Bold 8" xfId="1998"/>
    <cellStyle name="Arial8Bold 8 2" xfId="1999"/>
    <cellStyle name="Arial8Bold 8 3" xfId="2000"/>
    <cellStyle name="Arial8Bold 8 4" xfId="2001"/>
    <cellStyle name="Arial8Bold 8 5" xfId="2002"/>
    <cellStyle name="Arial8Bold 8 6" xfId="2003"/>
    <cellStyle name="Arial8Bold 8 7" xfId="2004"/>
    <cellStyle name="Arial8Bold 9" xfId="2005"/>
    <cellStyle name="Arial8Bold 9 2" xfId="2006"/>
    <cellStyle name="Arial8Bold 9 3" xfId="2007"/>
    <cellStyle name="Arial8Bold 9 4" xfId="2008"/>
    <cellStyle name="Arial8Bold 9 5" xfId="2009"/>
    <cellStyle name="Arial8Bold 9 6" xfId="2010"/>
    <cellStyle name="Arial8Bold 9 7" xfId="2011"/>
    <cellStyle name="Arial8Italic" xfId="2012"/>
    <cellStyle name="Arial8Italic 10" xfId="2013"/>
    <cellStyle name="Arial8Italic 10 2" xfId="2014"/>
    <cellStyle name="Arial8Italic 10 3" xfId="2015"/>
    <cellStyle name="Arial8Italic 10 4" xfId="2016"/>
    <cellStyle name="Arial8Italic 10 5" xfId="2017"/>
    <cellStyle name="Arial8Italic 10 6" xfId="2018"/>
    <cellStyle name="Arial8Italic 10 7" xfId="2019"/>
    <cellStyle name="Arial8Italic 11" xfId="2020"/>
    <cellStyle name="Arial8Italic 11 2" xfId="2021"/>
    <cellStyle name="Arial8Italic 11 3" xfId="2022"/>
    <cellStyle name="Arial8Italic 11 4" xfId="2023"/>
    <cellStyle name="Arial8Italic 11 5" xfId="2024"/>
    <cellStyle name="Arial8Italic 11 6" xfId="2025"/>
    <cellStyle name="Arial8Italic 11 7" xfId="2026"/>
    <cellStyle name="Arial8Italic 12" xfId="2027"/>
    <cellStyle name="Arial8Italic 12 2" xfId="2028"/>
    <cellStyle name="Arial8Italic 12 3" xfId="2029"/>
    <cellStyle name="Arial8Italic 12 4" xfId="2030"/>
    <cellStyle name="Arial8Italic 12 5" xfId="2031"/>
    <cellStyle name="Arial8Italic 12 6" xfId="2032"/>
    <cellStyle name="Arial8Italic 12 7" xfId="2033"/>
    <cellStyle name="Arial8Italic 13" xfId="2034"/>
    <cellStyle name="Arial8Italic 13 2" xfId="2035"/>
    <cellStyle name="Arial8Italic 13 3" xfId="2036"/>
    <cellStyle name="Arial8Italic 13 4" xfId="2037"/>
    <cellStyle name="Arial8Italic 13 5" xfId="2038"/>
    <cellStyle name="Arial8Italic 13 6" xfId="2039"/>
    <cellStyle name="Arial8Italic 14" xfId="2040"/>
    <cellStyle name="Arial8Italic 14 2" xfId="2041"/>
    <cellStyle name="Arial8Italic 14 3" xfId="2042"/>
    <cellStyle name="Arial8Italic 14 4" xfId="2043"/>
    <cellStyle name="Arial8Italic 14 5" xfId="2044"/>
    <cellStyle name="Arial8Italic 14 6" xfId="2045"/>
    <cellStyle name="Arial8Italic 15" xfId="2046"/>
    <cellStyle name="Arial8Italic 16" xfId="2047"/>
    <cellStyle name="Arial8Italic 17" xfId="2048"/>
    <cellStyle name="Arial8Italic 18" xfId="2049"/>
    <cellStyle name="Arial8Italic 2" xfId="2050"/>
    <cellStyle name="Arial8Italic 2 10" xfId="2051"/>
    <cellStyle name="Arial8Italic 2 10 2" xfId="2052"/>
    <cellStyle name="Arial8Italic 2 10 3" xfId="2053"/>
    <cellStyle name="Arial8Italic 2 10 4" xfId="2054"/>
    <cellStyle name="Arial8Italic 2 10 5" xfId="2055"/>
    <cellStyle name="Arial8Italic 2 10 6" xfId="2056"/>
    <cellStyle name="Arial8Italic 2 11" xfId="2057"/>
    <cellStyle name="Arial8Italic 2 12" xfId="2058"/>
    <cellStyle name="Arial8Italic 2 13" xfId="2059"/>
    <cellStyle name="Arial8Italic 2 14" xfId="2060"/>
    <cellStyle name="Arial8Italic 2 15" xfId="2061"/>
    <cellStyle name="Arial8Italic 2 2" xfId="2062"/>
    <cellStyle name="Arial8Italic 2 2 2" xfId="2063"/>
    <cellStyle name="Arial8Italic 2 2 3" xfId="2064"/>
    <cellStyle name="Arial8Italic 2 2 4" xfId="2065"/>
    <cellStyle name="Arial8Italic 2 2 5" xfId="2066"/>
    <cellStyle name="Arial8Italic 2 2 6" xfId="2067"/>
    <cellStyle name="Arial8Italic 2 2 7" xfId="2068"/>
    <cellStyle name="Arial8Italic 2 3" xfId="2069"/>
    <cellStyle name="Arial8Italic 2 3 2" xfId="2070"/>
    <cellStyle name="Arial8Italic 2 3 3" xfId="2071"/>
    <cellStyle name="Arial8Italic 2 3 4" xfId="2072"/>
    <cellStyle name="Arial8Italic 2 3 5" xfId="2073"/>
    <cellStyle name="Arial8Italic 2 3 6" xfId="2074"/>
    <cellStyle name="Arial8Italic 2 3 7" xfId="2075"/>
    <cellStyle name="Arial8Italic 2 4" xfId="2076"/>
    <cellStyle name="Arial8Italic 2 4 2" xfId="2077"/>
    <cellStyle name="Arial8Italic 2 4 3" xfId="2078"/>
    <cellStyle name="Arial8Italic 2 4 4" xfId="2079"/>
    <cellStyle name="Arial8Italic 2 4 5" xfId="2080"/>
    <cellStyle name="Arial8Italic 2 4 6" xfId="2081"/>
    <cellStyle name="Arial8Italic 2 4 7" xfId="2082"/>
    <cellStyle name="Arial8Italic 2 5" xfId="2083"/>
    <cellStyle name="Arial8Italic 2 5 2" xfId="2084"/>
    <cellStyle name="Arial8Italic 2 5 3" xfId="2085"/>
    <cellStyle name="Arial8Italic 2 5 4" xfId="2086"/>
    <cellStyle name="Arial8Italic 2 5 5" xfId="2087"/>
    <cellStyle name="Arial8Italic 2 5 6" xfId="2088"/>
    <cellStyle name="Arial8Italic 2 5 7" xfId="2089"/>
    <cellStyle name="Arial8Italic 2 6" xfId="2090"/>
    <cellStyle name="Arial8Italic 2 6 2" xfId="2091"/>
    <cellStyle name="Arial8Italic 2 6 3" xfId="2092"/>
    <cellStyle name="Arial8Italic 2 6 4" xfId="2093"/>
    <cellStyle name="Arial8Italic 2 6 5" xfId="2094"/>
    <cellStyle name="Arial8Italic 2 6 6" xfId="2095"/>
    <cellStyle name="Arial8Italic 2 6 7" xfId="2096"/>
    <cellStyle name="Arial8Italic 2 7" xfId="2097"/>
    <cellStyle name="Arial8Italic 2 7 2" xfId="2098"/>
    <cellStyle name="Arial8Italic 2 7 3" xfId="2099"/>
    <cellStyle name="Arial8Italic 2 7 4" xfId="2100"/>
    <cellStyle name="Arial8Italic 2 7 5" xfId="2101"/>
    <cellStyle name="Arial8Italic 2 7 6" xfId="2102"/>
    <cellStyle name="Arial8Italic 2 7 7" xfId="2103"/>
    <cellStyle name="Arial8Italic 2 8" xfId="2104"/>
    <cellStyle name="Arial8Italic 2 8 2" xfId="2105"/>
    <cellStyle name="Arial8Italic 2 8 3" xfId="2106"/>
    <cellStyle name="Arial8Italic 2 8 4" xfId="2107"/>
    <cellStyle name="Arial8Italic 2 8 5" xfId="2108"/>
    <cellStyle name="Arial8Italic 2 8 6" xfId="2109"/>
    <cellStyle name="Arial8Italic 2 8 7" xfId="2110"/>
    <cellStyle name="Arial8Italic 2 9" xfId="2111"/>
    <cellStyle name="Arial8Italic 2 9 2" xfId="2112"/>
    <cellStyle name="Arial8Italic 2 9 3" xfId="2113"/>
    <cellStyle name="Arial8Italic 2 9 4" xfId="2114"/>
    <cellStyle name="Arial8Italic 2 9 5" xfId="2115"/>
    <cellStyle name="Arial8Italic 2 9 6" xfId="2116"/>
    <cellStyle name="Arial8Italic 2 9 7" xfId="2117"/>
    <cellStyle name="Arial8Italic 3" xfId="2118"/>
    <cellStyle name="Arial8Italic 3 10" xfId="2119"/>
    <cellStyle name="Arial8Italic 3 10 2" xfId="2120"/>
    <cellStyle name="Arial8Italic 3 10 3" xfId="2121"/>
    <cellStyle name="Arial8Italic 3 10 4" xfId="2122"/>
    <cellStyle name="Arial8Italic 3 10 5" xfId="2123"/>
    <cellStyle name="Arial8Italic 3 10 6" xfId="2124"/>
    <cellStyle name="Arial8Italic 3 11" xfId="2125"/>
    <cellStyle name="Arial8Italic 3 12" xfId="2126"/>
    <cellStyle name="Arial8Italic 3 13" xfId="2127"/>
    <cellStyle name="Arial8Italic 3 14" xfId="2128"/>
    <cellStyle name="Arial8Italic 3 15" xfId="2129"/>
    <cellStyle name="Arial8Italic 3 2" xfId="2130"/>
    <cellStyle name="Arial8Italic 3 2 2" xfId="2131"/>
    <cellStyle name="Arial8Italic 3 2 3" xfId="2132"/>
    <cellStyle name="Arial8Italic 3 2 4" xfId="2133"/>
    <cellStyle name="Arial8Italic 3 2 5" xfId="2134"/>
    <cellStyle name="Arial8Italic 3 2 6" xfId="2135"/>
    <cellStyle name="Arial8Italic 3 2 7" xfId="2136"/>
    <cellStyle name="Arial8Italic 3 3" xfId="2137"/>
    <cellStyle name="Arial8Italic 3 3 2" xfId="2138"/>
    <cellStyle name="Arial8Italic 3 3 3" xfId="2139"/>
    <cellStyle name="Arial8Italic 3 3 4" xfId="2140"/>
    <cellStyle name="Arial8Italic 3 3 5" xfId="2141"/>
    <cellStyle name="Arial8Italic 3 3 6" xfId="2142"/>
    <cellStyle name="Arial8Italic 3 3 7" xfId="2143"/>
    <cellStyle name="Arial8Italic 3 4" xfId="2144"/>
    <cellStyle name="Arial8Italic 3 4 2" xfId="2145"/>
    <cellStyle name="Arial8Italic 3 4 3" xfId="2146"/>
    <cellStyle name="Arial8Italic 3 4 4" xfId="2147"/>
    <cellStyle name="Arial8Italic 3 4 5" xfId="2148"/>
    <cellStyle name="Arial8Italic 3 4 6" xfId="2149"/>
    <cellStyle name="Arial8Italic 3 4 7" xfId="2150"/>
    <cellStyle name="Arial8Italic 3 5" xfId="2151"/>
    <cellStyle name="Arial8Italic 3 5 2" xfId="2152"/>
    <cellStyle name="Arial8Italic 3 5 3" xfId="2153"/>
    <cellStyle name="Arial8Italic 3 5 4" xfId="2154"/>
    <cellStyle name="Arial8Italic 3 5 5" xfId="2155"/>
    <cellStyle name="Arial8Italic 3 5 6" xfId="2156"/>
    <cellStyle name="Arial8Italic 3 5 7" xfId="2157"/>
    <cellStyle name="Arial8Italic 3 6" xfId="2158"/>
    <cellStyle name="Arial8Italic 3 6 2" xfId="2159"/>
    <cellStyle name="Arial8Italic 3 6 3" xfId="2160"/>
    <cellStyle name="Arial8Italic 3 6 4" xfId="2161"/>
    <cellStyle name="Arial8Italic 3 6 5" xfId="2162"/>
    <cellStyle name="Arial8Italic 3 6 6" xfId="2163"/>
    <cellStyle name="Arial8Italic 3 6 7" xfId="2164"/>
    <cellStyle name="Arial8Italic 3 7" xfId="2165"/>
    <cellStyle name="Arial8Italic 3 7 2" xfId="2166"/>
    <cellStyle name="Arial8Italic 3 7 3" xfId="2167"/>
    <cellStyle name="Arial8Italic 3 7 4" xfId="2168"/>
    <cellStyle name="Arial8Italic 3 7 5" xfId="2169"/>
    <cellStyle name="Arial8Italic 3 7 6" xfId="2170"/>
    <cellStyle name="Arial8Italic 3 7 7" xfId="2171"/>
    <cellStyle name="Arial8Italic 3 8" xfId="2172"/>
    <cellStyle name="Arial8Italic 3 8 2" xfId="2173"/>
    <cellStyle name="Arial8Italic 3 8 3" xfId="2174"/>
    <cellStyle name="Arial8Italic 3 8 4" xfId="2175"/>
    <cellStyle name="Arial8Italic 3 8 5" xfId="2176"/>
    <cellStyle name="Arial8Italic 3 8 6" xfId="2177"/>
    <cellStyle name="Arial8Italic 3 8 7" xfId="2178"/>
    <cellStyle name="Arial8Italic 3 9" xfId="2179"/>
    <cellStyle name="Arial8Italic 3 9 2" xfId="2180"/>
    <cellStyle name="Arial8Italic 3 9 3" xfId="2181"/>
    <cellStyle name="Arial8Italic 3 9 4" xfId="2182"/>
    <cellStyle name="Arial8Italic 3 9 5" xfId="2183"/>
    <cellStyle name="Arial8Italic 3 9 6" xfId="2184"/>
    <cellStyle name="Arial8Italic 3 9 7" xfId="2185"/>
    <cellStyle name="Arial8Italic 4" xfId="2186"/>
    <cellStyle name="Arial8Italic 4 10" xfId="2187"/>
    <cellStyle name="Arial8Italic 4 10 2" xfId="2188"/>
    <cellStyle name="Arial8Italic 4 10 3" xfId="2189"/>
    <cellStyle name="Arial8Italic 4 10 4" xfId="2190"/>
    <cellStyle name="Arial8Italic 4 10 5" xfId="2191"/>
    <cellStyle name="Arial8Italic 4 10 6" xfId="2192"/>
    <cellStyle name="Arial8Italic 4 11" xfId="2193"/>
    <cellStyle name="Arial8Italic 4 12" xfId="2194"/>
    <cellStyle name="Arial8Italic 4 13" xfId="2195"/>
    <cellStyle name="Arial8Italic 4 14" xfId="2196"/>
    <cellStyle name="Arial8Italic 4 15" xfId="2197"/>
    <cellStyle name="Arial8Italic 4 2" xfId="2198"/>
    <cellStyle name="Arial8Italic 4 2 2" xfId="2199"/>
    <cellStyle name="Arial8Italic 4 2 3" xfId="2200"/>
    <cellStyle name="Arial8Italic 4 2 4" xfId="2201"/>
    <cellStyle name="Arial8Italic 4 2 5" xfId="2202"/>
    <cellStyle name="Arial8Italic 4 2 6" xfId="2203"/>
    <cellStyle name="Arial8Italic 4 2 7" xfId="2204"/>
    <cellStyle name="Arial8Italic 4 3" xfId="2205"/>
    <cellStyle name="Arial8Italic 4 3 2" xfId="2206"/>
    <cellStyle name="Arial8Italic 4 3 3" xfId="2207"/>
    <cellStyle name="Arial8Italic 4 3 4" xfId="2208"/>
    <cellStyle name="Arial8Italic 4 3 5" xfId="2209"/>
    <cellStyle name="Arial8Italic 4 3 6" xfId="2210"/>
    <cellStyle name="Arial8Italic 4 3 7" xfId="2211"/>
    <cellStyle name="Arial8Italic 4 4" xfId="2212"/>
    <cellStyle name="Arial8Italic 4 4 2" xfId="2213"/>
    <cellStyle name="Arial8Italic 4 4 3" xfId="2214"/>
    <cellStyle name="Arial8Italic 4 4 4" xfId="2215"/>
    <cellStyle name="Arial8Italic 4 4 5" xfId="2216"/>
    <cellStyle name="Arial8Italic 4 4 6" xfId="2217"/>
    <cellStyle name="Arial8Italic 4 4 7" xfId="2218"/>
    <cellStyle name="Arial8Italic 4 5" xfId="2219"/>
    <cellStyle name="Arial8Italic 4 5 2" xfId="2220"/>
    <cellStyle name="Arial8Italic 4 5 3" xfId="2221"/>
    <cellStyle name="Arial8Italic 4 5 4" xfId="2222"/>
    <cellStyle name="Arial8Italic 4 5 5" xfId="2223"/>
    <cellStyle name="Arial8Italic 4 5 6" xfId="2224"/>
    <cellStyle name="Arial8Italic 4 5 7" xfId="2225"/>
    <cellStyle name="Arial8Italic 4 6" xfId="2226"/>
    <cellStyle name="Arial8Italic 4 6 2" xfId="2227"/>
    <cellStyle name="Arial8Italic 4 6 3" xfId="2228"/>
    <cellStyle name="Arial8Italic 4 6 4" xfId="2229"/>
    <cellStyle name="Arial8Italic 4 6 5" xfId="2230"/>
    <cellStyle name="Arial8Italic 4 6 6" xfId="2231"/>
    <cellStyle name="Arial8Italic 4 6 7" xfId="2232"/>
    <cellStyle name="Arial8Italic 4 7" xfId="2233"/>
    <cellStyle name="Arial8Italic 4 7 2" xfId="2234"/>
    <cellStyle name="Arial8Italic 4 7 3" xfId="2235"/>
    <cellStyle name="Arial8Italic 4 7 4" xfId="2236"/>
    <cellStyle name="Arial8Italic 4 7 5" xfId="2237"/>
    <cellStyle name="Arial8Italic 4 7 6" xfId="2238"/>
    <cellStyle name="Arial8Italic 4 7 7" xfId="2239"/>
    <cellStyle name="Arial8Italic 4 8" xfId="2240"/>
    <cellStyle name="Arial8Italic 4 8 2" xfId="2241"/>
    <cellStyle name="Arial8Italic 4 8 3" xfId="2242"/>
    <cellStyle name="Arial8Italic 4 8 4" xfId="2243"/>
    <cellStyle name="Arial8Italic 4 8 5" xfId="2244"/>
    <cellStyle name="Arial8Italic 4 8 6" xfId="2245"/>
    <cellStyle name="Arial8Italic 4 8 7" xfId="2246"/>
    <cellStyle name="Arial8Italic 4 9" xfId="2247"/>
    <cellStyle name="Arial8Italic 4 9 2" xfId="2248"/>
    <cellStyle name="Arial8Italic 4 9 3" xfId="2249"/>
    <cellStyle name="Arial8Italic 4 9 4" xfId="2250"/>
    <cellStyle name="Arial8Italic 4 9 5" xfId="2251"/>
    <cellStyle name="Arial8Italic 4 9 6" xfId="2252"/>
    <cellStyle name="Arial8Italic 4 9 7" xfId="2253"/>
    <cellStyle name="Arial8Italic 5" xfId="2254"/>
    <cellStyle name="Arial8Italic 5 2" xfId="2255"/>
    <cellStyle name="Arial8Italic 5 3" xfId="2256"/>
    <cellStyle name="Arial8Italic 5 4" xfId="2257"/>
    <cellStyle name="Arial8Italic 5 5" xfId="2258"/>
    <cellStyle name="Arial8Italic 5 6" xfId="2259"/>
    <cellStyle name="Arial8Italic 5 7" xfId="2260"/>
    <cellStyle name="Arial8Italic 6" xfId="2261"/>
    <cellStyle name="Arial8Italic 6 2" xfId="2262"/>
    <cellStyle name="Arial8Italic 6 3" xfId="2263"/>
    <cellStyle name="Arial8Italic 6 4" xfId="2264"/>
    <cellStyle name="Arial8Italic 6 5" xfId="2265"/>
    <cellStyle name="Arial8Italic 6 6" xfId="2266"/>
    <cellStyle name="Arial8Italic 6 7" xfId="2267"/>
    <cellStyle name="Arial8Italic 7" xfId="2268"/>
    <cellStyle name="Arial8Italic 7 2" xfId="2269"/>
    <cellStyle name="Arial8Italic 7 3" xfId="2270"/>
    <cellStyle name="Arial8Italic 7 4" xfId="2271"/>
    <cellStyle name="Arial8Italic 7 5" xfId="2272"/>
    <cellStyle name="Arial8Italic 7 6" xfId="2273"/>
    <cellStyle name="Arial8Italic 7 7" xfId="2274"/>
    <cellStyle name="Arial8Italic 8" xfId="2275"/>
    <cellStyle name="Arial8Italic 8 2" xfId="2276"/>
    <cellStyle name="Arial8Italic 8 3" xfId="2277"/>
    <cellStyle name="Arial8Italic 8 4" xfId="2278"/>
    <cellStyle name="Arial8Italic 8 5" xfId="2279"/>
    <cellStyle name="Arial8Italic 8 6" xfId="2280"/>
    <cellStyle name="Arial8Italic 8 7" xfId="2281"/>
    <cellStyle name="Arial8Italic 9" xfId="2282"/>
    <cellStyle name="Arial8Italic 9 2" xfId="2283"/>
    <cellStyle name="Arial8Italic 9 3" xfId="2284"/>
    <cellStyle name="Arial8Italic 9 4" xfId="2285"/>
    <cellStyle name="Arial8Italic 9 5" xfId="2286"/>
    <cellStyle name="Arial8Italic 9 6" xfId="2287"/>
    <cellStyle name="Arial8Italic 9 7" xfId="2288"/>
    <cellStyle name="ArialNormal" xfId="2289"/>
    <cellStyle name="ArialNormal 10" xfId="2290"/>
    <cellStyle name="ArialNormal 10 2" xfId="2291"/>
    <cellStyle name="ArialNormal 10 3" xfId="2292"/>
    <cellStyle name="ArialNormal 10 4" xfId="2293"/>
    <cellStyle name="ArialNormal 10 5" xfId="2294"/>
    <cellStyle name="ArialNormal 10 6" xfId="2295"/>
    <cellStyle name="ArialNormal 10 7" xfId="2296"/>
    <cellStyle name="ArialNormal 11" xfId="2297"/>
    <cellStyle name="ArialNormal 11 2" xfId="2298"/>
    <cellStyle name="ArialNormal 11 3" xfId="2299"/>
    <cellStyle name="ArialNormal 11 4" xfId="2300"/>
    <cellStyle name="ArialNormal 11 5" xfId="2301"/>
    <cellStyle name="ArialNormal 11 6" xfId="2302"/>
    <cellStyle name="ArialNormal 11 7" xfId="2303"/>
    <cellStyle name="ArialNormal 12" xfId="2304"/>
    <cellStyle name="ArialNormal 12 2" xfId="2305"/>
    <cellStyle name="ArialNormal 12 3" xfId="2306"/>
    <cellStyle name="ArialNormal 12 4" xfId="2307"/>
    <cellStyle name="ArialNormal 12 5" xfId="2308"/>
    <cellStyle name="ArialNormal 12 6" xfId="2309"/>
    <cellStyle name="ArialNormal 12 7" xfId="2310"/>
    <cellStyle name="ArialNormal 13" xfId="2311"/>
    <cellStyle name="ArialNormal 13 2" xfId="2312"/>
    <cellStyle name="ArialNormal 13 3" xfId="2313"/>
    <cellStyle name="ArialNormal 13 4" xfId="2314"/>
    <cellStyle name="ArialNormal 13 5" xfId="2315"/>
    <cellStyle name="ArialNormal 13 6" xfId="2316"/>
    <cellStyle name="ArialNormal 14" xfId="2317"/>
    <cellStyle name="ArialNormal 14 2" xfId="2318"/>
    <cellStyle name="ArialNormal 14 3" xfId="2319"/>
    <cellStyle name="ArialNormal 14 4" xfId="2320"/>
    <cellStyle name="ArialNormal 14 5" xfId="2321"/>
    <cellStyle name="ArialNormal 14 6" xfId="2322"/>
    <cellStyle name="ArialNormal 15" xfId="2323"/>
    <cellStyle name="ArialNormal 16" xfId="2324"/>
    <cellStyle name="ArialNormal 17" xfId="2325"/>
    <cellStyle name="ArialNormal 18" xfId="2326"/>
    <cellStyle name="ArialNormal 2" xfId="2327"/>
    <cellStyle name="ArialNormal 2 10" xfId="2328"/>
    <cellStyle name="ArialNormal 2 10 2" xfId="2329"/>
    <cellStyle name="ArialNormal 2 10 3" xfId="2330"/>
    <cellStyle name="ArialNormal 2 10 4" xfId="2331"/>
    <cellStyle name="ArialNormal 2 10 5" xfId="2332"/>
    <cellStyle name="ArialNormal 2 10 6" xfId="2333"/>
    <cellStyle name="ArialNormal 2 11" xfId="2334"/>
    <cellStyle name="ArialNormal 2 12" xfId="2335"/>
    <cellStyle name="ArialNormal 2 13" xfId="2336"/>
    <cellStyle name="ArialNormal 2 14" xfId="2337"/>
    <cellStyle name="ArialNormal 2 15" xfId="2338"/>
    <cellStyle name="ArialNormal 2 2" xfId="2339"/>
    <cellStyle name="ArialNormal 2 2 2" xfId="2340"/>
    <cellStyle name="ArialNormal 2 2 3" xfId="2341"/>
    <cellStyle name="ArialNormal 2 2 4" xfId="2342"/>
    <cellStyle name="ArialNormal 2 2 5" xfId="2343"/>
    <cellStyle name="ArialNormal 2 2 6" xfId="2344"/>
    <cellStyle name="ArialNormal 2 2 7" xfId="2345"/>
    <cellStyle name="ArialNormal 2 3" xfId="2346"/>
    <cellStyle name="ArialNormal 2 3 2" xfId="2347"/>
    <cellStyle name="ArialNormal 2 3 3" xfId="2348"/>
    <cellStyle name="ArialNormal 2 3 4" xfId="2349"/>
    <cellStyle name="ArialNormal 2 3 5" xfId="2350"/>
    <cellStyle name="ArialNormal 2 3 6" xfId="2351"/>
    <cellStyle name="ArialNormal 2 3 7" xfId="2352"/>
    <cellStyle name="ArialNormal 2 4" xfId="2353"/>
    <cellStyle name="ArialNormal 2 4 2" xfId="2354"/>
    <cellStyle name="ArialNormal 2 4 3" xfId="2355"/>
    <cellStyle name="ArialNormal 2 4 4" xfId="2356"/>
    <cellStyle name="ArialNormal 2 4 5" xfId="2357"/>
    <cellStyle name="ArialNormal 2 4 6" xfId="2358"/>
    <cellStyle name="ArialNormal 2 4 7" xfId="2359"/>
    <cellStyle name="ArialNormal 2 5" xfId="2360"/>
    <cellStyle name="ArialNormal 2 5 2" xfId="2361"/>
    <cellStyle name="ArialNormal 2 5 3" xfId="2362"/>
    <cellStyle name="ArialNormal 2 5 4" xfId="2363"/>
    <cellStyle name="ArialNormal 2 5 5" xfId="2364"/>
    <cellStyle name="ArialNormal 2 5 6" xfId="2365"/>
    <cellStyle name="ArialNormal 2 5 7" xfId="2366"/>
    <cellStyle name="ArialNormal 2 6" xfId="2367"/>
    <cellStyle name="ArialNormal 2 6 2" xfId="2368"/>
    <cellStyle name="ArialNormal 2 6 3" xfId="2369"/>
    <cellStyle name="ArialNormal 2 6 4" xfId="2370"/>
    <cellStyle name="ArialNormal 2 6 5" xfId="2371"/>
    <cellStyle name="ArialNormal 2 6 6" xfId="2372"/>
    <cellStyle name="ArialNormal 2 6 7" xfId="2373"/>
    <cellStyle name="ArialNormal 2 7" xfId="2374"/>
    <cellStyle name="ArialNormal 2 7 2" xfId="2375"/>
    <cellStyle name="ArialNormal 2 7 3" xfId="2376"/>
    <cellStyle name="ArialNormal 2 7 4" xfId="2377"/>
    <cellStyle name="ArialNormal 2 7 5" xfId="2378"/>
    <cellStyle name="ArialNormal 2 7 6" xfId="2379"/>
    <cellStyle name="ArialNormal 2 7 7" xfId="2380"/>
    <cellStyle name="ArialNormal 2 8" xfId="2381"/>
    <cellStyle name="ArialNormal 2 8 2" xfId="2382"/>
    <cellStyle name="ArialNormal 2 8 3" xfId="2383"/>
    <cellStyle name="ArialNormal 2 8 4" xfId="2384"/>
    <cellStyle name="ArialNormal 2 8 5" xfId="2385"/>
    <cellStyle name="ArialNormal 2 8 6" xfId="2386"/>
    <cellStyle name="ArialNormal 2 8 7" xfId="2387"/>
    <cellStyle name="ArialNormal 2 9" xfId="2388"/>
    <cellStyle name="ArialNormal 2 9 2" xfId="2389"/>
    <cellStyle name="ArialNormal 2 9 3" xfId="2390"/>
    <cellStyle name="ArialNormal 2 9 4" xfId="2391"/>
    <cellStyle name="ArialNormal 2 9 5" xfId="2392"/>
    <cellStyle name="ArialNormal 2 9 6" xfId="2393"/>
    <cellStyle name="ArialNormal 2 9 7" xfId="2394"/>
    <cellStyle name="ArialNormal 3" xfId="2395"/>
    <cellStyle name="ArialNormal 3 10" xfId="2396"/>
    <cellStyle name="ArialNormal 3 10 2" xfId="2397"/>
    <cellStyle name="ArialNormal 3 10 3" xfId="2398"/>
    <cellStyle name="ArialNormal 3 10 4" xfId="2399"/>
    <cellStyle name="ArialNormal 3 10 5" xfId="2400"/>
    <cellStyle name="ArialNormal 3 10 6" xfId="2401"/>
    <cellStyle name="ArialNormal 3 11" xfId="2402"/>
    <cellStyle name="ArialNormal 3 12" xfId="2403"/>
    <cellStyle name="ArialNormal 3 13" xfId="2404"/>
    <cellStyle name="ArialNormal 3 14" xfId="2405"/>
    <cellStyle name="ArialNormal 3 15" xfId="2406"/>
    <cellStyle name="ArialNormal 3 2" xfId="2407"/>
    <cellStyle name="ArialNormal 3 2 2" xfId="2408"/>
    <cellStyle name="ArialNormal 3 2 3" xfId="2409"/>
    <cellStyle name="ArialNormal 3 2 4" xfId="2410"/>
    <cellStyle name="ArialNormal 3 2 5" xfId="2411"/>
    <cellStyle name="ArialNormal 3 2 6" xfId="2412"/>
    <cellStyle name="ArialNormal 3 2 7" xfId="2413"/>
    <cellStyle name="ArialNormal 3 3" xfId="2414"/>
    <cellStyle name="ArialNormal 3 3 2" xfId="2415"/>
    <cellStyle name="ArialNormal 3 3 3" xfId="2416"/>
    <cellStyle name="ArialNormal 3 3 4" xfId="2417"/>
    <cellStyle name="ArialNormal 3 3 5" xfId="2418"/>
    <cellStyle name="ArialNormal 3 3 6" xfId="2419"/>
    <cellStyle name="ArialNormal 3 3 7" xfId="2420"/>
    <cellStyle name="ArialNormal 3 4" xfId="2421"/>
    <cellStyle name="ArialNormal 3 4 2" xfId="2422"/>
    <cellStyle name="ArialNormal 3 4 3" xfId="2423"/>
    <cellStyle name="ArialNormal 3 4 4" xfId="2424"/>
    <cellStyle name="ArialNormal 3 4 5" xfId="2425"/>
    <cellStyle name="ArialNormal 3 4 6" xfId="2426"/>
    <cellStyle name="ArialNormal 3 4 7" xfId="2427"/>
    <cellStyle name="ArialNormal 3 5" xfId="2428"/>
    <cellStyle name="ArialNormal 3 5 2" xfId="2429"/>
    <cellStyle name="ArialNormal 3 5 3" xfId="2430"/>
    <cellStyle name="ArialNormal 3 5 4" xfId="2431"/>
    <cellStyle name="ArialNormal 3 5 5" xfId="2432"/>
    <cellStyle name="ArialNormal 3 5 6" xfId="2433"/>
    <cellStyle name="ArialNormal 3 5 7" xfId="2434"/>
    <cellStyle name="ArialNormal 3 6" xfId="2435"/>
    <cellStyle name="ArialNormal 3 6 2" xfId="2436"/>
    <cellStyle name="ArialNormal 3 6 3" xfId="2437"/>
    <cellStyle name="ArialNormal 3 6 4" xfId="2438"/>
    <cellStyle name="ArialNormal 3 6 5" xfId="2439"/>
    <cellStyle name="ArialNormal 3 6 6" xfId="2440"/>
    <cellStyle name="ArialNormal 3 6 7" xfId="2441"/>
    <cellStyle name="ArialNormal 3 7" xfId="2442"/>
    <cellStyle name="ArialNormal 3 7 2" xfId="2443"/>
    <cellStyle name="ArialNormal 3 7 3" xfId="2444"/>
    <cellStyle name="ArialNormal 3 7 4" xfId="2445"/>
    <cellStyle name="ArialNormal 3 7 5" xfId="2446"/>
    <cellStyle name="ArialNormal 3 7 6" xfId="2447"/>
    <cellStyle name="ArialNormal 3 7 7" xfId="2448"/>
    <cellStyle name="ArialNormal 3 8" xfId="2449"/>
    <cellStyle name="ArialNormal 3 8 2" xfId="2450"/>
    <cellStyle name="ArialNormal 3 8 3" xfId="2451"/>
    <cellStyle name="ArialNormal 3 8 4" xfId="2452"/>
    <cellStyle name="ArialNormal 3 8 5" xfId="2453"/>
    <cellStyle name="ArialNormal 3 8 6" xfId="2454"/>
    <cellStyle name="ArialNormal 3 8 7" xfId="2455"/>
    <cellStyle name="ArialNormal 3 9" xfId="2456"/>
    <cellStyle name="ArialNormal 3 9 2" xfId="2457"/>
    <cellStyle name="ArialNormal 3 9 3" xfId="2458"/>
    <cellStyle name="ArialNormal 3 9 4" xfId="2459"/>
    <cellStyle name="ArialNormal 3 9 5" xfId="2460"/>
    <cellStyle name="ArialNormal 3 9 6" xfId="2461"/>
    <cellStyle name="ArialNormal 3 9 7" xfId="2462"/>
    <cellStyle name="ArialNormal 4" xfId="2463"/>
    <cellStyle name="ArialNormal 4 10" xfId="2464"/>
    <cellStyle name="ArialNormal 4 10 2" xfId="2465"/>
    <cellStyle name="ArialNormal 4 10 3" xfId="2466"/>
    <cellStyle name="ArialNormal 4 10 4" xfId="2467"/>
    <cellStyle name="ArialNormal 4 10 5" xfId="2468"/>
    <cellStyle name="ArialNormal 4 10 6" xfId="2469"/>
    <cellStyle name="ArialNormal 4 11" xfId="2470"/>
    <cellStyle name="ArialNormal 4 12" xfId="2471"/>
    <cellStyle name="ArialNormal 4 13" xfId="2472"/>
    <cellStyle name="ArialNormal 4 14" xfId="2473"/>
    <cellStyle name="ArialNormal 4 15" xfId="2474"/>
    <cellStyle name="ArialNormal 4 2" xfId="2475"/>
    <cellStyle name="ArialNormal 4 2 2" xfId="2476"/>
    <cellStyle name="ArialNormal 4 2 3" xfId="2477"/>
    <cellStyle name="ArialNormal 4 2 4" xfId="2478"/>
    <cellStyle name="ArialNormal 4 2 5" xfId="2479"/>
    <cellStyle name="ArialNormal 4 2 6" xfId="2480"/>
    <cellStyle name="ArialNormal 4 2 7" xfId="2481"/>
    <cellStyle name="ArialNormal 4 3" xfId="2482"/>
    <cellStyle name="ArialNormal 4 3 2" xfId="2483"/>
    <cellStyle name="ArialNormal 4 3 3" xfId="2484"/>
    <cellStyle name="ArialNormal 4 3 4" xfId="2485"/>
    <cellStyle name="ArialNormal 4 3 5" xfId="2486"/>
    <cellStyle name="ArialNormal 4 3 6" xfId="2487"/>
    <cellStyle name="ArialNormal 4 3 7" xfId="2488"/>
    <cellStyle name="ArialNormal 4 4" xfId="2489"/>
    <cellStyle name="ArialNormal 4 4 2" xfId="2490"/>
    <cellStyle name="ArialNormal 4 4 3" xfId="2491"/>
    <cellStyle name="ArialNormal 4 4 4" xfId="2492"/>
    <cellStyle name="ArialNormal 4 4 5" xfId="2493"/>
    <cellStyle name="ArialNormal 4 4 6" xfId="2494"/>
    <cellStyle name="ArialNormal 4 4 7" xfId="2495"/>
    <cellStyle name="ArialNormal 4 5" xfId="2496"/>
    <cellStyle name="ArialNormal 4 5 2" xfId="2497"/>
    <cellStyle name="ArialNormal 4 5 3" xfId="2498"/>
    <cellStyle name="ArialNormal 4 5 4" xfId="2499"/>
    <cellStyle name="ArialNormal 4 5 5" xfId="2500"/>
    <cellStyle name="ArialNormal 4 5 6" xfId="2501"/>
    <cellStyle name="ArialNormal 4 5 7" xfId="2502"/>
    <cellStyle name="ArialNormal 4 6" xfId="2503"/>
    <cellStyle name="ArialNormal 4 6 2" xfId="2504"/>
    <cellStyle name="ArialNormal 4 6 3" xfId="2505"/>
    <cellStyle name="ArialNormal 4 6 4" xfId="2506"/>
    <cellStyle name="ArialNormal 4 6 5" xfId="2507"/>
    <cellStyle name="ArialNormal 4 6 6" xfId="2508"/>
    <cellStyle name="ArialNormal 4 6 7" xfId="2509"/>
    <cellStyle name="ArialNormal 4 7" xfId="2510"/>
    <cellStyle name="ArialNormal 4 7 2" xfId="2511"/>
    <cellStyle name="ArialNormal 4 7 3" xfId="2512"/>
    <cellStyle name="ArialNormal 4 7 4" xfId="2513"/>
    <cellStyle name="ArialNormal 4 7 5" xfId="2514"/>
    <cellStyle name="ArialNormal 4 7 6" xfId="2515"/>
    <cellStyle name="ArialNormal 4 7 7" xfId="2516"/>
    <cellStyle name="ArialNormal 4 8" xfId="2517"/>
    <cellStyle name="ArialNormal 4 8 2" xfId="2518"/>
    <cellStyle name="ArialNormal 4 8 3" xfId="2519"/>
    <cellStyle name="ArialNormal 4 8 4" xfId="2520"/>
    <cellStyle name="ArialNormal 4 8 5" xfId="2521"/>
    <cellStyle name="ArialNormal 4 8 6" xfId="2522"/>
    <cellStyle name="ArialNormal 4 8 7" xfId="2523"/>
    <cellStyle name="ArialNormal 4 9" xfId="2524"/>
    <cellStyle name="ArialNormal 4 9 2" xfId="2525"/>
    <cellStyle name="ArialNormal 4 9 3" xfId="2526"/>
    <cellStyle name="ArialNormal 4 9 4" xfId="2527"/>
    <cellStyle name="ArialNormal 4 9 5" xfId="2528"/>
    <cellStyle name="ArialNormal 4 9 6" xfId="2529"/>
    <cellStyle name="ArialNormal 4 9 7" xfId="2530"/>
    <cellStyle name="ArialNormal 5" xfId="2531"/>
    <cellStyle name="ArialNormal 5 2" xfId="2532"/>
    <cellStyle name="ArialNormal 5 3" xfId="2533"/>
    <cellStyle name="ArialNormal 5 4" xfId="2534"/>
    <cellStyle name="ArialNormal 5 5" xfId="2535"/>
    <cellStyle name="ArialNormal 5 6" xfId="2536"/>
    <cellStyle name="ArialNormal 5 7" xfId="2537"/>
    <cellStyle name="ArialNormal 6" xfId="2538"/>
    <cellStyle name="ArialNormal 6 2" xfId="2539"/>
    <cellStyle name="ArialNormal 6 3" xfId="2540"/>
    <cellStyle name="ArialNormal 6 4" xfId="2541"/>
    <cellStyle name="ArialNormal 6 5" xfId="2542"/>
    <cellStyle name="ArialNormal 6 6" xfId="2543"/>
    <cellStyle name="ArialNormal 6 7" xfId="2544"/>
    <cellStyle name="ArialNormal 7" xfId="2545"/>
    <cellStyle name="ArialNormal 7 2" xfId="2546"/>
    <cellStyle name="ArialNormal 7 3" xfId="2547"/>
    <cellStyle name="ArialNormal 7 4" xfId="2548"/>
    <cellStyle name="ArialNormal 7 5" xfId="2549"/>
    <cellStyle name="ArialNormal 7 6" xfId="2550"/>
    <cellStyle name="ArialNormal 7 7" xfId="2551"/>
    <cellStyle name="ArialNormal 8" xfId="2552"/>
    <cellStyle name="ArialNormal 8 2" xfId="2553"/>
    <cellStyle name="ArialNormal 8 3" xfId="2554"/>
    <cellStyle name="ArialNormal 8 4" xfId="2555"/>
    <cellStyle name="ArialNormal 8 5" xfId="2556"/>
    <cellStyle name="ArialNormal 8 6" xfId="2557"/>
    <cellStyle name="ArialNormal 8 7" xfId="2558"/>
    <cellStyle name="ArialNormal 9" xfId="2559"/>
    <cellStyle name="ArialNormal 9 2" xfId="2560"/>
    <cellStyle name="ArialNormal 9 3" xfId="2561"/>
    <cellStyle name="ArialNormal 9 4" xfId="2562"/>
    <cellStyle name="ArialNormal 9 5" xfId="2563"/>
    <cellStyle name="ArialNormal 9 6" xfId="2564"/>
    <cellStyle name="ArialNormal 9 7" xfId="2565"/>
    <cellStyle name="Assumption" xfId="2566"/>
    <cellStyle name="Assumption 2" xfId="2567"/>
    <cellStyle name="ÄÞ¸¶ [0]_µ¥ÀÌÅ¸" xfId="2568"/>
    <cellStyle name="AÞ¸¶ [0]_¼oAa½CAu " xfId="2569"/>
    <cellStyle name="ÄÞ¸¶ [0]_cover " xfId="2570"/>
    <cellStyle name="AÞ¸¶ [0]_INQUIRY ¿?¾÷AßAø " xfId="2571"/>
    <cellStyle name="ÄÞ¸¶ [0]_INQUIRY ¿µ¾÷ÃßÁø " xfId="2572"/>
    <cellStyle name="AÞ¸¶ [0]_INQUIRY ¿μ¾÷AßAø " xfId="2573"/>
    <cellStyle name="ÄÞ¸¶_µ¥ÀÌÅ¸" xfId="2574"/>
    <cellStyle name="AÞ¸¶_¼oAa½CAu " xfId="2575"/>
    <cellStyle name="ÄÞ¸¶_cover " xfId="2576"/>
    <cellStyle name="AÞ¸¶_INQUIRY ¿?¾÷AßAø " xfId="2577"/>
    <cellStyle name="ÄÞ¸¶_INQUIRY ¿µ¾÷ÃßÁø " xfId="2578"/>
    <cellStyle name="AÞ¸¶_INQUIRY ¿μ¾÷AßAø " xfId="2579"/>
    <cellStyle name="AUV" xfId="2580"/>
    <cellStyle name="B" xfId="2581"/>
    <cellStyle name="_x0001_b" xfId="2582"/>
    <cellStyle name="Bad" xfId="5" builtinId="27"/>
    <cellStyle name="Bad 2" xfId="2583"/>
    <cellStyle name="Bad 2 2" xfId="2584"/>
    <cellStyle name="Bad 2 3" xfId="2585"/>
    <cellStyle name="Bad 3" xfId="2586"/>
    <cellStyle name="Balance Sheet" xfId="2587"/>
    <cellStyle name="Balance Sheet 2" xfId="2588"/>
    <cellStyle name="BALANCE VER" xfId="2589"/>
    <cellStyle name="BalanceSheet" xfId="2590"/>
    <cellStyle name="BalanceSheet 2" xfId="2591"/>
    <cellStyle name="Band 2" xfId="2592"/>
    <cellStyle name="bch" xfId="2593"/>
    <cellStyle name="bch 2" xfId="2594"/>
    <cellStyle name="bci" xfId="2595"/>
    <cellStyle name="bci 2" xfId="2596"/>
    <cellStyle name="big-font" xfId="2597"/>
    <cellStyle name="Black" xfId="2598"/>
    <cellStyle name="black - Style1" xfId="2599"/>
    <cellStyle name="Black 2" xfId="2600"/>
    <cellStyle name="Black 3" xfId="2601"/>
    <cellStyle name="Black 4" xfId="2602"/>
    <cellStyle name="Black 5" xfId="2603"/>
    <cellStyle name="Black 6" xfId="2604"/>
    <cellStyle name="Black 7" xfId="2605"/>
    <cellStyle name="Blank" xfId="2606"/>
    <cellStyle name="blp_column_header" xfId="2607"/>
    <cellStyle name="Blue" xfId="2608"/>
    <cellStyle name="Blue 2" xfId="2609"/>
    <cellStyle name="blue1" xfId="2610"/>
    <cellStyle name="Body" xfId="2611"/>
    <cellStyle name="Body line" xfId="2612"/>
    <cellStyle name="Bold/Border" xfId="2613"/>
    <cellStyle name="Bold/Border 2" xfId="2614"/>
    <cellStyle name="Bold/Border 2 2" xfId="2615"/>
    <cellStyle name="Bold/Border 2 2 2" xfId="2616"/>
    <cellStyle name="Border" xfId="2617"/>
    <cellStyle name="Border 2" xfId="2618"/>
    <cellStyle name="Border 2 2" xfId="2619"/>
    <cellStyle name="Border 2 2 10" xfId="2620"/>
    <cellStyle name="Border 2 2 11" xfId="2621"/>
    <cellStyle name="Border 2 2 12" xfId="2622"/>
    <cellStyle name="Border 2 2 13" xfId="2623"/>
    <cellStyle name="Border 2 2 14" xfId="2624"/>
    <cellStyle name="Border 2 2 2" xfId="2625"/>
    <cellStyle name="Border 2 2 2 2" xfId="2626"/>
    <cellStyle name="Border 2 2 2 3" xfId="2627"/>
    <cellStyle name="Border 2 2 2 4" xfId="2628"/>
    <cellStyle name="Border 2 2 2 5" xfId="2629"/>
    <cellStyle name="Border 2 2 2 6" xfId="2630"/>
    <cellStyle name="Border 2 2 2 7" xfId="2631"/>
    <cellStyle name="Border 2 2 3" xfId="2632"/>
    <cellStyle name="Border 2 2 3 2" xfId="2633"/>
    <cellStyle name="Border 2 2 3 3" xfId="2634"/>
    <cellStyle name="Border 2 2 3 4" xfId="2635"/>
    <cellStyle name="Border 2 2 3 5" xfId="2636"/>
    <cellStyle name="Border 2 2 3 6" xfId="2637"/>
    <cellStyle name="Border 2 2 3 7" xfId="2638"/>
    <cellStyle name="Border 2 2 4" xfId="2639"/>
    <cellStyle name="Border 2 2 4 2" xfId="2640"/>
    <cellStyle name="Border 2 2 4 3" xfId="2641"/>
    <cellStyle name="Border 2 2 4 4" xfId="2642"/>
    <cellStyle name="Border 2 2 4 5" xfId="2643"/>
    <cellStyle name="Border 2 2 4 6" xfId="2644"/>
    <cellStyle name="Border 2 2 4 7" xfId="2645"/>
    <cellStyle name="Border 2 2 5" xfId="2646"/>
    <cellStyle name="Border 2 2 5 2" xfId="2647"/>
    <cellStyle name="Border 2 2 5 3" xfId="2648"/>
    <cellStyle name="Border 2 2 5 4" xfId="2649"/>
    <cellStyle name="Border 2 2 5 5" xfId="2650"/>
    <cellStyle name="Border 2 2 5 6" xfId="2651"/>
    <cellStyle name="Border 2 2 5 7" xfId="2652"/>
    <cellStyle name="Border 2 2 6" xfId="2653"/>
    <cellStyle name="Border 2 2 6 2" xfId="2654"/>
    <cellStyle name="Border 2 2 6 3" xfId="2655"/>
    <cellStyle name="Border 2 2 6 4" xfId="2656"/>
    <cellStyle name="Border 2 2 6 5" xfId="2657"/>
    <cellStyle name="Border 2 2 6 6" xfId="2658"/>
    <cellStyle name="Border 2 2 6 7" xfId="2659"/>
    <cellStyle name="Border 2 2 7" xfId="2660"/>
    <cellStyle name="Border 2 2 7 2" xfId="2661"/>
    <cellStyle name="Border 2 2 7 3" xfId="2662"/>
    <cellStyle name="Border 2 2 7 4" xfId="2663"/>
    <cellStyle name="Border 2 2 7 5" xfId="2664"/>
    <cellStyle name="Border 2 2 7 6" xfId="2665"/>
    <cellStyle name="Border 2 2 7 7" xfId="2666"/>
    <cellStyle name="Border 2 2 8" xfId="2667"/>
    <cellStyle name="Border 2 2 8 2" xfId="2668"/>
    <cellStyle name="Border 2 2 8 3" xfId="2669"/>
    <cellStyle name="Border 2 2 8 4" xfId="2670"/>
    <cellStyle name="Border 2 2 8 5" xfId="2671"/>
    <cellStyle name="Border 2 2 8 6" xfId="2672"/>
    <cellStyle name="Border 2 2 8 7" xfId="2673"/>
    <cellStyle name="Border 2 2 9" xfId="2674"/>
    <cellStyle name="Border 2 2 9 2" xfId="2675"/>
    <cellStyle name="Border 2 2 9 3" xfId="2676"/>
    <cellStyle name="Border 2 2 9 4" xfId="2677"/>
    <cellStyle name="Border 2 2 9 5" xfId="2678"/>
    <cellStyle name="Border 2 2 9 6" xfId="2679"/>
    <cellStyle name="Border 2 3" xfId="2680"/>
    <cellStyle name="Border 2 3 10" xfId="2681"/>
    <cellStyle name="Border 2 3 11" xfId="2682"/>
    <cellStyle name="Border 2 3 12" xfId="2683"/>
    <cellStyle name="Border 2 3 13" xfId="2684"/>
    <cellStyle name="Border 2 3 14" xfId="2685"/>
    <cellStyle name="Border 2 3 2" xfId="2686"/>
    <cellStyle name="Border 2 3 2 2" xfId="2687"/>
    <cellStyle name="Border 2 3 2 3" xfId="2688"/>
    <cellStyle name="Border 2 3 2 4" xfId="2689"/>
    <cellStyle name="Border 2 3 2 5" xfId="2690"/>
    <cellStyle name="Border 2 3 2 6" xfId="2691"/>
    <cellStyle name="Border 2 3 2 7" xfId="2692"/>
    <cellStyle name="Border 2 3 3" xfId="2693"/>
    <cellStyle name="Border 2 3 3 2" xfId="2694"/>
    <cellStyle name="Border 2 3 3 3" xfId="2695"/>
    <cellStyle name="Border 2 3 3 4" xfId="2696"/>
    <cellStyle name="Border 2 3 3 5" xfId="2697"/>
    <cellStyle name="Border 2 3 3 6" xfId="2698"/>
    <cellStyle name="Border 2 3 3 7" xfId="2699"/>
    <cellStyle name="Border 2 3 4" xfId="2700"/>
    <cellStyle name="Border 2 3 4 2" xfId="2701"/>
    <cellStyle name="Border 2 3 4 3" xfId="2702"/>
    <cellStyle name="Border 2 3 4 4" xfId="2703"/>
    <cellStyle name="Border 2 3 4 5" xfId="2704"/>
    <cellStyle name="Border 2 3 4 6" xfId="2705"/>
    <cellStyle name="Border 2 3 4 7" xfId="2706"/>
    <cellStyle name="Border 2 3 5" xfId="2707"/>
    <cellStyle name="Border 2 3 5 2" xfId="2708"/>
    <cellStyle name="Border 2 3 5 3" xfId="2709"/>
    <cellStyle name="Border 2 3 5 4" xfId="2710"/>
    <cellStyle name="Border 2 3 5 5" xfId="2711"/>
    <cellStyle name="Border 2 3 5 6" xfId="2712"/>
    <cellStyle name="Border 2 3 5 7" xfId="2713"/>
    <cellStyle name="Border 2 3 6" xfId="2714"/>
    <cellStyle name="Border 2 3 6 2" xfId="2715"/>
    <cellStyle name="Border 2 3 6 3" xfId="2716"/>
    <cellStyle name="Border 2 3 6 4" xfId="2717"/>
    <cellStyle name="Border 2 3 6 5" xfId="2718"/>
    <cellStyle name="Border 2 3 6 6" xfId="2719"/>
    <cellStyle name="Border 2 3 6 7" xfId="2720"/>
    <cellStyle name="Border 2 3 7" xfId="2721"/>
    <cellStyle name="Border 2 3 7 2" xfId="2722"/>
    <cellStyle name="Border 2 3 7 3" xfId="2723"/>
    <cellStyle name="Border 2 3 7 4" xfId="2724"/>
    <cellStyle name="Border 2 3 7 5" xfId="2725"/>
    <cellStyle name="Border 2 3 7 6" xfId="2726"/>
    <cellStyle name="Border 2 3 7 7" xfId="2727"/>
    <cellStyle name="Border 2 3 8" xfId="2728"/>
    <cellStyle name="Border 2 3 8 2" xfId="2729"/>
    <cellStyle name="Border 2 3 8 3" xfId="2730"/>
    <cellStyle name="Border 2 3 8 4" xfId="2731"/>
    <cellStyle name="Border 2 3 8 5" xfId="2732"/>
    <cellStyle name="Border 2 3 8 6" xfId="2733"/>
    <cellStyle name="Border 2 3 8 7" xfId="2734"/>
    <cellStyle name="Border 2 3 9" xfId="2735"/>
    <cellStyle name="Border 2 3 9 2" xfId="2736"/>
    <cellStyle name="Border 2 3 9 3" xfId="2737"/>
    <cellStyle name="Border 2 3 9 4" xfId="2738"/>
    <cellStyle name="Border 2 3 9 5" xfId="2739"/>
    <cellStyle name="Border 2 3 9 6" xfId="2740"/>
    <cellStyle name="Border 2 4" xfId="2741"/>
    <cellStyle name="Border 2 4 10" xfId="2742"/>
    <cellStyle name="Border 2 4 11" xfId="2743"/>
    <cellStyle name="Border 2 4 12" xfId="2744"/>
    <cellStyle name="Border 2 4 13" xfId="2745"/>
    <cellStyle name="Border 2 4 14" xfId="2746"/>
    <cellStyle name="Border 2 4 2" xfId="2747"/>
    <cellStyle name="Border 2 4 2 2" xfId="2748"/>
    <cellStyle name="Border 2 4 2 3" xfId="2749"/>
    <cellStyle name="Border 2 4 2 4" xfId="2750"/>
    <cellStyle name="Border 2 4 2 5" xfId="2751"/>
    <cellStyle name="Border 2 4 2 6" xfId="2752"/>
    <cellStyle name="Border 2 4 2 7" xfId="2753"/>
    <cellStyle name="Border 2 4 3" xfId="2754"/>
    <cellStyle name="Border 2 4 3 2" xfId="2755"/>
    <cellStyle name="Border 2 4 3 3" xfId="2756"/>
    <cellStyle name="Border 2 4 3 4" xfId="2757"/>
    <cellStyle name="Border 2 4 3 5" xfId="2758"/>
    <cellStyle name="Border 2 4 3 6" xfId="2759"/>
    <cellStyle name="Border 2 4 3 7" xfId="2760"/>
    <cellStyle name="Border 2 4 4" xfId="2761"/>
    <cellStyle name="Border 2 4 4 2" xfId="2762"/>
    <cellStyle name="Border 2 4 4 3" xfId="2763"/>
    <cellStyle name="Border 2 4 4 4" xfId="2764"/>
    <cellStyle name="Border 2 4 4 5" xfId="2765"/>
    <cellStyle name="Border 2 4 4 6" xfId="2766"/>
    <cellStyle name="Border 2 4 4 7" xfId="2767"/>
    <cellStyle name="Border 2 4 5" xfId="2768"/>
    <cellStyle name="Border 2 4 5 2" xfId="2769"/>
    <cellStyle name="Border 2 4 5 3" xfId="2770"/>
    <cellStyle name="Border 2 4 5 4" xfId="2771"/>
    <cellStyle name="Border 2 4 5 5" xfId="2772"/>
    <cellStyle name="Border 2 4 5 6" xfId="2773"/>
    <cellStyle name="Border 2 4 5 7" xfId="2774"/>
    <cellStyle name="Border 2 4 6" xfId="2775"/>
    <cellStyle name="Border 2 4 6 2" xfId="2776"/>
    <cellStyle name="Border 2 4 6 3" xfId="2777"/>
    <cellStyle name="Border 2 4 6 4" xfId="2778"/>
    <cellStyle name="Border 2 4 6 5" xfId="2779"/>
    <cellStyle name="Border 2 4 6 6" xfId="2780"/>
    <cellStyle name="Border 2 4 6 7" xfId="2781"/>
    <cellStyle name="Border 2 4 7" xfId="2782"/>
    <cellStyle name="Border 2 4 7 2" xfId="2783"/>
    <cellStyle name="Border 2 4 7 3" xfId="2784"/>
    <cellStyle name="Border 2 4 7 4" xfId="2785"/>
    <cellStyle name="Border 2 4 7 5" xfId="2786"/>
    <cellStyle name="Border 2 4 7 6" xfId="2787"/>
    <cellStyle name="Border 2 4 7 7" xfId="2788"/>
    <cellStyle name="Border 2 4 8" xfId="2789"/>
    <cellStyle name="Border 2 4 8 2" xfId="2790"/>
    <cellStyle name="Border 2 4 8 3" xfId="2791"/>
    <cellStyle name="Border 2 4 8 4" xfId="2792"/>
    <cellStyle name="Border 2 4 8 5" xfId="2793"/>
    <cellStyle name="Border 2 4 8 6" xfId="2794"/>
    <cellStyle name="Border 2 4 8 7" xfId="2795"/>
    <cellStyle name="Border 2 4 9" xfId="2796"/>
    <cellStyle name="Border 2 4 9 2" xfId="2797"/>
    <cellStyle name="Border 2 4 9 3" xfId="2798"/>
    <cellStyle name="Border 2 4 9 4" xfId="2799"/>
    <cellStyle name="Border 2 4 9 5" xfId="2800"/>
    <cellStyle name="Border 2 4 9 6" xfId="2801"/>
    <cellStyle name="Border 2 5" xfId="2802"/>
    <cellStyle name="Border 2 5 2" xfId="2803"/>
    <cellStyle name="Border 2 5 3" xfId="2804"/>
    <cellStyle name="Border 2 5 4" xfId="2805"/>
    <cellStyle name="Border 2 5 5" xfId="2806"/>
    <cellStyle name="Border 2 5 6" xfId="2807"/>
    <cellStyle name="Border 3" xfId="2808"/>
    <cellStyle name="Border 3 10" xfId="2809"/>
    <cellStyle name="Border 3 11" xfId="2810"/>
    <cellStyle name="Border 3 12" xfId="2811"/>
    <cellStyle name="Border 3 13" xfId="2812"/>
    <cellStyle name="Border 3 14" xfId="2813"/>
    <cellStyle name="Border 3 2" xfId="2814"/>
    <cellStyle name="Border 3 2 2" xfId="2815"/>
    <cellStyle name="Border 3 2 3" xfId="2816"/>
    <cellStyle name="Border 3 2 4" xfId="2817"/>
    <cellStyle name="Border 3 2 5" xfId="2818"/>
    <cellStyle name="Border 3 2 6" xfId="2819"/>
    <cellStyle name="Border 3 2 7" xfId="2820"/>
    <cellStyle name="Border 3 3" xfId="2821"/>
    <cellStyle name="Border 3 3 2" xfId="2822"/>
    <cellStyle name="Border 3 3 3" xfId="2823"/>
    <cellStyle name="Border 3 3 4" xfId="2824"/>
    <cellStyle name="Border 3 3 5" xfId="2825"/>
    <cellStyle name="Border 3 3 6" xfId="2826"/>
    <cellStyle name="Border 3 3 7" xfId="2827"/>
    <cellStyle name="Border 3 4" xfId="2828"/>
    <cellStyle name="Border 3 4 2" xfId="2829"/>
    <cellStyle name="Border 3 4 3" xfId="2830"/>
    <cellStyle name="Border 3 4 4" xfId="2831"/>
    <cellStyle name="Border 3 4 5" xfId="2832"/>
    <cellStyle name="Border 3 4 6" xfId="2833"/>
    <cellStyle name="Border 3 4 7" xfId="2834"/>
    <cellStyle name="Border 3 5" xfId="2835"/>
    <cellStyle name="Border 3 5 2" xfId="2836"/>
    <cellStyle name="Border 3 5 3" xfId="2837"/>
    <cellStyle name="Border 3 5 4" xfId="2838"/>
    <cellStyle name="Border 3 5 5" xfId="2839"/>
    <cellStyle name="Border 3 5 6" xfId="2840"/>
    <cellStyle name="Border 3 5 7" xfId="2841"/>
    <cellStyle name="Border 3 6" xfId="2842"/>
    <cellStyle name="Border 3 6 2" xfId="2843"/>
    <cellStyle name="Border 3 6 3" xfId="2844"/>
    <cellStyle name="Border 3 6 4" xfId="2845"/>
    <cellStyle name="Border 3 6 5" xfId="2846"/>
    <cellStyle name="Border 3 6 6" xfId="2847"/>
    <cellStyle name="Border 3 6 7" xfId="2848"/>
    <cellStyle name="Border 3 7" xfId="2849"/>
    <cellStyle name="Border 3 7 2" xfId="2850"/>
    <cellStyle name="Border 3 7 3" xfId="2851"/>
    <cellStyle name="Border 3 7 4" xfId="2852"/>
    <cellStyle name="Border 3 7 5" xfId="2853"/>
    <cellStyle name="Border 3 7 6" xfId="2854"/>
    <cellStyle name="Border 3 7 7" xfId="2855"/>
    <cellStyle name="Border 3 8" xfId="2856"/>
    <cellStyle name="Border 3 8 2" xfId="2857"/>
    <cellStyle name="Border 3 8 3" xfId="2858"/>
    <cellStyle name="Border 3 8 4" xfId="2859"/>
    <cellStyle name="Border 3 8 5" xfId="2860"/>
    <cellStyle name="Border 3 8 6" xfId="2861"/>
    <cellStyle name="Border 3 8 7" xfId="2862"/>
    <cellStyle name="Border 3 9" xfId="2863"/>
    <cellStyle name="Border 3 9 2" xfId="2864"/>
    <cellStyle name="Border 3 9 3" xfId="2865"/>
    <cellStyle name="Border 3 9 4" xfId="2866"/>
    <cellStyle name="Border 3 9 5" xfId="2867"/>
    <cellStyle name="Border 3 9 6" xfId="2868"/>
    <cellStyle name="Border 4" xfId="2869"/>
    <cellStyle name="Border 4 10" xfId="2870"/>
    <cellStyle name="Border 4 11" xfId="2871"/>
    <cellStyle name="Border 4 12" xfId="2872"/>
    <cellStyle name="Border 4 13" xfId="2873"/>
    <cellStyle name="Border 4 14" xfId="2874"/>
    <cellStyle name="Border 4 2" xfId="2875"/>
    <cellStyle name="Border 4 2 2" xfId="2876"/>
    <cellStyle name="Border 4 2 3" xfId="2877"/>
    <cellStyle name="Border 4 2 4" xfId="2878"/>
    <cellStyle name="Border 4 2 5" xfId="2879"/>
    <cellStyle name="Border 4 2 6" xfId="2880"/>
    <cellStyle name="Border 4 2 7" xfId="2881"/>
    <cellStyle name="Border 4 3" xfId="2882"/>
    <cellStyle name="Border 4 3 2" xfId="2883"/>
    <cellStyle name="Border 4 3 3" xfId="2884"/>
    <cellStyle name="Border 4 3 4" xfId="2885"/>
    <cellStyle name="Border 4 3 5" xfId="2886"/>
    <cellStyle name="Border 4 3 6" xfId="2887"/>
    <cellStyle name="Border 4 3 7" xfId="2888"/>
    <cellStyle name="Border 4 4" xfId="2889"/>
    <cellStyle name="Border 4 4 2" xfId="2890"/>
    <cellStyle name="Border 4 4 3" xfId="2891"/>
    <cellStyle name="Border 4 4 4" xfId="2892"/>
    <cellStyle name="Border 4 4 5" xfId="2893"/>
    <cellStyle name="Border 4 4 6" xfId="2894"/>
    <cellStyle name="Border 4 4 7" xfId="2895"/>
    <cellStyle name="Border 4 5" xfId="2896"/>
    <cellStyle name="Border 4 5 2" xfId="2897"/>
    <cellStyle name="Border 4 5 3" xfId="2898"/>
    <cellStyle name="Border 4 5 4" xfId="2899"/>
    <cellStyle name="Border 4 5 5" xfId="2900"/>
    <cellStyle name="Border 4 5 6" xfId="2901"/>
    <cellStyle name="Border 4 5 7" xfId="2902"/>
    <cellStyle name="Border 4 6" xfId="2903"/>
    <cellStyle name="Border 4 6 2" xfId="2904"/>
    <cellStyle name="Border 4 6 3" xfId="2905"/>
    <cellStyle name="Border 4 6 4" xfId="2906"/>
    <cellStyle name="Border 4 6 5" xfId="2907"/>
    <cellStyle name="Border 4 6 6" xfId="2908"/>
    <cellStyle name="Border 4 6 7" xfId="2909"/>
    <cellStyle name="Border 4 7" xfId="2910"/>
    <cellStyle name="Border 4 7 2" xfId="2911"/>
    <cellStyle name="Border 4 7 3" xfId="2912"/>
    <cellStyle name="Border 4 7 4" xfId="2913"/>
    <cellStyle name="Border 4 7 5" xfId="2914"/>
    <cellStyle name="Border 4 7 6" xfId="2915"/>
    <cellStyle name="Border 4 7 7" xfId="2916"/>
    <cellStyle name="Border 4 8" xfId="2917"/>
    <cellStyle name="Border 4 8 2" xfId="2918"/>
    <cellStyle name="Border 4 8 3" xfId="2919"/>
    <cellStyle name="Border 4 8 4" xfId="2920"/>
    <cellStyle name="Border 4 8 5" xfId="2921"/>
    <cellStyle name="Border 4 8 6" xfId="2922"/>
    <cellStyle name="Border 4 8 7" xfId="2923"/>
    <cellStyle name="Border 4 9" xfId="2924"/>
    <cellStyle name="Border 4 9 2" xfId="2925"/>
    <cellStyle name="Border 4 9 3" xfId="2926"/>
    <cellStyle name="Border 4 9 4" xfId="2927"/>
    <cellStyle name="Border 4 9 5" xfId="2928"/>
    <cellStyle name="Border 4 9 6" xfId="2929"/>
    <cellStyle name="Border 5" xfId="2930"/>
    <cellStyle name="Border 5 10" xfId="2931"/>
    <cellStyle name="Border 5 11" xfId="2932"/>
    <cellStyle name="Border 5 12" xfId="2933"/>
    <cellStyle name="Border 5 13" xfId="2934"/>
    <cellStyle name="Border 5 14" xfId="2935"/>
    <cellStyle name="Border 5 2" xfId="2936"/>
    <cellStyle name="Border 5 2 2" xfId="2937"/>
    <cellStyle name="Border 5 2 3" xfId="2938"/>
    <cellStyle name="Border 5 2 4" xfId="2939"/>
    <cellStyle name="Border 5 2 5" xfId="2940"/>
    <cellStyle name="Border 5 2 6" xfId="2941"/>
    <cellStyle name="Border 5 2 7" xfId="2942"/>
    <cellStyle name="Border 5 3" xfId="2943"/>
    <cellStyle name="Border 5 3 2" xfId="2944"/>
    <cellStyle name="Border 5 3 3" xfId="2945"/>
    <cellStyle name="Border 5 3 4" xfId="2946"/>
    <cellStyle name="Border 5 3 5" xfId="2947"/>
    <cellStyle name="Border 5 3 6" xfId="2948"/>
    <cellStyle name="Border 5 3 7" xfId="2949"/>
    <cellStyle name="Border 5 4" xfId="2950"/>
    <cellStyle name="Border 5 4 2" xfId="2951"/>
    <cellStyle name="Border 5 4 3" xfId="2952"/>
    <cellStyle name="Border 5 4 4" xfId="2953"/>
    <cellStyle name="Border 5 4 5" xfId="2954"/>
    <cellStyle name="Border 5 4 6" xfId="2955"/>
    <cellStyle name="Border 5 4 7" xfId="2956"/>
    <cellStyle name="Border 5 5" xfId="2957"/>
    <cellStyle name="Border 5 5 2" xfId="2958"/>
    <cellStyle name="Border 5 5 3" xfId="2959"/>
    <cellStyle name="Border 5 5 4" xfId="2960"/>
    <cellStyle name="Border 5 5 5" xfId="2961"/>
    <cellStyle name="Border 5 5 6" xfId="2962"/>
    <cellStyle name="Border 5 5 7" xfId="2963"/>
    <cellStyle name="Border 5 6" xfId="2964"/>
    <cellStyle name="Border 5 6 2" xfId="2965"/>
    <cellStyle name="Border 5 6 3" xfId="2966"/>
    <cellStyle name="Border 5 6 4" xfId="2967"/>
    <cellStyle name="Border 5 6 5" xfId="2968"/>
    <cellStyle name="Border 5 6 6" xfId="2969"/>
    <cellStyle name="Border 5 6 7" xfId="2970"/>
    <cellStyle name="Border 5 7" xfId="2971"/>
    <cellStyle name="Border 5 7 2" xfId="2972"/>
    <cellStyle name="Border 5 7 3" xfId="2973"/>
    <cellStyle name="Border 5 7 4" xfId="2974"/>
    <cellStyle name="Border 5 7 5" xfId="2975"/>
    <cellStyle name="Border 5 7 6" xfId="2976"/>
    <cellStyle name="Border 5 7 7" xfId="2977"/>
    <cellStyle name="Border 5 8" xfId="2978"/>
    <cellStyle name="Border 5 8 2" xfId="2979"/>
    <cellStyle name="Border 5 8 3" xfId="2980"/>
    <cellStyle name="Border 5 8 4" xfId="2981"/>
    <cellStyle name="Border 5 8 5" xfId="2982"/>
    <cellStyle name="Border 5 8 6" xfId="2983"/>
    <cellStyle name="Border 5 8 7" xfId="2984"/>
    <cellStyle name="Border 5 9" xfId="2985"/>
    <cellStyle name="Border 5 9 2" xfId="2986"/>
    <cellStyle name="Border 5 9 3" xfId="2987"/>
    <cellStyle name="Border 5 9 4" xfId="2988"/>
    <cellStyle name="Border 5 9 5" xfId="2989"/>
    <cellStyle name="Border 5 9 6" xfId="2990"/>
    <cellStyle name="Border 6" xfId="2991"/>
    <cellStyle name="Border 6 2" xfId="2992"/>
    <cellStyle name="Border 6 3" xfId="2993"/>
    <cellStyle name="Border 6 4" xfId="2994"/>
    <cellStyle name="Border 6 5" xfId="2995"/>
    <cellStyle name="Border 6 6" xfId="2996"/>
    <cellStyle name="Border, Bottom" xfId="2997"/>
    <cellStyle name="Border, Bottom 2" xfId="2998"/>
    <cellStyle name="Border, Bottom 2 2" xfId="2999"/>
    <cellStyle name="Border, Bottom 2 2 2" xfId="3000"/>
    <cellStyle name="Border, Left" xfId="3001"/>
    <cellStyle name="Border, Right" xfId="3002"/>
    <cellStyle name="Border, Top" xfId="3003"/>
    <cellStyle name="Border, Top 2" xfId="3004"/>
    <cellStyle name="Border, Top 2 10" xfId="3005"/>
    <cellStyle name="Border, Top 2 11" xfId="3006"/>
    <cellStyle name="Border, Top 2 12" xfId="3007"/>
    <cellStyle name="Border, Top 2 13" xfId="3008"/>
    <cellStyle name="Border, Top 2 14" xfId="3009"/>
    <cellStyle name="Border, Top 2 2" xfId="3010"/>
    <cellStyle name="Border, Top 2 2 2" xfId="3011"/>
    <cellStyle name="Border, Top 2 2 3" xfId="3012"/>
    <cellStyle name="Border, Top 2 2 4" xfId="3013"/>
    <cellStyle name="Border, Top 2 2 5" xfId="3014"/>
    <cellStyle name="Border, Top 2 2 6" xfId="3015"/>
    <cellStyle name="Border, Top 2 2 7" xfId="3016"/>
    <cellStyle name="Border, Top 2 3" xfId="3017"/>
    <cellStyle name="Border, Top 2 3 2" xfId="3018"/>
    <cellStyle name="Border, Top 2 3 3" xfId="3019"/>
    <cellStyle name="Border, Top 2 3 4" xfId="3020"/>
    <cellStyle name="Border, Top 2 3 5" xfId="3021"/>
    <cellStyle name="Border, Top 2 3 6" xfId="3022"/>
    <cellStyle name="Border, Top 2 3 7" xfId="3023"/>
    <cellStyle name="Border, Top 2 4" xfId="3024"/>
    <cellStyle name="Border, Top 2 4 2" xfId="3025"/>
    <cellStyle name="Border, Top 2 4 3" xfId="3026"/>
    <cellStyle name="Border, Top 2 4 4" xfId="3027"/>
    <cellStyle name="Border, Top 2 4 5" xfId="3028"/>
    <cellStyle name="Border, Top 2 4 6" xfId="3029"/>
    <cellStyle name="Border, Top 2 4 7" xfId="3030"/>
    <cellStyle name="Border, Top 2 5" xfId="3031"/>
    <cellStyle name="Border, Top 2 5 2" xfId="3032"/>
    <cellStyle name="Border, Top 2 5 3" xfId="3033"/>
    <cellStyle name="Border, Top 2 5 4" xfId="3034"/>
    <cellStyle name="Border, Top 2 5 5" xfId="3035"/>
    <cellStyle name="Border, Top 2 5 6" xfId="3036"/>
    <cellStyle name="Border, Top 2 5 7" xfId="3037"/>
    <cellStyle name="Border, Top 2 6" xfId="3038"/>
    <cellStyle name="Border, Top 2 6 2" xfId="3039"/>
    <cellStyle name="Border, Top 2 6 3" xfId="3040"/>
    <cellStyle name="Border, Top 2 6 4" xfId="3041"/>
    <cellStyle name="Border, Top 2 6 5" xfId="3042"/>
    <cellStyle name="Border, Top 2 6 6" xfId="3043"/>
    <cellStyle name="Border, Top 2 6 7" xfId="3044"/>
    <cellStyle name="Border, Top 2 7" xfId="3045"/>
    <cellStyle name="Border, Top 2 7 2" xfId="3046"/>
    <cellStyle name="Border, Top 2 7 3" xfId="3047"/>
    <cellStyle name="Border, Top 2 7 4" xfId="3048"/>
    <cellStyle name="Border, Top 2 7 5" xfId="3049"/>
    <cellStyle name="Border, Top 2 7 6" xfId="3050"/>
    <cellStyle name="Border, Top 2 7 7" xfId="3051"/>
    <cellStyle name="Border, Top 2 8" xfId="3052"/>
    <cellStyle name="Border, Top 2 8 2" xfId="3053"/>
    <cellStyle name="Border, Top 2 8 3" xfId="3054"/>
    <cellStyle name="Border, Top 2 8 4" xfId="3055"/>
    <cellStyle name="Border, Top 2 8 5" xfId="3056"/>
    <cellStyle name="Border, Top 2 8 6" xfId="3057"/>
    <cellStyle name="Border, Top 2 8 7" xfId="3058"/>
    <cellStyle name="Border, Top 2 9" xfId="3059"/>
    <cellStyle name="Border, Top 2 9 2" xfId="3060"/>
    <cellStyle name="Border, Top 2 9 3" xfId="3061"/>
    <cellStyle name="Border, Top 2 9 4" xfId="3062"/>
    <cellStyle name="Border, Top 2 9 5" xfId="3063"/>
    <cellStyle name="Border, Top 2 9 6" xfId="3064"/>
    <cellStyle name="Border, Top 3" xfId="3065"/>
    <cellStyle name="Border, Top 3 10" xfId="3066"/>
    <cellStyle name="Border, Top 3 11" xfId="3067"/>
    <cellStyle name="Border, Top 3 12" xfId="3068"/>
    <cellStyle name="Border, Top 3 13" xfId="3069"/>
    <cellStyle name="Border, Top 3 14" xfId="3070"/>
    <cellStyle name="Border, Top 3 2" xfId="3071"/>
    <cellStyle name="Border, Top 3 2 2" xfId="3072"/>
    <cellStyle name="Border, Top 3 2 3" xfId="3073"/>
    <cellStyle name="Border, Top 3 2 4" xfId="3074"/>
    <cellStyle name="Border, Top 3 2 5" xfId="3075"/>
    <cellStyle name="Border, Top 3 2 6" xfId="3076"/>
    <cellStyle name="Border, Top 3 2 7" xfId="3077"/>
    <cellStyle name="Border, Top 3 3" xfId="3078"/>
    <cellStyle name="Border, Top 3 3 2" xfId="3079"/>
    <cellStyle name="Border, Top 3 3 3" xfId="3080"/>
    <cellStyle name="Border, Top 3 3 4" xfId="3081"/>
    <cellStyle name="Border, Top 3 3 5" xfId="3082"/>
    <cellStyle name="Border, Top 3 3 6" xfId="3083"/>
    <cellStyle name="Border, Top 3 3 7" xfId="3084"/>
    <cellStyle name="Border, Top 3 4" xfId="3085"/>
    <cellStyle name="Border, Top 3 4 2" xfId="3086"/>
    <cellStyle name="Border, Top 3 4 3" xfId="3087"/>
    <cellStyle name="Border, Top 3 4 4" xfId="3088"/>
    <cellStyle name="Border, Top 3 4 5" xfId="3089"/>
    <cellStyle name="Border, Top 3 4 6" xfId="3090"/>
    <cellStyle name="Border, Top 3 4 7" xfId="3091"/>
    <cellStyle name="Border, Top 3 5" xfId="3092"/>
    <cellStyle name="Border, Top 3 5 2" xfId="3093"/>
    <cellStyle name="Border, Top 3 5 3" xfId="3094"/>
    <cellStyle name="Border, Top 3 5 4" xfId="3095"/>
    <cellStyle name="Border, Top 3 5 5" xfId="3096"/>
    <cellStyle name="Border, Top 3 5 6" xfId="3097"/>
    <cellStyle name="Border, Top 3 5 7" xfId="3098"/>
    <cellStyle name="Border, Top 3 6" xfId="3099"/>
    <cellStyle name="Border, Top 3 6 2" xfId="3100"/>
    <cellStyle name="Border, Top 3 6 3" xfId="3101"/>
    <cellStyle name="Border, Top 3 6 4" xfId="3102"/>
    <cellStyle name="Border, Top 3 6 5" xfId="3103"/>
    <cellStyle name="Border, Top 3 6 6" xfId="3104"/>
    <cellStyle name="Border, Top 3 6 7" xfId="3105"/>
    <cellStyle name="Border, Top 3 7" xfId="3106"/>
    <cellStyle name="Border, Top 3 7 2" xfId="3107"/>
    <cellStyle name="Border, Top 3 7 3" xfId="3108"/>
    <cellStyle name="Border, Top 3 7 4" xfId="3109"/>
    <cellStyle name="Border, Top 3 7 5" xfId="3110"/>
    <cellStyle name="Border, Top 3 7 6" xfId="3111"/>
    <cellStyle name="Border, Top 3 7 7" xfId="3112"/>
    <cellStyle name="Border, Top 3 8" xfId="3113"/>
    <cellStyle name="Border, Top 3 8 2" xfId="3114"/>
    <cellStyle name="Border, Top 3 8 3" xfId="3115"/>
    <cellStyle name="Border, Top 3 8 4" xfId="3116"/>
    <cellStyle name="Border, Top 3 8 5" xfId="3117"/>
    <cellStyle name="Border, Top 3 8 6" xfId="3118"/>
    <cellStyle name="Border, Top 3 8 7" xfId="3119"/>
    <cellStyle name="Border, Top 3 9" xfId="3120"/>
    <cellStyle name="Border, Top 3 9 2" xfId="3121"/>
    <cellStyle name="Border, Top 3 9 3" xfId="3122"/>
    <cellStyle name="Border, Top 3 9 4" xfId="3123"/>
    <cellStyle name="Border, Top 3 9 5" xfId="3124"/>
    <cellStyle name="Border, Top 3 9 6" xfId="3125"/>
    <cellStyle name="Border, Top 4" xfId="3126"/>
    <cellStyle name="Border, Top 4 10" xfId="3127"/>
    <cellStyle name="Border, Top 4 11" xfId="3128"/>
    <cellStyle name="Border, Top 4 12" xfId="3129"/>
    <cellStyle name="Border, Top 4 13" xfId="3130"/>
    <cellStyle name="Border, Top 4 14" xfId="3131"/>
    <cellStyle name="Border, Top 4 2" xfId="3132"/>
    <cellStyle name="Border, Top 4 2 2" xfId="3133"/>
    <cellStyle name="Border, Top 4 2 3" xfId="3134"/>
    <cellStyle name="Border, Top 4 2 4" xfId="3135"/>
    <cellStyle name="Border, Top 4 2 5" xfId="3136"/>
    <cellStyle name="Border, Top 4 2 6" xfId="3137"/>
    <cellStyle name="Border, Top 4 2 7" xfId="3138"/>
    <cellStyle name="Border, Top 4 3" xfId="3139"/>
    <cellStyle name="Border, Top 4 3 2" xfId="3140"/>
    <cellStyle name="Border, Top 4 3 3" xfId="3141"/>
    <cellStyle name="Border, Top 4 3 4" xfId="3142"/>
    <cellStyle name="Border, Top 4 3 5" xfId="3143"/>
    <cellStyle name="Border, Top 4 3 6" xfId="3144"/>
    <cellStyle name="Border, Top 4 3 7" xfId="3145"/>
    <cellStyle name="Border, Top 4 4" xfId="3146"/>
    <cellStyle name="Border, Top 4 4 2" xfId="3147"/>
    <cellStyle name="Border, Top 4 4 3" xfId="3148"/>
    <cellStyle name="Border, Top 4 4 4" xfId="3149"/>
    <cellStyle name="Border, Top 4 4 5" xfId="3150"/>
    <cellStyle name="Border, Top 4 4 6" xfId="3151"/>
    <cellStyle name="Border, Top 4 4 7" xfId="3152"/>
    <cellStyle name="Border, Top 4 5" xfId="3153"/>
    <cellStyle name="Border, Top 4 5 2" xfId="3154"/>
    <cellStyle name="Border, Top 4 5 3" xfId="3155"/>
    <cellStyle name="Border, Top 4 5 4" xfId="3156"/>
    <cellStyle name="Border, Top 4 5 5" xfId="3157"/>
    <cellStyle name="Border, Top 4 5 6" xfId="3158"/>
    <cellStyle name="Border, Top 4 5 7" xfId="3159"/>
    <cellStyle name="Border, Top 4 6" xfId="3160"/>
    <cellStyle name="Border, Top 4 6 2" xfId="3161"/>
    <cellStyle name="Border, Top 4 6 3" xfId="3162"/>
    <cellStyle name="Border, Top 4 6 4" xfId="3163"/>
    <cellStyle name="Border, Top 4 6 5" xfId="3164"/>
    <cellStyle name="Border, Top 4 6 6" xfId="3165"/>
    <cellStyle name="Border, Top 4 6 7" xfId="3166"/>
    <cellStyle name="Border, Top 4 7" xfId="3167"/>
    <cellStyle name="Border, Top 4 7 2" xfId="3168"/>
    <cellStyle name="Border, Top 4 7 3" xfId="3169"/>
    <cellStyle name="Border, Top 4 7 4" xfId="3170"/>
    <cellStyle name="Border, Top 4 7 5" xfId="3171"/>
    <cellStyle name="Border, Top 4 7 6" xfId="3172"/>
    <cellStyle name="Border, Top 4 7 7" xfId="3173"/>
    <cellStyle name="Border, Top 4 8" xfId="3174"/>
    <cellStyle name="Border, Top 4 8 2" xfId="3175"/>
    <cellStyle name="Border, Top 4 8 3" xfId="3176"/>
    <cellStyle name="Border, Top 4 8 4" xfId="3177"/>
    <cellStyle name="Border, Top 4 8 5" xfId="3178"/>
    <cellStyle name="Border, Top 4 8 6" xfId="3179"/>
    <cellStyle name="Border, Top 4 8 7" xfId="3180"/>
    <cellStyle name="Border, Top 4 9" xfId="3181"/>
    <cellStyle name="Border, Top 4 9 2" xfId="3182"/>
    <cellStyle name="Border, Top 4 9 3" xfId="3183"/>
    <cellStyle name="Border, Top 4 9 4" xfId="3184"/>
    <cellStyle name="Border, Top 4 9 5" xfId="3185"/>
    <cellStyle name="Border, Top 4 9 6" xfId="3186"/>
    <cellStyle name="Border, Top 5" xfId="3187"/>
    <cellStyle name="Border, Top 5 2" xfId="3188"/>
    <cellStyle name="Border, Top 5 3" xfId="3189"/>
    <cellStyle name="Border, Top 5 4" xfId="3190"/>
    <cellStyle name="Border, Top 5 5" xfId="3191"/>
    <cellStyle name="Border, Top 5 6" xfId="3192"/>
    <cellStyle name="Bottom Edge" xfId="3193"/>
    <cellStyle name="Bottom Edge 10" xfId="3194"/>
    <cellStyle name="Bottom Edge 10 2" xfId="3195"/>
    <cellStyle name="Bottom Edge 10 3" xfId="3196"/>
    <cellStyle name="Bottom Edge 10 4" xfId="3197"/>
    <cellStyle name="Bottom Edge 10 5" xfId="3198"/>
    <cellStyle name="Bottom Edge 10 6" xfId="3199"/>
    <cellStyle name="Bottom Edge 10 7" xfId="3200"/>
    <cellStyle name="Bottom Edge 11" xfId="3201"/>
    <cellStyle name="Bottom Edge 11 2" xfId="3202"/>
    <cellStyle name="Bottom Edge 11 3" xfId="3203"/>
    <cellStyle name="Bottom Edge 11 4" xfId="3204"/>
    <cellStyle name="Bottom Edge 11 5" xfId="3205"/>
    <cellStyle name="Bottom Edge 11 6" xfId="3206"/>
    <cellStyle name="Bottom Edge 11 7" xfId="3207"/>
    <cellStyle name="Bottom Edge 12" xfId="3208"/>
    <cellStyle name="Bottom Edge 12 2" xfId="3209"/>
    <cellStyle name="Bottom Edge 12 3" xfId="3210"/>
    <cellStyle name="Bottom Edge 12 4" xfId="3211"/>
    <cellStyle name="Bottom Edge 12 5" xfId="3212"/>
    <cellStyle name="Bottom Edge 12 6" xfId="3213"/>
    <cellStyle name="Bottom Edge 13" xfId="3214"/>
    <cellStyle name="Bottom Edge 13 2" xfId="3215"/>
    <cellStyle name="Bottom Edge 13 3" xfId="3216"/>
    <cellStyle name="Bottom Edge 13 4" xfId="3217"/>
    <cellStyle name="Bottom Edge 13 5" xfId="3218"/>
    <cellStyle name="Bottom Edge 13 6" xfId="3219"/>
    <cellStyle name="Bottom Edge 14" xfId="3220"/>
    <cellStyle name="Bottom Edge 15" xfId="3221"/>
    <cellStyle name="Bottom Edge 16" xfId="3222"/>
    <cellStyle name="Bottom Edge 17" xfId="3223"/>
    <cellStyle name="Bottom Edge 2" xfId="3224"/>
    <cellStyle name="Bottom Edge 2 10" xfId="3225"/>
    <cellStyle name="Bottom Edge 2 10 2" xfId="3226"/>
    <cellStyle name="Bottom Edge 2 10 3" xfId="3227"/>
    <cellStyle name="Bottom Edge 2 10 4" xfId="3228"/>
    <cellStyle name="Bottom Edge 2 10 5" xfId="3229"/>
    <cellStyle name="Bottom Edge 2 10 6" xfId="3230"/>
    <cellStyle name="Bottom Edge 2 11" xfId="3231"/>
    <cellStyle name="Bottom Edge 2 11 2" xfId="3232"/>
    <cellStyle name="Bottom Edge 2 11 3" xfId="3233"/>
    <cellStyle name="Bottom Edge 2 11 4" xfId="3234"/>
    <cellStyle name="Bottom Edge 2 11 5" xfId="3235"/>
    <cellStyle name="Bottom Edge 2 11 6" xfId="3236"/>
    <cellStyle name="Bottom Edge 2 12" xfId="3237"/>
    <cellStyle name="Bottom Edge 2 13" xfId="3238"/>
    <cellStyle name="Bottom Edge 2 14" xfId="3239"/>
    <cellStyle name="Bottom Edge 2 15" xfId="3240"/>
    <cellStyle name="Bottom Edge 2 2" xfId="3241"/>
    <cellStyle name="Bottom Edge 2 2 2" xfId="3242"/>
    <cellStyle name="Bottom Edge 2 2 3" xfId="3243"/>
    <cellStyle name="Bottom Edge 2 2 4" xfId="3244"/>
    <cellStyle name="Bottom Edge 2 2 5" xfId="3245"/>
    <cellStyle name="Bottom Edge 2 2 6" xfId="3246"/>
    <cellStyle name="Bottom Edge 2 2 7" xfId="3247"/>
    <cellStyle name="Bottom Edge 2 3" xfId="3248"/>
    <cellStyle name="Bottom Edge 2 3 2" xfId="3249"/>
    <cellStyle name="Bottom Edge 2 3 3" xfId="3250"/>
    <cellStyle name="Bottom Edge 2 3 4" xfId="3251"/>
    <cellStyle name="Bottom Edge 2 3 5" xfId="3252"/>
    <cellStyle name="Bottom Edge 2 3 6" xfId="3253"/>
    <cellStyle name="Bottom Edge 2 3 7" xfId="3254"/>
    <cellStyle name="Bottom Edge 2 4" xfId="3255"/>
    <cellStyle name="Bottom Edge 2 4 2" xfId="3256"/>
    <cellStyle name="Bottom Edge 2 4 3" xfId="3257"/>
    <cellStyle name="Bottom Edge 2 4 4" xfId="3258"/>
    <cellStyle name="Bottom Edge 2 4 5" xfId="3259"/>
    <cellStyle name="Bottom Edge 2 4 6" xfId="3260"/>
    <cellStyle name="Bottom Edge 2 4 7" xfId="3261"/>
    <cellStyle name="Bottom Edge 2 5" xfId="3262"/>
    <cellStyle name="Bottom Edge 2 5 2" xfId="3263"/>
    <cellStyle name="Bottom Edge 2 5 3" xfId="3264"/>
    <cellStyle name="Bottom Edge 2 5 4" xfId="3265"/>
    <cellStyle name="Bottom Edge 2 5 5" xfId="3266"/>
    <cellStyle name="Bottom Edge 2 5 6" xfId="3267"/>
    <cellStyle name="Bottom Edge 2 5 7" xfId="3268"/>
    <cellStyle name="Bottom Edge 2 6" xfId="3269"/>
    <cellStyle name="Bottom Edge 2 6 2" xfId="3270"/>
    <cellStyle name="Bottom Edge 2 6 3" xfId="3271"/>
    <cellStyle name="Bottom Edge 2 6 4" xfId="3272"/>
    <cellStyle name="Bottom Edge 2 6 5" xfId="3273"/>
    <cellStyle name="Bottom Edge 2 6 6" xfId="3274"/>
    <cellStyle name="Bottom Edge 2 6 7" xfId="3275"/>
    <cellStyle name="Bottom Edge 2 7" xfId="3276"/>
    <cellStyle name="Bottom Edge 2 7 2" xfId="3277"/>
    <cellStyle name="Bottom Edge 2 7 3" xfId="3278"/>
    <cellStyle name="Bottom Edge 2 7 4" xfId="3279"/>
    <cellStyle name="Bottom Edge 2 7 5" xfId="3280"/>
    <cellStyle name="Bottom Edge 2 7 6" xfId="3281"/>
    <cellStyle name="Bottom Edge 2 7 7" xfId="3282"/>
    <cellStyle name="Bottom Edge 2 8" xfId="3283"/>
    <cellStyle name="Bottom Edge 2 8 2" xfId="3284"/>
    <cellStyle name="Bottom Edge 2 8 3" xfId="3285"/>
    <cellStyle name="Bottom Edge 2 8 4" xfId="3286"/>
    <cellStyle name="Bottom Edge 2 8 5" xfId="3287"/>
    <cellStyle name="Bottom Edge 2 8 6" xfId="3288"/>
    <cellStyle name="Bottom Edge 2 8 7" xfId="3289"/>
    <cellStyle name="Bottom Edge 2 9" xfId="3290"/>
    <cellStyle name="Bottom Edge 2 9 2" xfId="3291"/>
    <cellStyle name="Bottom Edge 2 9 3" xfId="3292"/>
    <cellStyle name="Bottom Edge 2 9 4" xfId="3293"/>
    <cellStyle name="Bottom Edge 2 9 5" xfId="3294"/>
    <cellStyle name="Bottom Edge 2 9 6" xfId="3295"/>
    <cellStyle name="Bottom Edge 2 9 7" xfId="3296"/>
    <cellStyle name="Bottom Edge 3" xfId="3297"/>
    <cellStyle name="Bottom Edge 3 10" xfId="3298"/>
    <cellStyle name="Bottom Edge 3 10 2" xfId="3299"/>
    <cellStyle name="Bottom Edge 3 10 3" xfId="3300"/>
    <cellStyle name="Bottom Edge 3 10 4" xfId="3301"/>
    <cellStyle name="Bottom Edge 3 10 5" xfId="3302"/>
    <cellStyle name="Bottom Edge 3 10 6" xfId="3303"/>
    <cellStyle name="Bottom Edge 3 11" xfId="3304"/>
    <cellStyle name="Bottom Edge 3 11 2" xfId="3305"/>
    <cellStyle name="Bottom Edge 3 11 3" xfId="3306"/>
    <cellStyle name="Bottom Edge 3 11 4" xfId="3307"/>
    <cellStyle name="Bottom Edge 3 11 5" xfId="3308"/>
    <cellStyle name="Bottom Edge 3 11 6" xfId="3309"/>
    <cellStyle name="Bottom Edge 3 12" xfId="3310"/>
    <cellStyle name="Bottom Edge 3 13" xfId="3311"/>
    <cellStyle name="Bottom Edge 3 14" xfId="3312"/>
    <cellStyle name="Bottom Edge 3 15" xfId="3313"/>
    <cellStyle name="Bottom Edge 3 2" xfId="3314"/>
    <cellStyle name="Bottom Edge 3 2 2" xfId="3315"/>
    <cellStyle name="Bottom Edge 3 2 3" xfId="3316"/>
    <cellStyle name="Bottom Edge 3 2 4" xfId="3317"/>
    <cellStyle name="Bottom Edge 3 2 5" xfId="3318"/>
    <cellStyle name="Bottom Edge 3 2 6" xfId="3319"/>
    <cellStyle name="Bottom Edge 3 2 7" xfId="3320"/>
    <cellStyle name="Bottom Edge 3 3" xfId="3321"/>
    <cellStyle name="Bottom Edge 3 3 2" xfId="3322"/>
    <cellStyle name="Bottom Edge 3 3 3" xfId="3323"/>
    <cellStyle name="Bottom Edge 3 3 4" xfId="3324"/>
    <cellStyle name="Bottom Edge 3 3 5" xfId="3325"/>
    <cellStyle name="Bottom Edge 3 3 6" xfId="3326"/>
    <cellStyle name="Bottom Edge 3 3 7" xfId="3327"/>
    <cellStyle name="Bottom Edge 3 4" xfId="3328"/>
    <cellStyle name="Bottom Edge 3 4 2" xfId="3329"/>
    <cellStyle name="Bottom Edge 3 4 3" xfId="3330"/>
    <cellStyle name="Bottom Edge 3 4 4" xfId="3331"/>
    <cellStyle name="Bottom Edge 3 4 5" xfId="3332"/>
    <cellStyle name="Bottom Edge 3 4 6" xfId="3333"/>
    <cellStyle name="Bottom Edge 3 4 7" xfId="3334"/>
    <cellStyle name="Bottom Edge 3 5" xfId="3335"/>
    <cellStyle name="Bottom Edge 3 5 2" xfId="3336"/>
    <cellStyle name="Bottom Edge 3 5 3" xfId="3337"/>
    <cellStyle name="Bottom Edge 3 5 4" xfId="3338"/>
    <cellStyle name="Bottom Edge 3 5 5" xfId="3339"/>
    <cellStyle name="Bottom Edge 3 5 6" xfId="3340"/>
    <cellStyle name="Bottom Edge 3 5 7" xfId="3341"/>
    <cellStyle name="Bottom Edge 3 6" xfId="3342"/>
    <cellStyle name="Bottom Edge 3 6 2" xfId="3343"/>
    <cellStyle name="Bottom Edge 3 6 3" xfId="3344"/>
    <cellStyle name="Bottom Edge 3 6 4" xfId="3345"/>
    <cellStyle name="Bottom Edge 3 6 5" xfId="3346"/>
    <cellStyle name="Bottom Edge 3 6 6" xfId="3347"/>
    <cellStyle name="Bottom Edge 3 6 7" xfId="3348"/>
    <cellStyle name="Bottom Edge 3 7" xfId="3349"/>
    <cellStyle name="Bottom Edge 3 7 2" xfId="3350"/>
    <cellStyle name="Bottom Edge 3 7 3" xfId="3351"/>
    <cellStyle name="Bottom Edge 3 7 4" xfId="3352"/>
    <cellStyle name="Bottom Edge 3 7 5" xfId="3353"/>
    <cellStyle name="Bottom Edge 3 7 6" xfId="3354"/>
    <cellStyle name="Bottom Edge 3 7 7" xfId="3355"/>
    <cellStyle name="Bottom Edge 3 8" xfId="3356"/>
    <cellStyle name="Bottom Edge 3 8 2" xfId="3357"/>
    <cellStyle name="Bottom Edge 3 8 3" xfId="3358"/>
    <cellStyle name="Bottom Edge 3 8 4" xfId="3359"/>
    <cellStyle name="Bottom Edge 3 8 5" xfId="3360"/>
    <cellStyle name="Bottom Edge 3 8 6" xfId="3361"/>
    <cellStyle name="Bottom Edge 3 8 7" xfId="3362"/>
    <cellStyle name="Bottom Edge 3 9" xfId="3363"/>
    <cellStyle name="Bottom Edge 3 9 2" xfId="3364"/>
    <cellStyle name="Bottom Edge 3 9 3" xfId="3365"/>
    <cellStyle name="Bottom Edge 3 9 4" xfId="3366"/>
    <cellStyle name="Bottom Edge 3 9 5" xfId="3367"/>
    <cellStyle name="Bottom Edge 3 9 6" xfId="3368"/>
    <cellStyle name="Bottom Edge 3 9 7" xfId="3369"/>
    <cellStyle name="Bottom Edge 4" xfId="3370"/>
    <cellStyle name="Bottom Edge 4 2" xfId="3371"/>
    <cellStyle name="Bottom Edge 4 3" xfId="3372"/>
    <cellStyle name="Bottom Edge 4 4" xfId="3373"/>
    <cellStyle name="Bottom Edge 4 5" xfId="3374"/>
    <cellStyle name="Bottom Edge 4 6" xfId="3375"/>
    <cellStyle name="Bottom Edge 4 7" xfId="3376"/>
    <cellStyle name="Bottom Edge 5" xfId="3377"/>
    <cellStyle name="Bottom Edge 5 2" xfId="3378"/>
    <cellStyle name="Bottom Edge 5 3" xfId="3379"/>
    <cellStyle name="Bottom Edge 5 4" xfId="3380"/>
    <cellStyle name="Bottom Edge 5 5" xfId="3381"/>
    <cellStyle name="Bottom Edge 5 6" xfId="3382"/>
    <cellStyle name="Bottom Edge 5 7" xfId="3383"/>
    <cellStyle name="Bottom Edge 6" xfId="3384"/>
    <cellStyle name="Bottom Edge 6 2" xfId="3385"/>
    <cellStyle name="Bottom Edge 6 3" xfId="3386"/>
    <cellStyle name="Bottom Edge 6 4" xfId="3387"/>
    <cellStyle name="Bottom Edge 6 5" xfId="3388"/>
    <cellStyle name="Bottom Edge 6 6" xfId="3389"/>
    <cellStyle name="Bottom Edge 6 7" xfId="3390"/>
    <cellStyle name="Bottom Edge 7" xfId="3391"/>
    <cellStyle name="Bottom Edge 7 2" xfId="3392"/>
    <cellStyle name="Bottom Edge 7 3" xfId="3393"/>
    <cellStyle name="Bottom Edge 7 4" xfId="3394"/>
    <cellStyle name="Bottom Edge 7 5" xfId="3395"/>
    <cellStyle name="Bottom Edge 7 6" xfId="3396"/>
    <cellStyle name="Bottom Edge 7 7" xfId="3397"/>
    <cellStyle name="Bottom Edge 8" xfId="3398"/>
    <cellStyle name="Bottom Edge 8 2" xfId="3399"/>
    <cellStyle name="Bottom Edge 8 3" xfId="3400"/>
    <cellStyle name="Bottom Edge 8 4" xfId="3401"/>
    <cellStyle name="Bottom Edge 8 5" xfId="3402"/>
    <cellStyle name="Bottom Edge 8 6" xfId="3403"/>
    <cellStyle name="Bottom Edge 8 7" xfId="3404"/>
    <cellStyle name="Bottom Edge 9" xfId="3405"/>
    <cellStyle name="Bottom Edge 9 2" xfId="3406"/>
    <cellStyle name="Bottom Edge 9 3" xfId="3407"/>
    <cellStyle name="Bottom Edge 9 4" xfId="3408"/>
    <cellStyle name="Bottom Edge 9 5" xfId="3409"/>
    <cellStyle name="Bottom Edge 9 6" xfId="3410"/>
    <cellStyle name="Bottom Edge 9 7" xfId="3411"/>
    <cellStyle name="bottom-title" xfId="3412"/>
    <cellStyle name="bps" xfId="3413"/>
    <cellStyle name="Bullet" xfId="3414"/>
    <cellStyle name="C?AØ_¿?¾÷CoE² " xfId="3415"/>
    <cellStyle name="c_HardInc " xfId="6"/>
    <cellStyle name="c_HardInc  2" xfId="3416"/>
    <cellStyle name="c_HardInc _000039" xfId="3417"/>
    <cellStyle name="c_HardInc _000157_Mar2009" xfId="3418"/>
    <cellStyle name="c_HardInc _000157_Mar2009 2" xfId="3419"/>
    <cellStyle name="c_HardInc _600031_Mar2009" xfId="3420"/>
    <cellStyle name="c_HardInc _600031_Mar2009 2" xfId="3421"/>
    <cellStyle name="c_HardInc _600150_Jan2009" xfId="3422"/>
    <cellStyle name="c_HardInc _Annual" xfId="3423"/>
    <cellStyle name="c_HardInc _Catalog" xfId="3424"/>
    <cellStyle name="c_HardInc _CIMC IS" xfId="3425"/>
    <cellStyle name="c_HardInc _CMHI-em-modelware.Now" xfId="3426"/>
    <cellStyle name="c_HardInc _CMHI-em-modelware.Now 2" xfId="3427"/>
    <cellStyle name="c_HardInc _CSD-traffic_MS" xfId="3428"/>
    <cellStyle name="c_HardInc _DCF" xfId="3429"/>
    <cellStyle name="c_HardInc _IV1" xfId="3430"/>
    <cellStyle name="c_HardInc _IV1 2" xfId="3431"/>
    <cellStyle name="c_HardInc _JapaneseCatalog" xfId="3432"/>
    <cellStyle name="c_HardInc _JapaneseCatalog 2" xfId="3433"/>
    <cellStyle name="c_HardInc _JSEC-177.em.Now" xfId="3434"/>
    <cellStyle name="c_HardInc _Main" xfId="3435"/>
    <cellStyle name="c_HardInc _mwareDates" xfId="3436"/>
    <cellStyle name="c_HardInc _mwareDates_1" xfId="3437"/>
    <cellStyle name="c_HardInc _Pop and Inc_CEIC_20140619" xfId="3438"/>
    <cellStyle name="c_HardInc _Quarterly" xfId="3439"/>
    <cellStyle name="c_HardInc _Quarterly_mwareDates" xfId="3440"/>
    <cellStyle name="c_HardInc _RRS1" xfId="3441"/>
    <cellStyle name="c_HardInc _RRS1_000039_Ini" xfId="3442"/>
    <cellStyle name="c_HardInc _RRS1_1" xfId="3443"/>
    <cellStyle name="c_HardInc _RRS1_CIMC-000039.Now" xfId="3444"/>
    <cellStyle name="c_HardInc _RRS1_MWA RR_000039.SZ" xfId="3445"/>
    <cellStyle name="c_HardInc _RRS1_MWA RR_200039.SZ" xfId="3446"/>
    <cellStyle name="c_HardInc _RRS1_New vs. Old" xfId="3447"/>
    <cellStyle name="c_HardInc _RRS6" xfId="3448"/>
    <cellStyle name="c_HardInc _RRS6_000039_Ini" xfId="3449"/>
    <cellStyle name="c_HardInc _RRS6_CIMC-000039.Now" xfId="3450"/>
    <cellStyle name="c_HardInc _RRS6_MWA RR_000039.SZ" xfId="3451"/>
    <cellStyle name="c_HardInc _RRS6_MWA RR_200039.SZ" xfId="3452"/>
    <cellStyle name="c_HardInc _RRS6_New vs. Old" xfId="3453"/>
    <cellStyle name="c_HardInc _RRST1" xfId="3454"/>
    <cellStyle name="c_HardInc _RRST1 2" xfId="3455"/>
    <cellStyle name="c_HardInc _RRST14" xfId="3456"/>
    <cellStyle name="c_HardInc _RRST2" xfId="3457"/>
    <cellStyle name="c_HardInc _RRST3" xfId="3458"/>
    <cellStyle name="c_HardInc _Scenario" xfId="3459"/>
    <cellStyle name="c_HardInc _Sheet1" xfId="3460"/>
    <cellStyle name="c_HardInc _Sheet3" xfId="3461"/>
    <cellStyle name="C¡IA¨ª_¡ic¨u¡A¨￢I¨￢¡Æ AN¡Æe " xfId="3462"/>
    <cellStyle name="C￥AØ_  FAB AIA¤  " xfId="3463"/>
    <cellStyle name="Ç¥ÁØ_±¹¹®¿¬°á" xfId="3464"/>
    <cellStyle name="C￥AØ_≫c¾÷ºIº° AN°e " xfId="3465"/>
    <cellStyle name="Ç¥ÁØ_0N-HANDLING " xfId="3466"/>
    <cellStyle name="C￥AØ_¼±AoAc°i_1_³≫ºI°eE¹´e AßA¤A÷AI " xfId="3467"/>
    <cellStyle name="Ç¥ÁØ_5-1±¤°í " xfId="3468"/>
    <cellStyle name="C￥AØ_5-1±¤°i _6RCB1 " xfId="3469"/>
    <cellStyle name="Ç¥ÁØ_Áý°èÇ¥(2¿ù) " xfId="3470"/>
    <cellStyle name="C￥AØ_CoAo¹yAI °A¾×¿ⓒ½A " xfId="3471"/>
    <cellStyle name="Ç¥ÁØ_cover " xfId="3472"/>
    <cellStyle name="Ç§·ÖÎ»[0]_pldt" xfId="3473"/>
    <cellStyle name="Ç§·ÖÎ»_pldt" xfId="3474"/>
    <cellStyle name="Ç§Î»[0]_pldt" xfId="3475"/>
    <cellStyle name="Ç§Î»_pldt" xfId="3476"/>
    <cellStyle name="Ç§Î»·Ö¸ô[0]_PLDT" xfId="3477"/>
    <cellStyle name="Ç§Î»·Ö¸ô_PLDT" xfId="3478"/>
    <cellStyle name="C05_Style E Text" xfId="3479"/>
    <cellStyle name="Calc Cells" xfId="3480"/>
    <cellStyle name="Calc Cells 2" xfId="3481"/>
    <cellStyle name="Calc Currency (0)" xfId="3482"/>
    <cellStyle name="Calc_0dp" xfId="3483"/>
    <cellStyle name="Calculation 2" xfId="3484"/>
    <cellStyle name="Calculation 2 2" xfId="3485"/>
    <cellStyle name="Calculation 2 2 2" xfId="3486"/>
    <cellStyle name="Calculation 2 2 2 10" xfId="3487"/>
    <cellStyle name="Calculation 2 2 2 10 2" xfId="3488"/>
    <cellStyle name="Calculation 2 2 2 10 3" xfId="3489"/>
    <cellStyle name="Calculation 2 2 2 10 4" xfId="3490"/>
    <cellStyle name="Calculation 2 2 2 10 5" xfId="3491"/>
    <cellStyle name="Calculation 2 2 2 10 6" xfId="3492"/>
    <cellStyle name="Calculation 2 2 2 10 7" xfId="3493"/>
    <cellStyle name="Calculation 2 2 2 11" xfId="3494"/>
    <cellStyle name="Calculation 2 2 2 11 2" xfId="3495"/>
    <cellStyle name="Calculation 2 2 2 11 3" xfId="3496"/>
    <cellStyle name="Calculation 2 2 2 11 4" xfId="3497"/>
    <cellStyle name="Calculation 2 2 2 11 5" xfId="3498"/>
    <cellStyle name="Calculation 2 2 2 11 6" xfId="3499"/>
    <cellStyle name="Calculation 2 2 2 12" xfId="3500"/>
    <cellStyle name="Calculation 2 2 2 12 2" xfId="3501"/>
    <cellStyle name="Calculation 2 2 2 12 3" xfId="3502"/>
    <cellStyle name="Calculation 2 2 2 12 4" xfId="3503"/>
    <cellStyle name="Calculation 2 2 2 12 5" xfId="3504"/>
    <cellStyle name="Calculation 2 2 2 12 6" xfId="3505"/>
    <cellStyle name="Calculation 2 2 2 13" xfId="3506"/>
    <cellStyle name="Calculation 2 2 2 14" xfId="3507"/>
    <cellStyle name="Calculation 2 2 2 15" xfId="3508"/>
    <cellStyle name="Calculation 2 2 2 16" xfId="3509"/>
    <cellStyle name="Calculation 2 2 2 2" xfId="3510"/>
    <cellStyle name="Calculation 2 2 2 2 10" xfId="3511"/>
    <cellStyle name="Calculation 2 2 2 2 10 2" xfId="3512"/>
    <cellStyle name="Calculation 2 2 2 2 10 3" xfId="3513"/>
    <cellStyle name="Calculation 2 2 2 2 10 4" xfId="3514"/>
    <cellStyle name="Calculation 2 2 2 2 10 5" xfId="3515"/>
    <cellStyle name="Calculation 2 2 2 2 10 6" xfId="3516"/>
    <cellStyle name="Calculation 2 2 2 2 11" xfId="3517"/>
    <cellStyle name="Calculation 2 2 2 2 12" xfId="3518"/>
    <cellStyle name="Calculation 2 2 2 2 13" xfId="3519"/>
    <cellStyle name="Calculation 2 2 2 2 14" xfId="3520"/>
    <cellStyle name="Calculation 2 2 2 2 2" xfId="3521"/>
    <cellStyle name="Calculation 2 2 2 2 2 2" xfId="3522"/>
    <cellStyle name="Calculation 2 2 2 2 2 3" xfId="3523"/>
    <cellStyle name="Calculation 2 2 2 2 2 4" xfId="3524"/>
    <cellStyle name="Calculation 2 2 2 2 2 5" xfId="3525"/>
    <cellStyle name="Calculation 2 2 2 2 2 6" xfId="3526"/>
    <cellStyle name="Calculation 2 2 2 2 2 7" xfId="3527"/>
    <cellStyle name="Calculation 2 2 2 2 3" xfId="3528"/>
    <cellStyle name="Calculation 2 2 2 2 3 2" xfId="3529"/>
    <cellStyle name="Calculation 2 2 2 2 3 3" xfId="3530"/>
    <cellStyle name="Calculation 2 2 2 2 3 4" xfId="3531"/>
    <cellStyle name="Calculation 2 2 2 2 3 5" xfId="3532"/>
    <cellStyle name="Calculation 2 2 2 2 3 6" xfId="3533"/>
    <cellStyle name="Calculation 2 2 2 2 3 7" xfId="3534"/>
    <cellStyle name="Calculation 2 2 2 2 4" xfId="3535"/>
    <cellStyle name="Calculation 2 2 2 2 4 2" xfId="3536"/>
    <cellStyle name="Calculation 2 2 2 2 4 3" xfId="3537"/>
    <cellStyle name="Calculation 2 2 2 2 4 4" xfId="3538"/>
    <cellStyle name="Calculation 2 2 2 2 4 5" xfId="3539"/>
    <cellStyle name="Calculation 2 2 2 2 4 6" xfId="3540"/>
    <cellStyle name="Calculation 2 2 2 2 4 7" xfId="3541"/>
    <cellStyle name="Calculation 2 2 2 2 5" xfId="3542"/>
    <cellStyle name="Calculation 2 2 2 2 5 2" xfId="3543"/>
    <cellStyle name="Calculation 2 2 2 2 5 3" xfId="3544"/>
    <cellStyle name="Calculation 2 2 2 2 5 4" xfId="3545"/>
    <cellStyle name="Calculation 2 2 2 2 5 5" xfId="3546"/>
    <cellStyle name="Calculation 2 2 2 2 5 6" xfId="3547"/>
    <cellStyle name="Calculation 2 2 2 2 5 7" xfId="3548"/>
    <cellStyle name="Calculation 2 2 2 2 6" xfId="3549"/>
    <cellStyle name="Calculation 2 2 2 2 6 2" xfId="3550"/>
    <cellStyle name="Calculation 2 2 2 2 6 3" xfId="3551"/>
    <cellStyle name="Calculation 2 2 2 2 6 4" xfId="3552"/>
    <cellStyle name="Calculation 2 2 2 2 6 5" xfId="3553"/>
    <cellStyle name="Calculation 2 2 2 2 6 6" xfId="3554"/>
    <cellStyle name="Calculation 2 2 2 2 6 7" xfId="3555"/>
    <cellStyle name="Calculation 2 2 2 2 7" xfId="3556"/>
    <cellStyle name="Calculation 2 2 2 2 7 2" xfId="3557"/>
    <cellStyle name="Calculation 2 2 2 2 7 3" xfId="3558"/>
    <cellStyle name="Calculation 2 2 2 2 7 4" xfId="3559"/>
    <cellStyle name="Calculation 2 2 2 2 7 5" xfId="3560"/>
    <cellStyle name="Calculation 2 2 2 2 7 6" xfId="3561"/>
    <cellStyle name="Calculation 2 2 2 2 7 7" xfId="3562"/>
    <cellStyle name="Calculation 2 2 2 2 8" xfId="3563"/>
    <cellStyle name="Calculation 2 2 2 2 8 2" xfId="3564"/>
    <cellStyle name="Calculation 2 2 2 2 8 3" xfId="3565"/>
    <cellStyle name="Calculation 2 2 2 2 8 4" xfId="3566"/>
    <cellStyle name="Calculation 2 2 2 2 8 5" xfId="3567"/>
    <cellStyle name="Calculation 2 2 2 2 8 6" xfId="3568"/>
    <cellStyle name="Calculation 2 2 2 2 8 7" xfId="3569"/>
    <cellStyle name="Calculation 2 2 2 2 9" xfId="3570"/>
    <cellStyle name="Calculation 2 2 2 2 9 2" xfId="3571"/>
    <cellStyle name="Calculation 2 2 2 2 9 3" xfId="3572"/>
    <cellStyle name="Calculation 2 2 2 2 9 4" xfId="3573"/>
    <cellStyle name="Calculation 2 2 2 2 9 5" xfId="3574"/>
    <cellStyle name="Calculation 2 2 2 2 9 6" xfId="3575"/>
    <cellStyle name="Calculation 2 2 2 3" xfId="3576"/>
    <cellStyle name="Calculation 2 2 2 3 10" xfId="3577"/>
    <cellStyle name="Calculation 2 2 2 3 10 2" xfId="3578"/>
    <cellStyle name="Calculation 2 2 2 3 10 3" xfId="3579"/>
    <cellStyle name="Calculation 2 2 2 3 10 4" xfId="3580"/>
    <cellStyle name="Calculation 2 2 2 3 10 5" xfId="3581"/>
    <cellStyle name="Calculation 2 2 2 3 10 6" xfId="3582"/>
    <cellStyle name="Calculation 2 2 2 3 11" xfId="3583"/>
    <cellStyle name="Calculation 2 2 2 3 12" xfId="3584"/>
    <cellStyle name="Calculation 2 2 2 3 13" xfId="3585"/>
    <cellStyle name="Calculation 2 2 2 3 14" xfId="3586"/>
    <cellStyle name="Calculation 2 2 2 3 2" xfId="3587"/>
    <cellStyle name="Calculation 2 2 2 3 2 2" xfId="3588"/>
    <cellStyle name="Calculation 2 2 2 3 2 3" xfId="3589"/>
    <cellStyle name="Calculation 2 2 2 3 2 4" xfId="3590"/>
    <cellStyle name="Calculation 2 2 2 3 2 5" xfId="3591"/>
    <cellStyle name="Calculation 2 2 2 3 2 6" xfId="3592"/>
    <cellStyle name="Calculation 2 2 2 3 2 7" xfId="3593"/>
    <cellStyle name="Calculation 2 2 2 3 3" xfId="3594"/>
    <cellStyle name="Calculation 2 2 2 3 3 2" xfId="3595"/>
    <cellStyle name="Calculation 2 2 2 3 3 3" xfId="3596"/>
    <cellStyle name="Calculation 2 2 2 3 3 4" xfId="3597"/>
    <cellStyle name="Calculation 2 2 2 3 3 5" xfId="3598"/>
    <cellStyle name="Calculation 2 2 2 3 3 6" xfId="3599"/>
    <cellStyle name="Calculation 2 2 2 3 3 7" xfId="3600"/>
    <cellStyle name="Calculation 2 2 2 3 4" xfId="3601"/>
    <cellStyle name="Calculation 2 2 2 3 4 2" xfId="3602"/>
    <cellStyle name="Calculation 2 2 2 3 4 3" xfId="3603"/>
    <cellStyle name="Calculation 2 2 2 3 4 4" xfId="3604"/>
    <cellStyle name="Calculation 2 2 2 3 4 5" xfId="3605"/>
    <cellStyle name="Calculation 2 2 2 3 4 6" xfId="3606"/>
    <cellStyle name="Calculation 2 2 2 3 4 7" xfId="3607"/>
    <cellStyle name="Calculation 2 2 2 3 5" xfId="3608"/>
    <cellStyle name="Calculation 2 2 2 3 5 2" xfId="3609"/>
    <cellStyle name="Calculation 2 2 2 3 5 3" xfId="3610"/>
    <cellStyle name="Calculation 2 2 2 3 5 4" xfId="3611"/>
    <cellStyle name="Calculation 2 2 2 3 5 5" xfId="3612"/>
    <cellStyle name="Calculation 2 2 2 3 5 6" xfId="3613"/>
    <cellStyle name="Calculation 2 2 2 3 5 7" xfId="3614"/>
    <cellStyle name="Calculation 2 2 2 3 6" xfId="3615"/>
    <cellStyle name="Calculation 2 2 2 3 6 2" xfId="3616"/>
    <cellStyle name="Calculation 2 2 2 3 6 3" xfId="3617"/>
    <cellStyle name="Calculation 2 2 2 3 6 4" xfId="3618"/>
    <cellStyle name="Calculation 2 2 2 3 6 5" xfId="3619"/>
    <cellStyle name="Calculation 2 2 2 3 6 6" xfId="3620"/>
    <cellStyle name="Calculation 2 2 2 3 6 7" xfId="3621"/>
    <cellStyle name="Calculation 2 2 2 3 7" xfId="3622"/>
    <cellStyle name="Calculation 2 2 2 3 7 2" xfId="3623"/>
    <cellStyle name="Calculation 2 2 2 3 7 3" xfId="3624"/>
    <cellStyle name="Calculation 2 2 2 3 7 4" xfId="3625"/>
    <cellStyle name="Calculation 2 2 2 3 7 5" xfId="3626"/>
    <cellStyle name="Calculation 2 2 2 3 7 6" xfId="3627"/>
    <cellStyle name="Calculation 2 2 2 3 7 7" xfId="3628"/>
    <cellStyle name="Calculation 2 2 2 3 8" xfId="3629"/>
    <cellStyle name="Calculation 2 2 2 3 8 2" xfId="3630"/>
    <cellStyle name="Calculation 2 2 2 3 8 3" xfId="3631"/>
    <cellStyle name="Calculation 2 2 2 3 8 4" xfId="3632"/>
    <cellStyle name="Calculation 2 2 2 3 8 5" xfId="3633"/>
    <cellStyle name="Calculation 2 2 2 3 8 6" xfId="3634"/>
    <cellStyle name="Calculation 2 2 2 3 8 7" xfId="3635"/>
    <cellStyle name="Calculation 2 2 2 3 9" xfId="3636"/>
    <cellStyle name="Calculation 2 2 2 3 9 2" xfId="3637"/>
    <cellStyle name="Calculation 2 2 2 3 9 3" xfId="3638"/>
    <cellStyle name="Calculation 2 2 2 3 9 4" xfId="3639"/>
    <cellStyle name="Calculation 2 2 2 3 9 5" xfId="3640"/>
    <cellStyle name="Calculation 2 2 2 3 9 6" xfId="3641"/>
    <cellStyle name="Calculation 2 2 2 4" xfId="3642"/>
    <cellStyle name="Calculation 2 2 2 4 2" xfId="3643"/>
    <cellStyle name="Calculation 2 2 2 4 3" xfId="3644"/>
    <cellStyle name="Calculation 2 2 2 4 4" xfId="3645"/>
    <cellStyle name="Calculation 2 2 2 4 5" xfId="3646"/>
    <cellStyle name="Calculation 2 2 2 4 6" xfId="3647"/>
    <cellStyle name="Calculation 2 2 2 4 7" xfId="3648"/>
    <cellStyle name="Calculation 2 2 2 5" xfId="3649"/>
    <cellStyle name="Calculation 2 2 2 5 2" xfId="3650"/>
    <cellStyle name="Calculation 2 2 2 5 3" xfId="3651"/>
    <cellStyle name="Calculation 2 2 2 5 4" xfId="3652"/>
    <cellStyle name="Calculation 2 2 2 5 5" xfId="3653"/>
    <cellStyle name="Calculation 2 2 2 5 6" xfId="3654"/>
    <cellStyle name="Calculation 2 2 2 5 7" xfId="3655"/>
    <cellStyle name="Calculation 2 2 2 6" xfId="3656"/>
    <cellStyle name="Calculation 2 2 2 6 2" xfId="3657"/>
    <cellStyle name="Calculation 2 2 2 6 3" xfId="3658"/>
    <cellStyle name="Calculation 2 2 2 6 4" xfId="3659"/>
    <cellStyle name="Calculation 2 2 2 6 5" xfId="3660"/>
    <cellStyle name="Calculation 2 2 2 6 6" xfId="3661"/>
    <cellStyle name="Calculation 2 2 2 6 7" xfId="3662"/>
    <cellStyle name="Calculation 2 2 2 7" xfId="3663"/>
    <cellStyle name="Calculation 2 2 2 7 2" xfId="3664"/>
    <cellStyle name="Calculation 2 2 2 7 3" xfId="3665"/>
    <cellStyle name="Calculation 2 2 2 7 4" xfId="3666"/>
    <cellStyle name="Calculation 2 2 2 7 5" xfId="3667"/>
    <cellStyle name="Calculation 2 2 2 7 6" xfId="3668"/>
    <cellStyle name="Calculation 2 2 2 7 7" xfId="3669"/>
    <cellStyle name="Calculation 2 2 2 8" xfId="3670"/>
    <cellStyle name="Calculation 2 2 2 8 2" xfId="3671"/>
    <cellStyle name="Calculation 2 2 2 8 3" xfId="3672"/>
    <cellStyle name="Calculation 2 2 2 8 4" xfId="3673"/>
    <cellStyle name="Calculation 2 2 2 8 5" xfId="3674"/>
    <cellStyle name="Calculation 2 2 2 8 6" xfId="3675"/>
    <cellStyle name="Calculation 2 2 2 8 7" xfId="3676"/>
    <cellStyle name="Calculation 2 2 2 9" xfId="3677"/>
    <cellStyle name="Calculation 2 2 2 9 2" xfId="3678"/>
    <cellStyle name="Calculation 2 2 2 9 3" xfId="3679"/>
    <cellStyle name="Calculation 2 2 2 9 4" xfId="3680"/>
    <cellStyle name="Calculation 2 2 2 9 5" xfId="3681"/>
    <cellStyle name="Calculation 2 2 2 9 6" xfId="3682"/>
    <cellStyle name="Calculation 2 2 2 9 7" xfId="3683"/>
    <cellStyle name="Calculation 3" xfId="3684"/>
    <cellStyle name="Calculation 3 10" xfId="3685"/>
    <cellStyle name="Calculation 3 10 2" xfId="3686"/>
    <cellStyle name="Calculation 3 10 3" xfId="3687"/>
    <cellStyle name="Calculation 3 10 4" xfId="3688"/>
    <cellStyle name="Calculation 3 10 5" xfId="3689"/>
    <cellStyle name="Calculation 3 10 6" xfId="3690"/>
    <cellStyle name="Calculation 3 10 7" xfId="3691"/>
    <cellStyle name="Calculation 3 11" xfId="3692"/>
    <cellStyle name="Calculation 3 11 2" xfId="3693"/>
    <cellStyle name="Calculation 3 11 3" xfId="3694"/>
    <cellStyle name="Calculation 3 11 4" xfId="3695"/>
    <cellStyle name="Calculation 3 11 5" xfId="3696"/>
    <cellStyle name="Calculation 3 11 6" xfId="3697"/>
    <cellStyle name="Calculation 3 12" xfId="3698"/>
    <cellStyle name="Calculation 3 12 2" xfId="3699"/>
    <cellStyle name="Calculation 3 12 3" xfId="3700"/>
    <cellStyle name="Calculation 3 12 4" xfId="3701"/>
    <cellStyle name="Calculation 3 12 5" xfId="3702"/>
    <cellStyle name="Calculation 3 12 6" xfId="3703"/>
    <cellStyle name="Calculation 3 13" xfId="3704"/>
    <cellStyle name="Calculation 3 14" xfId="3705"/>
    <cellStyle name="Calculation 3 15" xfId="3706"/>
    <cellStyle name="Calculation 3 16" xfId="3707"/>
    <cellStyle name="Calculation 3 2" xfId="3708"/>
    <cellStyle name="Calculation 3 2 10" xfId="3709"/>
    <cellStyle name="Calculation 3 2 10 2" xfId="3710"/>
    <cellStyle name="Calculation 3 2 10 3" xfId="3711"/>
    <cellStyle name="Calculation 3 2 10 4" xfId="3712"/>
    <cellStyle name="Calculation 3 2 10 5" xfId="3713"/>
    <cellStyle name="Calculation 3 2 10 6" xfId="3714"/>
    <cellStyle name="Calculation 3 2 11" xfId="3715"/>
    <cellStyle name="Calculation 3 2 12" xfId="3716"/>
    <cellStyle name="Calculation 3 2 13" xfId="3717"/>
    <cellStyle name="Calculation 3 2 14" xfId="3718"/>
    <cellStyle name="Calculation 3 2 2" xfId="3719"/>
    <cellStyle name="Calculation 3 2 2 2" xfId="3720"/>
    <cellStyle name="Calculation 3 2 2 3" xfId="3721"/>
    <cellStyle name="Calculation 3 2 2 4" xfId="3722"/>
    <cellStyle name="Calculation 3 2 2 5" xfId="3723"/>
    <cellStyle name="Calculation 3 2 2 6" xfId="3724"/>
    <cellStyle name="Calculation 3 2 2 7" xfId="3725"/>
    <cellStyle name="Calculation 3 2 3" xfId="3726"/>
    <cellStyle name="Calculation 3 2 3 2" xfId="3727"/>
    <cellStyle name="Calculation 3 2 3 3" xfId="3728"/>
    <cellStyle name="Calculation 3 2 3 4" xfId="3729"/>
    <cellStyle name="Calculation 3 2 3 5" xfId="3730"/>
    <cellStyle name="Calculation 3 2 3 6" xfId="3731"/>
    <cellStyle name="Calculation 3 2 3 7" xfId="3732"/>
    <cellStyle name="Calculation 3 2 4" xfId="3733"/>
    <cellStyle name="Calculation 3 2 4 2" xfId="3734"/>
    <cellStyle name="Calculation 3 2 4 3" xfId="3735"/>
    <cellStyle name="Calculation 3 2 4 4" xfId="3736"/>
    <cellStyle name="Calculation 3 2 4 5" xfId="3737"/>
    <cellStyle name="Calculation 3 2 4 6" xfId="3738"/>
    <cellStyle name="Calculation 3 2 4 7" xfId="3739"/>
    <cellStyle name="Calculation 3 2 5" xfId="3740"/>
    <cellStyle name="Calculation 3 2 5 2" xfId="3741"/>
    <cellStyle name="Calculation 3 2 5 3" xfId="3742"/>
    <cellStyle name="Calculation 3 2 5 4" xfId="3743"/>
    <cellStyle name="Calculation 3 2 5 5" xfId="3744"/>
    <cellStyle name="Calculation 3 2 5 6" xfId="3745"/>
    <cellStyle name="Calculation 3 2 5 7" xfId="3746"/>
    <cellStyle name="Calculation 3 2 6" xfId="3747"/>
    <cellStyle name="Calculation 3 2 6 2" xfId="3748"/>
    <cellStyle name="Calculation 3 2 6 3" xfId="3749"/>
    <cellStyle name="Calculation 3 2 6 4" xfId="3750"/>
    <cellStyle name="Calculation 3 2 6 5" xfId="3751"/>
    <cellStyle name="Calculation 3 2 6 6" xfId="3752"/>
    <cellStyle name="Calculation 3 2 6 7" xfId="3753"/>
    <cellStyle name="Calculation 3 2 7" xfId="3754"/>
    <cellStyle name="Calculation 3 2 7 2" xfId="3755"/>
    <cellStyle name="Calculation 3 2 7 3" xfId="3756"/>
    <cellStyle name="Calculation 3 2 7 4" xfId="3757"/>
    <cellStyle name="Calculation 3 2 7 5" xfId="3758"/>
    <cellStyle name="Calculation 3 2 7 6" xfId="3759"/>
    <cellStyle name="Calculation 3 2 7 7" xfId="3760"/>
    <cellStyle name="Calculation 3 2 8" xfId="3761"/>
    <cellStyle name="Calculation 3 2 8 2" xfId="3762"/>
    <cellStyle name="Calculation 3 2 8 3" xfId="3763"/>
    <cellStyle name="Calculation 3 2 8 4" xfId="3764"/>
    <cellStyle name="Calculation 3 2 8 5" xfId="3765"/>
    <cellStyle name="Calculation 3 2 8 6" xfId="3766"/>
    <cellStyle name="Calculation 3 2 8 7" xfId="3767"/>
    <cellStyle name="Calculation 3 2 9" xfId="3768"/>
    <cellStyle name="Calculation 3 2 9 2" xfId="3769"/>
    <cellStyle name="Calculation 3 2 9 3" xfId="3770"/>
    <cellStyle name="Calculation 3 2 9 4" xfId="3771"/>
    <cellStyle name="Calculation 3 2 9 5" xfId="3772"/>
    <cellStyle name="Calculation 3 2 9 6" xfId="3773"/>
    <cellStyle name="Calculation 3 3" xfId="3774"/>
    <cellStyle name="Calculation 3 3 10" xfId="3775"/>
    <cellStyle name="Calculation 3 3 10 2" xfId="3776"/>
    <cellStyle name="Calculation 3 3 10 3" xfId="3777"/>
    <cellStyle name="Calculation 3 3 10 4" xfId="3778"/>
    <cellStyle name="Calculation 3 3 10 5" xfId="3779"/>
    <cellStyle name="Calculation 3 3 10 6" xfId="3780"/>
    <cellStyle name="Calculation 3 3 11" xfId="3781"/>
    <cellStyle name="Calculation 3 3 12" xfId="3782"/>
    <cellStyle name="Calculation 3 3 13" xfId="3783"/>
    <cellStyle name="Calculation 3 3 14" xfId="3784"/>
    <cellStyle name="Calculation 3 3 2" xfId="3785"/>
    <cellStyle name="Calculation 3 3 2 2" xfId="3786"/>
    <cellStyle name="Calculation 3 3 2 3" xfId="3787"/>
    <cellStyle name="Calculation 3 3 2 4" xfId="3788"/>
    <cellStyle name="Calculation 3 3 2 5" xfId="3789"/>
    <cellStyle name="Calculation 3 3 2 6" xfId="3790"/>
    <cellStyle name="Calculation 3 3 2 7" xfId="3791"/>
    <cellStyle name="Calculation 3 3 3" xfId="3792"/>
    <cellStyle name="Calculation 3 3 3 2" xfId="3793"/>
    <cellStyle name="Calculation 3 3 3 3" xfId="3794"/>
    <cellStyle name="Calculation 3 3 3 4" xfId="3795"/>
    <cellStyle name="Calculation 3 3 3 5" xfId="3796"/>
    <cellStyle name="Calculation 3 3 3 6" xfId="3797"/>
    <cellStyle name="Calculation 3 3 3 7" xfId="3798"/>
    <cellStyle name="Calculation 3 3 4" xfId="3799"/>
    <cellStyle name="Calculation 3 3 4 2" xfId="3800"/>
    <cellStyle name="Calculation 3 3 4 3" xfId="3801"/>
    <cellStyle name="Calculation 3 3 4 4" xfId="3802"/>
    <cellStyle name="Calculation 3 3 4 5" xfId="3803"/>
    <cellStyle name="Calculation 3 3 4 6" xfId="3804"/>
    <cellStyle name="Calculation 3 3 4 7" xfId="3805"/>
    <cellStyle name="Calculation 3 3 5" xfId="3806"/>
    <cellStyle name="Calculation 3 3 5 2" xfId="3807"/>
    <cellStyle name="Calculation 3 3 5 3" xfId="3808"/>
    <cellStyle name="Calculation 3 3 5 4" xfId="3809"/>
    <cellStyle name="Calculation 3 3 5 5" xfId="3810"/>
    <cellStyle name="Calculation 3 3 5 6" xfId="3811"/>
    <cellStyle name="Calculation 3 3 5 7" xfId="3812"/>
    <cellStyle name="Calculation 3 3 6" xfId="3813"/>
    <cellStyle name="Calculation 3 3 6 2" xfId="3814"/>
    <cellStyle name="Calculation 3 3 6 3" xfId="3815"/>
    <cellStyle name="Calculation 3 3 6 4" xfId="3816"/>
    <cellStyle name="Calculation 3 3 6 5" xfId="3817"/>
    <cellStyle name="Calculation 3 3 6 6" xfId="3818"/>
    <cellStyle name="Calculation 3 3 6 7" xfId="3819"/>
    <cellStyle name="Calculation 3 3 7" xfId="3820"/>
    <cellStyle name="Calculation 3 3 7 2" xfId="3821"/>
    <cellStyle name="Calculation 3 3 7 3" xfId="3822"/>
    <cellStyle name="Calculation 3 3 7 4" xfId="3823"/>
    <cellStyle name="Calculation 3 3 7 5" xfId="3824"/>
    <cellStyle name="Calculation 3 3 7 6" xfId="3825"/>
    <cellStyle name="Calculation 3 3 7 7" xfId="3826"/>
    <cellStyle name="Calculation 3 3 8" xfId="3827"/>
    <cellStyle name="Calculation 3 3 8 2" xfId="3828"/>
    <cellStyle name="Calculation 3 3 8 3" xfId="3829"/>
    <cellStyle name="Calculation 3 3 8 4" xfId="3830"/>
    <cellStyle name="Calculation 3 3 8 5" xfId="3831"/>
    <cellStyle name="Calculation 3 3 8 6" xfId="3832"/>
    <cellStyle name="Calculation 3 3 8 7" xfId="3833"/>
    <cellStyle name="Calculation 3 3 9" xfId="3834"/>
    <cellStyle name="Calculation 3 3 9 2" xfId="3835"/>
    <cellStyle name="Calculation 3 3 9 3" xfId="3836"/>
    <cellStyle name="Calculation 3 3 9 4" xfId="3837"/>
    <cellStyle name="Calculation 3 3 9 5" xfId="3838"/>
    <cellStyle name="Calculation 3 3 9 6" xfId="3839"/>
    <cellStyle name="Calculation 3 4" xfId="3840"/>
    <cellStyle name="Calculation 3 4 2" xfId="3841"/>
    <cellStyle name="Calculation 3 4 3" xfId="3842"/>
    <cellStyle name="Calculation 3 4 4" xfId="3843"/>
    <cellStyle name="Calculation 3 4 5" xfId="3844"/>
    <cellStyle name="Calculation 3 4 6" xfId="3845"/>
    <cellStyle name="Calculation 3 4 7" xfId="3846"/>
    <cellStyle name="Calculation 3 5" xfId="3847"/>
    <cellStyle name="Calculation 3 5 2" xfId="3848"/>
    <cellStyle name="Calculation 3 5 3" xfId="3849"/>
    <cellStyle name="Calculation 3 5 4" xfId="3850"/>
    <cellStyle name="Calculation 3 5 5" xfId="3851"/>
    <cellStyle name="Calculation 3 5 6" xfId="3852"/>
    <cellStyle name="Calculation 3 5 7" xfId="3853"/>
    <cellStyle name="Calculation 3 6" xfId="3854"/>
    <cellStyle name="Calculation 3 6 2" xfId="3855"/>
    <cellStyle name="Calculation 3 6 3" xfId="3856"/>
    <cellStyle name="Calculation 3 6 4" xfId="3857"/>
    <cellStyle name="Calculation 3 6 5" xfId="3858"/>
    <cellStyle name="Calculation 3 6 6" xfId="3859"/>
    <cellStyle name="Calculation 3 6 7" xfId="3860"/>
    <cellStyle name="Calculation 3 7" xfId="3861"/>
    <cellStyle name="Calculation 3 7 2" xfId="3862"/>
    <cellStyle name="Calculation 3 7 3" xfId="3863"/>
    <cellStyle name="Calculation 3 7 4" xfId="3864"/>
    <cellStyle name="Calculation 3 7 5" xfId="3865"/>
    <cellStyle name="Calculation 3 7 6" xfId="3866"/>
    <cellStyle name="Calculation 3 7 7" xfId="3867"/>
    <cellStyle name="Calculation 3 8" xfId="3868"/>
    <cellStyle name="Calculation 3 8 2" xfId="3869"/>
    <cellStyle name="Calculation 3 8 3" xfId="3870"/>
    <cellStyle name="Calculation 3 8 4" xfId="3871"/>
    <cellStyle name="Calculation 3 8 5" xfId="3872"/>
    <cellStyle name="Calculation 3 8 6" xfId="3873"/>
    <cellStyle name="Calculation 3 8 7" xfId="3874"/>
    <cellStyle name="Calculation 3 9" xfId="3875"/>
    <cellStyle name="Calculation 3 9 2" xfId="3876"/>
    <cellStyle name="Calculation 3 9 3" xfId="3877"/>
    <cellStyle name="Calculation 3 9 4" xfId="3878"/>
    <cellStyle name="Calculation 3 9 5" xfId="3879"/>
    <cellStyle name="Calculation 3 9 6" xfId="3880"/>
    <cellStyle name="Calculation 3 9 7" xfId="3881"/>
    <cellStyle name="CashFlow" xfId="3882"/>
    <cellStyle name="CashFlow 2" xfId="3883"/>
    <cellStyle name="cell" xfId="3884"/>
    <cellStyle name="cell 2" xfId="3885"/>
    <cellStyle name="Cents" xfId="3886"/>
    <cellStyle name="ch" xfId="3887"/>
    <cellStyle name="ch 10" xfId="3888"/>
    <cellStyle name="ch 10 2" xfId="3889"/>
    <cellStyle name="ch 10 3" xfId="3890"/>
    <cellStyle name="ch 10 4" xfId="3891"/>
    <cellStyle name="ch 10 5" xfId="3892"/>
    <cellStyle name="ch 10 6" xfId="3893"/>
    <cellStyle name="ch 10 7" xfId="3894"/>
    <cellStyle name="ch 11" xfId="3895"/>
    <cellStyle name="ch 11 2" xfId="3896"/>
    <cellStyle name="ch 11 3" xfId="3897"/>
    <cellStyle name="ch 11 4" xfId="3898"/>
    <cellStyle name="ch 11 5" xfId="3899"/>
    <cellStyle name="ch 11 6" xfId="3900"/>
    <cellStyle name="ch 12" xfId="3901"/>
    <cellStyle name="ch 12 2" xfId="3902"/>
    <cellStyle name="ch 12 3" xfId="3903"/>
    <cellStyle name="ch 12 4" xfId="3904"/>
    <cellStyle name="ch 12 5" xfId="3905"/>
    <cellStyle name="ch 12 6" xfId="3906"/>
    <cellStyle name="ch 13" xfId="3907"/>
    <cellStyle name="ch 14" xfId="3908"/>
    <cellStyle name="ch 15" xfId="3909"/>
    <cellStyle name="ch 16" xfId="3910"/>
    <cellStyle name="ch 2" xfId="3911"/>
    <cellStyle name="ch 2 10" xfId="3912"/>
    <cellStyle name="ch 2 10 2" xfId="3913"/>
    <cellStyle name="ch 2 10 3" xfId="3914"/>
    <cellStyle name="ch 2 10 4" xfId="3915"/>
    <cellStyle name="ch 2 10 5" xfId="3916"/>
    <cellStyle name="ch 2 10 6" xfId="3917"/>
    <cellStyle name="ch 2 11" xfId="3918"/>
    <cellStyle name="ch 2 12" xfId="3919"/>
    <cellStyle name="ch 2 13" xfId="3920"/>
    <cellStyle name="ch 2 14" xfId="3921"/>
    <cellStyle name="ch 2 2" xfId="3922"/>
    <cellStyle name="ch 2 2 2" xfId="3923"/>
    <cellStyle name="ch 2 2 3" xfId="3924"/>
    <cellStyle name="ch 2 2 4" xfId="3925"/>
    <cellStyle name="ch 2 2 5" xfId="3926"/>
    <cellStyle name="ch 2 2 6" xfId="3927"/>
    <cellStyle name="ch 2 2 7" xfId="3928"/>
    <cellStyle name="ch 2 3" xfId="3929"/>
    <cellStyle name="ch 2 3 2" xfId="3930"/>
    <cellStyle name="ch 2 3 3" xfId="3931"/>
    <cellStyle name="ch 2 3 4" xfId="3932"/>
    <cellStyle name="ch 2 3 5" xfId="3933"/>
    <cellStyle name="ch 2 3 6" xfId="3934"/>
    <cellStyle name="ch 2 3 7" xfId="3935"/>
    <cellStyle name="ch 2 4" xfId="3936"/>
    <cellStyle name="ch 2 4 2" xfId="3937"/>
    <cellStyle name="ch 2 4 3" xfId="3938"/>
    <cellStyle name="ch 2 4 4" xfId="3939"/>
    <cellStyle name="ch 2 4 5" xfId="3940"/>
    <cellStyle name="ch 2 4 6" xfId="3941"/>
    <cellStyle name="ch 2 4 7" xfId="3942"/>
    <cellStyle name="ch 2 5" xfId="3943"/>
    <cellStyle name="ch 2 5 2" xfId="3944"/>
    <cellStyle name="ch 2 5 3" xfId="3945"/>
    <cellStyle name="ch 2 5 4" xfId="3946"/>
    <cellStyle name="ch 2 5 5" xfId="3947"/>
    <cellStyle name="ch 2 5 6" xfId="3948"/>
    <cellStyle name="ch 2 5 7" xfId="3949"/>
    <cellStyle name="ch 2 6" xfId="3950"/>
    <cellStyle name="ch 2 6 2" xfId="3951"/>
    <cellStyle name="ch 2 6 3" xfId="3952"/>
    <cellStyle name="ch 2 6 4" xfId="3953"/>
    <cellStyle name="ch 2 6 5" xfId="3954"/>
    <cellStyle name="ch 2 6 6" xfId="3955"/>
    <cellStyle name="ch 2 6 7" xfId="3956"/>
    <cellStyle name="ch 2 7" xfId="3957"/>
    <cellStyle name="ch 2 7 2" xfId="3958"/>
    <cellStyle name="ch 2 7 3" xfId="3959"/>
    <cellStyle name="ch 2 7 4" xfId="3960"/>
    <cellStyle name="ch 2 7 5" xfId="3961"/>
    <cellStyle name="ch 2 7 6" xfId="3962"/>
    <cellStyle name="ch 2 7 7" xfId="3963"/>
    <cellStyle name="ch 2 8" xfId="3964"/>
    <cellStyle name="ch 2 8 2" xfId="3965"/>
    <cellStyle name="ch 2 8 3" xfId="3966"/>
    <cellStyle name="ch 2 8 4" xfId="3967"/>
    <cellStyle name="ch 2 8 5" xfId="3968"/>
    <cellStyle name="ch 2 8 6" xfId="3969"/>
    <cellStyle name="ch 2 8 7" xfId="3970"/>
    <cellStyle name="ch 2 9" xfId="3971"/>
    <cellStyle name="ch 2 9 2" xfId="3972"/>
    <cellStyle name="ch 2 9 3" xfId="3973"/>
    <cellStyle name="ch 2 9 4" xfId="3974"/>
    <cellStyle name="ch 2 9 5" xfId="3975"/>
    <cellStyle name="ch 2 9 6" xfId="3976"/>
    <cellStyle name="ch 3" xfId="3977"/>
    <cellStyle name="ch 3 10" xfId="3978"/>
    <cellStyle name="ch 3 10 2" xfId="3979"/>
    <cellStyle name="ch 3 10 3" xfId="3980"/>
    <cellStyle name="ch 3 10 4" xfId="3981"/>
    <cellStyle name="ch 3 10 5" xfId="3982"/>
    <cellStyle name="ch 3 10 6" xfId="3983"/>
    <cellStyle name="ch 3 11" xfId="3984"/>
    <cellStyle name="ch 3 12" xfId="3985"/>
    <cellStyle name="ch 3 13" xfId="3986"/>
    <cellStyle name="ch 3 14" xfId="3987"/>
    <cellStyle name="ch 3 2" xfId="3988"/>
    <cellStyle name="ch 3 2 2" xfId="3989"/>
    <cellStyle name="ch 3 2 3" xfId="3990"/>
    <cellStyle name="ch 3 2 4" xfId="3991"/>
    <cellStyle name="ch 3 2 5" xfId="3992"/>
    <cellStyle name="ch 3 2 6" xfId="3993"/>
    <cellStyle name="ch 3 2 7" xfId="3994"/>
    <cellStyle name="ch 3 3" xfId="3995"/>
    <cellStyle name="ch 3 3 2" xfId="3996"/>
    <cellStyle name="ch 3 3 3" xfId="3997"/>
    <cellStyle name="ch 3 3 4" xfId="3998"/>
    <cellStyle name="ch 3 3 5" xfId="3999"/>
    <cellStyle name="ch 3 3 6" xfId="4000"/>
    <cellStyle name="ch 3 3 7" xfId="4001"/>
    <cellStyle name="ch 3 4" xfId="4002"/>
    <cellStyle name="ch 3 4 2" xfId="4003"/>
    <cellStyle name="ch 3 4 3" xfId="4004"/>
    <cellStyle name="ch 3 4 4" xfId="4005"/>
    <cellStyle name="ch 3 4 5" xfId="4006"/>
    <cellStyle name="ch 3 4 6" xfId="4007"/>
    <cellStyle name="ch 3 4 7" xfId="4008"/>
    <cellStyle name="ch 3 5" xfId="4009"/>
    <cellStyle name="ch 3 5 2" xfId="4010"/>
    <cellStyle name="ch 3 5 3" xfId="4011"/>
    <cellStyle name="ch 3 5 4" xfId="4012"/>
    <cellStyle name="ch 3 5 5" xfId="4013"/>
    <cellStyle name="ch 3 5 6" xfId="4014"/>
    <cellStyle name="ch 3 5 7" xfId="4015"/>
    <cellStyle name="ch 3 6" xfId="4016"/>
    <cellStyle name="ch 3 6 2" xfId="4017"/>
    <cellStyle name="ch 3 6 3" xfId="4018"/>
    <cellStyle name="ch 3 6 4" xfId="4019"/>
    <cellStyle name="ch 3 6 5" xfId="4020"/>
    <cellStyle name="ch 3 6 6" xfId="4021"/>
    <cellStyle name="ch 3 6 7" xfId="4022"/>
    <cellStyle name="ch 3 7" xfId="4023"/>
    <cellStyle name="ch 3 7 2" xfId="4024"/>
    <cellStyle name="ch 3 7 3" xfId="4025"/>
    <cellStyle name="ch 3 7 4" xfId="4026"/>
    <cellStyle name="ch 3 7 5" xfId="4027"/>
    <cellStyle name="ch 3 7 6" xfId="4028"/>
    <cellStyle name="ch 3 7 7" xfId="4029"/>
    <cellStyle name="ch 3 8" xfId="4030"/>
    <cellStyle name="ch 3 8 2" xfId="4031"/>
    <cellStyle name="ch 3 8 3" xfId="4032"/>
    <cellStyle name="ch 3 8 4" xfId="4033"/>
    <cellStyle name="ch 3 8 5" xfId="4034"/>
    <cellStyle name="ch 3 8 6" xfId="4035"/>
    <cellStyle name="ch 3 8 7" xfId="4036"/>
    <cellStyle name="ch 3 9" xfId="4037"/>
    <cellStyle name="ch 3 9 2" xfId="4038"/>
    <cellStyle name="ch 3 9 3" xfId="4039"/>
    <cellStyle name="ch 3 9 4" xfId="4040"/>
    <cellStyle name="ch 3 9 5" xfId="4041"/>
    <cellStyle name="ch 3 9 6" xfId="4042"/>
    <cellStyle name="ch 4" xfId="4043"/>
    <cellStyle name="ch 4 2" xfId="4044"/>
    <cellStyle name="ch 4 3" xfId="4045"/>
    <cellStyle name="ch 4 4" xfId="4046"/>
    <cellStyle name="ch 4 5" xfId="4047"/>
    <cellStyle name="ch 4 6" xfId="4048"/>
    <cellStyle name="ch 4 7" xfId="4049"/>
    <cellStyle name="ch 5" xfId="4050"/>
    <cellStyle name="ch 5 2" xfId="4051"/>
    <cellStyle name="ch 5 3" xfId="4052"/>
    <cellStyle name="ch 5 4" xfId="4053"/>
    <cellStyle name="ch 5 5" xfId="4054"/>
    <cellStyle name="ch 5 6" xfId="4055"/>
    <cellStyle name="ch 5 7" xfId="4056"/>
    <cellStyle name="ch 6" xfId="4057"/>
    <cellStyle name="ch 6 2" xfId="4058"/>
    <cellStyle name="ch 6 3" xfId="4059"/>
    <cellStyle name="ch 6 4" xfId="4060"/>
    <cellStyle name="ch 6 5" xfId="4061"/>
    <cellStyle name="ch 6 6" xfId="4062"/>
    <cellStyle name="ch 6 7" xfId="4063"/>
    <cellStyle name="ch 7" xfId="4064"/>
    <cellStyle name="ch 7 2" xfId="4065"/>
    <cellStyle name="ch 7 3" xfId="4066"/>
    <cellStyle name="ch 7 4" xfId="4067"/>
    <cellStyle name="ch 7 5" xfId="4068"/>
    <cellStyle name="ch 7 6" xfId="4069"/>
    <cellStyle name="ch 7 7" xfId="4070"/>
    <cellStyle name="ch 8" xfId="4071"/>
    <cellStyle name="ch 8 2" xfId="4072"/>
    <cellStyle name="ch 8 3" xfId="4073"/>
    <cellStyle name="ch 8 4" xfId="4074"/>
    <cellStyle name="ch 8 5" xfId="4075"/>
    <cellStyle name="ch 8 6" xfId="4076"/>
    <cellStyle name="ch 8 7" xfId="4077"/>
    <cellStyle name="ch 9" xfId="4078"/>
    <cellStyle name="ch 9 2" xfId="4079"/>
    <cellStyle name="ch 9 3" xfId="4080"/>
    <cellStyle name="ch 9 4" xfId="4081"/>
    <cellStyle name="ch 9 5" xfId="4082"/>
    <cellStyle name="ch 9 6" xfId="4083"/>
    <cellStyle name="ch 9 7" xfId="4084"/>
    <cellStyle name="Change" xfId="4085"/>
    <cellStyle name="Change 2" xfId="4086"/>
    <cellStyle name="Changeable" xfId="4087"/>
    <cellStyle name="Check Cell 2" xfId="4088"/>
    <cellStyle name="Check Cell 2 2" xfId="4089"/>
    <cellStyle name="Check Cell 3" xfId="4090"/>
    <cellStyle name="Codes" xfId="4091"/>
    <cellStyle name="Col head bold" xfId="4092"/>
    <cellStyle name="Col head light" xfId="4093"/>
    <cellStyle name="Col Heads" xfId="4094"/>
    <cellStyle name="Col Heads 2" xfId="4095"/>
    <cellStyle name="Col Heads 2 2" xfId="4096"/>
    <cellStyle name="Colhead_left" xfId="4097"/>
    <cellStyle name="ColumnHeadings" xfId="4098"/>
    <cellStyle name="ColumnHeadings2" xfId="4099"/>
    <cellStyle name="ColumnHeadings2 2" xfId="4100"/>
    <cellStyle name="Comma" xfId="7" builtinId="3"/>
    <cellStyle name="Comma  - Style1" xfId="4101"/>
    <cellStyle name="Comma  - Style1 2" xfId="4102"/>
    <cellStyle name="Comma  - Style1 3" xfId="4103"/>
    <cellStyle name="Comma  - Style2" xfId="4104"/>
    <cellStyle name="Comma  - Style2 2" xfId="4105"/>
    <cellStyle name="Comma  - Style2 3" xfId="4106"/>
    <cellStyle name="Comma  - Style3" xfId="4107"/>
    <cellStyle name="Comma  - Style3 2" xfId="4108"/>
    <cellStyle name="Comma  - Style3 3" xfId="4109"/>
    <cellStyle name="Comma  - Style4" xfId="4110"/>
    <cellStyle name="Comma  - Style4 2" xfId="4111"/>
    <cellStyle name="Comma  - Style4 3" xfId="4112"/>
    <cellStyle name="Comma  - Style5" xfId="4113"/>
    <cellStyle name="Comma  - Style5 2" xfId="4114"/>
    <cellStyle name="Comma  - Style5 3" xfId="4115"/>
    <cellStyle name="Comma  - Style6" xfId="4116"/>
    <cellStyle name="Comma  - Style6 2" xfId="4117"/>
    <cellStyle name="Comma  - Style6 3" xfId="4118"/>
    <cellStyle name="Comma  - Style7" xfId="4119"/>
    <cellStyle name="Comma  - Style7 2" xfId="4120"/>
    <cellStyle name="Comma  - Style7 3" xfId="4121"/>
    <cellStyle name="Comma  - Style8" xfId="4122"/>
    <cellStyle name="Comma  - Style8 2" xfId="4123"/>
    <cellStyle name="Comma  - Style8 3" xfId="4124"/>
    <cellStyle name="Comma (1)" xfId="4125"/>
    <cellStyle name="comma (1) 2" xfId="4126"/>
    <cellStyle name="comma (1)_DiscoveryCommunications WIP" xfId="4127"/>
    <cellStyle name="Comma [0] 2" xfId="4128"/>
    <cellStyle name="Comma [0] 2 2" xfId="4129"/>
    <cellStyle name="Comma [0] 2 3" xfId="4130"/>
    <cellStyle name="Comma [0] 2 4" xfId="4131"/>
    <cellStyle name="Comma [0] 2 5" xfId="4132"/>
    <cellStyle name="Comma [0] 3" xfId="4133"/>
    <cellStyle name="Comma [0] 4" xfId="4134"/>
    <cellStyle name="Comma [0] 5" xfId="4135"/>
    <cellStyle name="Comma [0] 6" xfId="4136"/>
    <cellStyle name="Comma [1]" xfId="4137"/>
    <cellStyle name="Comma [2]" xfId="4138"/>
    <cellStyle name="Comma 10" xfId="4139"/>
    <cellStyle name="Comma 10 2" xfId="4140"/>
    <cellStyle name="Comma 100" xfId="4141"/>
    <cellStyle name="Comma 101" xfId="4142"/>
    <cellStyle name="Comma 102" xfId="4143"/>
    <cellStyle name="Comma 103" xfId="4144"/>
    <cellStyle name="Comma 104" xfId="4145"/>
    <cellStyle name="Comma 105" xfId="4146"/>
    <cellStyle name="Comma 106" xfId="4147"/>
    <cellStyle name="Comma 107" xfId="4148"/>
    <cellStyle name="Comma 108" xfId="4149"/>
    <cellStyle name="Comma 109" xfId="4150"/>
    <cellStyle name="Comma 11" xfId="4151"/>
    <cellStyle name="Comma 11 2" xfId="4152"/>
    <cellStyle name="Comma 110" xfId="4153"/>
    <cellStyle name="Comma 111" xfId="4154"/>
    <cellStyle name="Comma 112" xfId="4155"/>
    <cellStyle name="Comma 113" xfId="4156"/>
    <cellStyle name="Comma 114" xfId="4157"/>
    <cellStyle name="Comma 115" xfId="4158"/>
    <cellStyle name="Comma 116" xfId="4159"/>
    <cellStyle name="Comma 117" xfId="4160"/>
    <cellStyle name="Comma 118" xfId="4161"/>
    <cellStyle name="Comma 119" xfId="4162"/>
    <cellStyle name="Comma 12" xfId="4163"/>
    <cellStyle name="Comma 12 2" xfId="4164"/>
    <cellStyle name="Comma 120" xfId="4165"/>
    <cellStyle name="Comma 121" xfId="4166"/>
    <cellStyle name="Comma 122" xfId="4167"/>
    <cellStyle name="Comma 123" xfId="4168"/>
    <cellStyle name="Comma 124" xfId="4169"/>
    <cellStyle name="Comma 125" xfId="4170"/>
    <cellStyle name="Comma 126" xfId="4171"/>
    <cellStyle name="Comma 127" xfId="4172"/>
    <cellStyle name="Comma 128" xfId="4173"/>
    <cellStyle name="Comma 129" xfId="4174"/>
    <cellStyle name="Comma 13" xfId="4175"/>
    <cellStyle name="Comma 13 2" xfId="4176"/>
    <cellStyle name="Comma 130" xfId="4177"/>
    <cellStyle name="Comma 131" xfId="4178"/>
    <cellStyle name="Comma 132" xfId="4179"/>
    <cellStyle name="Comma 133" xfId="4180"/>
    <cellStyle name="Comma 134" xfId="4181"/>
    <cellStyle name="Comma 135" xfId="4182"/>
    <cellStyle name="Comma 136" xfId="4183"/>
    <cellStyle name="Comma 137" xfId="4184"/>
    <cellStyle name="Comma 138" xfId="4185"/>
    <cellStyle name="Comma 139" xfId="4186"/>
    <cellStyle name="Comma 14" xfId="4187"/>
    <cellStyle name="Comma 14 2" xfId="4188"/>
    <cellStyle name="Comma 140" xfId="4189"/>
    <cellStyle name="Comma 141" xfId="4190"/>
    <cellStyle name="Comma 142" xfId="4191"/>
    <cellStyle name="Comma 143" xfId="4192"/>
    <cellStyle name="Comma 144" xfId="4193"/>
    <cellStyle name="Comma 145" xfId="4194"/>
    <cellStyle name="Comma 146" xfId="4195"/>
    <cellStyle name="Comma 147" xfId="4196"/>
    <cellStyle name="Comma 148" xfId="4197"/>
    <cellStyle name="Comma 149" xfId="4198"/>
    <cellStyle name="Comma 15" xfId="4199"/>
    <cellStyle name="Comma 15 2" xfId="4200"/>
    <cellStyle name="Comma 150" xfId="4201"/>
    <cellStyle name="Comma 151" xfId="4202"/>
    <cellStyle name="Comma 152" xfId="4203"/>
    <cellStyle name="Comma 16" xfId="4204"/>
    <cellStyle name="Comma 16 2" xfId="4205"/>
    <cellStyle name="Comma 17" xfId="4206"/>
    <cellStyle name="Comma 17 2" xfId="4207"/>
    <cellStyle name="Comma 18" xfId="4208"/>
    <cellStyle name="Comma 18 2" xfId="4209"/>
    <cellStyle name="Comma 19" xfId="4210"/>
    <cellStyle name="Comma 19 2" xfId="4211"/>
    <cellStyle name="Comma 2" xfId="4212"/>
    <cellStyle name="Comma 2 2" xfId="4213"/>
    <cellStyle name="Comma 2 3" xfId="4214"/>
    <cellStyle name="Comma 2 3 2" xfId="4215"/>
    <cellStyle name="Comma 2 4" xfId="4216"/>
    <cellStyle name="Comma 2 5" xfId="4217"/>
    <cellStyle name="Comma 2 6" xfId="4218"/>
    <cellStyle name="Comma 2 7" xfId="4219"/>
    <cellStyle name="Comma 20" xfId="4220"/>
    <cellStyle name="Comma 20 2" xfId="4221"/>
    <cellStyle name="Comma 20 3" xfId="4222"/>
    <cellStyle name="Comma 21" xfId="4223"/>
    <cellStyle name="Comma 21 2" xfId="4224"/>
    <cellStyle name="Comma 22" xfId="4225"/>
    <cellStyle name="Comma 22 2" xfId="4226"/>
    <cellStyle name="Comma 23" xfId="4227"/>
    <cellStyle name="Comma 23 2" xfId="4228"/>
    <cellStyle name="Comma 24" xfId="4229"/>
    <cellStyle name="Comma 24 2" xfId="4230"/>
    <cellStyle name="Comma 25" xfId="4231"/>
    <cellStyle name="Comma 25 2" xfId="4232"/>
    <cellStyle name="Comma 26" xfId="4233"/>
    <cellStyle name="Comma 26 2" xfId="4234"/>
    <cellStyle name="Comma 27" xfId="4235"/>
    <cellStyle name="Comma 28" xfId="4236"/>
    <cellStyle name="Comma 29" xfId="4237"/>
    <cellStyle name="Comma 3" xfId="4238"/>
    <cellStyle name="Comma 3 10" xfId="4239"/>
    <cellStyle name="Comma 3 11" xfId="4240"/>
    <cellStyle name="Comma 3 12" xfId="4241"/>
    <cellStyle name="Comma 3 2" xfId="4242"/>
    <cellStyle name="Comma 3 2 2" xfId="4243"/>
    <cellStyle name="Comma 3 2 2 2" xfId="4244"/>
    <cellStyle name="Comma 3 2 2 3" xfId="4245"/>
    <cellStyle name="Comma 3 2 3" xfId="4246"/>
    <cellStyle name="Comma 3 2 3 2" xfId="4247"/>
    <cellStyle name="Comma 3 2 3 3" xfId="4248"/>
    <cellStyle name="Comma 3 2 4" xfId="4249"/>
    <cellStyle name="Comma 3 2 4 2" xfId="4250"/>
    <cellStyle name="Comma 3 2 5" xfId="4251"/>
    <cellStyle name="Comma 3 2 6" xfId="4252"/>
    <cellStyle name="Comma 3 2 7" xfId="4253"/>
    <cellStyle name="Comma 3 2 8" xfId="4254"/>
    <cellStyle name="Comma 3 2 9" xfId="4255"/>
    <cellStyle name="Comma 3 3" xfId="4256"/>
    <cellStyle name="Comma 3 3 2" xfId="4257"/>
    <cellStyle name="Comma 3 3 3" xfId="4258"/>
    <cellStyle name="Comma 3 3 4" xfId="4259"/>
    <cellStyle name="Comma 3 4" xfId="4260"/>
    <cellStyle name="Comma 3 4 2" xfId="4261"/>
    <cellStyle name="Comma 3 5" xfId="4262"/>
    <cellStyle name="Comma 3 5 2" xfId="4263"/>
    <cellStyle name="Comma 3 6" xfId="4264"/>
    <cellStyle name="Comma 3 7" xfId="4265"/>
    <cellStyle name="Comma 3 8" xfId="4266"/>
    <cellStyle name="Comma 3 9" xfId="4267"/>
    <cellStyle name="Comma 3*" xfId="4268"/>
    <cellStyle name="Comma 30" xfId="4269"/>
    <cellStyle name="Comma 31" xfId="4270"/>
    <cellStyle name="Comma 32" xfId="4271"/>
    <cellStyle name="Comma 33" xfId="4272"/>
    <cellStyle name="Comma 34" xfId="4273"/>
    <cellStyle name="Comma 35" xfId="4274"/>
    <cellStyle name="Comma 36" xfId="4275"/>
    <cellStyle name="Comma 37" xfId="4276"/>
    <cellStyle name="Comma 38" xfId="4277"/>
    <cellStyle name="Comma 39" xfId="4278"/>
    <cellStyle name="Comma 4" xfId="8"/>
    <cellStyle name="Comma 4 2" xfId="4279"/>
    <cellStyle name="Comma 4 2 2" xfId="4280"/>
    <cellStyle name="Comma 4 2 3" xfId="4281"/>
    <cellStyle name="Comma 4 2 4" xfId="4282"/>
    <cellStyle name="Comma 4 3" xfId="4283"/>
    <cellStyle name="Comma 4 3 2" xfId="4284"/>
    <cellStyle name="Comma 4 4" xfId="4285"/>
    <cellStyle name="Comma 4 4 2" xfId="4286"/>
    <cellStyle name="Comma 4 5" xfId="4287"/>
    <cellStyle name="Comma 4 6" xfId="4288"/>
    <cellStyle name="Comma 4 7" xfId="4289"/>
    <cellStyle name="Comma 4 8" xfId="4290"/>
    <cellStyle name="Comma 4 9" xfId="4291"/>
    <cellStyle name="Comma 40" xfId="4292"/>
    <cellStyle name="Comma 41" xfId="4293"/>
    <cellStyle name="Comma 42" xfId="4294"/>
    <cellStyle name="Comma 43" xfId="4295"/>
    <cellStyle name="Comma 44" xfId="4296"/>
    <cellStyle name="Comma 45" xfId="4297"/>
    <cellStyle name="Comma 46" xfId="4298"/>
    <cellStyle name="Comma 47" xfId="4299"/>
    <cellStyle name="Comma 48" xfId="4300"/>
    <cellStyle name="Comma 49" xfId="4301"/>
    <cellStyle name="Comma 5" xfId="4302"/>
    <cellStyle name="Comma 5 2" xfId="4303"/>
    <cellStyle name="Comma 5 3" xfId="4304"/>
    <cellStyle name="Comma 5 4" xfId="4305"/>
    <cellStyle name="Comma 5 5" xfId="4306"/>
    <cellStyle name="Comma 5 6" xfId="4307"/>
    <cellStyle name="Comma 5 7" xfId="4308"/>
    <cellStyle name="Comma 50" xfId="4309"/>
    <cellStyle name="Comma 51" xfId="4310"/>
    <cellStyle name="Comma 52" xfId="4311"/>
    <cellStyle name="Comma 53" xfId="4312"/>
    <cellStyle name="Comma 54" xfId="4313"/>
    <cellStyle name="Comma 55" xfId="4314"/>
    <cellStyle name="Comma 56" xfId="4315"/>
    <cellStyle name="Comma 57" xfId="4316"/>
    <cellStyle name="Comma 58" xfId="4317"/>
    <cellStyle name="Comma 59" xfId="4318"/>
    <cellStyle name="Comma 6" xfId="4319"/>
    <cellStyle name="Comma 6 2" xfId="4320"/>
    <cellStyle name="Comma 6 3" xfId="4321"/>
    <cellStyle name="Comma 6 4" xfId="4322"/>
    <cellStyle name="Comma 60" xfId="4323"/>
    <cellStyle name="Comma 61" xfId="4324"/>
    <cellStyle name="Comma 62" xfId="4325"/>
    <cellStyle name="Comma 63" xfId="4326"/>
    <cellStyle name="Comma 64" xfId="4327"/>
    <cellStyle name="Comma 65" xfId="4328"/>
    <cellStyle name="Comma 66" xfId="4329"/>
    <cellStyle name="Comma 67" xfId="4330"/>
    <cellStyle name="Comma 68" xfId="4331"/>
    <cellStyle name="Comma 69" xfId="4332"/>
    <cellStyle name="Comma 7" xfId="4333"/>
    <cellStyle name="Comma 7 2" xfId="4334"/>
    <cellStyle name="Comma 7 3" xfId="4335"/>
    <cellStyle name="Comma 7 4" xfId="4336"/>
    <cellStyle name="Comma 7 5" xfId="4337"/>
    <cellStyle name="Comma 70" xfId="4338"/>
    <cellStyle name="Comma 71" xfId="4339"/>
    <cellStyle name="Comma 72" xfId="4340"/>
    <cellStyle name="Comma 73" xfId="4341"/>
    <cellStyle name="Comma 74" xfId="4342"/>
    <cellStyle name="Comma 75" xfId="4343"/>
    <cellStyle name="Comma 76" xfId="4344"/>
    <cellStyle name="Comma 77" xfId="4345"/>
    <cellStyle name="Comma 78" xfId="4346"/>
    <cellStyle name="Comma 79" xfId="4347"/>
    <cellStyle name="Comma 8" xfId="4348"/>
    <cellStyle name="Comma 8 2" xfId="4349"/>
    <cellStyle name="Comma 8 3" xfId="4350"/>
    <cellStyle name="Comma 8 4" xfId="4351"/>
    <cellStyle name="Comma 8 5" xfId="4352"/>
    <cellStyle name="Comma 80" xfId="4353"/>
    <cellStyle name="Comma 81" xfId="4354"/>
    <cellStyle name="Comma 82" xfId="4355"/>
    <cellStyle name="Comma 83" xfId="4356"/>
    <cellStyle name="Comma 84" xfId="4357"/>
    <cellStyle name="Comma 85" xfId="4358"/>
    <cellStyle name="Comma 86" xfId="4359"/>
    <cellStyle name="Comma 87" xfId="4360"/>
    <cellStyle name="Comma 88" xfId="4361"/>
    <cellStyle name="Comma 89" xfId="4362"/>
    <cellStyle name="Comma 9" xfId="4363"/>
    <cellStyle name="Comma 9 2" xfId="4364"/>
    <cellStyle name="Comma 90" xfId="4365"/>
    <cellStyle name="Comma 91" xfId="4366"/>
    <cellStyle name="Comma 92" xfId="4367"/>
    <cellStyle name="Comma 93" xfId="4368"/>
    <cellStyle name="Comma 94" xfId="4369"/>
    <cellStyle name="Comma 95" xfId="4370"/>
    <cellStyle name="Comma 96" xfId="4371"/>
    <cellStyle name="Comma 97" xfId="4372"/>
    <cellStyle name="Comma 98" xfId="4373"/>
    <cellStyle name="Comma 99" xfId="4374"/>
    <cellStyle name="Comma Cents" xfId="4375"/>
    <cellStyle name="Comma Cents 2" xfId="4376"/>
    <cellStyle name="Comma(1)" xfId="4377"/>
    <cellStyle name="Comma(2)" xfId="4378"/>
    <cellStyle name="comma(3)" xfId="4379"/>
    <cellStyle name="Comma,0" xfId="4380"/>
    <cellStyle name="Comma,1" xfId="4381"/>
    <cellStyle name="Comma,2" xfId="4382"/>
    <cellStyle name="CommaU [0]" xfId="4383"/>
    <cellStyle name="CommaU [1]" xfId="4384"/>
    <cellStyle name="CommaU [2]" xfId="4385"/>
    <cellStyle name="Comment" xfId="4386"/>
    <cellStyle name="Company" xfId="4387"/>
    <cellStyle name="Company name" xfId="4388"/>
    <cellStyle name="CompanyName" xfId="4389"/>
    <cellStyle name="Copied" xfId="4390"/>
    <cellStyle name="Currency" xfId="9" builtinId="4"/>
    <cellStyle name="Currency (1)" xfId="4391"/>
    <cellStyle name="Currency (1) 2" xfId="4392"/>
    <cellStyle name="Currency [0] 2" xfId="4393"/>
    <cellStyle name="Currency [0] 2 2" xfId="4394"/>
    <cellStyle name="Currency [0] 2 3" xfId="4395"/>
    <cellStyle name="Currency [0] 3" xfId="4396"/>
    <cellStyle name="Currency [0] 4" xfId="4397"/>
    <cellStyle name="Currency [0] 5" xfId="4398"/>
    <cellStyle name="Currency [0] 6" xfId="4399"/>
    <cellStyle name="Currency [1]" xfId="4400"/>
    <cellStyle name="Currency [2]" xfId="4401"/>
    <cellStyle name="Currency [2] 2" xfId="4402"/>
    <cellStyle name="Currency 10" xfId="4403"/>
    <cellStyle name="Currency 10 2" xfId="4404"/>
    <cellStyle name="Currency 100" xfId="4405"/>
    <cellStyle name="Currency 101" xfId="4406"/>
    <cellStyle name="Currency 102" xfId="4407"/>
    <cellStyle name="Currency 103" xfId="4408"/>
    <cellStyle name="Currency 104" xfId="4409"/>
    <cellStyle name="Currency 105" xfId="4410"/>
    <cellStyle name="Currency 106" xfId="4411"/>
    <cellStyle name="Currency 107" xfId="4412"/>
    <cellStyle name="Currency 108" xfId="4413"/>
    <cellStyle name="Currency 109" xfId="4414"/>
    <cellStyle name="Currency 11" xfId="4415"/>
    <cellStyle name="Currency 11 2" xfId="4416"/>
    <cellStyle name="Currency 110" xfId="4417"/>
    <cellStyle name="Currency 111" xfId="4418"/>
    <cellStyle name="Currency 112" xfId="4419"/>
    <cellStyle name="Currency 113" xfId="4420"/>
    <cellStyle name="Currency 114" xfId="4421"/>
    <cellStyle name="Currency 115" xfId="4422"/>
    <cellStyle name="Currency 116" xfId="4423"/>
    <cellStyle name="Currency 117" xfId="4424"/>
    <cellStyle name="Currency 118" xfId="4425"/>
    <cellStyle name="Currency 119" xfId="4426"/>
    <cellStyle name="Currency 12" xfId="4427"/>
    <cellStyle name="Currency 12 2" xfId="4428"/>
    <cellStyle name="Currency 120" xfId="4429"/>
    <cellStyle name="Currency 13" xfId="4430"/>
    <cellStyle name="Currency 13 2" xfId="4431"/>
    <cellStyle name="Currency 14" xfId="4432"/>
    <cellStyle name="Currency 14 2" xfId="4433"/>
    <cellStyle name="Currency 15" xfId="4434"/>
    <cellStyle name="Currency 15 2" xfId="4435"/>
    <cellStyle name="Currency 16" xfId="4436"/>
    <cellStyle name="Currency 16 2" xfId="4437"/>
    <cellStyle name="Currency 17" xfId="4438"/>
    <cellStyle name="Currency 17 2" xfId="4439"/>
    <cellStyle name="Currency 18" xfId="4440"/>
    <cellStyle name="Currency 18 2" xfId="4441"/>
    <cellStyle name="Currency 19" xfId="4442"/>
    <cellStyle name="Currency 19 2" xfId="4443"/>
    <cellStyle name="Currency 2" xfId="10"/>
    <cellStyle name="Currency 2 2" xfId="4444"/>
    <cellStyle name="Currency 2 2 2" xfId="4445"/>
    <cellStyle name="Currency 2 3" xfId="4446"/>
    <cellStyle name="Currency 2 4" xfId="4447"/>
    <cellStyle name="Currency 2_GRUB_Draft_123114" xfId="4448"/>
    <cellStyle name="Currency 20" xfId="4449"/>
    <cellStyle name="Currency 20 2" xfId="4450"/>
    <cellStyle name="Currency 21" xfId="4451"/>
    <cellStyle name="Currency 21 2" xfId="4452"/>
    <cellStyle name="Currency 22" xfId="4453"/>
    <cellStyle name="Currency 23" xfId="4454"/>
    <cellStyle name="Currency 24" xfId="4455"/>
    <cellStyle name="Currency 25" xfId="4456"/>
    <cellStyle name="Currency 26" xfId="4457"/>
    <cellStyle name="Currency 27" xfId="4458"/>
    <cellStyle name="Currency 28" xfId="4459"/>
    <cellStyle name="Currency 29" xfId="4460"/>
    <cellStyle name="Currency 3" xfId="4461"/>
    <cellStyle name="Currency 3 2" xfId="4462"/>
    <cellStyle name="Currency 3 2 2" xfId="4463"/>
    <cellStyle name="Currency 3 2 3" xfId="4464"/>
    <cellStyle name="Currency 3 2 4" xfId="4465"/>
    <cellStyle name="Currency 3 3" xfId="4466"/>
    <cellStyle name="Currency 3 3 2" xfId="4467"/>
    <cellStyle name="Currency 3 4" xfId="4468"/>
    <cellStyle name="Currency 3*" xfId="4469"/>
    <cellStyle name="Currency 30" xfId="4470"/>
    <cellStyle name="Currency 31" xfId="4471"/>
    <cellStyle name="Currency 32" xfId="4472"/>
    <cellStyle name="Currency 33" xfId="4473"/>
    <cellStyle name="Currency 34" xfId="4474"/>
    <cellStyle name="Currency 35" xfId="4475"/>
    <cellStyle name="Currency 36" xfId="4476"/>
    <cellStyle name="Currency 37" xfId="4477"/>
    <cellStyle name="Currency 38" xfId="4478"/>
    <cellStyle name="Currency 39" xfId="4479"/>
    <cellStyle name="Currency 4" xfId="4480"/>
    <cellStyle name="Currency 4 2" xfId="4481"/>
    <cellStyle name="Currency 4 3" xfId="4482"/>
    <cellStyle name="Currency 4 4" xfId="4483"/>
    <cellStyle name="Currency 40" xfId="4484"/>
    <cellStyle name="Currency 41" xfId="4485"/>
    <cellStyle name="Currency 42" xfId="4486"/>
    <cellStyle name="Currency 43" xfId="4487"/>
    <cellStyle name="Currency 44" xfId="4488"/>
    <cellStyle name="Currency 45" xfId="4489"/>
    <cellStyle name="Currency 46" xfId="4490"/>
    <cellStyle name="Currency 47" xfId="4491"/>
    <cellStyle name="Currency 48" xfId="4492"/>
    <cellStyle name="Currency 49" xfId="4493"/>
    <cellStyle name="Currency 5" xfId="4494"/>
    <cellStyle name="Currency 50" xfId="4495"/>
    <cellStyle name="Currency 51" xfId="4496"/>
    <cellStyle name="Currency 52" xfId="4497"/>
    <cellStyle name="Currency 53" xfId="4498"/>
    <cellStyle name="Currency 54" xfId="4499"/>
    <cellStyle name="Currency 55" xfId="4500"/>
    <cellStyle name="Currency 56" xfId="4501"/>
    <cellStyle name="Currency 57" xfId="4502"/>
    <cellStyle name="Currency 58" xfId="4503"/>
    <cellStyle name="Currency 59" xfId="4504"/>
    <cellStyle name="Currency 6" xfId="4505"/>
    <cellStyle name="Currency 6 2" xfId="4506"/>
    <cellStyle name="Currency 60" xfId="4507"/>
    <cellStyle name="Currency 61" xfId="4508"/>
    <cellStyle name="Currency 62" xfId="4509"/>
    <cellStyle name="Currency 63" xfId="4510"/>
    <cellStyle name="Currency 64" xfId="4511"/>
    <cellStyle name="Currency 65" xfId="4512"/>
    <cellStyle name="Currency 66" xfId="4513"/>
    <cellStyle name="Currency 67" xfId="4514"/>
    <cellStyle name="Currency 68" xfId="4515"/>
    <cellStyle name="Currency 69" xfId="4516"/>
    <cellStyle name="Currency 7" xfId="4517"/>
    <cellStyle name="Currency 7 2" xfId="4518"/>
    <cellStyle name="Currency 70" xfId="4519"/>
    <cellStyle name="Currency 71" xfId="4520"/>
    <cellStyle name="Currency 72" xfId="4521"/>
    <cellStyle name="Currency 73" xfId="4522"/>
    <cellStyle name="Currency 74" xfId="4523"/>
    <cellStyle name="Currency 75" xfId="4524"/>
    <cellStyle name="Currency 76" xfId="4525"/>
    <cellStyle name="Currency 77" xfId="4526"/>
    <cellStyle name="Currency 78" xfId="4527"/>
    <cellStyle name="Currency 79" xfId="4528"/>
    <cellStyle name="Currency 8" xfId="4529"/>
    <cellStyle name="Currency 8 2" xfId="4530"/>
    <cellStyle name="Currency 80" xfId="4531"/>
    <cellStyle name="Currency 81" xfId="4532"/>
    <cellStyle name="Currency 82" xfId="4533"/>
    <cellStyle name="Currency 83" xfId="4534"/>
    <cellStyle name="Currency 84" xfId="4535"/>
    <cellStyle name="Currency 85" xfId="4536"/>
    <cellStyle name="Currency 86" xfId="4537"/>
    <cellStyle name="Currency 87" xfId="4538"/>
    <cellStyle name="Currency 88" xfId="4539"/>
    <cellStyle name="Currency 89" xfId="4540"/>
    <cellStyle name="Currency 9" xfId="4541"/>
    <cellStyle name="Currency 9 2" xfId="4542"/>
    <cellStyle name="Currency 90" xfId="4543"/>
    <cellStyle name="Currency 91" xfId="4544"/>
    <cellStyle name="Currency 92" xfId="4545"/>
    <cellStyle name="Currency 93" xfId="4546"/>
    <cellStyle name="Currency 94" xfId="4547"/>
    <cellStyle name="Currency 95" xfId="4548"/>
    <cellStyle name="Currency 96" xfId="4549"/>
    <cellStyle name="Currency 97" xfId="4550"/>
    <cellStyle name="Currency 98" xfId="4551"/>
    <cellStyle name="Currency 99" xfId="4552"/>
    <cellStyle name="Currency(1)" xfId="4553"/>
    <cellStyle name="Currency,0" xfId="4554"/>
    <cellStyle name="Currency,2" xfId="4555"/>
    <cellStyle name="custom" xfId="4556"/>
    <cellStyle name="custom 2" xfId="4557"/>
    <cellStyle name="d_yield_AA - BenefitsBonus " xfId="4558"/>
    <cellStyle name="d_yield_AA - BenefitsBonus  2" xfId="4559"/>
    <cellStyle name="dah" xfId="4560"/>
    <cellStyle name="dan" xfId="4561"/>
    <cellStyle name="DarkBlue" xfId="4562"/>
    <cellStyle name="Dash" xfId="4563"/>
    <cellStyle name="data" xfId="4564"/>
    <cellStyle name="data top 2" xfId="4565"/>
    <cellStyle name="Data_0dp" xfId="4566"/>
    <cellStyle name="Date" xfId="4567"/>
    <cellStyle name="Date 2" xfId="4568"/>
    <cellStyle name="Date Line" xfId="4569"/>
    <cellStyle name="Date_102710 QC materials" xfId="4570"/>
    <cellStyle name="Date2" xfId="4571"/>
    <cellStyle name="Dates" xfId="4572"/>
    <cellStyle name="Dates 2" xfId="4573"/>
    <cellStyle name="DateYear" xfId="4574"/>
    <cellStyle name="DateYear 2" xfId="4575"/>
    <cellStyle name="DBTemplate" xfId="4576"/>
    <cellStyle name="Dec" xfId="4577"/>
    <cellStyle name="Decimal" xfId="4578"/>
    <cellStyle name="decimal 1" xfId="4579"/>
    <cellStyle name="Decimal.1" xfId="4580"/>
    <cellStyle name="Decimal_9952 formal model(070322)-1" xfId="4581"/>
    <cellStyle name="Derive" xfId="4582"/>
    <cellStyle name="DescriptorColumnStyle" xfId="4583"/>
    <cellStyle name="Dezimal [0]_Sond_arb" xfId="4584"/>
    <cellStyle name="Dezimal_ANL_SOND" xfId="4585"/>
    <cellStyle name="d-mmm-yy" xfId="4586"/>
    <cellStyle name="Dollar" xfId="4587"/>
    <cellStyle name="Dollars" xfId="4588"/>
    <cellStyle name="DollarWhole" xfId="4589"/>
    <cellStyle name="DollarWhole 2" xfId="4590"/>
    <cellStyle name="Download" xfId="4591"/>
    <cellStyle name="Download 10" xfId="4592"/>
    <cellStyle name="Download 10 2" xfId="4593"/>
    <cellStyle name="Download 10 3" xfId="4594"/>
    <cellStyle name="Download 10 4" xfId="4595"/>
    <cellStyle name="Download 10 5" xfId="4596"/>
    <cellStyle name="Download 10 6" xfId="4597"/>
    <cellStyle name="Download 11" xfId="4598"/>
    <cellStyle name="Download 12" xfId="4599"/>
    <cellStyle name="Download 13" xfId="4600"/>
    <cellStyle name="Download 14" xfId="4601"/>
    <cellStyle name="Download 15" xfId="4602"/>
    <cellStyle name="Download 2" xfId="4603"/>
    <cellStyle name="Download 2 10" xfId="4604"/>
    <cellStyle name="Download 2 11" xfId="4605"/>
    <cellStyle name="Download 2 12" xfId="4606"/>
    <cellStyle name="Download 2 13" xfId="4607"/>
    <cellStyle name="Download 2 14" xfId="4608"/>
    <cellStyle name="Download 2 2" xfId="4609"/>
    <cellStyle name="Download 2 2 2" xfId="4610"/>
    <cellStyle name="Download 2 2 3" xfId="4611"/>
    <cellStyle name="Download 2 2 4" xfId="4612"/>
    <cellStyle name="Download 2 2 5" xfId="4613"/>
    <cellStyle name="Download 2 2 6" xfId="4614"/>
    <cellStyle name="Download 2 2 7" xfId="4615"/>
    <cellStyle name="Download 2 3" xfId="4616"/>
    <cellStyle name="Download 2 3 2" xfId="4617"/>
    <cellStyle name="Download 2 3 3" xfId="4618"/>
    <cellStyle name="Download 2 3 4" xfId="4619"/>
    <cellStyle name="Download 2 3 5" xfId="4620"/>
    <cellStyle name="Download 2 3 6" xfId="4621"/>
    <cellStyle name="Download 2 3 7" xfId="4622"/>
    <cellStyle name="Download 2 4" xfId="4623"/>
    <cellStyle name="Download 2 4 2" xfId="4624"/>
    <cellStyle name="Download 2 4 3" xfId="4625"/>
    <cellStyle name="Download 2 4 4" xfId="4626"/>
    <cellStyle name="Download 2 4 5" xfId="4627"/>
    <cellStyle name="Download 2 4 6" xfId="4628"/>
    <cellStyle name="Download 2 4 7" xfId="4629"/>
    <cellStyle name="Download 2 5" xfId="4630"/>
    <cellStyle name="Download 2 5 2" xfId="4631"/>
    <cellStyle name="Download 2 5 3" xfId="4632"/>
    <cellStyle name="Download 2 5 4" xfId="4633"/>
    <cellStyle name="Download 2 5 5" xfId="4634"/>
    <cellStyle name="Download 2 5 6" xfId="4635"/>
    <cellStyle name="Download 2 5 7" xfId="4636"/>
    <cellStyle name="Download 2 6" xfId="4637"/>
    <cellStyle name="Download 2 6 2" xfId="4638"/>
    <cellStyle name="Download 2 6 3" xfId="4639"/>
    <cellStyle name="Download 2 6 4" xfId="4640"/>
    <cellStyle name="Download 2 6 5" xfId="4641"/>
    <cellStyle name="Download 2 6 6" xfId="4642"/>
    <cellStyle name="Download 2 6 7" xfId="4643"/>
    <cellStyle name="Download 2 7" xfId="4644"/>
    <cellStyle name="Download 2 7 2" xfId="4645"/>
    <cellStyle name="Download 2 7 3" xfId="4646"/>
    <cellStyle name="Download 2 7 4" xfId="4647"/>
    <cellStyle name="Download 2 7 5" xfId="4648"/>
    <cellStyle name="Download 2 7 6" xfId="4649"/>
    <cellStyle name="Download 2 7 7" xfId="4650"/>
    <cellStyle name="Download 2 8" xfId="4651"/>
    <cellStyle name="Download 2 8 2" xfId="4652"/>
    <cellStyle name="Download 2 8 3" xfId="4653"/>
    <cellStyle name="Download 2 8 4" xfId="4654"/>
    <cellStyle name="Download 2 8 5" xfId="4655"/>
    <cellStyle name="Download 2 8 6" xfId="4656"/>
    <cellStyle name="Download 2 8 7" xfId="4657"/>
    <cellStyle name="Download 2 9" xfId="4658"/>
    <cellStyle name="Download 2 9 2" xfId="4659"/>
    <cellStyle name="Download 2 9 3" xfId="4660"/>
    <cellStyle name="Download 2 9 4" xfId="4661"/>
    <cellStyle name="Download 2 9 5" xfId="4662"/>
    <cellStyle name="Download 2 9 6" xfId="4663"/>
    <cellStyle name="Download 3" xfId="4664"/>
    <cellStyle name="Download 3 2" xfId="4665"/>
    <cellStyle name="Download 3 3" xfId="4666"/>
    <cellStyle name="Download 3 4" xfId="4667"/>
    <cellStyle name="Download 3 5" xfId="4668"/>
    <cellStyle name="Download 3 6" xfId="4669"/>
    <cellStyle name="Download 3 7" xfId="4670"/>
    <cellStyle name="Download 4" xfId="4671"/>
    <cellStyle name="Download 4 2" xfId="4672"/>
    <cellStyle name="Download 4 3" xfId="4673"/>
    <cellStyle name="Download 4 4" xfId="4674"/>
    <cellStyle name="Download 4 5" xfId="4675"/>
    <cellStyle name="Download 4 6" xfId="4676"/>
    <cellStyle name="Download 4 7" xfId="4677"/>
    <cellStyle name="Download 5" xfId="4678"/>
    <cellStyle name="Download 5 2" xfId="4679"/>
    <cellStyle name="Download 5 3" xfId="4680"/>
    <cellStyle name="Download 5 4" xfId="4681"/>
    <cellStyle name="Download 5 5" xfId="4682"/>
    <cellStyle name="Download 5 6" xfId="4683"/>
    <cellStyle name="Download 5 7" xfId="4684"/>
    <cellStyle name="Download 6" xfId="4685"/>
    <cellStyle name="Download 6 2" xfId="4686"/>
    <cellStyle name="Download 6 3" xfId="4687"/>
    <cellStyle name="Download 6 4" xfId="4688"/>
    <cellStyle name="Download 6 5" xfId="4689"/>
    <cellStyle name="Download 6 6" xfId="4690"/>
    <cellStyle name="Download 6 7" xfId="4691"/>
    <cellStyle name="Download 7" xfId="4692"/>
    <cellStyle name="Download 7 2" xfId="4693"/>
    <cellStyle name="Download 7 3" xfId="4694"/>
    <cellStyle name="Download 7 4" xfId="4695"/>
    <cellStyle name="Download 7 5" xfId="4696"/>
    <cellStyle name="Download 7 6" xfId="4697"/>
    <cellStyle name="Download 7 7" xfId="4698"/>
    <cellStyle name="Download 8" xfId="4699"/>
    <cellStyle name="Download 8 2" xfId="4700"/>
    <cellStyle name="Download 8 3" xfId="4701"/>
    <cellStyle name="Download 8 4" xfId="4702"/>
    <cellStyle name="Download 8 5" xfId="4703"/>
    <cellStyle name="Download 8 6" xfId="4704"/>
    <cellStyle name="Download 8 7" xfId="4705"/>
    <cellStyle name="Download 9" xfId="4706"/>
    <cellStyle name="Download 9 2" xfId="4707"/>
    <cellStyle name="Download 9 3" xfId="4708"/>
    <cellStyle name="Download 9 4" xfId="4709"/>
    <cellStyle name="Download 9 5" xfId="4710"/>
    <cellStyle name="Download 9 6" xfId="4711"/>
    <cellStyle name="Download 9 7" xfId="4712"/>
    <cellStyle name="DRI bold" xfId="4713"/>
    <cellStyle name="DRI norm" xfId="4714"/>
    <cellStyle name="ec" xfId="4715"/>
    <cellStyle name="Entered" xfId="4716"/>
    <cellStyle name="EnterpriseTable[1]" xfId="4717"/>
    <cellStyle name="EPS" xfId="4718"/>
    <cellStyle name="ERROR" xfId="4719"/>
    <cellStyle name="Euro" xfId="4720"/>
    <cellStyle name="Euro 2" xfId="4721"/>
    <cellStyle name="Euro 3" xfId="4722"/>
    <cellStyle name="Explanatory Text 2" xfId="4723"/>
    <cellStyle name="Explanatory Text 2 2" xfId="4724"/>
    <cellStyle name="Explanatory Text 3" xfId="4725"/>
    <cellStyle name="External File Cells" xfId="4726"/>
    <cellStyle name="External File Cells 10" xfId="4727"/>
    <cellStyle name="External File Cells 10 2" xfId="4728"/>
    <cellStyle name="External File Cells 10 3" xfId="4729"/>
    <cellStyle name="External File Cells 10 4" xfId="4730"/>
    <cellStyle name="External File Cells 10 5" xfId="4731"/>
    <cellStyle name="External File Cells 10 6" xfId="4732"/>
    <cellStyle name="External File Cells 10 7" xfId="4733"/>
    <cellStyle name="External File Cells 11" xfId="4734"/>
    <cellStyle name="External File Cells 11 2" xfId="4735"/>
    <cellStyle name="External File Cells 11 3" xfId="4736"/>
    <cellStyle name="External File Cells 11 4" xfId="4737"/>
    <cellStyle name="External File Cells 11 5" xfId="4738"/>
    <cellStyle name="External File Cells 11 6" xfId="4739"/>
    <cellStyle name="External File Cells 12" xfId="4740"/>
    <cellStyle name="External File Cells 13" xfId="4741"/>
    <cellStyle name="External File Cells 14" xfId="4742"/>
    <cellStyle name="External File Cells 15" xfId="4743"/>
    <cellStyle name="External File Cells 16" xfId="4744"/>
    <cellStyle name="External File Cells 2" xfId="4745"/>
    <cellStyle name="External File Cells 2 10" xfId="4746"/>
    <cellStyle name="External File Cells 2 10 2" xfId="4747"/>
    <cellStyle name="External File Cells 2 10 3" xfId="4748"/>
    <cellStyle name="External File Cells 2 10 4" xfId="4749"/>
    <cellStyle name="External File Cells 2 10 5" xfId="4750"/>
    <cellStyle name="External File Cells 2 10 6" xfId="4751"/>
    <cellStyle name="External File Cells 2 11" xfId="4752"/>
    <cellStyle name="External File Cells 2 12" xfId="4753"/>
    <cellStyle name="External File Cells 2 13" xfId="4754"/>
    <cellStyle name="External File Cells 2 14" xfId="4755"/>
    <cellStyle name="External File Cells 2 15" xfId="4756"/>
    <cellStyle name="External File Cells 2 2" xfId="4757"/>
    <cellStyle name="External File Cells 2 2 10" xfId="4758"/>
    <cellStyle name="External File Cells 2 2 11" xfId="4759"/>
    <cellStyle name="External File Cells 2 2 12" xfId="4760"/>
    <cellStyle name="External File Cells 2 2 13" xfId="4761"/>
    <cellStyle name="External File Cells 2 2 14" xfId="4762"/>
    <cellStyle name="External File Cells 2 2 2" xfId="4763"/>
    <cellStyle name="External File Cells 2 2 2 2" xfId="4764"/>
    <cellStyle name="External File Cells 2 2 2 3" xfId="4765"/>
    <cellStyle name="External File Cells 2 2 2 4" xfId="4766"/>
    <cellStyle name="External File Cells 2 2 2 5" xfId="4767"/>
    <cellStyle name="External File Cells 2 2 2 6" xfId="4768"/>
    <cellStyle name="External File Cells 2 2 2 7" xfId="4769"/>
    <cellStyle name="External File Cells 2 2 3" xfId="4770"/>
    <cellStyle name="External File Cells 2 2 3 2" xfId="4771"/>
    <cellStyle name="External File Cells 2 2 3 3" xfId="4772"/>
    <cellStyle name="External File Cells 2 2 3 4" xfId="4773"/>
    <cellStyle name="External File Cells 2 2 3 5" xfId="4774"/>
    <cellStyle name="External File Cells 2 2 3 6" xfId="4775"/>
    <cellStyle name="External File Cells 2 2 3 7" xfId="4776"/>
    <cellStyle name="External File Cells 2 2 4" xfId="4777"/>
    <cellStyle name="External File Cells 2 2 4 2" xfId="4778"/>
    <cellStyle name="External File Cells 2 2 4 3" xfId="4779"/>
    <cellStyle name="External File Cells 2 2 4 4" xfId="4780"/>
    <cellStyle name="External File Cells 2 2 4 5" xfId="4781"/>
    <cellStyle name="External File Cells 2 2 4 6" xfId="4782"/>
    <cellStyle name="External File Cells 2 2 4 7" xfId="4783"/>
    <cellStyle name="External File Cells 2 2 5" xfId="4784"/>
    <cellStyle name="External File Cells 2 2 5 2" xfId="4785"/>
    <cellStyle name="External File Cells 2 2 5 3" xfId="4786"/>
    <cellStyle name="External File Cells 2 2 5 4" xfId="4787"/>
    <cellStyle name="External File Cells 2 2 5 5" xfId="4788"/>
    <cellStyle name="External File Cells 2 2 5 6" xfId="4789"/>
    <cellStyle name="External File Cells 2 2 5 7" xfId="4790"/>
    <cellStyle name="External File Cells 2 2 6" xfId="4791"/>
    <cellStyle name="External File Cells 2 2 6 2" xfId="4792"/>
    <cellStyle name="External File Cells 2 2 6 3" xfId="4793"/>
    <cellStyle name="External File Cells 2 2 6 4" xfId="4794"/>
    <cellStyle name="External File Cells 2 2 6 5" xfId="4795"/>
    <cellStyle name="External File Cells 2 2 6 6" xfId="4796"/>
    <cellStyle name="External File Cells 2 2 6 7" xfId="4797"/>
    <cellStyle name="External File Cells 2 2 7" xfId="4798"/>
    <cellStyle name="External File Cells 2 2 7 2" xfId="4799"/>
    <cellStyle name="External File Cells 2 2 7 3" xfId="4800"/>
    <cellStyle name="External File Cells 2 2 7 4" xfId="4801"/>
    <cellStyle name="External File Cells 2 2 7 5" xfId="4802"/>
    <cellStyle name="External File Cells 2 2 7 6" xfId="4803"/>
    <cellStyle name="External File Cells 2 2 7 7" xfId="4804"/>
    <cellStyle name="External File Cells 2 2 8" xfId="4805"/>
    <cellStyle name="External File Cells 2 2 8 2" xfId="4806"/>
    <cellStyle name="External File Cells 2 2 8 3" xfId="4807"/>
    <cellStyle name="External File Cells 2 2 8 4" xfId="4808"/>
    <cellStyle name="External File Cells 2 2 8 5" xfId="4809"/>
    <cellStyle name="External File Cells 2 2 8 6" xfId="4810"/>
    <cellStyle name="External File Cells 2 2 8 7" xfId="4811"/>
    <cellStyle name="External File Cells 2 2 9" xfId="4812"/>
    <cellStyle name="External File Cells 2 2 9 2" xfId="4813"/>
    <cellStyle name="External File Cells 2 2 9 3" xfId="4814"/>
    <cellStyle name="External File Cells 2 2 9 4" xfId="4815"/>
    <cellStyle name="External File Cells 2 2 9 5" xfId="4816"/>
    <cellStyle name="External File Cells 2 2 9 6" xfId="4817"/>
    <cellStyle name="External File Cells 2 3" xfId="4818"/>
    <cellStyle name="External File Cells 2 3 2" xfId="4819"/>
    <cellStyle name="External File Cells 2 3 3" xfId="4820"/>
    <cellStyle name="External File Cells 2 3 4" xfId="4821"/>
    <cellStyle name="External File Cells 2 3 5" xfId="4822"/>
    <cellStyle name="External File Cells 2 3 6" xfId="4823"/>
    <cellStyle name="External File Cells 2 3 7" xfId="4824"/>
    <cellStyle name="External File Cells 2 4" xfId="4825"/>
    <cellStyle name="External File Cells 2 4 2" xfId="4826"/>
    <cellStyle name="External File Cells 2 4 3" xfId="4827"/>
    <cellStyle name="External File Cells 2 4 4" xfId="4828"/>
    <cellStyle name="External File Cells 2 4 5" xfId="4829"/>
    <cellStyle name="External File Cells 2 4 6" xfId="4830"/>
    <cellStyle name="External File Cells 2 4 7" xfId="4831"/>
    <cellStyle name="External File Cells 2 5" xfId="4832"/>
    <cellStyle name="External File Cells 2 5 2" xfId="4833"/>
    <cellStyle name="External File Cells 2 5 3" xfId="4834"/>
    <cellStyle name="External File Cells 2 5 4" xfId="4835"/>
    <cellStyle name="External File Cells 2 5 5" xfId="4836"/>
    <cellStyle name="External File Cells 2 5 6" xfId="4837"/>
    <cellStyle name="External File Cells 2 5 7" xfId="4838"/>
    <cellStyle name="External File Cells 2 6" xfId="4839"/>
    <cellStyle name="External File Cells 2 6 2" xfId="4840"/>
    <cellStyle name="External File Cells 2 6 3" xfId="4841"/>
    <cellStyle name="External File Cells 2 6 4" xfId="4842"/>
    <cellStyle name="External File Cells 2 6 5" xfId="4843"/>
    <cellStyle name="External File Cells 2 6 6" xfId="4844"/>
    <cellStyle name="External File Cells 2 6 7" xfId="4845"/>
    <cellStyle name="External File Cells 2 7" xfId="4846"/>
    <cellStyle name="External File Cells 2 7 2" xfId="4847"/>
    <cellStyle name="External File Cells 2 7 3" xfId="4848"/>
    <cellStyle name="External File Cells 2 7 4" xfId="4849"/>
    <cellStyle name="External File Cells 2 7 5" xfId="4850"/>
    <cellStyle name="External File Cells 2 7 6" xfId="4851"/>
    <cellStyle name="External File Cells 2 7 7" xfId="4852"/>
    <cellStyle name="External File Cells 2 8" xfId="4853"/>
    <cellStyle name="External File Cells 2 8 2" xfId="4854"/>
    <cellStyle name="External File Cells 2 8 3" xfId="4855"/>
    <cellStyle name="External File Cells 2 8 4" xfId="4856"/>
    <cellStyle name="External File Cells 2 8 5" xfId="4857"/>
    <cellStyle name="External File Cells 2 8 6" xfId="4858"/>
    <cellStyle name="External File Cells 2 8 7" xfId="4859"/>
    <cellStyle name="External File Cells 2 9" xfId="4860"/>
    <cellStyle name="External File Cells 2 9 2" xfId="4861"/>
    <cellStyle name="External File Cells 2 9 3" xfId="4862"/>
    <cellStyle name="External File Cells 2 9 4" xfId="4863"/>
    <cellStyle name="External File Cells 2 9 5" xfId="4864"/>
    <cellStyle name="External File Cells 2 9 6" xfId="4865"/>
    <cellStyle name="External File Cells 2 9 7" xfId="4866"/>
    <cellStyle name="External File Cells 3" xfId="4867"/>
    <cellStyle name="External File Cells 3 10" xfId="4868"/>
    <cellStyle name="External File Cells 3 11" xfId="4869"/>
    <cellStyle name="External File Cells 3 12" xfId="4870"/>
    <cellStyle name="External File Cells 3 13" xfId="4871"/>
    <cellStyle name="External File Cells 3 14" xfId="4872"/>
    <cellStyle name="External File Cells 3 2" xfId="4873"/>
    <cellStyle name="External File Cells 3 2 2" xfId="4874"/>
    <cellStyle name="External File Cells 3 2 3" xfId="4875"/>
    <cellStyle name="External File Cells 3 2 4" xfId="4876"/>
    <cellStyle name="External File Cells 3 2 5" xfId="4877"/>
    <cellStyle name="External File Cells 3 2 6" xfId="4878"/>
    <cellStyle name="External File Cells 3 2 7" xfId="4879"/>
    <cellStyle name="External File Cells 3 3" xfId="4880"/>
    <cellStyle name="External File Cells 3 3 2" xfId="4881"/>
    <cellStyle name="External File Cells 3 3 3" xfId="4882"/>
    <cellStyle name="External File Cells 3 3 4" xfId="4883"/>
    <cellStyle name="External File Cells 3 3 5" xfId="4884"/>
    <cellStyle name="External File Cells 3 3 6" xfId="4885"/>
    <cellStyle name="External File Cells 3 3 7" xfId="4886"/>
    <cellStyle name="External File Cells 3 4" xfId="4887"/>
    <cellStyle name="External File Cells 3 4 2" xfId="4888"/>
    <cellStyle name="External File Cells 3 4 3" xfId="4889"/>
    <cellStyle name="External File Cells 3 4 4" xfId="4890"/>
    <cellStyle name="External File Cells 3 4 5" xfId="4891"/>
    <cellStyle name="External File Cells 3 4 6" xfId="4892"/>
    <cellStyle name="External File Cells 3 4 7" xfId="4893"/>
    <cellStyle name="External File Cells 3 5" xfId="4894"/>
    <cellStyle name="External File Cells 3 5 2" xfId="4895"/>
    <cellStyle name="External File Cells 3 5 3" xfId="4896"/>
    <cellStyle name="External File Cells 3 5 4" xfId="4897"/>
    <cellStyle name="External File Cells 3 5 5" xfId="4898"/>
    <cellStyle name="External File Cells 3 5 6" xfId="4899"/>
    <cellStyle name="External File Cells 3 5 7" xfId="4900"/>
    <cellStyle name="External File Cells 3 6" xfId="4901"/>
    <cellStyle name="External File Cells 3 6 2" xfId="4902"/>
    <cellStyle name="External File Cells 3 6 3" xfId="4903"/>
    <cellStyle name="External File Cells 3 6 4" xfId="4904"/>
    <cellStyle name="External File Cells 3 6 5" xfId="4905"/>
    <cellStyle name="External File Cells 3 6 6" xfId="4906"/>
    <cellStyle name="External File Cells 3 6 7" xfId="4907"/>
    <cellStyle name="External File Cells 3 7" xfId="4908"/>
    <cellStyle name="External File Cells 3 7 2" xfId="4909"/>
    <cellStyle name="External File Cells 3 7 3" xfId="4910"/>
    <cellStyle name="External File Cells 3 7 4" xfId="4911"/>
    <cellStyle name="External File Cells 3 7 5" xfId="4912"/>
    <cellStyle name="External File Cells 3 7 6" xfId="4913"/>
    <cellStyle name="External File Cells 3 7 7" xfId="4914"/>
    <cellStyle name="External File Cells 3 8" xfId="4915"/>
    <cellStyle name="External File Cells 3 8 2" xfId="4916"/>
    <cellStyle name="External File Cells 3 8 3" xfId="4917"/>
    <cellStyle name="External File Cells 3 8 4" xfId="4918"/>
    <cellStyle name="External File Cells 3 8 5" xfId="4919"/>
    <cellStyle name="External File Cells 3 8 6" xfId="4920"/>
    <cellStyle name="External File Cells 3 8 7" xfId="4921"/>
    <cellStyle name="External File Cells 3 9" xfId="4922"/>
    <cellStyle name="External File Cells 3 9 2" xfId="4923"/>
    <cellStyle name="External File Cells 3 9 3" xfId="4924"/>
    <cellStyle name="External File Cells 3 9 4" xfId="4925"/>
    <cellStyle name="External File Cells 3 9 5" xfId="4926"/>
    <cellStyle name="External File Cells 3 9 6" xfId="4927"/>
    <cellStyle name="External File Cells 4" xfId="4928"/>
    <cellStyle name="External File Cells 4 2" xfId="4929"/>
    <cellStyle name="External File Cells 4 3" xfId="4930"/>
    <cellStyle name="External File Cells 4 4" xfId="4931"/>
    <cellStyle name="External File Cells 4 5" xfId="4932"/>
    <cellStyle name="External File Cells 4 6" xfId="4933"/>
    <cellStyle name="External File Cells 4 7" xfId="4934"/>
    <cellStyle name="External File Cells 5" xfId="4935"/>
    <cellStyle name="External File Cells 5 2" xfId="4936"/>
    <cellStyle name="External File Cells 5 3" xfId="4937"/>
    <cellStyle name="External File Cells 5 4" xfId="4938"/>
    <cellStyle name="External File Cells 5 5" xfId="4939"/>
    <cellStyle name="External File Cells 5 6" xfId="4940"/>
    <cellStyle name="External File Cells 5 7" xfId="4941"/>
    <cellStyle name="External File Cells 6" xfId="4942"/>
    <cellStyle name="External File Cells 6 2" xfId="4943"/>
    <cellStyle name="External File Cells 6 3" xfId="4944"/>
    <cellStyle name="External File Cells 6 4" xfId="4945"/>
    <cellStyle name="External File Cells 6 5" xfId="4946"/>
    <cellStyle name="External File Cells 6 6" xfId="4947"/>
    <cellStyle name="External File Cells 6 7" xfId="4948"/>
    <cellStyle name="External File Cells 7" xfId="4949"/>
    <cellStyle name="External File Cells 7 2" xfId="4950"/>
    <cellStyle name="External File Cells 7 3" xfId="4951"/>
    <cellStyle name="External File Cells 7 4" xfId="4952"/>
    <cellStyle name="External File Cells 7 5" xfId="4953"/>
    <cellStyle name="External File Cells 7 6" xfId="4954"/>
    <cellStyle name="External File Cells 7 7" xfId="4955"/>
    <cellStyle name="External File Cells 8" xfId="4956"/>
    <cellStyle name="External File Cells 8 2" xfId="4957"/>
    <cellStyle name="External File Cells 8 3" xfId="4958"/>
    <cellStyle name="External File Cells 8 4" xfId="4959"/>
    <cellStyle name="External File Cells 8 5" xfId="4960"/>
    <cellStyle name="External File Cells 8 6" xfId="4961"/>
    <cellStyle name="External File Cells 8 7" xfId="4962"/>
    <cellStyle name="External File Cells 9" xfId="4963"/>
    <cellStyle name="External File Cells 9 2" xfId="4964"/>
    <cellStyle name="External File Cells 9 3" xfId="4965"/>
    <cellStyle name="External File Cells 9 4" xfId="4966"/>
    <cellStyle name="External File Cells 9 5" xfId="4967"/>
    <cellStyle name="External File Cells 9 6" xfId="4968"/>
    <cellStyle name="External File Cells 9 7" xfId="4969"/>
    <cellStyle name="fa_column_header_bottom" xfId="4970"/>
    <cellStyle name="Fail" xfId="4971"/>
    <cellStyle name="FieldName" xfId="4972"/>
    <cellStyle name="FieldName 10" xfId="4973"/>
    <cellStyle name="FieldName 10 2" xfId="4974"/>
    <cellStyle name="FieldName 10 3" xfId="4975"/>
    <cellStyle name="FieldName 10 4" xfId="4976"/>
    <cellStyle name="FieldName 10 5" xfId="4977"/>
    <cellStyle name="FieldName 10 6" xfId="4978"/>
    <cellStyle name="FieldName 11" xfId="4979"/>
    <cellStyle name="FieldName 12" xfId="4980"/>
    <cellStyle name="FieldName 13" xfId="4981"/>
    <cellStyle name="FieldName 14" xfId="4982"/>
    <cellStyle name="FieldName 15" xfId="4983"/>
    <cellStyle name="FieldName 2" xfId="4984"/>
    <cellStyle name="FieldName 2 10" xfId="4985"/>
    <cellStyle name="FieldName 2 11" xfId="4986"/>
    <cellStyle name="FieldName 2 12" xfId="4987"/>
    <cellStyle name="FieldName 2 13" xfId="4988"/>
    <cellStyle name="FieldName 2 14" xfId="4989"/>
    <cellStyle name="FieldName 2 2" xfId="4990"/>
    <cellStyle name="FieldName 2 2 2" xfId="4991"/>
    <cellStyle name="FieldName 2 2 3" xfId="4992"/>
    <cellStyle name="FieldName 2 2 4" xfId="4993"/>
    <cellStyle name="FieldName 2 2 5" xfId="4994"/>
    <cellStyle name="FieldName 2 2 6" xfId="4995"/>
    <cellStyle name="FieldName 2 2 7" xfId="4996"/>
    <cellStyle name="FieldName 2 3" xfId="4997"/>
    <cellStyle name="FieldName 2 3 2" xfId="4998"/>
    <cellStyle name="FieldName 2 3 3" xfId="4999"/>
    <cellStyle name="FieldName 2 3 4" xfId="5000"/>
    <cellStyle name="FieldName 2 3 5" xfId="5001"/>
    <cellStyle name="FieldName 2 3 6" xfId="5002"/>
    <cellStyle name="FieldName 2 3 7" xfId="5003"/>
    <cellStyle name="FieldName 2 4" xfId="5004"/>
    <cellStyle name="FieldName 2 4 2" xfId="5005"/>
    <cellStyle name="FieldName 2 4 3" xfId="5006"/>
    <cellStyle name="FieldName 2 4 4" xfId="5007"/>
    <cellStyle name="FieldName 2 4 5" xfId="5008"/>
    <cellStyle name="FieldName 2 4 6" xfId="5009"/>
    <cellStyle name="FieldName 2 4 7" xfId="5010"/>
    <cellStyle name="FieldName 2 5" xfId="5011"/>
    <cellStyle name="FieldName 2 5 2" xfId="5012"/>
    <cellStyle name="FieldName 2 5 3" xfId="5013"/>
    <cellStyle name="FieldName 2 5 4" xfId="5014"/>
    <cellStyle name="FieldName 2 5 5" xfId="5015"/>
    <cellStyle name="FieldName 2 5 6" xfId="5016"/>
    <cellStyle name="FieldName 2 5 7" xfId="5017"/>
    <cellStyle name="FieldName 2 6" xfId="5018"/>
    <cellStyle name="FieldName 2 6 2" xfId="5019"/>
    <cellStyle name="FieldName 2 6 3" xfId="5020"/>
    <cellStyle name="FieldName 2 6 4" xfId="5021"/>
    <cellStyle name="FieldName 2 6 5" xfId="5022"/>
    <cellStyle name="FieldName 2 6 6" xfId="5023"/>
    <cellStyle name="FieldName 2 6 7" xfId="5024"/>
    <cellStyle name="FieldName 2 7" xfId="5025"/>
    <cellStyle name="FieldName 2 7 2" xfId="5026"/>
    <cellStyle name="FieldName 2 7 3" xfId="5027"/>
    <cellStyle name="FieldName 2 7 4" xfId="5028"/>
    <cellStyle name="FieldName 2 7 5" xfId="5029"/>
    <cellStyle name="FieldName 2 7 6" xfId="5030"/>
    <cellStyle name="FieldName 2 7 7" xfId="5031"/>
    <cellStyle name="FieldName 2 8" xfId="5032"/>
    <cellStyle name="FieldName 2 8 2" xfId="5033"/>
    <cellStyle name="FieldName 2 8 3" xfId="5034"/>
    <cellStyle name="FieldName 2 8 4" xfId="5035"/>
    <cellStyle name="FieldName 2 8 5" xfId="5036"/>
    <cellStyle name="FieldName 2 8 6" xfId="5037"/>
    <cellStyle name="FieldName 2 8 7" xfId="5038"/>
    <cellStyle name="FieldName 2 9" xfId="5039"/>
    <cellStyle name="FieldName 2 9 2" xfId="5040"/>
    <cellStyle name="FieldName 2 9 3" xfId="5041"/>
    <cellStyle name="FieldName 2 9 4" xfId="5042"/>
    <cellStyle name="FieldName 2 9 5" xfId="5043"/>
    <cellStyle name="FieldName 2 9 6" xfId="5044"/>
    <cellStyle name="FieldName 3" xfId="5045"/>
    <cellStyle name="FieldName 3 2" xfId="5046"/>
    <cellStyle name="FieldName 3 3" xfId="5047"/>
    <cellStyle name="FieldName 3 4" xfId="5048"/>
    <cellStyle name="FieldName 3 5" xfId="5049"/>
    <cellStyle name="FieldName 3 6" xfId="5050"/>
    <cellStyle name="FieldName 3 7" xfId="5051"/>
    <cellStyle name="FieldName 4" xfId="5052"/>
    <cellStyle name="FieldName 4 2" xfId="5053"/>
    <cellStyle name="FieldName 4 3" xfId="5054"/>
    <cellStyle name="FieldName 4 4" xfId="5055"/>
    <cellStyle name="FieldName 4 5" xfId="5056"/>
    <cellStyle name="FieldName 4 6" xfId="5057"/>
    <cellStyle name="FieldName 4 7" xfId="5058"/>
    <cellStyle name="FieldName 5" xfId="5059"/>
    <cellStyle name="FieldName 5 2" xfId="5060"/>
    <cellStyle name="FieldName 5 3" xfId="5061"/>
    <cellStyle name="FieldName 5 4" xfId="5062"/>
    <cellStyle name="FieldName 5 5" xfId="5063"/>
    <cellStyle name="FieldName 5 6" xfId="5064"/>
    <cellStyle name="FieldName 5 7" xfId="5065"/>
    <cellStyle name="FieldName 6" xfId="5066"/>
    <cellStyle name="FieldName 6 2" xfId="5067"/>
    <cellStyle name="FieldName 6 3" xfId="5068"/>
    <cellStyle name="FieldName 6 4" xfId="5069"/>
    <cellStyle name="FieldName 6 5" xfId="5070"/>
    <cellStyle name="FieldName 6 6" xfId="5071"/>
    <cellStyle name="FieldName 6 7" xfId="5072"/>
    <cellStyle name="FieldName 7" xfId="5073"/>
    <cellStyle name="FieldName 7 2" xfId="5074"/>
    <cellStyle name="FieldName 7 3" xfId="5075"/>
    <cellStyle name="FieldName 7 4" xfId="5076"/>
    <cellStyle name="FieldName 7 5" xfId="5077"/>
    <cellStyle name="FieldName 7 6" xfId="5078"/>
    <cellStyle name="FieldName 7 7" xfId="5079"/>
    <cellStyle name="FieldName 8" xfId="5080"/>
    <cellStyle name="FieldName 8 2" xfId="5081"/>
    <cellStyle name="FieldName 8 3" xfId="5082"/>
    <cellStyle name="FieldName 8 4" xfId="5083"/>
    <cellStyle name="FieldName 8 5" xfId="5084"/>
    <cellStyle name="FieldName 8 6" xfId="5085"/>
    <cellStyle name="FieldName 8 7" xfId="5086"/>
    <cellStyle name="FieldName 9" xfId="5087"/>
    <cellStyle name="FieldName 9 2" xfId="5088"/>
    <cellStyle name="FieldName 9 3" xfId="5089"/>
    <cellStyle name="FieldName 9 4" xfId="5090"/>
    <cellStyle name="FieldName 9 5" xfId="5091"/>
    <cellStyle name="FieldName 9 6" xfId="5092"/>
    <cellStyle name="FieldName 9 7" xfId="5093"/>
    <cellStyle name="Figures[0]" xfId="5094"/>
    <cellStyle name="FiscalPeriod" xfId="5095"/>
    <cellStyle name="Fixed" xfId="5096"/>
    <cellStyle name="folio" xfId="5097"/>
    <cellStyle name="Followed Hyperlink" xfId="11" builtinId="9"/>
    <cellStyle name="foot left" xfId="5098"/>
    <cellStyle name="Footnote" xfId="5099"/>
    <cellStyle name="foot-right" xfId="5100"/>
    <cellStyle name="Forecast Cells" xfId="5101"/>
    <cellStyle name="Forecast Cells 2" xfId="5102"/>
    <cellStyle name="Formula" xfId="5103"/>
    <cellStyle name="fourdecplace" xfId="5104"/>
    <cellStyle name="g_rate_AA - BenefitsBonus " xfId="5105"/>
    <cellStyle name="g_rate_AA - BenefitsBonus  2" xfId="5106"/>
    <cellStyle name="G02 Table Text" xfId="5107"/>
    <cellStyle name="G02 Table Text 2" xfId="5108"/>
    <cellStyle name="G04_Main head" xfId="5109"/>
    <cellStyle name="G05 Tab Head Bold" xfId="5110"/>
    <cellStyle name="G05 Tab Head Bold 2" xfId="5111"/>
    <cellStyle name="G05 Tab Head Light" xfId="5112"/>
    <cellStyle name="G05 Tab Head Light 2" xfId="5113"/>
    <cellStyle name="G1_1999 figures" xfId="5114"/>
    <cellStyle name="General" xfId="5115"/>
    <cellStyle name="gfs_text_indent" xfId="5116"/>
    <cellStyle name="gfslevel1" xfId="5117"/>
    <cellStyle name="gfslevel2" xfId="5118"/>
    <cellStyle name="gfslevel2indent" xfId="5119"/>
    <cellStyle name="GFSStandard" xfId="5120"/>
    <cellStyle name="GFSTitle" xfId="5121"/>
    <cellStyle name="GFSVariableDecimals" xfId="5122"/>
    <cellStyle name="Good 2" xfId="5123"/>
    <cellStyle name="Good 2 2" xfId="5124"/>
    <cellStyle name="Good 3" xfId="5125"/>
    <cellStyle name="Green" xfId="5126"/>
    <cellStyle name="Green 2" xfId="5127"/>
    <cellStyle name="Green 2 2" xfId="5128"/>
    <cellStyle name="Grey" xfId="5129"/>
    <cellStyle name="Grey 2" xfId="5130"/>
    <cellStyle name="Growth%" xfId="5131"/>
    <cellStyle name="Growth% 2" xfId="5132"/>
    <cellStyle name="GrowthRate" xfId="5133"/>
    <cellStyle name="GrowthRate 2" xfId="5134"/>
    <cellStyle name="gs]_x000d__x000a_Window=-3,49,640,407, , ,3_x000d__x000a_dir1=0,0,640,209,-1,-1,1,30,201,1808,254,C:\MSOFFICE\EXCEL\1997RATE\*.*_x000d__x000a_dir9" xfId="5135"/>
    <cellStyle name="h" xfId="5136"/>
    <cellStyle name="H_1998_col_head" xfId="5137"/>
    <cellStyle name="H_1998_col_head 2" xfId="5138"/>
    <cellStyle name="H_1999_col_head" xfId="5139"/>
    <cellStyle name="h_APPB MODEL" xfId="5140"/>
    <cellStyle name="h_E v A - Dec 01" xfId="5141"/>
    <cellStyle name="h_EAT MODEL" xfId="5142"/>
    <cellStyle name="h_MCD MODEL" xfId="5143"/>
    <cellStyle name="h_SBUX MODEL" xfId="5144"/>
    <cellStyle name="h_WEN MODEL" xfId="5145"/>
    <cellStyle name="h_WEN MODEL_EAT MODEL" xfId="5146"/>
    <cellStyle name="h_WEN MODEL_MCD MODEL" xfId="5147"/>
    <cellStyle name="h_WEN MODEL_SBUX MODEL" xfId="5148"/>
    <cellStyle name="h_WEN MODEL_YUM MODEL" xfId="5149"/>
    <cellStyle name="h_YUM MODEL" xfId="5150"/>
    <cellStyle name="H1_1998 figures" xfId="5151"/>
    <cellStyle name="hard no" xfId="5152"/>
    <cellStyle name="hard no 2" xfId="5153"/>
    <cellStyle name="hard no." xfId="5154"/>
    <cellStyle name="Hard Percent_2005 TDS Mgmt Summaries MASTER " xfId="5155"/>
    <cellStyle name="hardno" xfId="5156"/>
    <cellStyle name="Head - Style2" xfId="5157"/>
    <cellStyle name="Head1" xfId="5158"/>
    <cellStyle name="HEADER" xfId="5159"/>
    <cellStyle name="Header1" xfId="5160"/>
    <cellStyle name="Header2" xfId="5161"/>
    <cellStyle name="HeaderStyle" xfId="5162"/>
    <cellStyle name="Heading" xfId="5163"/>
    <cellStyle name="Heading 1 2" xfId="5164"/>
    <cellStyle name="Heading 1 2 2" xfId="5165"/>
    <cellStyle name="Heading 1 2 2 2" xfId="5166"/>
    <cellStyle name="Heading 1 3" xfId="5167"/>
    <cellStyle name="Heading 2 2" xfId="5168"/>
    <cellStyle name="Heading 2 2 2" xfId="5169"/>
    <cellStyle name="Heading 2 2 2 2" xfId="5170"/>
    <cellStyle name="Heading 2 2 3" xfId="5171"/>
    <cellStyle name="Heading 2 3" xfId="5172"/>
    <cellStyle name="Heading 3 2" xfId="5173"/>
    <cellStyle name="Heading 3 2 2" xfId="5174"/>
    <cellStyle name="Heading 3 3" xfId="5175"/>
    <cellStyle name="Heading 4 2" xfId="5176"/>
    <cellStyle name="Heading 4 2 2" xfId="5177"/>
    <cellStyle name="Heading 4 3" xfId="5178"/>
    <cellStyle name="Heading1" xfId="5179"/>
    <cellStyle name="Heading2" xfId="5180"/>
    <cellStyle name="Helv" xfId="5181"/>
    <cellStyle name="Helv 2" xfId="5182"/>
    <cellStyle name="Hidden" xfId="5183"/>
    <cellStyle name="HIGHLIGHT" xfId="5184"/>
    <cellStyle name="Hist inmatning" xfId="5185"/>
    <cellStyle name="Hyperlink 2" xfId="5186"/>
    <cellStyle name="Hyperlink 3" xfId="5187"/>
    <cellStyle name="Hyperlink 4" xfId="5188"/>
    <cellStyle name="Hyperlink 5" xfId="5189"/>
    <cellStyle name="Hyperlink 6" xfId="5190"/>
    <cellStyle name="HyphenStyle" xfId="5191"/>
    <cellStyle name="ick to audit FactSet contentL_x0014__139__FDSAUDITLINK__s_x001c_1_x0008__x000a__x0014_ⴐ_x0010_4_x0008__x000a_a⢈ÿ" xfId="5192"/>
    <cellStyle name="iles|_x0005_h" xfId="5193"/>
    <cellStyle name="Income Statement" xfId="5194"/>
    <cellStyle name="Income Statement 2" xfId="5195"/>
    <cellStyle name="IncomeStatement" xfId="5196"/>
    <cellStyle name="IncomeStatement 2" xfId="5197"/>
    <cellStyle name="INCSTMT" xfId="5198"/>
    <cellStyle name="Indent 2" xfId="5199"/>
    <cellStyle name="Indent 2 2" xfId="5200"/>
    <cellStyle name="Indent Bold" xfId="5201"/>
    <cellStyle name="Info_Main" xfId="5202"/>
    <cellStyle name="inmatn_italic" xfId="5203"/>
    <cellStyle name="inmatning" xfId="5204"/>
    <cellStyle name="Input [yellow]" xfId="5205"/>
    <cellStyle name="Input [yellow] 2" xfId="5206"/>
    <cellStyle name="Input 10" xfId="5207"/>
    <cellStyle name="Input 10 10" xfId="5208"/>
    <cellStyle name="Input 10 10 2" xfId="5209"/>
    <cellStyle name="Input 10 10 3" xfId="5210"/>
    <cellStyle name="Input 10 10 4" xfId="5211"/>
    <cellStyle name="Input 10 10 5" xfId="5212"/>
    <cellStyle name="Input 10 10 6" xfId="5213"/>
    <cellStyle name="Input 10 10 7" xfId="5214"/>
    <cellStyle name="Input 10 11" xfId="5215"/>
    <cellStyle name="Input 10 11 2" xfId="5216"/>
    <cellStyle name="Input 10 11 3" xfId="5217"/>
    <cellStyle name="Input 10 11 4" xfId="5218"/>
    <cellStyle name="Input 10 11 5" xfId="5219"/>
    <cellStyle name="Input 10 11 6" xfId="5220"/>
    <cellStyle name="Input 10 12" xfId="5221"/>
    <cellStyle name="Input 10 12 2" xfId="5222"/>
    <cellStyle name="Input 10 12 3" xfId="5223"/>
    <cellStyle name="Input 10 12 4" xfId="5224"/>
    <cellStyle name="Input 10 12 5" xfId="5225"/>
    <cellStyle name="Input 10 12 6" xfId="5226"/>
    <cellStyle name="Input 10 13" xfId="5227"/>
    <cellStyle name="Input 10 14" xfId="5228"/>
    <cellStyle name="Input 10 15" xfId="5229"/>
    <cellStyle name="Input 10 16" xfId="5230"/>
    <cellStyle name="Input 10 2" xfId="5231"/>
    <cellStyle name="Input 10 2 10" xfId="5232"/>
    <cellStyle name="Input 10 2 10 2" xfId="5233"/>
    <cellStyle name="Input 10 2 10 3" xfId="5234"/>
    <cellStyle name="Input 10 2 10 4" xfId="5235"/>
    <cellStyle name="Input 10 2 10 5" xfId="5236"/>
    <cellStyle name="Input 10 2 10 6" xfId="5237"/>
    <cellStyle name="Input 10 2 11" xfId="5238"/>
    <cellStyle name="Input 10 2 12" xfId="5239"/>
    <cellStyle name="Input 10 2 13" xfId="5240"/>
    <cellStyle name="Input 10 2 14" xfId="5241"/>
    <cellStyle name="Input 10 2 2" xfId="5242"/>
    <cellStyle name="Input 10 2 2 2" xfId="5243"/>
    <cellStyle name="Input 10 2 2 3" xfId="5244"/>
    <cellStyle name="Input 10 2 2 4" xfId="5245"/>
    <cellStyle name="Input 10 2 2 5" xfId="5246"/>
    <cellStyle name="Input 10 2 2 6" xfId="5247"/>
    <cellStyle name="Input 10 2 2 7" xfId="5248"/>
    <cellStyle name="Input 10 2 3" xfId="5249"/>
    <cellStyle name="Input 10 2 3 2" xfId="5250"/>
    <cellStyle name="Input 10 2 3 3" xfId="5251"/>
    <cellStyle name="Input 10 2 3 4" xfId="5252"/>
    <cellStyle name="Input 10 2 3 5" xfId="5253"/>
    <cellStyle name="Input 10 2 3 6" xfId="5254"/>
    <cellStyle name="Input 10 2 3 7" xfId="5255"/>
    <cellStyle name="Input 10 2 4" xfId="5256"/>
    <cellStyle name="Input 10 2 4 2" xfId="5257"/>
    <cellStyle name="Input 10 2 4 3" xfId="5258"/>
    <cellStyle name="Input 10 2 4 4" xfId="5259"/>
    <cellStyle name="Input 10 2 4 5" xfId="5260"/>
    <cellStyle name="Input 10 2 4 6" xfId="5261"/>
    <cellStyle name="Input 10 2 4 7" xfId="5262"/>
    <cellStyle name="Input 10 2 5" xfId="5263"/>
    <cellStyle name="Input 10 2 5 2" xfId="5264"/>
    <cellStyle name="Input 10 2 5 3" xfId="5265"/>
    <cellStyle name="Input 10 2 5 4" xfId="5266"/>
    <cellStyle name="Input 10 2 5 5" xfId="5267"/>
    <cellStyle name="Input 10 2 5 6" xfId="5268"/>
    <cellStyle name="Input 10 2 5 7" xfId="5269"/>
    <cellStyle name="Input 10 2 6" xfId="5270"/>
    <cellStyle name="Input 10 2 6 2" xfId="5271"/>
    <cellStyle name="Input 10 2 6 3" xfId="5272"/>
    <cellStyle name="Input 10 2 6 4" xfId="5273"/>
    <cellStyle name="Input 10 2 6 5" xfId="5274"/>
    <cellStyle name="Input 10 2 6 6" xfId="5275"/>
    <cellStyle name="Input 10 2 6 7" xfId="5276"/>
    <cellStyle name="Input 10 2 7" xfId="5277"/>
    <cellStyle name="Input 10 2 7 2" xfId="5278"/>
    <cellStyle name="Input 10 2 7 3" xfId="5279"/>
    <cellStyle name="Input 10 2 7 4" xfId="5280"/>
    <cellStyle name="Input 10 2 7 5" xfId="5281"/>
    <cellStyle name="Input 10 2 7 6" xfId="5282"/>
    <cellStyle name="Input 10 2 7 7" xfId="5283"/>
    <cellStyle name="Input 10 2 8" xfId="5284"/>
    <cellStyle name="Input 10 2 8 2" xfId="5285"/>
    <cellStyle name="Input 10 2 8 3" xfId="5286"/>
    <cellStyle name="Input 10 2 8 4" xfId="5287"/>
    <cellStyle name="Input 10 2 8 5" xfId="5288"/>
    <cellStyle name="Input 10 2 8 6" xfId="5289"/>
    <cellStyle name="Input 10 2 8 7" xfId="5290"/>
    <cellStyle name="Input 10 2 9" xfId="5291"/>
    <cellStyle name="Input 10 2 9 2" xfId="5292"/>
    <cellStyle name="Input 10 2 9 3" xfId="5293"/>
    <cellStyle name="Input 10 2 9 4" xfId="5294"/>
    <cellStyle name="Input 10 2 9 5" xfId="5295"/>
    <cellStyle name="Input 10 2 9 6" xfId="5296"/>
    <cellStyle name="Input 10 3" xfId="5297"/>
    <cellStyle name="Input 10 3 10" xfId="5298"/>
    <cellStyle name="Input 10 3 10 2" xfId="5299"/>
    <cellStyle name="Input 10 3 10 3" xfId="5300"/>
    <cellStyle name="Input 10 3 10 4" xfId="5301"/>
    <cellStyle name="Input 10 3 10 5" xfId="5302"/>
    <cellStyle name="Input 10 3 10 6" xfId="5303"/>
    <cellStyle name="Input 10 3 11" xfId="5304"/>
    <cellStyle name="Input 10 3 12" xfId="5305"/>
    <cellStyle name="Input 10 3 13" xfId="5306"/>
    <cellStyle name="Input 10 3 14" xfId="5307"/>
    <cellStyle name="Input 10 3 2" xfId="5308"/>
    <cellStyle name="Input 10 3 2 2" xfId="5309"/>
    <cellStyle name="Input 10 3 2 3" xfId="5310"/>
    <cellStyle name="Input 10 3 2 4" xfId="5311"/>
    <cellStyle name="Input 10 3 2 5" xfId="5312"/>
    <cellStyle name="Input 10 3 2 6" xfId="5313"/>
    <cellStyle name="Input 10 3 2 7" xfId="5314"/>
    <cellStyle name="Input 10 3 3" xfId="5315"/>
    <cellStyle name="Input 10 3 3 2" xfId="5316"/>
    <cellStyle name="Input 10 3 3 3" xfId="5317"/>
    <cellStyle name="Input 10 3 3 4" xfId="5318"/>
    <cellStyle name="Input 10 3 3 5" xfId="5319"/>
    <cellStyle name="Input 10 3 3 6" xfId="5320"/>
    <cellStyle name="Input 10 3 3 7" xfId="5321"/>
    <cellStyle name="Input 10 3 4" xfId="5322"/>
    <cellStyle name="Input 10 3 4 2" xfId="5323"/>
    <cellStyle name="Input 10 3 4 3" xfId="5324"/>
    <cellStyle name="Input 10 3 4 4" xfId="5325"/>
    <cellStyle name="Input 10 3 4 5" xfId="5326"/>
    <cellStyle name="Input 10 3 4 6" xfId="5327"/>
    <cellStyle name="Input 10 3 4 7" xfId="5328"/>
    <cellStyle name="Input 10 3 5" xfId="5329"/>
    <cellStyle name="Input 10 3 5 2" xfId="5330"/>
    <cellStyle name="Input 10 3 5 3" xfId="5331"/>
    <cellStyle name="Input 10 3 5 4" xfId="5332"/>
    <cellStyle name="Input 10 3 5 5" xfId="5333"/>
    <cellStyle name="Input 10 3 5 6" xfId="5334"/>
    <cellStyle name="Input 10 3 5 7" xfId="5335"/>
    <cellStyle name="Input 10 3 6" xfId="5336"/>
    <cellStyle name="Input 10 3 6 2" xfId="5337"/>
    <cellStyle name="Input 10 3 6 3" xfId="5338"/>
    <cellStyle name="Input 10 3 6 4" xfId="5339"/>
    <cellStyle name="Input 10 3 6 5" xfId="5340"/>
    <cellStyle name="Input 10 3 6 6" xfId="5341"/>
    <cellStyle name="Input 10 3 6 7" xfId="5342"/>
    <cellStyle name="Input 10 3 7" xfId="5343"/>
    <cellStyle name="Input 10 3 7 2" xfId="5344"/>
    <cellStyle name="Input 10 3 7 3" xfId="5345"/>
    <cellStyle name="Input 10 3 7 4" xfId="5346"/>
    <cellStyle name="Input 10 3 7 5" xfId="5347"/>
    <cellStyle name="Input 10 3 7 6" xfId="5348"/>
    <cellStyle name="Input 10 3 7 7" xfId="5349"/>
    <cellStyle name="Input 10 3 8" xfId="5350"/>
    <cellStyle name="Input 10 3 8 2" xfId="5351"/>
    <cellStyle name="Input 10 3 8 3" xfId="5352"/>
    <cellStyle name="Input 10 3 8 4" xfId="5353"/>
    <cellStyle name="Input 10 3 8 5" xfId="5354"/>
    <cellStyle name="Input 10 3 8 6" xfId="5355"/>
    <cellStyle name="Input 10 3 8 7" xfId="5356"/>
    <cellStyle name="Input 10 3 9" xfId="5357"/>
    <cellStyle name="Input 10 3 9 2" xfId="5358"/>
    <cellStyle name="Input 10 3 9 3" xfId="5359"/>
    <cellStyle name="Input 10 3 9 4" xfId="5360"/>
    <cellStyle name="Input 10 3 9 5" xfId="5361"/>
    <cellStyle name="Input 10 3 9 6" xfId="5362"/>
    <cellStyle name="Input 10 4" xfId="5363"/>
    <cellStyle name="Input 10 4 2" xfId="5364"/>
    <cellStyle name="Input 10 4 3" xfId="5365"/>
    <cellStyle name="Input 10 4 4" xfId="5366"/>
    <cellStyle name="Input 10 4 5" xfId="5367"/>
    <cellStyle name="Input 10 4 6" xfId="5368"/>
    <cellStyle name="Input 10 4 7" xfId="5369"/>
    <cellStyle name="Input 10 5" xfId="5370"/>
    <cellStyle name="Input 10 5 2" xfId="5371"/>
    <cellStyle name="Input 10 5 3" xfId="5372"/>
    <cellStyle name="Input 10 5 4" xfId="5373"/>
    <cellStyle name="Input 10 5 5" xfId="5374"/>
    <cellStyle name="Input 10 5 6" xfId="5375"/>
    <cellStyle name="Input 10 5 7" xfId="5376"/>
    <cellStyle name="Input 10 6" xfId="5377"/>
    <cellStyle name="Input 10 6 2" xfId="5378"/>
    <cellStyle name="Input 10 6 3" xfId="5379"/>
    <cellStyle name="Input 10 6 4" xfId="5380"/>
    <cellStyle name="Input 10 6 5" xfId="5381"/>
    <cellStyle name="Input 10 6 6" xfId="5382"/>
    <cellStyle name="Input 10 6 7" xfId="5383"/>
    <cellStyle name="Input 10 7" xfId="5384"/>
    <cellStyle name="Input 10 7 2" xfId="5385"/>
    <cellStyle name="Input 10 7 3" xfId="5386"/>
    <cellStyle name="Input 10 7 4" xfId="5387"/>
    <cellStyle name="Input 10 7 5" xfId="5388"/>
    <cellStyle name="Input 10 7 6" xfId="5389"/>
    <cellStyle name="Input 10 7 7" xfId="5390"/>
    <cellStyle name="Input 10 8" xfId="5391"/>
    <cellStyle name="Input 10 8 2" xfId="5392"/>
    <cellStyle name="Input 10 8 3" xfId="5393"/>
    <cellStyle name="Input 10 8 4" xfId="5394"/>
    <cellStyle name="Input 10 8 5" xfId="5395"/>
    <cellStyle name="Input 10 8 6" xfId="5396"/>
    <cellStyle name="Input 10 8 7" xfId="5397"/>
    <cellStyle name="Input 10 9" xfId="5398"/>
    <cellStyle name="Input 10 9 2" xfId="5399"/>
    <cellStyle name="Input 10 9 3" xfId="5400"/>
    <cellStyle name="Input 10 9 4" xfId="5401"/>
    <cellStyle name="Input 10 9 5" xfId="5402"/>
    <cellStyle name="Input 10 9 6" xfId="5403"/>
    <cellStyle name="Input 10 9 7" xfId="5404"/>
    <cellStyle name="Input 11" xfId="5405"/>
    <cellStyle name="Input 11 10" xfId="5406"/>
    <cellStyle name="Input 11 10 2" xfId="5407"/>
    <cellStyle name="Input 11 10 3" xfId="5408"/>
    <cellStyle name="Input 11 10 4" xfId="5409"/>
    <cellStyle name="Input 11 10 5" xfId="5410"/>
    <cellStyle name="Input 11 10 6" xfId="5411"/>
    <cellStyle name="Input 11 10 7" xfId="5412"/>
    <cellStyle name="Input 11 11" xfId="5413"/>
    <cellStyle name="Input 11 11 2" xfId="5414"/>
    <cellStyle name="Input 11 11 3" xfId="5415"/>
    <cellStyle name="Input 11 11 4" xfId="5416"/>
    <cellStyle name="Input 11 11 5" xfId="5417"/>
    <cellStyle name="Input 11 11 6" xfId="5418"/>
    <cellStyle name="Input 11 12" xfId="5419"/>
    <cellStyle name="Input 11 12 2" xfId="5420"/>
    <cellStyle name="Input 11 12 3" xfId="5421"/>
    <cellStyle name="Input 11 12 4" xfId="5422"/>
    <cellStyle name="Input 11 12 5" xfId="5423"/>
    <cellStyle name="Input 11 12 6" xfId="5424"/>
    <cellStyle name="Input 11 13" xfId="5425"/>
    <cellStyle name="Input 11 14" xfId="5426"/>
    <cellStyle name="Input 11 15" xfId="5427"/>
    <cellStyle name="Input 11 16" xfId="5428"/>
    <cellStyle name="Input 11 2" xfId="5429"/>
    <cellStyle name="Input 11 2 10" xfId="5430"/>
    <cellStyle name="Input 11 2 10 2" xfId="5431"/>
    <cellStyle name="Input 11 2 10 3" xfId="5432"/>
    <cellStyle name="Input 11 2 10 4" xfId="5433"/>
    <cellStyle name="Input 11 2 10 5" xfId="5434"/>
    <cellStyle name="Input 11 2 10 6" xfId="5435"/>
    <cellStyle name="Input 11 2 11" xfId="5436"/>
    <cellStyle name="Input 11 2 12" xfId="5437"/>
    <cellStyle name="Input 11 2 13" xfId="5438"/>
    <cellStyle name="Input 11 2 14" xfId="5439"/>
    <cellStyle name="Input 11 2 2" xfId="5440"/>
    <cellStyle name="Input 11 2 2 2" xfId="5441"/>
    <cellStyle name="Input 11 2 2 3" xfId="5442"/>
    <cellStyle name="Input 11 2 2 4" xfId="5443"/>
    <cellStyle name="Input 11 2 2 5" xfId="5444"/>
    <cellStyle name="Input 11 2 2 6" xfId="5445"/>
    <cellStyle name="Input 11 2 2 7" xfId="5446"/>
    <cellStyle name="Input 11 2 3" xfId="5447"/>
    <cellStyle name="Input 11 2 3 2" xfId="5448"/>
    <cellStyle name="Input 11 2 3 3" xfId="5449"/>
    <cellStyle name="Input 11 2 3 4" xfId="5450"/>
    <cellStyle name="Input 11 2 3 5" xfId="5451"/>
    <cellStyle name="Input 11 2 3 6" xfId="5452"/>
    <cellStyle name="Input 11 2 3 7" xfId="5453"/>
    <cellStyle name="Input 11 2 4" xfId="5454"/>
    <cellStyle name="Input 11 2 4 2" xfId="5455"/>
    <cellStyle name="Input 11 2 4 3" xfId="5456"/>
    <cellStyle name="Input 11 2 4 4" xfId="5457"/>
    <cellStyle name="Input 11 2 4 5" xfId="5458"/>
    <cellStyle name="Input 11 2 4 6" xfId="5459"/>
    <cellStyle name="Input 11 2 4 7" xfId="5460"/>
    <cellStyle name="Input 11 2 5" xfId="5461"/>
    <cellStyle name="Input 11 2 5 2" xfId="5462"/>
    <cellStyle name="Input 11 2 5 3" xfId="5463"/>
    <cellStyle name="Input 11 2 5 4" xfId="5464"/>
    <cellStyle name="Input 11 2 5 5" xfId="5465"/>
    <cellStyle name="Input 11 2 5 6" xfId="5466"/>
    <cellStyle name="Input 11 2 5 7" xfId="5467"/>
    <cellStyle name="Input 11 2 6" xfId="5468"/>
    <cellStyle name="Input 11 2 6 2" xfId="5469"/>
    <cellStyle name="Input 11 2 6 3" xfId="5470"/>
    <cellStyle name="Input 11 2 6 4" xfId="5471"/>
    <cellStyle name="Input 11 2 6 5" xfId="5472"/>
    <cellStyle name="Input 11 2 6 6" xfId="5473"/>
    <cellStyle name="Input 11 2 6 7" xfId="5474"/>
    <cellStyle name="Input 11 2 7" xfId="5475"/>
    <cellStyle name="Input 11 2 7 2" xfId="5476"/>
    <cellStyle name="Input 11 2 7 3" xfId="5477"/>
    <cellStyle name="Input 11 2 7 4" xfId="5478"/>
    <cellStyle name="Input 11 2 7 5" xfId="5479"/>
    <cellStyle name="Input 11 2 7 6" xfId="5480"/>
    <cellStyle name="Input 11 2 7 7" xfId="5481"/>
    <cellStyle name="Input 11 2 8" xfId="5482"/>
    <cellStyle name="Input 11 2 8 2" xfId="5483"/>
    <cellStyle name="Input 11 2 8 3" xfId="5484"/>
    <cellStyle name="Input 11 2 8 4" xfId="5485"/>
    <cellStyle name="Input 11 2 8 5" xfId="5486"/>
    <cellStyle name="Input 11 2 8 6" xfId="5487"/>
    <cellStyle name="Input 11 2 8 7" xfId="5488"/>
    <cellStyle name="Input 11 2 9" xfId="5489"/>
    <cellStyle name="Input 11 2 9 2" xfId="5490"/>
    <cellStyle name="Input 11 2 9 3" xfId="5491"/>
    <cellStyle name="Input 11 2 9 4" xfId="5492"/>
    <cellStyle name="Input 11 2 9 5" xfId="5493"/>
    <cellStyle name="Input 11 2 9 6" xfId="5494"/>
    <cellStyle name="Input 11 3" xfId="5495"/>
    <cellStyle name="Input 11 3 10" xfId="5496"/>
    <cellStyle name="Input 11 3 10 2" xfId="5497"/>
    <cellStyle name="Input 11 3 10 3" xfId="5498"/>
    <cellStyle name="Input 11 3 10 4" xfId="5499"/>
    <cellStyle name="Input 11 3 10 5" xfId="5500"/>
    <cellStyle name="Input 11 3 10 6" xfId="5501"/>
    <cellStyle name="Input 11 3 11" xfId="5502"/>
    <cellStyle name="Input 11 3 12" xfId="5503"/>
    <cellStyle name="Input 11 3 13" xfId="5504"/>
    <cellStyle name="Input 11 3 14" xfId="5505"/>
    <cellStyle name="Input 11 3 2" xfId="5506"/>
    <cellStyle name="Input 11 3 2 2" xfId="5507"/>
    <cellStyle name="Input 11 3 2 3" xfId="5508"/>
    <cellStyle name="Input 11 3 2 4" xfId="5509"/>
    <cellStyle name="Input 11 3 2 5" xfId="5510"/>
    <cellStyle name="Input 11 3 2 6" xfId="5511"/>
    <cellStyle name="Input 11 3 2 7" xfId="5512"/>
    <cellStyle name="Input 11 3 3" xfId="5513"/>
    <cellStyle name="Input 11 3 3 2" xfId="5514"/>
    <cellStyle name="Input 11 3 3 3" xfId="5515"/>
    <cellStyle name="Input 11 3 3 4" xfId="5516"/>
    <cellStyle name="Input 11 3 3 5" xfId="5517"/>
    <cellStyle name="Input 11 3 3 6" xfId="5518"/>
    <cellStyle name="Input 11 3 3 7" xfId="5519"/>
    <cellStyle name="Input 11 3 4" xfId="5520"/>
    <cellStyle name="Input 11 3 4 2" xfId="5521"/>
    <cellStyle name="Input 11 3 4 3" xfId="5522"/>
    <cellStyle name="Input 11 3 4 4" xfId="5523"/>
    <cellStyle name="Input 11 3 4 5" xfId="5524"/>
    <cellStyle name="Input 11 3 4 6" xfId="5525"/>
    <cellStyle name="Input 11 3 4 7" xfId="5526"/>
    <cellStyle name="Input 11 3 5" xfId="5527"/>
    <cellStyle name="Input 11 3 5 2" xfId="5528"/>
    <cellStyle name="Input 11 3 5 3" xfId="5529"/>
    <cellStyle name="Input 11 3 5 4" xfId="5530"/>
    <cellStyle name="Input 11 3 5 5" xfId="5531"/>
    <cellStyle name="Input 11 3 5 6" xfId="5532"/>
    <cellStyle name="Input 11 3 5 7" xfId="5533"/>
    <cellStyle name="Input 11 3 6" xfId="5534"/>
    <cellStyle name="Input 11 3 6 2" xfId="5535"/>
    <cellStyle name="Input 11 3 6 3" xfId="5536"/>
    <cellStyle name="Input 11 3 6 4" xfId="5537"/>
    <cellStyle name="Input 11 3 6 5" xfId="5538"/>
    <cellStyle name="Input 11 3 6 6" xfId="5539"/>
    <cellStyle name="Input 11 3 6 7" xfId="5540"/>
    <cellStyle name="Input 11 3 7" xfId="5541"/>
    <cellStyle name="Input 11 3 7 2" xfId="5542"/>
    <cellStyle name="Input 11 3 7 3" xfId="5543"/>
    <cellStyle name="Input 11 3 7 4" xfId="5544"/>
    <cellStyle name="Input 11 3 7 5" xfId="5545"/>
    <cellStyle name="Input 11 3 7 6" xfId="5546"/>
    <cellStyle name="Input 11 3 7 7" xfId="5547"/>
    <cellStyle name="Input 11 3 8" xfId="5548"/>
    <cellStyle name="Input 11 3 8 2" xfId="5549"/>
    <cellStyle name="Input 11 3 8 3" xfId="5550"/>
    <cellStyle name="Input 11 3 8 4" xfId="5551"/>
    <cellStyle name="Input 11 3 8 5" xfId="5552"/>
    <cellStyle name="Input 11 3 8 6" xfId="5553"/>
    <cellStyle name="Input 11 3 8 7" xfId="5554"/>
    <cellStyle name="Input 11 3 9" xfId="5555"/>
    <cellStyle name="Input 11 3 9 2" xfId="5556"/>
    <cellStyle name="Input 11 3 9 3" xfId="5557"/>
    <cellStyle name="Input 11 3 9 4" xfId="5558"/>
    <cellStyle name="Input 11 3 9 5" xfId="5559"/>
    <cellStyle name="Input 11 3 9 6" xfId="5560"/>
    <cellStyle name="Input 11 4" xfId="5561"/>
    <cellStyle name="Input 11 4 2" xfId="5562"/>
    <cellStyle name="Input 11 4 3" xfId="5563"/>
    <cellStyle name="Input 11 4 4" xfId="5564"/>
    <cellStyle name="Input 11 4 5" xfId="5565"/>
    <cellStyle name="Input 11 4 6" xfId="5566"/>
    <cellStyle name="Input 11 4 7" xfId="5567"/>
    <cellStyle name="Input 11 5" xfId="5568"/>
    <cellStyle name="Input 11 5 2" xfId="5569"/>
    <cellStyle name="Input 11 5 3" xfId="5570"/>
    <cellStyle name="Input 11 5 4" xfId="5571"/>
    <cellStyle name="Input 11 5 5" xfId="5572"/>
    <cellStyle name="Input 11 5 6" xfId="5573"/>
    <cellStyle name="Input 11 5 7" xfId="5574"/>
    <cellStyle name="Input 11 6" xfId="5575"/>
    <cellStyle name="Input 11 6 2" xfId="5576"/>
    <cellStyle name="Input 11 6 3" xfId="5577"/>
    <cellStyle name="Input 11 6 4" xfId="5578"/>
    <cellStyle name="Input 11 6 5" xfId="5579"/>
    <cellStyle name="Input 11 6 6" xfId="5580"/>
    <cellStyle name="Input 11 6 7" xfId="5581"/>
    <cellStyle name="Input 11 7" xfId="5582"/>
    <cellStyle name="Input 11 7 2" xfId="5583"/>
    <cellStyle name="Input 11 7 3" xfId="5584"/>
    <cellStyle name="Input 11 7 4" xfId="5585"/>
    <cellStyle name="Input 11 7 5" xfId="5586"/>
    <cellStyle name="Input 11 7 6" xfId="5587"/>
    <cellStyle name="Input 11 7 7" xfId="5588"/>
    <cellStyle name="Input 11 8" xfId="5589"/>
    <cellStyle name="Input 11 8 2" xfId="5590"/>
    <cellStyle name="Input 11 8 3" xfId="5591"/>
    <cellStyle name="Input 11 8 4" xfId="5592"/>
    <cellStyle name="Input 11 8 5" xfId="5593"/>
    <cellStyle name="Input 11 8 6" xfId="5594"/>
    <cellStyle name="Input 11 8 7" xfId="5595"/>
    <cellStyle name="Input 11 9" xfId="5596"/>
    <cellStyle name="Input 11 9 2" xfId="5597"/>
    <cellStyle name="Input 11 9 3" xfId="5598"/>
    <cellStyle name="Input 11 9 4" xfId="5599"/>
    <cellStyle name="Input 11 9 5" xfId="5600"/>
    <cellStyle name="Input 11 9 6" xfId="5601"/>
    <cellStyle name="Input 11 9 7" xfId="5602"/>
    <cellStyle name="Input 12" xfId="5603"/>
    <cellStyle name="Input 12 10" xfId="5604"/>
    <cellStyle name="Input 12 10 2" xfId="5605"/>
    <cellStyle name="Input 12 10 3" xfId="5606"/>
    <cellStyle name="Input 12 10 4" xfId="5607"/>
    <cellStyle name="Input 12 10 5" xfId="5608"/>
    <cellStyle name="Input 12 10 6" xfId="5609"/>
    <cellStyle name="Input 12 10 7" xfId="5610"/>
    <cellStyle name="Input 12 11" xfId="5611"/>
    <cellStyle name="Input 12 11 2" xfId="5612"/>
    <cellStyle name="Input 12 11 3" xfId="5613"/>
    <cellStyle name="Input 12 11 4" xfId="5614"/>
    <cellStyle name="Input 12 11 5" xfId="5615"/>
    <cellStyle name="Input 12 11 6" xfId="5616"/>
    <cellStyle name="Input 12 12" xfId="5617"/>
    <cellStyle name="Input 12 12 2" xfId="5618"/>
    <cellStyle name="Input 12 12 3" xfId="5619"/>
    <cellStyle name="Input 12 12 4" xfId="5620"/>
    <cellStyle name="Input 12 12 5" xfId="5621"/>
    <cellStyle name="Input 12 12 6" xfId="5622"/>
    <cellStyle name="Input 12 13" xfId="5623"/>
    <cellStyle name="Input 12 14" xfId="5624"/>
    <cellStyle name="Input 12 15" xfId="5625"/>
    <cellStyle name="Input 12 16" xfId="5626"/>
    <cellStyle name="Input 12 2" xfId="5627"/>
    <cellStyle name="Input 12 2 10" xfId="5628"/>
    <cellStyle name="Input 12 2 10 2" xfId="5629"/>
    <cellStyle name="Input 12 2 10 3" xfId="5630"/>
    <cellStyle name="Input 12 2 10 4" xfId="5631"/>
    <cellStyle name="Input 12 2 10 5" xfId="5632"/>
    <cellStyle name="Input 12 2 10 6" xfId="5633"/>
    <cellStyle name="Input 12 2 11" xfId="5634"/>
    <cellStyle name="Input 12 2 12" xfId="5635"/>
    <cellStyle name="Input 12 2 13" xfId="5636"/>
    <cellStyle name="Input 12 2 14" xfId="5637"/>
    <cellStyle name="Input 12 2 2" xfId="5638"/>
    <cellStyle name="Input 12 2 2 2" xfId="5639"/>
    <cellStyle name="Input 12 2 2 3" xfId="5640"/>
    <cellStyle name="Input 12 2 2 4" xfId="5641"/>
    <cellStyle name="Input 12 2 2 5" xfId="5642"/>
    <cellStyle name="Input 12 2 2 6" xfId="5643"/>
    <cellStyle name="Input 12 2 2 7" xfId="5644"/>
    <cellStyle name="Input 12 2 3" xfId="5645"/>
    <cellStyle name="Input 12 2 3 2" xfId="5646"/>
    <cellStyle name="Input 12 2 3 3" xfId="5647"/>
    <cellStyle name="Input 12 2 3 4" xfId="5648"/>
    <cellStyle name="Input 12 2 3 5" xfId="5649"/>
    <cellStyle name="Input 12 2 3 6" xfId="5650"/>
    <cellStyle name="Input 12 2 3 7" xfId="5651"/>
    <cellStyle name="Input 12 2 4" xfId="5652"/>
    <cellStyle name="Input 12 2 4 2" xfId="5653"/>
    <cellStyle name="Input 12 2 4 3" xfId="5654"/>
    <cellStyle name="Input 12 2 4 4" xfId="5655"/>
    <cellStyle name="Input 12 2 4 5" xfId="5656"/>
    <cellStyle name="Input 12 2 4 6" xfId="5657"/>
    <cellStyle name="Input 12 2 4 7" xfId="5658"/>
    <cellStyle name="Input 12 2 5" xfId="5659"/>
    <cellStyle name="Input 12 2 5 2" xfId="5660"/>
    <cellStyle name="Input 12 2 5 3" xfId="5661"/>
    <cellStyle name="Input 12 2 5 4" xfId="5662"/>
    <cellStyle name="Input 12 2 5 5" xfId="5663"/>
    <cellStyle name="Input 12 2 5 6" xfId="5664"/>
    <cellStyle name="Input 12 2 5 7" xfId="5665"/>
    <cellStyle name="Input 12 2 6" xfId="5666"/>
    <cellStyle name="Input 12 2 6 2" xfId="5667"/>
    <cellStyle name="Input 12 2 6 3" xfId="5668"/>
    <cellStyle name="Input 12 2 6 4" xfId="5669"/>
    <cellStyle name="Input 12 2 6 5" xfId="5670"/>
    <cellStyle name="Input 12 2 6 6" xfId="5671"/>
    <cellStyle name="Input 12 2 6 7" xfId="5672"/>
    <cellStyle name="Input 12 2 7" xfId="5673"/>
    <cellStyle name="Input 12 2 7 2" xfId="5674"/>
    <cellStyle name="Input 12 2 7 3" xfId="5675"/>
    <cellStyle name="Input 12 2 7 4" xfId="5676"/>
    <cellStyle name="Input 12 2 7 5" xfId="5677"/>
    <cellStyle name="Input 12 2 7 6" xfId="5678"/>
    <cellStyle name="Input 12 2 7 7" xfId="5679"/>
    <cellStyle name="Input 12 2 8" xfId="5680"/>
    <cellStyle name="Input 12 2 8 2" xfId="5681"/>
    <cellStyle name="Input 12 2 8 3" xfId="5682"/>
    <cellStyle name="Input 12 2 8 4" xfId="5683"/>
    <cellStyle name="Input 12 2 8 5" xfId="5684"/>
    <cellStyle name="Input 12 2 8 6" xfId="5685"/>
    <cellStyle name="Input 12 2 8 7" xfId="5686"/>
    <cellStyle name="Input 12 2 9" xfId="5687"/>
    <cellStyle name="Input 12 2 9 2" xfId="5688"/>
    <cellStyle name="Input 12 2 9 3" xfId="5689"/>
    <cellStyle name="Input 12 2 9 4" xfId="5690"/>
    <cellStyle name="Input 12 2 9 5" xfId="5691"/>
    <cellStyle name="Input 12 2 9 6" xfId="5692"/>
    <cellStyle name="Input 12 3" xfId="5693"/>
    <cellStyle name="Input 12 3 10" xfId="5694"/>
    <cellStyle name="Input 12 3 10 2" xfId="5695"/>
    <cellStyle name="Input 12 3 10 3" xfId="5696"/>
    <cellStyle name="Input 12 3 10 4" xfId="5697"/>
    <cellStyle name="Input 12 3 10 5" xfId="5698"/>
    <cellStyle name="Input 12 3 10 6" xfId="5699"/>
    <cellStyle name="Input 12 3 11" xfId="5700"/>
    <cellStyle name="Input 12 3 12" xfId="5701"/>
    <cellStyle name="Input 12 3 13" xfId="5702"/>
    <cellStyle name="Input 12 3 14" xfId="5703"/>
    <cellStyle name="Input 12 3 2" xfId="5704"/>
    <cellStyle name="Input 12 3 2 2" xfId="5705"/>
    <cellStyle name="Input 12 3 2 3" xfId="5706"/>
    <cellStyle name="Input 12 3 2 4" xfId="5707"/>
    <cellStyle name="Input 12 3 2 5" xfId="5708"/>
    <cellStyle name="Input 12 3 2 6" xfId="5709"/>
    <cellStyle name="Input 12 3 2 7" xfId="5710"/>
    <cellStyle name="Input 12 3 3" xfId="5711"/>
    <cellStyle name="Input 12 3 3 2" xfId="5712"/>
    <cellStyle name="Input 12 3 3 3" xfId="5713"/>
    <cellStyle name="Input 12 3 3 4" xfId="5714"/>
    <cellStyle name="Input 12 3 3 5" xfId="5715"/>
    <cellStyle name="Input 12 3 3 6" xfId="5716"/>
    <cellStyle name="Input 12 3 3 7" xfId="5717"/>
    <cellStyle name="Input 12 3 4" xfId="5718"/>
    <cellStyle name="Input 12 3 4 2" xfId="5719"/>
    <cellStyle name="Input 12 3 4 3" xfId="5720"/>
    <cellStyle name="Input 12 3 4 4" xfId="5721"/>
    <cellStyle name="Input 12 3 4 5" xfId="5722"/>
    <cellStyle name="Input 12 3 4 6" xfId="5723"/>
    <cellStyle name="Input 12 3 4 7" xfId="5724"/>
    <cellStyle name="Input 12 3 5" xfId="5725"/>
    <cellStyle name="Input 12 3 5 2" xfId="5726"/>
    <cellStyle name="Input 12 3 5 3" xfId="5727"/>
    <cellStyle name="Input 12 3 5 4" xfId="5728"/>
    <cellStyle name="Input 12 3 5 5" xfId="5729"/>
    <cellStyle name="Input 12 3 5 6" xfId="5730"/>
    <cellStyle name="Input 12 3 5 7" xfId="5731"/>
    <cellStyle name="Input 12 3 6" xfId="5732"/>
    <cellStyle name="Input 12 3 6 2" xfId="5733"/>
    <cellStyle name="Input 12 3 6 3" xfId="5734"/>
    <cellStyle name="Input 12 3 6 4" xfId="5735"/>
    <cellStyle name="Input 12 3 6 5" xfId="5736"/>
    <cellStyle name="Input 12 3 6 6" xfId="5737"/>
    <cellStyle name="Input 12 3 6 7" xfId="5738"/>
    <cellStyle name="Input 12 3 7" xfId="5739"/>
    <cellStyle name="Input 12 3 7 2" xfId="5740"/>
    <cellStyle name="Input 12 3 7 3" xfId="5741"/>
    <cellStyle name="Input 12 3 7 4" xfId="5742"/>
    <cellStyle name="Input 12 3 7 5" xfId="5743"/>
    <cellStyle name="Input 12 3 7 6" xfId="5744"/>
    <cellStyle name="Input 12 3 7 7" xfId="5745"/>
    <cellStyle name="Input 12 3 8" xfId="5746"/>
    <cellStyle name="Input 12 3 8 2" xfId="5747"/>
    <cellStyle name="Input 12 3 8 3" xfId="5748"/>
    <cellStyle name="Input 12 3 8 4" xfId="5749"/>
    <cellStyle name="Input 12 3 8 5" xfId="5750"/>
    <cellStyle name="Input 12 3 8 6" xfId="5751"/>
    <cellStyle name="Input 12 3 8 7" xfId="5752"/>
    <cellStyle name="Input 12 3 9" xfId="5753"/>
    <cellStyle name="Input 12 3 9 2" xfId="5754"/>
    <cellStyle name="Input 12 3 9 3" xfId="5755"/>
    <cellStyle name="Input 12 3 9 4" xfId="5756"/>
    <cellStyle name="Input 12 3 9 5" xfId="5757"/>
    <cellStyle name="Input 12 3 9 6" xfId="5758"/>
    <cellStyle name="Input 12 4" xfId="5759"/>
    <cellStyle name="Input 12 4 2" xfId="5760"/>
    <cellStyle name="Input 12 4 3" xfId="5761"/>
    <cellStyle name="Input 12 4 4" xfId="5762"/>
    <cellStyle name="Input 12 4 5" xfId="5763"/>
    <cellStyle name="Input 12 4 6" xfId="5764"/>
    <cellStyle name="Input 12 4 7" xfId="5765"/>
    <cellStyle name="Input 12 5" xfId="5766"/>
    <cellStyle name="Input 12 5 2" xfId="5767"/>
    <cellStyle name="Input 12 5 3" xfId="5768"/>
    <cellStyle name="Input 12 5 4" xfId="5769"/>
    <cellStyle name="Input 12 5 5" xfId="5770"/>
    <cellStyle name="Input 12 5 6" xfId="5771"/>
    <cellStyle name="Input 12 5 7" xfId="5772"/>
    <cellStyle name="Input 12 6" xfId="5773"/>
    <cellStyle name="Input 12 6 2" xfId="5774"/>
    <cellStyle name="Input 12 6 3" xfId="5775"/>
    <cellStyle name="Input 12 6 4" xfId="5776"/>
    <cellStyle name="Input 12 6 5" xfId="5777"/>
    <cellStyle name="Input 12 6 6" xfId="5778"/>
    <cellStyle name="Input 12 6 7" xfId="5779"/>
    <cellStyle name="Input 12 7" xfId="5780"/>
    <cellStyle name="Input 12 7 2" xfId="5781"/>
    <cellStyle name="Input 12 7 3" xfId="5782"/>
    <cellStyle name="Input 12 7 4" xfId="5783"/>
    <cellStyle name="Input 12 7 5" xfId="5784"/>
    <cellStyle name="Input 12 7 6" xfId="5785"/>
    <cellStyle name="Input 12 7 7" xfId="5786"/>
    <cellStyle name="Input 12 8" xfId="5787"/>
    <cellStyle name="Input 12 8 2" xfId="5788"/>
    <cellStyle name="Input 12 8 3" xfId="5789"/>
    <cellStyle name="Input 12 8 4" xfId="5790"/>
    <cellStyle name="Input 12 8 5" xfId="5791"/>
    <cellStyle name="Input 12 8 6" xfId="5792"/>
    <cellStyle name="Input 12 8 7" xfId="5793"/>
    <cellStyle name="Input 12 9" xfId="5794"/>
    <cellStyle name="Input 12 9 2" xfId="5795"/>
    <cellStyle name="Input 12 9 3" xfId="5796"/>
    <cellStyle name="Input 12 9 4" xfId="5797"/>
    <cellStyle name="Input 12 9 5" xfId="5798"/>
    <cellStyle name="Input 12 9 6" xfId="5799"/>
    <cellStyle name="Input 12 9 7" xfId="5800"/>
    <cellStyle name="Input 13" xfId="5801"/>
    <cellStyle name="Input 13 10" xfId="5802"/>
    <cellStyle name="Input 13 10 2" xfId="5803"/>
    <cellStyle name="Input 13 10 3" xfId="5804"/>
    <cellStyle name="Input 13 10 4" xfId="5805"/>
    <cellStyle name="Input 13 10 5" xfId="5806"/>
    <cellStyle name="Input 13 10 6" xfId="5807"/>
    <cellStyle name="Input 13 10 7" xfId="5808"/>
    <cellStyle name="Input 13 11" xfId="5809"/>
    <cellStyle name="Input 13 11 2" xfId="5810"/>
    <cellStyle name="Input 13 11 3" xfId="5811"/>
    <cellStyle name="Input 13 11 4" xfId="5812"/>
    <cellStyle name="Input 13 11 5" xfId="5813"/>
    <cellStyle name="Input 13 11 6" xfId="5814"/>
    <cellStyle name="Input 13 12" xfId="5815"/>
    <cellStyle name="Input 13 12 2" xfId="5816"/>
    <cellStyle name="Input 13 12 3" xfId="5817"/>
    <cellStyle name="Input 13 12 4" xfId="5818"/>
    <cellStyle name="Input 13 12 5" xfId="5819"/>
    <cellStyle name="Input 13 12 6" xfId="5820"/>
    <cellStyle name="Input 13 13" xfId="5821"/>
    <cellStyle name="Input 13 14" xfId="5822"/>
    <cellStyle name="Input 13 15" xfId="5823"/>
    <cellStyle name="Input 13 16" xfId="5824"/>
    <cellStyle name="Input 13 2" xfId="5825"/>
    <cellStyle name="Input 13 2 10" xfId="5826"/>
    <cellStyle name="Input 13 2 10 2" xfId="5827"/>
    <cellStyle name="Input 13 2 10 3" xfId="5828"/>
    <cellStyle name="Input 13 2 10 4" xfId="5829"/>
    <cellStyle name="Input 13 2 10 5" xfId="5830"/>
    <cellStyle name="Input 13 2 10 6" xfId="5831"/>
    <cellStyle name="Input 13 2 11" xfId="5832"/>
    <cellStyle name="Input 13 2 12" xfId="5833"/>
    <cellStyle name="Input 13 2 13" xfId="5834"/>
    <cellStyle name="Input 13 2 14" xfId="5835"/>
    <cellStyle name="Input 13 2 2" xfId="5836"/>
    <cellStyle name="Input 13 2 2 2" xfId="5837"/>
    <cellStyle name="Input 13 2 2 3" xfId="5838"/>
    <cellStyle name="Input 13 2 2 4" xfId="5839"/>
    <cellStyle name="Input 13 2 2 5" xfId="5840"/>
    <cellStyle name="Input 13 2 2 6" xfId="5841"/>
    <cellStyle name="Input 13 2 2 7" xfId="5842"/>
    <cellStyle name="Input 13 2 3" xfId="5843"/>
    <cellStyle name="Input 13 2 3 2" xfId="5844"/>
    <cellStyle name="Input 13 2 3 3" xfId="5845"/>
    <cellStyle name="Input 13 2 3 4" xfId="5846"/>
    <cellStyle name="Input 13 2 3 5" xfId="5847"/>
    <cellStyle name="Input 13 2 3 6" xfId="5848"/>
    <cellStyle name="Input 13 2 3 7" xfId="5849"/>
    <cellStyle name="Input 13 2 4" xfId="5850"/>
    <cellStyle name="Input 13 2 4 2" xfId="5851"/>
    <cellStyle name="Input 13 2 4 3" xfId="5852"/>
    <cellStyle name="Input 13 2 4 4" xfId="5853"/>
    <cellStyle name="Input 13 2 4 5" xfId="5854"/>
    <cellStyle name="Input 13 2 4 6" xfId="5855"/>
    <cellStyle name="Input 13 2 4 7" xfId="5856"/>
    <cellStyle name="Input 13 2 5" xfId="5857"/>
    <cellStyle name="Input 13 2 5 2" xfId="5858"/>
    <cellStyle name="Input 13 2 5 3" xfId="5859"/>
    <cellStyle name="Input 13 2 5 4" xfId="5860"/>
    <cellStyle name="Input 13 2 5 5" xfId="5861"/>
    <cellStyle name="Input 13 2 5 6" xfId="5862"/>
    <cellStyle name="Input 13 2 5 7" xfId="5863"/>
    <cellStyle name="Input 13 2 6" xfId="5864"/>
    <cellStyle name="Input 13 2 6 2" xfId="5865"/>
    <cellStyle name="Input 13 2 6 3" xfId="5866"/>
    <cellStyle name="Input 13 2 6 4" xfId="5867"/>
    <cellStyle name="Input 13 2 6 5" xfId="5868"/>
    <cellStyle name="Input 13 2 6 6" xfId="5869"/>
    <cellStyle name="Input 13 2 6 7" xfId="5870"/>
    <cellStyle name="Input 13 2 7" xfId="5871"/>
    <cellStyle name="Input 13 2 7 2" xfId="5872"/>
    <cellStyle name="Input 13 2 7 3" xfId="5873"/>
    <cellStyle name="Input 13 2 7 4" xfId="5874"/>
    <cellStyle name="Input 13 2 7 5" xfId="5875"/>
    <cellStyle name="Input 13 2 7 6" xfId="5876"/>
    <cellStyle name="Input 13 2 7 7" xfId="5877"/>
    <cellStyle name="Input 13 2 8" xfId="5878"/>
    <cellStyle name="Input 13 2 8 2" xfId="5879"/>
    <cellStyle name="Input 13 2 8 3" xfId="5880"/>
    <cellStyle name="Input 13 2 8 4" xfId="5881"/>
    <cellStyle name="Input 13 2 8 5" xfId="5882"/>
    <cellStyle name="Input 13 2 8 6" xfId="5883"/>
    <cellStyle name="Input 13 2 8 7" xfId="5884"/>
    <cellStyle name="Input 13 2 9" xfId="5885"/>
    <cellStyle name="Input 13 2 9 2" xfId="5886"/>
    <cellStyle name="Input 13 2 9 3" xfId="5887"/>
    <cellStyle name="Input 13 2 9 4" xfId="5888"/>
    <cellStyle name="Input 13 2 9 5" xfId="5889"/>
    <cellStyle name="Input 13 2 9 6" xfId="5890"/>
    <cellStyle name="Input 13 3" xfId="5891"/>
    <cellStyle name="Input 13 3 10" xfId="5892"/>
    <cellStyle name="Input 13 3 10 2" xfId="5893"/>
    <cellStyle name="Input 13 3 10 3" xfId="5894"/>
    <cellStyle name="Input 13 3 10 4" xfId="5895"/>
    <cellStyle name="Input 13 3 10 5" xfId="5896"/>
    <cellStyle name="Input 13 3 10 6" xfId="5897"/>
    <cellStyle name="Input 13 3 11" xfId="5898"/>
    <cellStyle name="Input 13 3 12" xfId="5899"/>
    <cellStyle name="Input 13 3 13" xfId="5900"/>
    <cellStyle name="Input 13 3 14" xfId="5901"/>
    <cellStyle name="Input 13 3 2" xfId="5902"/>
    <cellStyle name="Input 13 3 2 2" xfId="5903"/>
    <cellStyle name="Input 13 3 2 3" xfId="5904"/>
    <cellStyle name="Input 13 3 2 4" xfId="5905"/>
    <cellStyle name="Input 13 3 2 5" xfId="5906"/>
    <cellStyle name="Input 13 3 2 6" xfId="5907"/>
    <cellStyle name="Input 13 3 2 7" xfId="5908"/>
    <cellStyle name="Input 13 3 3" xfId="5909"/>
    <cellStyle name="Input 13 3 3 2" xfId="5910"/>
    <cellStyle name="Input 13 3 3 3" xfId="5911"/>
    <cellStyle name="Input 13 3 3 4" xfId="5912"/>
    <cellStyle name="Input 13 3 3 5" xfId="5913"/>
    <cellStyle name="Input 13 3 3 6" xfId="5914"/>
    <cellStyle name="Input 13 3 3 7" xfId="5915"/>
    <cellStyle name="Input 13 3 4" xfId="5916"/>
    <cellStyle name="Input 13 3 4 2" xfId="5917"/>
    <cellStyle name="Input 13 3 4 3" xfId="5918"/>
    <cellStyle name="Input 13 3 4 4" xfId="5919"/>
    <cellStyle name="Input 13 3 4 5" xfId="5920"/>
    <cellStyle name="Input 13 3 4 6" xfId="5921"/>
    <cellStyle name="Input 13 3 4 7" xfId="5922"/>
    <cellStyle name="Input 13 3 5" xfId="5923"/>
    <cellStyle name="Input 13 3 5 2" xfId="5924"/>
    <cellStyle name="Input 13 3 5 3" xfId="5925"/>
    <cellStyle name="Input 13 3 5 4" xfId="5926"/>
    <cellStyle name="Input 13 3 5 5" xfId="5927"/>
    <cellStyle name="Input 13 3 5 6" xfId="5928"/>
    <cellStyle name="Input 13 3 5 7" xfId="5929"/>
    <cellStyle name="Input 13 3 6" xfId="5930"/>
    <cellStyle name="Input 13 3 6 2" xfId="5931"/>
    <cellStyle name="Input 13 3 6 3" xfId="5932"/>
    <cellStyle name="Input 13 3 6 4" xfId="5933"/>
    <cellStyle name="Input 13 3 6 5" xfId="5934"/>
    <cellStyle name="Input 13 3 6 6" xfId="5935"/>
    <cellStyle name="Input 13 3 6 7" xfId="5936"/>
    <cellStyle name="Input 13 3 7" xfId="5937"/>
    <cellStyle name="Input 13 3 7 2" xfId="5938"/>
    <cellStyle name="Input 13 3 7 3" xfId="5939"/>
    <cellStyle name="Input 13 3 7 4" xfId="5940"/>
    <cellStyle name="Input 13 3 7 5" xfId="5941"/>
    <cellStyle name="Input 13 3 7 6" xfId="5942"/>
    <cellStyle name="Input 13 3 7 7" xfId="5943"/>
    <cellStyle name="Input 13 3 8" xfId="5944"/>
    <cellStyle name="Input 13 3 8 2" xfId="5945"/>
    <cellStyle name="Input 13 3 8 3" xfId="5946"/>
    <cellStyle name="Input 13 3 8 4" xfId="5947"/>
    <cellStyle name="Input 13 3 8 5" xfId="5948"/>
    <cellStyle name="Input 13 3 8 6" xfId="5949"/>
    <cellStyle name="Input 13 3 8 7" xfId="5950"/>
    <cellStyle name="Input 13 3 9" xfId="5951"/>
    <cellStyle name="Input 13 3 9 2" xfId="5952"/>
    <cellStyle name="Input 13 3 9 3" xfId="5953"/>
    <cellStyle name="Input 13 3 9 4" xfId="5954"/>
    <cellStyle name="Input 13 3 9 5" xfId="5955"/>
    <cellStyle name="Input 13 3 9 6" xfId="5956"/>
    <cellStyle name="Input 13 4" xfId="5957"/>
    <cellStyle name="Input 13 4 2" xfId="5958"/>
    <cellStyle name="Input 13 4 3" xfId="5959"/>
    <cellStyle name="Input 13 4 4" xfId="5960"/>
    <cellStyle name="Input 13 4 5" xfId="5961"/>
    <cellStyle name="Input 13 4 6" xfId="5962"/>
    <cellStyle name="Input 13 4 7" xfId="5963"/>
    <cellStyle name="Input 13 5" xfId="5964"/>
    <cellStyle name="Input 13 5 2" xfId="5965"/>
    <cellStyle name="Input 13 5 3" xfId="5966"/>
    <cellStyle name="Input 13 5 4" xfId="5967"/>
    <cellStyle name="Input 13 5 5" xfId="5968"/>
    <cellStyle name="Input 13 5 6" xfId="5969"/>
    <cellStyle name="Input 13 5 7" xfId="5970"/>
    <cellStyle name="Input 13 6" xfId="5971"/>
    <cellStyle name="Input 13 6 2" xfId="5972"/>
    <cellStyle name="Input 13 6 3" xfId="5973"/>
    <cellStyle name="Input 13 6 4" xfId="5974"/>
    <cellStyle name="Input 13 6 5" xfId="5975"/>
    <cellStyle name="Input 13 6 6" xfId="5976"/>
    <cellStyle name="Input 13 6 7" xfId="5977"/>
    <cellStyle name="Input 13 7" xfId="5978"/>
    <cellStyle name="Input 13 7 2" xfId="5979"/>
    <cellStyle name="Input 13 7 3" xfId="5980"/>
    <cellStyle name="Input 13 7 4" xfId="5981"/>
    <cellStyle name="Input 13 7 5" xfId="5982"/>
    <cellStyle name="Input 13 7 6" xfId="5983"/>
    <cellStyle name="Input 13 7 7" xfId="5984"/>
    <cellStyle name="Input 13 8" xfId="5985"/>
    <cellStyle name="Input 13 8 2" xfId="5986"/>
    <cellStyle name="Input 13 8 3" xfId="5987"/>
    <cellStyle name="Input 13 8 4" xfId="5988"/>
    <cellStyle name="Input 13 8 5" xfId="5989"/>
    <cellStyle name="Input 13 8 6" xfId="5990"/>
    <cellStyle name="Input 13 8 7" xfId="5991"/>
    <cellStyle name="Input 13 9" xfId="5992"/>
    <cellStyle name="Input 13 9 2" xfId="5993"/>
    <cellStyle name="Input 13 9 3" xfId="5994"/>
    <cellStyle name="Input 13 9 4" xfId="5995"/>
    <cellStyle name="Input 13 9 5" xfId="5996"/>
    <cellStyle name="Input 13 9 6" xfId="5997"/>
    <cellStyle name="Input 13 9 7" xfId="5998"/>
    <cellStyle name="Input 14" xfId="5999"/>
    <cellStyle name="Input 14 10" xfId="6000"/>
    <cellStyle name="Input 14 10 2" xfId="6001"/>
    <cellStyle name="Input 14 10 3" xfId="6002"/>
    <cellStyle name="Input 14 10 4" xfId="6003"/>
    <cellStyle name="Input 14 10 5" xfId="6004"/>
    <cellStyle name="Input 14 10 6" xfId="6005"/>
    <cellStyle name="Input 14 10 7" xfId="6006"/>
    <cellStyle name="Input 14 11" xfId="6007"/>
    <cellStyle name="Input 14 11 2" xfId="6008"/>
    <cellStyle name="Input 14 11 3" xfId="6009"/>
    <cellStyle name="Input 14 11 4" xfId="6010"/>
    <cellStyle name="Input 14 11 5" xfId="6011"/>
    <cellStyle name="Input 14 11 6" xfId="6012"/>
    <cellStyle name="Input 14 12" xfId="6013"/>
    <cellStyle name="Input 14 12 2" xfId="6014"/>
    <cellStyle name="Input 14 12 3" xfId="6015"/>
    <cellStyle name="Input 14 12 4" xfId="6016"/>
    <cellStyle name="Input 14 12 5" xfId="6017"/>
    <cellStyle name="Input 14 12 6" xfId="6018"/>
    <cellStyle name="Input 14 13" xfId="6019"/>
    <cellStyle name="Input 14 14" xfId="6020"/>
    <cellStyle name="Input 14 15" xfId="6021"/>
    <cellStyle name="Input 14 16" xfId="6022"/>
    <cellStyle name="Input 14 2" xfId="6023"/>
    <cellStyle name="Input 14 2 10" xfId="6024"/>
    <cellStyle name="Input 14 2 10 2" xfId="6025"/>
    <cellStyle name="Input 14 2 10 3" xfId="6026"/>
    <cellStyle name="Input 14 2 10 4" xfId="6027"/>
    <cellStyle name="Input 14 2 10 5" xfId="6028"/>
    <cellStyle name="Input 14 2 10 6" xfId="6029"/>
    <cellStyle name="Input 14 2 11" xfId="6030"/>
    <cellStyle name="Input 14 2 12" xfId="6031"/>
    <cellStyle name="Input 14 2 13" xfId="6032"/>
    <cellStyle name="Input 14 2 14" xfId="6033"/>
    <cellStyle name="Input 14 2 2" xfId="6034"/>
    <cellStyle name="Input 14 2 2 2" xfId="6035"/>
    <cellStyle name="Input 14 2 2 3" xfId="6036"/>
    <cellStyle name="Input 14 2 2 4" xfId="6037"/>
    <cellStyle name="Input 14 2 2 5" xfId="6038"/>
    <cellStyle name="Input 14 2 2 6" xfId="6039"/>
    <cellStyle name="Input 14 2 2 7" xfId="6040"/>
    <cellStyle name="Input 14 2 3" xfId="6041"/>
    <cellStyle name="Input 14 2 3 2" xfId="6042"/>
    <cellStyle name="Input 14 2 3 3" xfId="6043"/>
    <cellStyle name="Input 14 2 3 4" xfId="6044"/>
    <cellStyle name="Input 14 2 3 5" xfId="6045"/>
    <cellStyle name="Input 14 2 3 6" xfId="6046"/>
    <cellStyle name="Input 14 2 3 7" xfId="6047"/>
    <cellStyle name="Input 14 2 4" xfId="6048"/>
    <cellStyle name="Input 14 2 4 2" xfId="6049"/>
    <cellStyle name="Input 14 2 4 3" xfId="6050"/>
    <cellStyle name="Input 14 2 4 4" xfId="6051"/>
    <cellStyle name="Input 14 2 4 5" xfId="6052"/>
    <cellStyle name="Input 14 2 4 6" xfId="6053"/>
    <cellStyle name="Input 14 2 4 7" xfId="6054"/>
    <cellStyle name="Input 14 2 5" xfId="6055"/>
    <cellStyle name="Input 14 2 5 2" xfId="6056"/>
    <cellStyle name="Input 14 2 5 3" xfId="6057"/>
    <cellStyle name="Input 14 2 5 4" xfId="6058"/>
    <cellStyle name="Input 14 2 5 5" xfId="6059"/>
    <cellStyle name="Input 14 2 5 6" xfId="6060"/>
    <cellStyle name="Input 14 2 5 7" xfId="6061"/>
    <cellStyle name="Input 14 2 6" xfId="6062"/>
    <cellStyle name="Input 14 2 6 2" xfId="6063"/>
    <cellStyle name="Input 14 2 6 3" xfId="6064"/>
    <cellStyle name="Input 14 2 6 4" xfId="6065"/>
    <cellStyle name="Input 14 2 6 5" xfId="6066"/>
    <cellStyle name="Input 14 2 6 6" xfId="6067"/>
    <cellStyle name="Input 14 2 6 7" xfId="6068"/>
    <cellStyle name="Input 14 2 7" xfId="6069"/>
    <cellStyle name="Input 14 2 7 2" xfId="6070"/>
    <cellStyle name="Input 14 2 7 3" xfId="6071"/>
    <cellStyle name="Input 14 2 7 4" xfId="6072"/>
    <cellStyle name="Input 14 2 7 5" xfId="6073"/>
    <cellStyle name="Input 14 2 7 6" xfId="6074"/>
    <cellStyle name="Input 14 2 7 7" xfId="6075"/>
    <cellStyle name="Input 14 2 8" xfId="6076"/>
    <cellStyle name="Input 14 2 8 2" xfId="6077"/>
    <cellStyle name="Input 14 2 8 3" xfId="6078"/>
    <cellStyle name="Input 14 2 8 4" xfId="6079"/>
    <cellStyle name="Input 14 2 8 5" xfId="6080"/>
    <cellStyle name="Input 14 2 8 6" xfId="6081"/>
    <cellStyle name="Input 14 2 8 7" xfId="6082"/>
    <cellStyle name="Input 14 2 9" xfId="6083"/>
    <cellStyle name="Input 14 2 9 2" xfId="6084"/>
    <cellStyle name="Input 14 2 9 3" xfId="6085"/>
    <cellStyle name="Input 14 2 9 4" xfId="6086"/>
    <cellStyle name="Input 14 2 9 5" xfId="6087"/>
    <cellStyle name="Input 14 2 9 6" xfId="6088"/>
    <cellStyle name="Input 14 3" xfId="6089"/>
    <cellStyle name="Input 14 3 10" xfId="6090"/>
    <cellStyle name="Input 14 3 10 2" xfId="6091"/>
    <cellStyle name="Input 14 3 10 3" xfId="6092"/>
    <cellStyle name="Input 14 3 10 4" xfId="6093"/>
    <cellStyle name="Input 14 3 10 5" xfId="6094"/>
    <cellStyle name="Input 14 3 10 6" xfId="6095"/>
    <cellStyle name="Input 14 3 11" xfId="6096"/>
    <cellStyle name="Input 14 3 12" xfId="6097"/>
    <cellStyle name="Input 14 3 13" xfId="6098"/>
    <cellStyle name="Input 14 3 14" xfId="6099"/>
    <cellStyle name="Input 14 3 2" xfId="6100"/>
    <cellStyle name="Input 14 3 2 2" xfId="6101"/>
    <cellStyle name="Input 14 3 2 3" xfId="6102"/>
    <cellStyle name="Input 14 3 2 4" xfId="6103"/>
    <cellStyle name="Input 14 3 2 5" xfId="6104"/>
    <cellStyle name="Input 14 3 2 6" xfId="6105"/>
    <cellStyle name="Input 14 3 2 7" xfId="6106"/>
    <cellStyle name="Input 14 3 3" xfId="6107"/>
    <cellStyle name="Input 14 3 3 2" xfId="6108"/>
    <cellStyle name="Input 14 3 3 3" xfId="6109"/>
    <cellStyle name="Input 14 3 3 4" xfId="6110"/>
    <cellStyle name="Input 14 3 3 5" xfId="6111"/>
    <cellStyle name="Input 14 3 3 6" xfId="6112"/>
    <cellStyle name="Input 14 3 3 7" xfId="6113"/>
    <cellStyle name="Input 14 3 4" xfId="6114"/>
    <cellStyle name="Input 14 3 4 2" xfId="6115"/>
    <cellStyle name="Input 14 3 4 3" xfId="6116"/>
    <cellStyle name="Input 14 3 4 4" xfId="6117"/>
    <cellStyle name="Input 14 3 4 5" xfId="6118"/>
    <cellStyle name="Input 14 3 4 6" xfId="6119"/>
    <cellStyle name="Input 14 3 4 7" xfId="6120"/>
    <cellStyle name="Input 14 3 5" xfId="6121"/>
    <cellStyle name="Input 14 3 5 2" xfId="6122"/>
    <cellStyle name="Input 14 3 5 3" xfId="6123"/>
    <cellStyle name="Input 14 3 5 4" xfId="6124"/>
    <cellStyle name="Input 14 3 5 5" xfId="6125"/>
    <cellStyle name="Input 14 3 5 6" xfId="6126"/>
    <cellStyle name="Input 14 3 5 7" xfId="6127"/>
    <cellStyle name="Input 14 3 6" xfId="6128"/>
    <cellStyle name="Input 14 3 6 2" xfId="6129"/>
    <cellStyle name="Input 14 3 6 3" xfId="6130"/>
    <cellStyle name="Input 14 3 6 4" xfId="6131"/>
    <cellStyle name="Input 14 3 6 5" xfId="6132"/>
    <cellStyle name="Input 14 3 6 6" xfId="6133"/>
    <cellStyle name="Input 14 3 6 7" xfId="6134"/>
    <cellStyle name="Input 14 3 7" xfId="6135"/>
    <cellStyle name="Input 14 3 7 2" xfId="6136"/>
    <cellStyle name="Input 14 3 7 3" xfId="6137"/>
    <cellStyle name="Input 14 3 7 4" xfId="6138"/>
    <cellStyle name="Input 14 3 7 5" xfId="6139"/>
    <cellStyle name="Input 14 3 7 6" xfId="6140"/>
    <cellStyle name="Input 14 3 7 7" xfId="6141"/>
    <cellStyle name="Input 14 3 8" xfId="6142"/>
    <cellStyle name="Input 14 3 8 2" xfId="6143"/>
    <cellStyle name="Input 14 3 8 3" xfId="6144"/>
    <cellStyle name="Input 14 3 8 4" xfId="6145"/>
    <cellStyle name="Input 14 3 8 5" xfId="6146"/>
    <cellStyle name="Input 14 3 8 6" xfId="6147"/>
    <cellStyle name="Input 14 3 8 7" xfId="6148"/>
    <cellStyle name="Input 14 3 9" xfId="6149"/>
    <cellStyle name="Input 14 3 9 2" xfId="6150"/>
    <cellStyle name="Input 14 3 9 3" xfId="6151"/>
    <cellStyle name="Input 14 3 9 4" xfId="6152"/>
    <cellStyle name="Input 14 3 9 5" xfId="6153"/>
    <cellStyle name="Input 14 3 9 6" xfId="6154"/>
    <cellStyle name="Input 14 4" xfId="6155"/>
    <cellStyle name="Input 14 4 2" xfId="6156"/>
    <cellStyle name="Input 14 4 3" xfId="6157"/>
    <cellStyle name="Input 14 4 4" xfId="6158"/>
    <cellStyle name="Input 14 4 5" xfId="6159"/>
    <cellStyle name="Input 14 4 6" xfId="6160"/>
    <cellStyle name="Input 14 4 7" xfId="6161"/>
    <cellStyle name="Input 14 5" xfId="6162"/>
    <cellStyle name="Input 14 5 2" xfId="6163"/>
    <cellStyle name="Input 14 5 3" xfId="6164"/>
    <cellStyle name="Input 14 5 4" xfId="6165"/>
    <cellStyle name="Input 14 5 5" xfId="6166"/>
    <cellStyle name="Input 14 5 6" xfId="6167"/>
    <cellStyle name="Input 14 5 7" xfId="6168"/>
    <cellStyle name="Input 14 6" xfId="6169"/>
    <cellStyle name="Input 14 6 2" xfId="6170"/>
    <cellStyle name="Input 14 6 3" xfId="6171"/>
    <cellStyle name="Input 14 6 4" xfId="6172"/>
    <cellStyle name="Input 14 6 5" xfId="6173"/>
    <cellStyle name="Input 14 6 6" xfId="6174"/>
    <cellStyle name="Input 14 6 7" xfId="6175"/>
    <cellStyle name="Input 14 7" xfId="6176"/>
    <cellStyle name="Input 14 7 2" xfId="6177"/>
    <cellStyle name="Input 14 7 3" xfId="6178"/>
    <cellStyle name="Input 14 7 4" xfId="6179"/>
    <cellStyle name="Input 14 7 5" xfId="6180"/>
    <cellStyle name="Input 14 7 6" xfId="6181"/>
    <cellStyle name="Input 14 7 7" xfId="6182"/>
    <cellStyle name="Input 14 8" xfId="6183"/>
    <cellStyle name="Input 14 8 2" xfId="6184"/>
    <cellStyle name="Input 14 8 3" xfId="6185"/>
    <cellStyle name="Input 14 8 4" xfId="6186"/>
    <cellStyle name="Input 14 8 5" xfId="6187"/>
    <cellStyle name="Input 14 8 6" xfId="6188"/>
    <cellStyle name="Input 14 8 7" xfId="6189"/>
    <cellStyle name="Input 14 9" xfId="6190"/>
    <cellStyle name="Input 14 9 2" xfId="6191"/>
    <cellStyle name="Input 14 9 3" xfId="6192"/>
    <cellStyle name="Input 14 9 4" xfId="6193"/>
    <cellStyle name="Input 14 9 5" xfId="6194"/>
    <cellStyle name="Input 14 9 6" xfId="6195"/>
    <cellStyle name="Input 14 9 7" xfId="6196"/>
    <cellStyle name="Input 15" xfId="6197"/>
    <cellStyle name="Input 15 10" xfId="6198"/>
    <cellStyle name="Input 15 10 2" xfId="6199"/>
    <cellStyle name="Input 15 10 3" xfId="6200"/>
    <cellStyle name="Input 15 10 4" xfId="6201"/>
    <cellStyle name="Input 15 10 5" xfId="6202"/>
    <cellStyle name="Input 15 10 6" xfId="6203"/>
    <cellStyle name="Input 15 10 7" xfId="6204"/>
    <cellStyle name="Input 15 11" xfId="6205"/>
    <cellStyle name="Input 15 11 2" xfId="6206"/>
    <cellStyle name="Input 15 11 3" xfId="6207"/>
    <cellStyle name="Input 15 11 4" xfId="6208"/>
    <cellStyle name="Input 15 11 5" xfId="6209"/>
    <cellStyle name="Input 15 11 6" xfId="6210"/>
    <cellStyle name="Input 15 12" xfId="6211"/>
    <cellStyle name="Input 15 12 2" xfId="6212"/>
    <cellStyle name="Input 15 12 3" xfId="6213"/>
    <cellStyle name="Input 15 12 4" xfId="6214"/>
    <cellStyle name="Input 15 12 5" xfId="6215"/>
    <cellStyle name="Input 15 12 6" xfId="6216"/>
    <cellStyle name="Input 15 13" xfId="6217"/>
    <cellStyle name="Input 15 14" xfId="6218"/>
    <cellStyle name="Input 15 15" xfId="6219"/>
    <cellStyle name="Input 15 16" xfId="6220"/>
    <cellStyle name="Input 15 2" xfId="6221"/>
    <cellStyle name="Input 15 2 10" xfId="6222"/>
    <cellStyle name="Input 15 2 10 2" xfId="6223"/>
    <cellStyle name="Input 15 2 10 3" xfId="6224"/>
    <cellStyle name="Input 15 2 10 4" xfId="6225"/>
    <cellStyle name="Input 15 2 10 5" xfId="6226"/>
    <cellStyle name="Input 15 2 10 6" xfId="6227"/>
    <cellStyle name="Input 15 2 11" xfId="6228"/>
    <cellStyle name="Input 15 2 12" xfId="6229"/>
    <cellStyle name="Input 15 2 13" xfId="6230"/>
    <cellStyle name="Input 15 2 14" xfId="6231"/>
    <cellStyle name="Input 15 2 2" xfId="6232"/>
    <cellStyle name="Input 15 2 2 2" xfId="6233"/>
    <cellStyle name="Input 15 2 2 3" xfId="6234"/>
    <cellStyle name="Input 15 2 2 4" xfId="6235"/>
    <cellStyle name="Input 15 2 2 5" xfId="6236"/>
    <cellStyle name="Input 15 2 2 6" xfId="6237"/>
    <cellStyle name="Input 15 2 2 7" xfId="6238"/>
    <cellStyle name="Input 15 2 3" xfId="6239"/>
    <cellStyle name="Input 15 2 3 2" xfId="6240"/>
    <cellStyle name="Input 15 2 3 3" xfId="6241"/>
    <cellStyle name="Input 15 2 3 4" xfId="6242"/>
    <cellStyle name="Input 15 2 3 5" xfId="6243"/>
    <cellStyle name="Input 15 2 3 6" xfId="6244"/>
    <cellStyle name="Input 15 2 3 7" xfId="6245"/>
    <cellStyle name="Input 15 2 4" xfId="6246"/>
    <cellStyle name="Input 15 2 4 2" xfId="6247"/>
    <cellStyle name="Input 15 2 4 3" xfId="6248"/>
    <cellStyle name="Input 15 2 4 4" xfId="6249"/>
    <cellStyle name="Input 15 2 4 5" xfId="6250"/>
    <cellStyle name="Input 15 2 4 6" xfId="6251"/>
    <cellStyle name="Input 15 2 4 7" xfId="6252"/>
    <cellStyle name="Input 15 2 5" xfId="6253"/>
    <cellStyle name="Input 15 2 5 2" xfId="6254"/>
    <cellStyle name="Input 15 2 5 3" xfId="6255"/>
    <cellStyle name="Input 15 2 5 4" xfId="6256"/>
    <cellStyle name="Input 15 2 5 5" xfId="6257"/>
    <cellStyle name="Input 15 2 5 6" xfId="6258"/>
    <cellStyle name="Input 15 2 5 7" xfId="6259"/>
    <cellStyle name="Input 15 2 6" xfId="6260"/>
    <cellStyle name="Input 15 2 6 2" xfId="6261"/>
    <cellStyle name="Input 15 2 6 3" xfId="6262"/>
    <cellStyle name="Input 15 2 6 4" xfId="6263"/>
    <cellStyle name="Input 15 2 6 5" xfId="6264"/>
    <cellStyle name="Input 15 2 6 6" xfId="6265"/>
    <cellStyle name="Input 15 2 6 7" xfId="6266"/>
    <cellStyle name="Input 15 2 7" xfId="6267"/>
    <cellStyle name="Input 15 2 7 2" xfId="6268"/>
    <cellStyle name="Input 15 2 7 3" xfId="6269"/>
    <cellStyle name="Input 15 2 7 4" xfId="6270"/>
    <cellStyle name="Input 15 2 7 5" xfId="6271"/>
    <cellStyle name="Input 15 2 7 6" xfId="6272"/>
    <cellStyle name="Input 15 2 7 7" xfId="6273"/>
    <cellStyle name="Input 15 2 8" xfId="6274"/>
    <cellStyle name="Input 15 2 8 2" xfId="6275"/>
    <cellStyle name="Input 15 2 8 3" xfId="6276"/>
    <cellStyle name="Input 15 2 8 4" xfId="6277"/>
    <cellStyle name="Input 15 2 8 5" xfId="6278"/>
    <cellStyle name="Input 15 2 8 6" xfId="6279"/>
    <cellStyle name="Input 15 2 8 7" xfId="6280"/>
    <cellStyle name="Input 15 2 9" xfId="6281"/>
    <cellStyle name="Input 15 2 9 2" xfId="6282"/>
    <cellStyle name="Input 15 2 9 3" xfId="6283"/>
    <cellStyle name="Input 15 2 9 4" xfId="6284"/>
    <cellStyle name="Input 15 2 9 5" xfId="6285"/>
    <cellStyle name="Input 15 2 9 6" xfId="6286"/>
    <cellStyle name="Input 15 3" xfId="6287"/>
    <cellStyle name="Input 15 3 10" xfId="6288"/>
    <cellStyle name="Input 15 3 10 2" xfId="6289"/>
    <cellStyle name="Input 15 3 10 3" xfId="6290"/>
    <cellStyle name="Input 15 3 10 4" xfId="6291"/>
    <cellStyle name="Input 15 3 10 5" xfId="6292"/>
    <cellStyle name="Input 15 3 10 6" xfId="6293"/>
    <cellStyle name="Input 15 3 11" xfId="6294"/>
    <cellStyle name="Input 15 3 12" xfId="6295"/>
    <cellStyle name="Input 15 3 13" xfId="6296"/>
    <cellStyle name="Input 15 3 14" xfId="6297"/>
    <cellStyle name="Input 15 3 2" xfId="6298"/>
    <cellStyle name="Input 15 3 2 2" xfId="6299"/>
    <cellStyle name="Input 15 3 2 3" xfId="6300"/>
    <cellStyle name="Input 15 3 2 4" xfId="6301"/>
    <cellStyle name="Input 15 3 2 5" xfId="6302"/>
    <cellStyle name="Input 15 3 2 6" xfId="6303"/>
    <cellStyle name="Input 15 3 2 7" xfId="6304"/>
    <cellStyle name="Input 15 3 3" xfId="6305"/>
    <cellStyle name="Input 15 3 3 2" xfId="6306"/>
    <cellStyle name="Input 15 3 3 3" xfId="6307"/>
    <cellStyle name="Input 15 3 3 4" xfId="6308"/>
    <cellStyle name="Input 15 3 3 5" xfId="6309"/>
    <cellStyle name="Input 15 3 3 6" xfId="6310"/>
    <cellStyle name="Input 15 3 3 7" xfId="6311"/>
    <cellStyle name="Input 15 3 4" xfId="6312"/>
    <cellStyle name="Input 15 3 4 2" xfId="6313"/>
    <cellStyle name="Input 15 3 4 3" xfId="6314"/>
    <cellStyle name="Input 15 3 4 4" xfId="6315"/>
    <cellStyle name="Input 15 3 4 5" xfId="6316"/>
    <cellStyle name="Input 15 3 4 6" xfId="6317"/>
    <cellStyle name="Input 15 3 4 7" xfId="6318"/>
    <cellStyle name="Input 15 3 5" xfId="6319"/>
    <cellStyle name="Input 15 3 5 2" xfId="6320"/>
    <cellStyle name="Input 15 3 5 3" xfId="6321"/>
    <cellStyle name="Input 15 3 5 4" xfId="6322"/>
    <cellStyle name="Input 15 3 5 5" xfId="6323"/>
    <cellStyle name="Input 15 3 5 6" xfId="6324"/>
    <cellStyle name="Input 15 3 5 7" xfId="6325"/>
    <cellStyle name="Input 15 3 6" xfId="6326"/>
    <cellStyle name="Input 15 3 6 2" xfId="6327"/>
    <cellStyle name="Input 15 3 6 3" xfId="6328"/>
    <cellStyle name="Input 15 3 6 4" xfId="6329"/>
    <cellStyle name="Input 15 3 6 5" xfId="6330"/>
    <cellStyle name="Input 15 3 6 6" xfId="6331"/>
    <cellStyle name="Input 15 3 6 7" xfId="6332"/>
    <cellStyle name="Input 15 3 7" xfId="6333"/>
    <cellStyle name="Input 15 3 7 2" xfId="6334"/>
    <cellStyle name="Input 15 3 7 3" xfId="6335"/>
    <cellStyle name="Input 15 3 7 4" xfId="6336"/>
    <cellStyle name="Input 15 3 7 5" xfId="6337"/>
    <cellStyle name="Input 15 3 7 6" xfId="6338"/>
    <cellStyle name="Input 15 3 7 7" xfId="6339"/>
    <cellStyle name="Input 15 3 8" xfId="6340"/>
    <cellStyle name="Input 15 3 8 2" xfId="6341"/>
    <cellStyle name="Input 15 3 8 3" xfId="6342"/>
    <cellStyle name="Input 15 3 8 4" xfId="6343"/>
    <cellStyle name="Input 15 3 8 5" xfId="6344"/>
    <cellStyle name="Input 15 3 8 6" xfId="6345"/>
    <cellStyle name="Input 15 3 8 7" xfId="6346"/>
    <cellStyle name="Input 15 3 9" xfId="6347"/>
    <cellStyle name="Input 15 3 9 2" xfId="6348"/>
    <cellStyle name="Input 15 3 9 3" xfId="6349"/>
    <cellStyle name="Input 15 3 9 4" xfId="6350"/>
    <cellStyle name="Input 15 3 9 5" xfId="6351"/>
    <cellStyle name="Input 15 3 9 6" xfId="6352"/>
    <cellStyle name="Input 15 4" xfId="6353"/>
    <cellStyle name="Input 15 4 2" xfId="6354"/>
    <cellStyle name="Input 15 4 3" xfId="6355"/>
    <cellStyle name="Input 15 4 4" xfId="6356"/>
    <cellStyle name="Input 15 4 5" xfId="6357"/>
    <cellStyle name="Input 15 4 6" xfId="6358"/>
    <cellStyle name="Input 15 4 7" xfId="6359"/>
    <cellStyle name="Input 15 5" xfId="6360"/>
    <cellStyle name="Input 15 5 2" xfId="6361"/>
    <cellStyle name="Input 15 5 3" xfId="6362"/>
    <cellStyle name="Input 15 5 4" xfId="6363"/>
    <cellStyle name="Input 15 5 5" xfId="6364"/>
    <cellStyle name="Input 15 5 6" xfId="6365"/>
    <cellStyle name="Input 15 5 7" xfId="6366"/>
    <cellStyle name="Input 15 6" xfId="6367"/>
    <cellStyle name="Input 15 6 2" xfId="6368"/>
    <cellStyle name="Input 15 6 3" xfId="6369"/>
    <cellStyle name="Input 15 6 4" xfId="6370"/>
    <cellStyle name="Input 15 6 5" xfId="6371"/>
    <cellStyle name="Input 15 6 6" xfId="6372"/>
    <cellStyle name="Input 15 6 7" xfId="6373"/>
    <cellStyle name="Input 15 7" xfId="6374"/>
    <cellStyle name="Input 15 7 2" xfId="6375"/>
    <cellStyle name="Input 15 7 3" xfId="6376"/>
    <cellStyle name="Input 15 7 4" xfId="6377"/>
    <cellStyle name="Input 15 7 5" xfId="6378"/>
    <cellStyle name="Input 15 7 6" xfId="6379"/>
    <cellStyle name="Input 15 7 7" xfId="6380"/>
    <cellStyle name="Input 15 8" xfId="6381"/>
    <cellStyle name="Input 15 8 2" xfId="6382"/>
    <cellStyle name="Input 15 8 3" xfId="6383"/>
    <cellStyle name="Input 15 8 4" xfId="6384"/>
    <cellStyle name="Input 15 8 5" xfId="6385"/>
    <cellStyle name="Input 15 8 6" xfId="6386"/>
    <cellStyle name="Input 15 8 7" xfId="6387"/>
    <cellStyle name="Input 15 9" xfId="6388"/>
    <cellStyle name="Input 15 9 2" xfId="6389"/>
    <cellStyle name="Input 15 9 3" xfId="6390"/>
    <cellStyle name="Input 15 9 4" xfId="6391"/>
    <cellStyle name="Input 15 9 5" xfId="6392"/>
    <cellStyle name="Input 15 9 6" xfId="6393"/>
    <cellStyle name="Input 15 9 7" xfId="6394"/>
    <cellStyle name="Input 16" xfId="6395"/>
    <cellStyle name="Input 16 10" xfId="6396"/>
    <cellStyle name="Input 16 10 2" xfId="6397"/>
    <cellStyle name="Input 16 10 3" xfId="6398"/>
    <cellStyle name="Input 16 10 4" xfId="6399"/>
    <cellStyle name="Input 16 10 5" xfId="6400"/>
    <cellStyle name="Input 16 10 6" xfId="6401"/>
    <cellStyle name="Input 16 10 7" xfId="6402"/>
    <cellStyle name="Input 16 11" xfId="6403"/>
    <cellStyle name="Input 16 11 2" xfId="6404"/>
    <cellStyle name="Input 16 11 3" xfId="6405"/>
    <cellStyle name="Input 16 11 4" xfId="6406"/>
    <cellStyle name="Input 16 11 5" xfId="6407"/>
    <cellStyle name="Input 16 11 6" xfId="6408"/>
    <cellStyle name="Input 16 12" xfId="6409"/>
    <cellStyle name="Input 16 12 2" xfId="6410"/>
    <cellStyle name="Input 16 12 3" xfId="6411"/>
    <cellStyle name="Input 16 12 4" xfId="6412"/>
    <cellStyle name="Input 16 12 5" xfId="6413"/>
    <cellStyle name="Input 16 12 6" xfId="6414"/>
    <cellStyle name="Input 16 13" xfId="6415"/>
    <cellStyle name="Input 16 14" xfId="6416"/>
    <cellStyle name="Input 16 15" xfId="6417"/>
    <cellStyle name="Input 16 16" xfId="6418"/>
    <cellStyle name="Input 16 2" xfId="6419"/>
    <cellStyle name="Input 16 2 10" xfId="6420"/>
    <cellStyle name="Input 16 2 10 2" xfId="6421"/>
    <cellStyle name="Input 16 2 10 3" xfId="6422"/>
    <cellStyle name="Input 16 2 10 4" xfId="6423"/>
    <cellStyle name="Input 16 2 10 5" xfId="6424"/>
    <cellStyle name="Input 16 2 10 6" xfId="6425"/>
    <cellStyle name="Input 16 2 11" xfId="6426"/>
    <cellStyle name="Input 16 2 12" xfId="6427"/>
    <cellStyle name="Input 16 2 13" xfId="6428"/>
    <cellStyle name="Input 16 2 14" xfId="6429"/>
    <cellStyle name="Input 16 2 2" xfId="6430"/>
    <cellStyle name="Input 16 2 2 2" xfId="6431"/>
    <cellStyle name="Input 16 2 2 3" xfId="6432"/>
    <cellStyle name="Input 16 2 2 4" xfId="6433"/>
    <cellStyle name="Input 16 2 2 5" xfId="6434"/>
    <cellStyle name="Input 16 2 2 6" xfId="6435"/>
    <cellStyle name="Input 16 2 2 7" xfId="6436"/>
    <cellStyle name="Input 16 2 3" xfId="6437"/>
    <cellStyle name="Input 16 2 3 2" xfId="6438"/>
    <cellStyle name="Input 16 2 3 3" xfId="6439"/>
    <cellStyle name="Input 16 2 3 4" xfId="6440"/>
    <cellStyle name="Input 16 2 3 5" xfId="6441"/>
    <cellStyle name="Input 16 2 3 6" xfId="6442"/>
    <cellStyle name="Input 16 2 3 7" xfId="6443"/>
    <cellStyle name="Input 16 2 4" xfId="6444"/>
    <cellStyle name="Input 16 2 4 2" xfId="6445"/>
    <cellStyle name="Input 16 2 4 3" xfId="6446"/>
    <cellStyle name="Input 16 2 4 4" xfId="6447"/>
    <cellStyle name="Input 16 2 4 5" xfId="6448"/>
    <cellStyle name="Input 16 2 4 6" xfId="6449"/>
    <cellStyle name="Input 16 2 4 7" xfId="6450"/>
    <cellStyle name="Input 16 2 5" xfId="6451"/>
    <cellStyle name="Input 16 2 5 2" xfId="6452"/>
    <cellStyle name="Input 16 2 5 3" xfId="6453"/>
    <cellStyle name="Input 16 2 5 4" xfId="6454"/>
    <cellStyle name="Input 16 2 5 5" xfId="6455"/>
    <cellStyle name="Input 16 2 5 6" xfId="6456"/>
    <cellStyle name="Input 16 2 5 7" xfId="6457"/>
    <cellStyle name="Input 16 2 6" xfId="6458"/>
    <cellStyle name="Input 16 2 6 2" xfId="6459"/>
    <cellStyle name="Input 16 2 6 3" xfId="6460"/>
    <cellStyle name="Input 16 2 6 4" xfId="6461"/>
    <cellStyle name="Input 16 2 6 5" xfId="6462"/>
    <cellStyle name="Input 16 2 6 6" xfId="6463"/>
    <cellStyle name="Input 16 2 6 7" xfId="6464"/>
    <cellStyle name="Input 16 2 7" xfId="6465"/>
    <cellStyle name="Input 16 2 7 2" xfId="6466"/>
    <cellStyle name="Input 16 2 7 3" xfId="6467"/>
    <cellStyle name="Input 16 2 7 4" xfId="6468"/>
    <cellStyle name="Input 16 2 7 5" xfId="6469"/>
    <cellStyle name="Input 16 2 7 6" xfId="6470"/>
    <cellStyle name="Input 16 2 7 7" xfId="6471"/>
    <cellStyle name="Input 16 2 8" xfId="6472"/>
    <cellStyle name="Input 16 2 8 2" xfId="6473"/>
    <cellStyle name="Input 16 2 8 3" xfId="6474"/>
    <cellStyle name="Input 16 2 8 4" xfId="6475"/>
    <cellStyle name="Input 16 2 8 5" xfId="6476"/>
    <cellStyle name="Input 16 2 8 6" xfId="6477"/>
    <cellStyle name="Input 16 2 8 7" xfId="6478"/>
    <cellStyle name="Input 16 2 9" xfId="6479"/>
    <cellStyle name="Input 16 2 9 2" xfId="6480"/>
    <cellStyle name="Input 16 2 9 3" xfId="6481"/>
    <cellStyle name="Input 16 2 9 4" xfId="6482"/>
    <cellStyle name="Input 16 2 9 5" xfId="6483"/>
    <cellStyle name="Input 16 2 9 6" xfId="6484"/>
    <cellStyle name="Input 16 3" xfId="6485"/>
    <cellStyle name="Input 16 3 10" xfId="6486"/>
    <cellStyle name="Input 16 3 10 2" xfId="6487"/>
    <cellStyle name="Input 16 3 10 3" xfId="6488"/>
    <cellStyle name="Input 16 3 10 4" xfId="6489"/>
    <cellStyle name="Input 16 3 10 5" xfId="6490"/>
    <cellStyle name="Input 16 3 10 6" xfId="6491"/>
    <cellStyle name="Input 16 3 11" xfId="6492"/>
    <cellStyle name="Input 16 3 12" xfId="6493"/>
    <cellStyle name="Input 16 3 13" xfId="6494"/>
    <cellStyle name="Input 16 3 14" xfId="6495"/>
    <cellStyle name="Input 16 3 2" xfId="6496"/>
    <cellStyle name="Input 16 3 2 2" xfId="6497"/>
    <cellStyle name="Input 16 3 2 3" xfId="6498"/>
    <cellStyle name="Input 16 3 2 4" xfId="6499"/>
    <cellStyle name="Input 16 3 2 5" xfId="6500"/>
    <cellStyle name="Input 16 3 2 6" xfId="6501"/>
    <cellStyle name="Input 16 3 2 7" xfId="6502"/>
    <cellStyle name="Input 16 3 3" xfId="6503"/>
    <cellStyle name="Input 16 3 3 2" xfId="6504"/>
    <cellStyle name="Input 16 3 3 3" xfId="6505"/>
    <cellStyle name="Input 16 3 3 4" xfId="6506"/>
    <cellStyle name="Input 16 3 3 5" xfId="6507"/>
    <cellStyle name="Input 16 3 3 6" xfId="6508"/>
    <cellStyle name="Input 16 3 3 7" xfId="6509"/>
    <cellStyle name="Input 16 3 4" xfId="6510"/>
    <cellStyle name="Input 16 3 4 2" xfId="6511"/>
    <cellStyle name="Input 16 3 4 3" xfId="6512"/>
    <cellStyle name="Input 16 3 4 4" xfId="6513"/>
    <cellStyle name="Input 16 3 4 5" xfId="6514"/>
    <cellStyle name="Input 16 3 4 6" xfId="6515"/>
    <cellStyle name="Input 16 3 4 7" xfId="6516"/>
    <cellStyle name="Input 16 3 5" xfId="6517"/>
    <cellStyle name="Input 16 3 5 2" xfId="6518"/>
    <cellStyle name="Input 16 3 5 3" xfId="6519"/>
    <cellStyle name="Input 16 3 5 4" xfId="6520"/>
    <cellStyle name="Input 16 3 5 5" xfId="6521"/>
    <cellStyle name="Input 16 3 5 6" xfId="6522"/>
    <cellStyle name="Input 16 3 5 7" xfId="6523"/>
    <cellStyle name="Input 16 3 6" xfId="6524"/>
    <cellStyle name="Input 16 3 6 2" xfId="6525"/>
    <cellStyle name="Input 16 3 6 3" xfId="6526"/>
    <cellStyle name="Input 16 3 6 4" xfId="6527"/>
    <cellStyle name="Input 16 3 6 5" xfId="6528"/>
    <cellStyle name="Input 16 3 6 6" xfId="6529"/>
    <cellStyle name="Input 16 3 6 7" xfId="6530"/>
    <cellStyle name="Input 16 3 7" xfId="6531"/>
    <cellStyle name="Input 16 3 7 2" xfId="6532"/>
    <cellStyle name="Input 16 3 7 3" xfId="6533"/>
    <cellStyle name="Input 16 3 7 4" xfId="6534"/>
    <cellStyle name="Input 16 3 7 5" xfId="6535"/>
    <cellStyle name="Input 16 3 7 6" xfId="6536"/>
    <cellStyle name="Input 16 3 7 7" xfId="6537"/>
    <cellStyle name="Input 16 3 8" xfId="6538"/>
    <cellStyle name="Input 16 3 8 2" xfId="6539"/>
    <cellStyle name="Input 16 3 8 3" xfId="6540"/>
    <cellStyle name="Input 16 3 8 4" xfId="6541"/>
    <cellStyle name="Input 16 3 8 5" xfId="6542"/>
    <cellStyle name="Input 16 3 8 6" xfId="6543"/>
    <cellStyle name="Input 16 3 8 7" xfId="6544"/>
    <cellStyle name="Input 16 3 9" xfId="6545"/>
    <cellStyle name="Input 16 3 9 2" xfId="6546"/>
    <cellStyle name="Input 16 3 9 3" xfId="6547"/>
    <cellStyle name="Input 16 3 9 4" xfId="6548"/>
    <cellStyle name="Input 16 3 9 5" xfId="6549"/>
    <cellStyle name="Input 16 3 9 6" xfId="6550"/>
    <cellStyle name="Input 16 4" xfId="6551"/>
    <cellStyle name="Input 16 4 2" xfId="6552"/>
    <cellStyle name="Input 16 4 3" xfId="6553"/>
    <cellStyle name="Input 16 4 4" xfId="6554"/>
    <cellStyle name="Input 16 4 5" xfId="6555"/>
    <cellStyle name="Input 16 4 6" xfId="6556"/>
    <cellStyle name="Input 16 4 7" xfId="6557"/>
    <cellStyle name="Input 16 5" xfId="6558"/>
    <cellStyle name="Input 16 5 2" xfId="6559"/>
    <cellStyle name="Input 16 5 3" xfId="6560"/>
    <cellStyle name="Input 16 5 4" xfId="6561"/>
    <cellStyle name="Input 16 5 5" xfId="6562"/>
    <cellStyle name="Input 16 5 6" xfId="6563"/>
    <cellStyle name="Input 16 5 7" xfId="6564"/>
    <cellStyle name="Input 16 6" xfId="6565"/>
    <cellStyle name="Input 16 6 2" xfId="6566"/>
    <cellStyle name="Input 16 6 3" xfId="6567"/>
    <cellStyle name="Input 16 6 4" xfId="6568"/>
    <cellStyle name="Input 16 6 5" xfId="6569"/>
    <cellStyle name="Input 16 6 6" xfId="6570"/>
    <cellStyle name="Input 16 6 7" xfId="6571"/>
    <cellStyle name="Input 16 7" xfId="6572"/>
    <cellStyle name="Input 16 7 2" xfId="6573"/>
    <cellStyle name="Input 16 7 3" xfId="6574"/>
    <cellStyle name="Input 16 7 4" xfId="6575"/>
    <cellStyle name="Input 16 7 5" xfId="6576"/>
    <cellStyle name="Input 16 7 6" xfId="6577"/>
    <cellStyle name="Input 16 7 7" xfId="6578"/>
    <cellStyle name="Input 16 8" xfId="6579"/>
    <cellStyle name="Input 16 8 2" xfId="6580"/>
    <cellStyle name="Input 16 8 3" xfId="6581"/>
    <cellStyle name="Input 16 8 4" xfId="6582"/>
    <cellStyle name="Input 16 8 5" xfId="6583"/>
    <cellStyle name="Input 16 8 6" xfId="6584"/>
    <cellStyle name="Input 16 8 7" xfId="6585"/>
    <cellStyle name="Input 16 9" xfId="6586"/>
    <cellStyle name="Input 16 9 2" xfId="6587"/>
    <cellStyle name="Input 16 9 3" xfId="6588"/>
    <cellStyle name="Input 16 9 4" xfId="6589"/>
    <cellStyle name="Input 16 9 5" xfId="6590"/>
    <cellStyle name="Input 16 9 6" xfId="6591"/>
    <cellStyle name="Input 16 9 7" xfId="6592"/>
    <cellStyle name="Input 17" xfId="6593"/>
    <cellStyle name="Input 17 10" xfId="6594"/>
    <cellStyle name="Input 17 10 2" xfId="6595"/>
    <cellStyle name="Input 17 10 3" xfId="6596"/>
    <cellStyle name="Input 17 10 4" xfId="6597"/>
    <cellStyle name="Input 17 10 5" xfId="6598"/>
    <cellStyle name="Input 17 10 6" xfId="6599"/>
    <cellStyle name="Input 17 10 7" xfId="6600"/>
    <cellStyle name="Input 17 11" xfId="6601"/>
    <cellStyle name="Input 17 11 2" xfId="6602"/>
    <cellStyle name="Input 17 11 3" xfId="6603"/>
    <cellStyle name="Input 17 11 4" xfId="6604"/>
    <cellStyle name="Input 17 11 5" xfId="6605"/>
    <cellStyle name="Input 17 11 6" xfId="6606"/>
    <cellStyle name="Input 17 12" xfId="6607"/>
    <cellStyle name="Input 17 12 2" xfId="6608"/>
    <cellStyle name="Input 17 12 3" xfId="6609"/>
    <cellStyle name="Input 17 12 4" xfId="6610"/>
    <cellStyle name="Input 17 12 5" xfId="6611"/>
    <cellStyle name="Input 17 12 6" xfId="6612"/>
    <cellStyle name="Input 17 13" xfId="6613"/>
    <cellStyle name="Input 17 14" xfId="6614"/>
    <cellStyle name="Input 17 15" xfId="6615"/>
    <cellStyle name="Input 17 16" xfId="6616"/>
    <cellStyle name="Input 17 2" xfId="6617"/>
    <cellStyle name="Input 17 2 10" xfId="6618"/>
    <cellStyle name="Input 17 2 10 2" xfId="6619"/>
    <cellStyle name="Input 17 2 10 3" xfId="6620"/>
    <cellStyle name="Input 17 2 10 4" xfId="6621"/>
    <cellStyle name="Input 17 2 10 5" xfId="6622"/>
    <cellStyle name="Input 17 2 10 6" xfId="6623"/>
    <cellStyle name="Input 17 2 11" xfId="6624"/>
    <cellStyle name="Input 17 2 12" xfId="6625"/>
    <cellStyle name="Input 17 2 13" xfId="6626"/>
    <cellStyle name="Input 17 2 14" xfId="6627"/>
    <cellStyle name="Input 17 2 2" xfId="6628"/>
    <cellStyle name="Input 17 2 2 2" xfId="6629"/>
    <cellStyle name="Input 17 2 2 3" xfId="6630"/>
    <cellStyle name="Input 17 2 2 4" xfId="6631"/>
    <cellStyle name="Input 17 2 2 5" xfId="6632"/>
    <cellStyle name="Input 17 2 2 6" xfId="6633"/>
    <cellStyle name="Input 17 2 2 7" xfId="6634"/>
    <cellStyle name="Input 17 2 3" xfId="6635"/>
    <cellStyle name="Input 17 2 3 2" xfId="6636"/>
    <cellStyle name="Input 17 2 3 3" xfId="6637"/>
    <cellStyle name="Input 17 2 3 4" xfId="6638"/>
    <cellStyle name="Input 17 2 3 5" xfId="6639"/>
    <cellStyle name="Input 17 2 3 6" xfId="6640"/>
    <cellStyle name="Input 17 2 3 7" xfId="6641"/>
    <cellStyle name="Input 17 2 4" xfId="6642"/>
    <cellStyle name="Input 17 2 4 2" xfId="6643"/>
    <cellStyle name="Input 17 2 4 3" xfId="6644"/>
    <cellStyle name="Input 17 2 4 4" xfId="6645"/>
    <cellStyle name="Input 17 2 4 5" xfId="6646"/>
    <cellStyle name="Input 17 2 4 6" xfId="6647"/>
    <cellStyle name="Input 17 2 4 7" xfId="6648"/>
    <cellStyle name="Input 17 2 5" xfId="6649"/>
    <cellStyle name="Input 17 2 5 2" xfId="6650"/>
    <cellStyle name="Input 17 2 5 3" xfId="6651"/>
    <cellStyle name="Input 17 2 5 4" xfId="6652"/>
    <cellStyle name="Input 17 2 5 5" xfId="6653"/>
    <cellStyle name="Input 17 2 5 6" xfId="6654"/>
    <cellStyle name="Input 17 2 5 7" xfId="6655"/>
    <cellStyle name="Input 17 2 6" xfId="6656"/>
    <cellStyle name="Input 17 2 6 2" xfId="6657"/>
    <cellStyle name="Input 17 2 6 3" xfId="6658"/>
    <cellStyle name="Input 17 2 6 4" xfId="6659"/>
    <cellStyle name="Input 17 2 6 5" xfId="6660"/>
    <cellStyle name="Input 17 2 6 6" xfId="6661"/>
    <cellStyle name="Input 17 2 6 7" xfId="6662"/>
    <cellStyle name="Input 17 2 7" xfId="6663"/>
    <cellStyle name="Input 17 2 7 2" xfId="6664"/>
    <cellStyle name="Input 17 2 7 3" xfId="6665"/>
    <cellStyle name="Input 17 2 7 4" xfId="6666"/>
    <cellStyle name="Input 17 2 7 5" xfId="6667"/>
    <cellStyle name="Input 17 2 7 6" xfId="6668"/>
    <cellStyle name="Input 17 2 7 7" xfId="6669"/>
    <cellStyle name="Input 17 2 8" xfId="6670"/>
    <cellStyle name="Input 17 2 8 2" xfId="6671"/>
    <cellStyle name="Input 17 2 8 3" xfId="6672"/>
    <cellStyle name="Input 17 2 8 4" xfId="6673"/>
    <cellStyle name="Input 17 2 8 5" xfId="6674"/>
    <cellStyle name="Input 17 2 8 6" xfId="6675"/>
    <cellStyle name="Input 17 2 8 7" xfId="6676"/>
    <cellStyle name="Input 17 2 9" xfId="6677"/>
    <cellStyle name="Input 17 2 9 2" xfId="6678"/>
    <cellStyle name="Input 17 2 9 3" xfId="6679"/>
    <cellStyle name="Input 17 2 9 4" xfId="6680"/>
    <cellStyle name="Input 17 2 9 5" xfId="6681"/>
    <cellStyle name="Input 17 2 9 6" xfId="6682"/>
    <cellStyle name="Input 17 3" xfId="6683"/>
    <cellStyle name="Input 17 3 10" xfId="6684"/>
    <cellStyle name="Input 17 3 10 2" xfId="6685"/>
    <cellStyle name="Input 17 3 10 3" xfId="6686"/>
    <cellStyle name="Input 17 3 10 4" xfId="6687"/>
    <cellStyle name="Input 17 3 10 5" xfId="6688"/>
    <cellStyle name="Input 17 3 10 6" xfId="6689"/>
    <cellStyle name="Input 17 3 11" xfId="6690"/>
    <cellStyle name="Input 17 3 12" xfId="6691"/>
    <cellStyle name="Input 17 3 13" xfId="6692"/>
    <cellStyle name="Input 17 3 14" xfId="6693"/>
    <cellStyle name="Input 17 3 2" xfId="6694"/>
    <cellStyle name="Input 17 3 2 2" xfId="6695"/>
    <cellStyle name="Input 17 3 2 3" xfId="6696"/>
    <cellStyle name="Input 17 3 2 4" xfId="6697"/>
    <cellStyle name="Input 17 3 2 5" xfId="6698"/>
    <cellStyle name="Input 17 3 2 6" xfId="6699"/>
    <cellStyle name="Input 17 3 2 7" xfId="6700"/>
    <cellStyle name="Input 17 3 3" xfId="6701"/>
    <cellStyle name="Input 17 3 3 2" xfId="6702"/>
    <cellStyle name="Input 17 3 3 3" xfId="6703"/>
    <cellStyle name="Input 17 3 3 4" xfId="6704"/>
    <cellStyle name="Input 17 3 3 5" xfId="6705"/>
    <cellStyle name="Input 17 3 3 6" xfId="6706"/>
    <cellStyle name="Input 17 3 3 7" xfId="6707"/>
    <cellStyle name="Input 17 3 4" xfId="6708"/>
    <cellStyle name="Input 17 3 4 2" xfId="6709"/>
    <cellStyle name="Input 17 3 4 3" xfId="6710"/>
    <cellStyle name="Input 17 3 4 4" xfId="6711"/>
    <cellStyle name="Input 17 3 4 5" xfId="6712"/>
    <cellStyle name="Input 17 3 4 6" xfId="6713"/>
    <cellStyle name="Input 17 3 4 7" xfId="6714"/>
    <cellStyle name="Input 17 3 5" xfId="6715"/>
    <cellStyle name="Input 17 3 5 2" xfId="6716"/>
    <cellStyle name="Input 17 3 5 3" xfId="6717"/>
    <cellStyle name="Input 17 3 5 4" xfId="6718"/>
    <cellStyle name="Input 17 3 5 5" xfId="6719"/>
    <cellStyle name="Input 17 3 5 6" xfId="6720"/>
    <cellStyle name="Input 17 3 5 7" xfId="6721"/>
    <cellStyle name="Input 17 3 6" xfId="6722"/>
    <cellStyle name="Input 17 3 6 2" xfId="6723"/>
    <cellStyle name="Input 17 3 6 3" xfId="6724"/>
    <cellStyle name="Input 17 3 6 4" xfId="6725"/>
    <cellStyle name="Input 17 3 6 5" xfId="6726"/>
    <cellStyle name="Input 17 3 6 6" xfId="6727"/>
    <cellStyle name="Input 17 3 6 7" xfId="6728"/>
    <cellStyle name="Input 17 3 7" xfId="6729"/>
    <cellStyle name="Input 17 3 7 2" xfId="6730"/>
    <cellStyle name="Input 17 3 7 3" xfId="6731"/>
    <cellStyle name="Input 17 3 7 4" xfId="6732"/>
    <cellStyle name="Input 17 3 7 5" xfId="6733"/>
    <cellStyle name="Input 17 3 7 6" xfId="6734"/>
    <cellStyle name="Input 17 3 7 7" xfId="6735"/>
    <cellStyle name="Input 17 3 8" xfId="6736"/>
    <cellStyle name="Input 17 3 8 2" xfId="6737"/>
    <cellStyle name="Input 17 3 8 3" xfId="6738"/>
    <cellStyle name="Input 17 3 8 4" xfId="6739"/>
    <cellStyle name="Input 17 3 8 5" xfId="6740"/>
    <cellStyle name="Input 17 3 8 6" xfId="6741"/>
    <cellStyle name="Input 17 3 8 7" xfId="6742"/>
    <cellStyle name="Input 17 3 9" xfId="6743"/>
    <cellStyle name="Input 17 3 9 2" xfId="6744"/>
    <cellStyle name="Input 17 3 9 3" xfId="6745"/>
    <cellStyle name="Input 17 3 9 4" xfId="6746"/>
    <cellStyle name="Input 17 3 9 5" xfId="6747"/>
    <cellStyle name="Input 17 3 9 6" xfId="6748"/>
    <cellStyle name="Input 17 4" xfId="6749"/>
    <cellStyle name="Input 17 4 2" xfId="6750"/>
    <cellStyle name="Input 17 4 3" xfId="6751"/>
    <cellStyle name="Input 17 4 4" xfId="6752"/>
    <cellStyle name="Input 17 4 5" xfId="6753"/>
    <cellStyle name="Input 17 4 6" xfId="6754"/>
    <cellStyle name="Input 17 4 7" xfId="6755"/>
    <cellStyle name="Input 17 5" xfId="6756"/>
    <cellStyle name="Input 17 5 2" xfId="6757"/>
    <cellStyle name="Input 17 5 3" xfId="6758"/>
    <cellStyle name="Input 17 5 4" xfId="6759"/>
    <cellStyle name="Input 17 5 5" xfId="6760"/>
    <cellStyle name="Input 17 5 6" xfId="6761"/>
    <cellStyle name="Input 17 5 7" xfId="6762"/>
    <cellStyle name="Input 17 6" xfId="6763"/>
    <cellStyle name="Input 17 6 2" xfId="6764"/>
    <cellStyle name="Input 17 6 3" xfId="6765"/>
    <cellStyle name="Input 17 6 4" xfId="6766"/>
    <cellStyle name="Input 17 6 5" xfId="6767"/>
    <cellStyle name="Input 17 6 6" xfId="6768"/>
    <cellStyle name="Input 17 6 7" xfId="6769"/>
    <cellStyle name="Input 17 7" xfId="6770"/>
    <cellStyle name="Input 17 7 2" xfId="6771"/>
    <cellStyle name="Input 17 7 3" xfId="6772"/>
    <cellStyle name="Input 17 7 4" xfId="6773"/>
    <cellStyle name="Input 17 7 5" xfId="6774"/>
    <cellStyle name="Input 17 7 6" xfId="6775"/>
    <cellStyle name="Input 17 7 7" xfId="6776"/>
    <cellStyle name="Input 17 8" xfId="6777"/>
    <cellStyle name="Input 17 8 2" xfId="6778"/>
    <cellStyle name="Input 17 8 3" xfId="6779"/>
    <cellStyle name="Input 17 8 4" xfId="6780"/>
    <cellStyle name="Input 17 8 5" xfId="6781"/>
    <cellStyle name="Input 17 8 6" xfId="6782"/>
    <cellStyle name="Input 17 8 7" xfId="6783"/>
    <cellStyle name="Input 17 9" xfId="6784"/>
    <cellStyle name="Input 17 9 2" xfId="6785"/>
    <cellStyle name="Input 17 9 3" xfId="6786"/>
    <cellStyle name="Input 17 9 4" xfId="6787"/>
    <cellStyle name="Input 17 9 5" xfId="6788"/>
    <cellStyle name="Input 17 9 6" xfId="6789"/>
    <cellStyle name="Input 17 9 7" xfId="6790"/>
    <cellStyle name="Input 18" xfId="6791"/>
    <cellStyle name="Input 18 10" xfId="6792"/>
    <cellStyle name="Input 18 10 2" xfId="6793"/>
    <cellStyle name="Input 18 10 3" xfId="6794"/>
    <cellStyle name="Input 18 10 4" xfId="6795"/>
    <cellStyle name="Input 18 10 5" xfId="6796"/>
    <cellStyle name="Input 18 10 6" xfId="6797"/>
    <cellStyle name="Input 18 10 7" xfId="6798"/>
    <cellStyle name="Input 18 11" xfId="6799"/>
    <cellStyle name="Input 18 11 2" xfId="6800"/>
    <cellStyle name="Input 18 11 3" xfId="6801"/>
    <cellStyle name="Input 18 11 4" xfId="6802"/>
    <cellStyle name="Input 18 11 5" xfId="6803"/>
    <cellStyle name="Input 18 11 6" xfId="6804"/>
    <cellStyle name="Input 18 12" xfId="6805"/>
    <cellStyle name="Input 18 12 2" xfId="6806"/>
    <cellStyle name="Input 18 12 3" xfId="6807"/>
    <cellStyle name="Input 18 12 4" xfId="6808"/>
    <cellStyle name="Input 18 12 5" xfId="6809"/>
    <cellStyle name="Input 18 12 6" xfId="6810"/>
    <cellStyle name="Input 18 13" xfId="6811"/>
    <cellStyle name="Input 18 14" xfId="6812"/>
    <cellStyle name="Input 18 15" xfId="6813"/>
    <cellStyle name="Input 18 16" xfId="6814"/>
    <cellStyle name="Input 18 2" xfId="6815"/>
    <cellStyle name="Input 18 2 10" xfId="6816"/>
    <cellStyle name="Input 18 2 10 2" xfId="6817"/>
    <cellStyle name="Input 18 2 10 3" xfId="6818"/>
    <cellStyle name="Input 18 2 10 4" xfId="6819"/>
    <cellStyle name="Input 18 2 10 5" xfId="6820"/>
    <cellStyle name="Input 18 2 10 6" xfId="6821"/>
    <cellStyle name="Input 18 2 11" xfId="6822"/>
    <cellStyle name="Input 18 2 12" xfId="6823"/>
    <cellStyle name="Input 18 2 13" xfId="6824"/>
    <cellStyle name="Input 18 2 14" xfId="6825"/>
    <cellStyle name="Input 18 2 2" xfId="6826"/>
    <cellStyle name="Input 18 2 2 2" xfId="6827"/>
    <cellStyle name="Input 18 2 2 3" xfId="6828"/>
    <cellStyle name="Input 18 2 2 4" xfId="6829"/>
    <cellStyle name="Input 18 2 2 5" xfId="6830"/>
    <cellStyle name="Input 18 2 2 6" xfId="6831"/>
    <cellStyle name="Input 18 2 2 7" xfId="6832"/>
    <cellStyle name="Input 18 2 3" xfId="6833"/>
    <cellStyle name="Input 18 2 3 2" xfId="6834"/>
    <cellStyle name="Input 18 2 3 3" xfId="6835"/>
    <cellStyle name="Input 18 2 3 4" xfId="6836"/>
    <cellStyle name="Input 18 2 3 5" xfId="6837"/>
    <cellStyle name="Input 18 2 3 6" xfId="6838"/>
    <cellStyle name="Input 18 2 3 7" xfId="6839"/>
    <cellStyle name="Input 18 2 4" xfId="6840"/>
    <cellStyle name="Input 18 2 4 2" xfId="6841"/>
    <cellStyle name="Input 18 2 4 3" xfId="6842"/>
    <cellStyle name="Input 18 2 4 4" xfId="6843"/>
    <cellStyle name="Input 18 2 4 5" xfId="6844"/>
    <cellStyle name="Input 18 2 4 6" xfId="6845"/>
    <cellStyle name="Input 18 2 4 7" xfId="6846"/>
    <cellStyle name="Input 18 2 5" xfId="6847"/>
    <cellStyle name="Input 18 2 5 2" xfId="6848"/>
    <cellStyle name="Input 18 2 5 3" xfId="6849"/>
    <cellStyle name="Input 18 2 5 4" xfId="6850"/>
    <cellStyle name="Input 18 2 5 5" xfId="6851"/>
    <cellStyle name="Input 18 2 5 6" xfId="6852"/>
    <cellStyle name="Input 18 2 5 7" xfId="6853"/>
    <cellStyle name="Input 18 2 6" xfId="6854"/>
    <cellStyle name="Input 18 2 6 2" xfId="6855"/>
    <cellStyle name="Input 18 2 6 3" xfId="6856"/>
    <cellStyle name="Input 18 2 6 4" xfId="6857"/>
    <cellStyle name="Input 18 2 6 5" xfId="6858"/>
    <cellStyle name="Input 18 2 6 6" xfId="6859"/>
    <cellStyle name="Input 18 2 6 7" xfId="6860"/>
    <cellStyle name="Input 18 2 7" xfId="6861"/>
    <cellStyle name="Input 18 2 7 2" xfId="6862"/>
    <cellStyle name="Input 18 2 7 3" xfId="6863"/>
    <cellStyle name="Input 18 2 7 4" xfId="6864"/>
    <cellStyle name="Input 18 2 7 5" xfId="6865"/>
    <cellStyle name="Input 18 2 7 6" xfId="6866"/>
    <cellStyle name="Input 18 2 7 7" xfId="6867"/>
    <cellStyle name="Input 18 2 8" xfId="6868"/>
    <cellStyle name="Input 18 2 8 2" xfId="6869"/>
    <cellStyle name="Input 18 2 8 3" xfId="6870"/>
    <cellStyle name="Input 18 2 8 4" xfId="6871"/>
    <cellStyle name="Input 18 2 8 5" xfId="6872"/>
    <cellStyle name="Input 18 2 8 6" xfId="6873"/>
    <cellStyle name="Input 18 2 8 7" xfId="6874"/>
    <cellStyle name="Input 18 2 9" xfId="6875"/>
    <cellStyle name="Input 18 2 9 2" xfId="6876"/>
    <cellStyle name="Input 18 2 9 3" xfId="6877"/>
    <cellStyle name="Input 18 2 9 4" xfId="6878"/>
    <cellStyle name="Input 18 2 9 5" xfId="6879"/>
    <cellStyle name="Input 18 2 9 6" xfId="6880"/>
    <cellStyle name="Input 18 3" xfId="6881"/>
    <cellStyle name="Input 18 3 10" xfId="6882"/>
    <cellStyle name="Input 18 3 10 2" xfId="6883"/>
    <cellStyle name="Input 18 3 10 3" xfId="6884"/>
    <cellStyle name="Input 18 3 10 4" xfId="6885"/>
    <cellStyle name="Input 18 3 10 5" xfId="6886"/>
    <cellStyle name="Input 18 3 10 6" xfId="6887"/>
    <cellStyle name="Input 18 3 11" xfId="6888"/>
    <cellStyle name="Input 18 3 12" xfId="6889"/>
    <cellStyle name="Input 18 3 13" xfId="6890"/>
    <cellStyle name="Input 18 3 14" xfId="6891"/>
    <cellStyle name="Input 18 3 2" xfId="6892"/>
    <cellStyle name="Input 18 3 2 2" xfId="6893"/>
    <cellStyle name="Input 18 3 2 3" xfId="6894"/>
    <cellStyle name="Input 18 3 2 4" xfId="6895"/>
    <cellStyle name="Input 18 3 2 5" xfId="6896"/>
    <cellStyle name="Input 18 3 2 6" xfId="6897"/>
    <cellStyle name="Input 18 3 2 7" xfId="6898"/>
    <cellStyle name="Input 18 3 3" xfId="6899"/>
    <cellStyle name="Input 18 3 3 2" xfId="6900"/>
    <cellStyle name="Input 18 3 3 3" xfId="6901"/>
    <cellStyle name="Input 18 3 3 4" xfId="6902"/>
    <cellStyle name="Input 18 3 3 5" xfId="6903"/>
    <cellStyle name="Input 18 3 3 6" xfId="6904"/>
    <cellStyle name="Input 18 3 3 7" xfId="6905"/>
    <cellStyle name="Input 18 3 4" xfId="6906"/>
    <cellStyle name="Input 18 3 4 2" xfId="6907"/>
    <cellStyle name="Input 18 3 4 3" xfId="6908"/>
    <cellStyle name="Input 18 3 4 4" xfId="6909"/>
    <cellStyle name="Input 18 3 4 5" xfId="6910"/>
    <cellStyle name="Input 18 3 4 6" xfId="6911"/>
    <cellStyle name="Input 18 3 4 7" xfId="6912"/>
    <cellStyle name="Input 18 3 5" xfId="6913"/>
    <cellStyle name="Input 18 3 5 2" xfId="6914"/>
    <cellStyle name="Input 18 3 5 3" xfId="6915"/>
    <cellStyle name="Input 18 3 5 4" xfId="6916"/>
    <cellStyle name="Input 18 3 5 5" xfId="6917"/>
    <cellStyle name="Input 18 3 5 6" xfId="6918"/>
    <cellStyle name="Input 18 3 5 7" xfId="6919"/>
    <cellStyle name="Input 18 3 6" xfId="6920"/>
    <cellStyle name="Input 18 3 6 2" xfId="6921"/>
    <cellStyle name="Input 18 3 6 3" xfId="6922"/>
    <cellStyle name="Input 18 3 6 4" xfId="6923"/>
    <cellStyle name="Input 18 3 6 5" xfId="6924"/>
    <cellStyle name="Input 18 3 6 6" xfId="6925"/>
    <cellStyle name="Input 18 3 6 7" xfId="6926"/>
    <cellStyle name="Input 18 3 7" xfId="6927"/>
    <cellStyle name="Input 18 3 7 2" xfId="6928"/>
    <cellStyle name="Input 18 3 7 3" xfId="6929"/>
    <cellStyle name="Input 18 3 7 4" xfId="6930"/>
    <cellStyle name="Input 18 3 7 5" xfId="6931"/>
    <cellStyle name="Input 18 3 7 6" xfId="6932"/>
    <cellStyle name="Input 18 3 7 7" xfId="6933"/>
    <cellStyle name="Input 18 3 8" xfId="6934"/>
    <cellStyle name="Input 18 3 8 2" xfId="6935"/>
    <cellStyle name="Input 18 3 8 3" xfId="6936"/>
    <cellStyle name="Input 18 3 8 4" xfId="6937"/>
    <cellStyle name="Input 18 3 8 5" xfId="6938"/>
    <cellStyle name="Input 18 3 8 6" xfId="6939"/>
    <cellStyle name="Input 18 3 8 7" xfId="6940"/>
    <cellStyle name="Input 18 3 9" xfId="6941"/>
    <cellStyle name="Input 18 3 9 2" xfId="6942"/>
    <cellStyle name="Input 18 3 9 3" xfId="6943"/>
    <cellStyle name="Input 18 3 9 4" xfId="6944"/>
    <cellStyle name="Input 18 3 9 5" xfId="6945"/>
    <cellStyle name="Input 18 3 9 6" xfId="6946"/>
    <cellStyle name="Input 18 4" xfId="6947"/>
    <cellStyle name="Input 18 4 2" xfId="6948"/>
    <cellStyle name="Input 18 4 3" xfId="6949"/>
    <cellStyle name="Input 18 4 4" xfId="6950"/>
    <cellStyle name="Input 18 4 5" xfId="6951"/>
    <cellStyle name="Input 18 4 6" xfId="6952"/>
    <cellStyle name="Input 18 4 7" xfId="6953"/>
    <cellStyle name="Input 18 5" xfId="6954"/>
    <cellStyle name="Input 18 5 2" xfId="6955"/>
    <cellStyle name="Input 18 5 3" xfId="6956"/>
    <cellStyle name="Input 18 5 4" xfId="6957"/>
    <cellStyle name="Input 18 5 5" xfId="6958"/>
    <cellStyle name="Input 18 5 6" xfId="6959"/>
    <cellStyle name="Input 18 5 7" xfId="6960"/>
    <cellStyle name="Input 18 6" xfId="6961"/>
    <cellStyle name="Input 18 6 2" xfId="6962"/>
    <cellStyle name="Input 18 6 3" xfId="6963"/>
    <cellStyle name="Input 18 6 4" xfId="6964"/>
    <cellStyle name="Input 18 6 5" xfId="6965"/>
    <cellStyle name="Input 18 6 6" xfId="6966"/>
    <cellStyle name="Input 18 6 7" xfId="6967"/>
    <cellStyle name="Input 18 7" xfId="6968"/>
    <cellStyle name="Input 18 7 2" xfId="6969"/>
    <cellStyle name="Input 18 7 3" xfId="6970"/>
    <cellStyle name="Input 18 7 4" xfId="6971"/>
    <cellStyle name="Input 18 7 5" xfId="6972"/>
    <cellStyle name="Input 18 7 6" xfId="6973"/>
    <cellStyle name="Input 18 7 7" xfId="6974"/>
    <cellStyle name="Input 18 8" xfId="6975"/>
    <cellStyle name="Input 18 8 2" xfId="6976"/>
    <cellStyle name="Input 18 8 3" xfId="6977"/>
    <cellStyle name="Input 18 8 4" xfId="6978"/>
    <cellStyle name="Input 18 8 5" xfId="6979"/>
    <cellStyle name="Input 18 8 6" xfId="6980"/>
    <cellStyle name="Input 18 8 7" xfId="6981"/>
    <cellStyle name="Input 18 9" xfId="6982"/>
    <cellStyle name="Input 18 9 2" xfId="6983"/>
    <cellStyle name="Input 18 9 3" xfId="6984"/>
    <cellStyle name="Input 18 9 4" xfId="6985"/>
    <cellStyle name="Input 18 9 5" xfId="6986"/>
    <cellStyle name="Input 18 9 6" xfId="6987"/>
    <cellStyle name="Input 18 9 7" xfId="6988"/>
    <cellStyle name="Input 19" xfId="6989"/>
    <cellStyle name="Input 19 10" xfId="6990"/>
    <cellStyle name="Input 19 10 2" xfId="6991"/>
    <cellStyle name="Input 19 10 3" xfId="6992"/>
    <cellStyle name="Input 19 10 4" xfId="6993"/>
    <cellStyle name="Input 19 10 5" xfId="6994"/>
    <cellStyle name="Input 19 10 6" xfId="6995"/>
    <cellStyle name="Input 19 10 7" xfId="6996"/>
    <cellStyle name="Input 19 11" xfId="6997"/>
    <cellStyle name="Input 19 11 2" xfId="6998"/>
    <cellStyle name="Input 19 11 3" xfId="6999"/>
    <cellStyle name="Input 19 11 4" xfId="7000"/>
    <cellStyle name="Input 19 11 5" xfId="7001"/>
    <cellStyle name="Input 19 11 6" xfId="7002"/>
    <cellStyle name="Input 19 12" xfId="7003"/>
    <cellStyle name="Input 19 12 2" xfId="7004"/>
    <cellStyle name="Input 19 12 3" xfId="7005"/>
    <cellStyle name="Input 19 12 4" xfId="7006"/>
    <cellStyle name="Input 19 12 5" xfId="7007"/>
    <cellStyle name="Input 19 12 6" xfId="7008"/>
    <cellStyle name="Input 19 13" xfId="7009"/>
    <cellStyle name="Input 19 14" xfId="7010"/>
    <cellStyle name="Input 19 15" xfId="7011"/>
    <cellStyle name="Input 19 16" xfId="7012"/>
    <cellStyle name="Input 19 2" xfId="7013"/>
    <cellStyle name="Input 19 2 10" xfId="7014"/>
    <cellStyle name="Input 19 2 10 2" xfId="7015"/>
    <cellStyle name="Input 19 2 10 3" xfId="7016"/>
    <cellStyle name="Input 19 2 10 4" xfId="7017"/>
    <cellStyle name="Input 19 2 10 5" xfId="7018"/>
    <cellStyle name="Input 19 2 10 6" xfId="7019"/>
    <cellStyle name="Input 19 2 11" xfId="7020"/>
    <cellStyle name="Input 19 2 12" xfId="7021"/>
    <cellStyle name="Input 19 2 13" xfId="7022"/>
    <cellStyle name="Input 19 2 14" xfId="7023"/>
    <cellStyle name="Input 19 2 2" xfId="7024"/>
    <cellStyle name="Input 19 2 2 2" xfId="7025"/>
    <cellStyle name="Input 19 2 2 3" xfId="7026"/>
    <cellStyle name="Input 19 2 2 4" xfId="7027"/>
    <cellStyle name="Input 19 2 2 5" xfId="7028"/>
    <cellStyle name="Input 19 2 2 6" xfId="7029"/>
    <cellStyle name="Input 19 2 2 7" xfId="7030"/>
    <cellStyle name="Input 19 2 3" xfId="7031"/>
    <cellStyle name="Input 19 2 3 2" xfId="7032"/>
    <cellStyle name="Input 19 2 3 3" xfId="7033"/>
    <cellStyle name="Input 19 2 3 4" xfId="7034"/>
    <cellStyle name="Input 19 2 3 5" xfId="7035"/>
    <cellStyle name="Input 19 2 3 6" xfId="7036"/>
    <cellStyle name="Input 19 2 3 7" xfId="7037"/>
    <cellStyle name="Input 19 2 4" xfId="7038"/>
    <cellStyle name="Input 19 2 4 2" xfId="7039"/>
    <cellStyle name="Input 19 2 4 3" xfId="7040"/>
    <cellStyle name="Input 19 2 4 4" xfId="7041"/>
    <cellStyle name="Input 19 2 4 5" xfId="7042"/>
    <cellStyle name="Input 19 2 4 6" xfId="7043"/>
    <cellStyle name="Input 19 2 4 7" xfId="7044"/>
    <cellStyle name="Input 19 2 5" xfId="7045"/>
    <cellStyle name="Input 19 2 5 2" xfId="7046"/>
    <cellStyle name="Input 19 2 5 3" xfId="7047"/>
    <cellStyle name="Input 19 2 5 4" xfId="7048"/>
    <cellStyle name="Input 19 2 5 5" xfId="7049"/>
    <cellStyle name="Input 19 2 5 6" xfId="7050"/>
    <cellStyle name="Input 19 2 5 7" xfId="7051"/>
    <cellStyle name="Input 19 2 6" xfId="7052"/>
    <cellStyle name="Input 19 2 6 2" xfId="7053"/>
    <cellStyle name="Input 19 2 6 3" xfId="7054"/>
    <cellStyle name="Input 19 2 6 4" xfId="7055"/>
    <cellStyle name="Input 19 2 6 5" xfId="7056"/>
    <cellStyle name="Input 19 2 6 6" xfId="7057"/>
    <cellStyle name="Input 19 2 6 7" xfId="7058"/>
    <cellStyle name="Input 19 2 7" xfId="7059"/>
    <cellStyle name="Input 19 2 7 2" xfId="7060"/>
    <cellStyle name="Input 19 2 7 3" xfId="7061"/>
    <cellStyle name="Input 19 2 7 4" xfId="7062"/>
    <cellStyle name="Input 19 2 7 5" xfId="7063"/>
    <cellStyle name="Input 19 2 7 6" xfId="7064"/>
    <cellStyle name="Input 19 2 7 7" xfId="7065"/>
    <cellStyle name="Input 19 2 8" xfId="7066"/>
    <cellStyle name="Input 19 2 8 2" xfId="7067"/>
    <cellStyle name="Input 19 2 8 3" xfId="7068"/>
    <cellStyle name="Input 19 2 8 4" xfId="7069"/>
    <cellStyle name="Input 19 2 8 5" xfId="7070"/>
    <cellStyle name="Input 19 2 8 6" xfId="7071"/>
    <cellStyle name="Input 19 2 8 7" xfId="7072"/>
    <cellStyle name="Input 19 2 9" xfId="7073"/>
    <cellStyle name="Input 19 2 9 2" xfId="7074"/>
    <cellStyle name="Input 19 2 9 3" xfId="7075"/>
    <cellStyle name="Input 19 2 9 4" xfId="7076"/>
    <cellStyle name="Input 19 2 9 5" xfId="7077"/>
    <cellStyle name="Input 19 2 9 6" xfId="7078"/>
    <cellStyle name="Input 19 3" xfId="7079"/>
    <cellStyle name="Input 19 3 10" xfId="7080"/>
    <cellStyle name="Input 19 3 10 2" xfId="7081"/>
    <cellStyle name="Input 19 3 10 3" xfId="7082"/>
    <cellStyle name="Input 19 3 10 4" xfId="7083"/>
    <cellStyle name="Input 19 3 10 5" xfId="7084"/>
    <cellStyle name="Input 19 3 10 6" xfId="7085"/>
    <cellStyle name="Input 19 3 11" xfId="7086"/>
    <cellStyle name="Input 19 3 12" xfId="7087"/>
    <cellStyle name="Input 19 3 13" xfId="7088"/>
    <cellStyle name="Input 19 3 14" xfId="7089"/>
    <cellStyle name="Input 19 3 2" xfId="7090"/>
    <cellStyle name="Input 19 3 2 2" xfId="7091"/>
    <cellStyle name="Input 19 3 2 3" xfId="7092"/>
    <cellStyle name="Input 19 3 2 4" xfId="7093"/>
    <cellStyle name="Input 19 3 2 5" xfId="7094"/>
    <cellStyle name="Input 19 3 2 6" xfId="7095"/>
    <cellStyle name="Input 19 3 2 7" xfId="7096"/>
    <cellStyle name="Input 19 3 3" xfId="7097"/>
    <cellStyle name="Input 19 3 3 2" xfId="7098"/>
    <cellStyle name="Input 19 3 3 3" xfId="7099"/>
    <cellStyle name="Input 19 3 3 4" xfId="7100"/>
    <cellStyle name="Input 19 3 3 5" xfId="7101"/>
    <cellStyle name="Input 19 3 3 6" xfId="7102"/>
    <cellStyle name="Input 19 3 3 7" xfId="7103"/>
    <cellStyle name="Input 19 3 4" xfId="7104"/>
    <cellStyle name="Input 19 3 4 2" xfId="7105"/>
    <cellStyle name="Input 19 3 4 3" xfId="7106"/>
    <cellStyle name="Input 19 3 4 4" xfId="7107"/>
    <cellStyle name="Input 19 3 4 5" xfId="7108"/>
    <cellStyle name="Input 19 3 4 6" xfId="7109"/>
    <cellStyle name="Input 19 3 4 7" xfId="7110"/>
    <cellStyle name="Input 19 3 5" xfId="7111"/>
    <cellStyle name="Input 19 3 5 2" xfId="7112"/>
    <cellStyle name="Input 19 3 5 3" xfId="7113"/>
    <cellStyle name="Input 19 3 5 4" xfId="7114"/>
    <cellStyle name="Input 19 3 5 5" xfId="7115"/>
    <cellStyle name="Input 19 3 5 6" xfId="7116"/>
    <cellStyle name="Input 19 3 5 7" xfId="7117"/>
    <cellStyle name="Input 19 3 6" xfId="7118"/>
    <cellStyle name="Input 19 3 6 2" xfId="7119"/>
    <cellStyle name="Input 19 3 6 3" xfId="7120"/>
    <cellStyle name="Input 19 3 6 4" xfId="7121"/>
    <cellStyle name="Input 19 3 6 5" xfId="7122"/>
    <cellStyle name="Input 19 3 6 6" xfId="7123"/>
    <cellStyle name="Input 19 3 6 7" xfId="7124"/>
    <cellStyle name="Input 19 3 7" xfId="7125"/>
    <cellStyle name="Input 19 3 7 2" xfId="7126"/>
    <cellStyle name="Input 19 3 7 3" xfId="7127"/>
    <cellStyle name="Input 19 3 7 4" xfId="7128"/>
    <cellStyle name="Input 19 3 7 5" xfId="7129"/>
    <cellStyle name="Input 19 3 7 6" xfId="7130"/>
    <cellStyle name="Input 19 3 7 7" xfId="7131"/>
    <cellStyle name="Input 19 3 8" xfId="7132"/>
    <cellStyle name="Input 19 3 8 2" xfId="7133"/>
    <cellStyle name="Input 19 3 8 3" xfId="7134"/>
    <cellStyle name="Input 19 3 8 4" xfId="7135"/>
    <cellStyle name="Input 19 3 8 5" xfId="7136"/>
    <cellStyle name="Input 19 3 8 6" xfId="7137"/>
    <cellStyle name="Input 19 3 8 7" xfId="7138"/>
    <cellStyle name="Input 19 3 9" xfId="7139"/>
    <cellStyle name="Input 19 3 9 2" xfId="7140"/>
    <cellStyle name="Input 19 3 9 3" xfId="7141"/>
    <cellStyle name="Input 19 3 9 4" xfId="7142"/>
    <cellStyle name="Input 19 3 9 5" xfId="7143"/>
    <cellStyle name="Input 19 3 9 6" xfId="7144"/>
    <cellStyle name="Input 19 4" xfId="7145"/>
    <cellStyle name="Input 19 4 2" xfId="7146"/>
    <cellStyle name="Input 19 4 3" xfId="7147"/>
    <cellStyle name="Input 19 4 4" xfId="7148"/>
    <cellStyle name="Input 19 4 5" xfId="7149"/>
    <cellStyle name="Input 19 4 6" xfId="7150"/>
    <cellStyle name="Input 19 4 7" xfId="7151"/>
    <cellStyle name="Input 19 5" xfId="7152"/>
    <cellStyle name="Input 19 5 2" xfId="7153"/>
    <cellStyle name="Input 19 5 3" xfId="7154"/>
    <cellStyle name="Input 19 5 4" xfId="7155"/>
    <cellStyle name="Input 19 5 5" xfId="7156"/>
    <cellStyle name="Input 19 5 6" xfId="7157"/>
    <cellStyle name="Input 19 5 7" xfId="7158"/>
    <cellStyle name="Input 19 6" xfId="7159"/>
    <cellStyle name="Input 19 6 2" xfId="7160"/>
    <cellStyle name="Input 19 6 3" xfId="7161"/>
    <cellStyle name="Input 19 6 4" xfId="7162"/>
    <cellStyle name="Input 19 6 5" xfId="7163"/>
    <cellStyle name="Input 19 6 6" xfId="7164"/>
    <cellStyle name="Input 19 6 7" xfId="7165"/>
    <cellStyle name="Input 19 7" xfId="7166"/>
    <cellStyle name="Input 19 7 2" xfId="7167"/>
    <cellStyle name="Input 19 7 3" xfId="7168"/>
    <cellStyle name="Input 19 7 4" xfId="7169"/>
    <cellStyle name="Input 19 7 5" xfId="7170"/>
    <cellStyle name="Input 19 7 6" xfId="7171"/>
    <cellStyle name="Input 19 7 7" xfId="7172"/>
    <cellStyle name="Input 19 8" xfId="7173"/>
    <cellStyle name="Input 19 8 2" xfId="7174"/>
    <cellStyle name="Input 19 8 3" xfId="7175"/>
    <cellStyle name="Input 19 8 4" xfId="7176"/>
    <cellStyle name="Input 19 8 5" xfId="7177"/>
    <cellStyle name="Input 19 8 6" xfId="7178"/>
    <cellStyle name="Input 19 8 7" xfId="7179"/>
    <cellStyle name="Input 19 9" xfId="7180"/>
    <cellStyle name="Input 19 9 2" xfId="7181"/>
    <cellStyle name="Input 19 9 3" xfId="7182"/>
    <cellStyle name="Input 19 9 4" xfId="7183"/>
    <cellStyle name="Input 19 9 5" xfId="7184"/>
    <cellStyle name="Input 19 9 6" xfId="7185"/>
    <cellStyle name="Input 19 9 7" xfId="7186"/>
    <cellStyle name="Input 2" xfId="7187"/>
    <cellStyle name="Input 2 2" xfId="7188"/>
    <cellStyle name="Input 2 2 2" xfId="7189"/>
    <cellStyle name="Input 2 2 2 10" xfId="7190"/>
    <cellStyle name="Input 2 2 2 10 2" xfId="7191"/>
    <cellStyle name="Input 2 2 2 10 3" xfId="7192"/>
    <cellStyle name="Input 2 2 2 10 4" xfId="7193"/>
    <cellStyle name="Input 2 2 2 10 5" xfId="7194"/>
    <cellStyle name="Input 2 2 2 10 6" xfId="7195"/>
    <cellStyle name="Input 2 2 2 11" xfId="7196"/>
    <cellStyle name="Input 2 2 2 12" xfId="7197"/>
    <cellStyle name="Input 2 2 2 13" xfId="7198"/>
    <cellStyle name="Input 2 2 2 14" xfId="7199"/>
    <cellStyle name="Input 2 2 2 15" xfId="7200"/>
    <cellStyle name="Input 2 2 2 2" xfId="7201"/>
    <cellStyle name="Input 2 2 2 2 10" xfId="7202"/>
    <cellStyle name="Input 2 2 2 2 11" xfId="7203"/>
    <cellStyle name="Input 2 2 2 2 12" xfId="7204"/>
    <cellStyle name="Input 2 2 2 2 13" xfId="7205"/>
    <cellStyle name="Input 2 2 2 2 14" xfId="7206"/>
    <cellStyle name="Input 2 2 2 2 2" xfId="7207"/>
    <cellStyle name="Input 2 2 2 2 2 2" xfId="7208"/>
    <cellStyle name="Input 2 2 2 2 2 3" xfId="7209"/>
    <cellStyle name="Input 2 2 2 2 2 4" xfId="7210"/>
    <cellStyle name="Input 2 2 2 2 2 5" xfId="7211"/>
    <cellStyle name="Input 2 2 2 2 2 6" xfId="7212"/>
    <cellStyle name="Input 2 2 2 2 2 7" xfId="7213"/>
    <cellStyle name="Input 2 2 2 2 3" xfId="7214"/>
    <cellStyle name="Input 2 2 2 2 3 2" xfId="7215"/>
    <cellStyle name="Input 2 2 2 2 3 3" xfId="7216"/>
    <cellStyle name="Input 2 2 2 2 3 4" xfId="7217"/>
    <cellStyle name="Input 2 2 2 2 3 5" xfId="7218"/>
    <cellStyle name="Input 2 2 2 2 3 6" xfId="7219"/>
    <cellStyle name="Input 2 2 2 2 3 7" xfId="7220"/>
    <cellStyle name="Input 2 2 2 2 4" xfId="7221"/>
    <cellStyle name="Input 2 2 2 2 4 2" xfId="7222"/>
    <cellStyle name="Input 2 2 2 2 4 3" xfId="7223"/>
    <cellStyle name="Input 2 2 2 2 4 4" xfId="7224"/>
    <cellStyle name="Input 2 2 2 2 4 5" xfId="7225"/>
    <cellStyle name="Input 2 2 2 2 4 6" xfId="7226"/>
    <cellStyle name="Input 2 2 2 2 4 7" xfId="7227"/>
    <cellStyle name="Input 2 2 2 2 5" xfId="7228"/>
    <cellStyle name="Input 2 2 2 2 5 2" xfId="7229"/>
    <cellStyle name="Input 2 2 2 2 5 3" xfId="7230"/>
    <cellStyle name="Input 2 2 2 2 5 4" xfId="7231"/>
    <cellStyle name="Input 2 2 2 2 5 5" xfId="7232"/>
    <cellStyle name="Input 2 2 2 2 5 6" xfId="7233"/>
    <cellStyle name="Input 2 2 2 2 5 7" xfId="7234"/>
    <cellStyle name="Input 2 2 2 2 6" xfId="7235"/>
    <cellStyle name="Input 2 2 2 2 6 2" xfId="7236"/>
    <cellStyle name="Input 2 2 2 2 6 3" xfId="7237"/>
    <cellStyle name="Input 2 2 2 2 6 4" xfId="7238"/>
    <cellStyle name="Input 2 2 2 2 6 5" xfId="7239"/>
    <cellStyle name="Input 2 2 2 2 6 6" xfId="7240"/>
    <cellStyle name="Input 2 2 2 2 6 7" xfId="7241"/>
    <cellStyle name="Input 2 2 2 2 7" xfId="7242"/>
    <cellStyle name="Input 2 2 2 2 7 2" xfId="7243"/>
    <cellStyle name="Input 2 2 2 2 7 3" xfId="7244"/>
    <cellStyle name="Input 2 2 2 2 7 4" xfId="7245"/>
    <cellStyle name="Input 2 2 2 2 7 5" xfId="7246"/>
    <cellStyle name="Input 2 2 2 2 7 6" xfId="7247"/>
    <cellStyle name="Input 2 2 2 2 7 7" xfId="7248"/>
    <cellStyle name="Input 2 2 2 2 8" xfId="7249"/>
    <cellStyle name="Input 2 2 2 2 8 2" xfId="7250"/>
    <cellStyle name="Input 2 2 2 2 8 3" xfId="7251"/>
    <cellStyle name="Input 2 2 2 2 8 4" xfId="7252"/>
    <cellStyle name="Input 2 2 2 2 8 5" xfId="7253"/>
    <cellStyle name="Input 2 2 2 2 8 6" xfId="7254"/>
    <cellStyle name="Input 2 2 2 2 8 7" xfId="7255"/>
    <cellStyle name="Input 2 2 2 2 9" xfId="7256"/>
    <cellStyle name="Input 2 2 2 2 9 2" xfId="7257"/>
    <cellStyle name="Input 2 2 2 2 9 3" xfId="7258"/>
    <cellStyle name="Input 2 2 2 2 9 4" xfId="7259"/>
    <cellStyle name="Input 2 2 2 2 9 5" xfId="7260"/>
    <cellStyle name="Input 2 2 2 2 9 6" xfId="7261"/>
    <cellStyle name="Input 2 2 2 3" xfId="7262"/>
    <cellStyle name="Input 2 2 2 3 2" xfId="7263"/>
    <cellStyle name="Input 2 2 2 3 3" xfId="7264"/>
    <cellStyle name="Input 2 2 2 3 4" xfId="7265"/>
    <cellStyle name="Input 2 2 2 3 5" xfId="7266"/>
    <cellStyle name="Input 2 2 2 3 6" xfId="7267"/>
    <cellStyle name="Input 2 2 2 3 7" xfId="7268"/>
    <cellStyle name="Input 2 2 2 4" xfId="7269"/>
    <cellStyle name="Input 2 2 2 4 2" xfId="7270"/>
    <cellStyle name="Input 2 2 2 4 3" xfId="7271"/>
    <cellStyle name="Input 2 2 2 4 4" xfId="7272"/>
    <cellStyle name="Input 2 2 2 4 5" xfId="7273"/>
    <cellStyle name="Input 2 2 2 4 6" xfId="7274"/>
    <cellStyle name="Input 2 2 2 4 7" xfId="7275"/>
    <cellStyle name="Input 2 2 2 5" xfId="7276"/>
    <cellStyle name="Input 2 2 2 5 2" xfId="7277"/>
    <cellStyle name="Input 2 2 2 5 3" xfId="7278"/>
    <cellStyle name="Input 2 2 2 5 4" xfId="7279"/>
    <cellStyle name="Input 2 2 2 5 5" xfId="7280"/>
    <cellStyle name="Input 2 2 2 5 6" xfId="7281"/>
    <cellStyle name="Input 2 2 2 5 7" xfId="7282"/>
    <cellStyle name="Input 2 2 2 6" xfId="7283"/>
    <cellStyle name="Input 2 2 2 6 2" xfId="7284"/>
    <cellStyle name="Input 2 2 2 6 3" xfId="7285"/>
    <cellStyle name="Input 2 2 2 6 4" xfId="7286"/>
    <cellStyle name="Input 2 2 2 6 5" xfId="7287"/>
    <cellStyle name="Input 2 2 2 6 6" xfId="7288"/>
    <cellStyle name="Input 2 2 2 6 7" xfId="7289"/>
    <cellStyle name="Input 2 2 2 7" xfId="7290"/>
    <cellStyle name="Input 2 2 2 7 2" xfId="7291"/>
    <cellStyle name="Input 2 2 2 7 3" xfId="7292"/>
    <cellStyle name="Input 2 2 2 7 4" xfId="7293"/>
    <cellStyle name="Input 2 2 2 7 5" xfId="7294"/>
    <cellStyle name="Input 2 2 2 7 6" xfId="7295"/>
    <cellStyle name="Input 2 2 2 7 7" xfId="7296"/>
    <cellStyle name="Input 2 2 2 8" xfId="7297"/>
    <cellStyle name="Input 2 2 2 8 2" xfId="7298"/>
    <cellStyle name="Input 2 2 2 8 3" xfId="7299"/>
    <cellStyle name="Input 2 2 2 8 4" xfId="7300"/>
    <cellStyle name="Input 2 2 2 8 5" xfId="7301"/>
    <cellStyle name="Input 2 2 2 8 6" xfId="7302"/>
    <cellStyle name="Input 2 2 2 8 7" xfId="7303"/>
    <cellStyle name="Input 2 2 2 9" xfId="7304"/>
    <cellStyle name="Input 2 2 2 9 2" xfId="7305"/>
    <cellStyle name="Input 2 2 2 9 3" xfId="7306"/>
    <cellStyle name="Input 2 2 2 9 4" xfId="7307"/>
    <cellStyle name="Input 2 2 2 9 5" xfId="7308"/>
    <cellStyle name="Input 2 2 2 9 6" xfId="7309"/>
    <cellStyle name="Input 2 2 2 9 7" xfId="7310"/>
    <cellStyle name="Input 20" xfId="7311"/>
    <cellStyle name="Input 20 10" xfId="7312"/>
    <cellStyle name="Input 20 10 2" xfId="7313"/>
    <cellStyle name="Input 20 10 3" xfId="7314"/>
    <cellStyle name="Input 20 10 4" xfId="7315"/>
    <cellStyle name="Input 20 10 5" xfId="7316"/>
    <cellStyle name="Input 20 10 6" xfId="7317"/>
    <cellStyle name="Input 20 10 7" xfId="7318"/>
    <cellStyle name="Input 20 11" xfId="7319"/>
    <cellStyle name="Input 20 11 2" xfId="7320"/>
    <cellStyle name="Input 20 11 3" xfId="7321"/>
    <cellStyle name="Input 20 11 4" xfId="7322"/>
    <cellStyle name="Input 20 11 5" xfId="7323"/>
    <cellStyle name="Input 20 11 6" xfId="7324"/>
    <cellStyle name="Input 20 12" xfId="7325"/>
    <cellStyle name="Input 20 12 2" xfId="7326"/>
    <cellStyle name="Input 20 12 3" xfId="7327"/>
    <cellStyle name="Input 20 12 4" xfId="7328"/>
    <cellStyle name="Input 20 12 5" xfId="7329"/>
    <cellStyle name="Input 20 12 6" xfId="7330"/>
    <cellStyle name="Input 20 13" xfId="7331"/>
    <cellStyle name="Input 20 14" xfId="7332"/>
    <cellStyle name="Input 20 15" xfId="7333"/>
    <cellStyle name="Input 20 16" xfId="7334"/>
    <cellStyle name="Input 20 2" xfId="7335"/>
    <cellStyle name="Input 20 2 10" xfId="7336"/>
    <cellStyle name="Input 20 2 10 2" xfId="7337"/>
    <cellStyle name="Input 20 2 10 3" xfId="7338"/>
    <cellStyle name="Input 20 2 10 4" xfId="7339"/>
    <cellStyle name="Input 20 2 10 5" xfId="7340"/>
    <cellStyle name="Input 20 2 10 6" xfId="7341"/>
    <cellStyle name="Input 20 2 11" xfId="7342"/>
    <cellStyle name="Input 20 2 12" xfId="7343"/>
    <cellStyle name="Input 20 2 13" xfId="7344"/>
    <cellStyle name="Input 20 2 14" xfId="7345"/>
    <cellStyle name="Input 20 2 2" xfId="7346"/>
    <cellStyle name="Input 20 2 2 2" xfId="7347"/>
    <cellStyle name="Input 20 2 2 3" xfId="7348"/>
    <cellStyle name="Input 20 2 2 4" xfId="7349"/>
    <cellStyle name="Input 20 2 2 5" xfId="7350"/>
    <cellStyle name="Input 20 2 2 6" xfId="7351"/>
    <cellStyle name="Input 20 2 2 7" xfId="7352"/>
    <cellStyle name="Input 20 2 3" xfId="7353"/>
    <cellStyle name="Input 20 2 3 2" xfId="7354"/>
    <cellStyle name="Input 20 2 3 3" xfId="7355"/>
    <cellStyle name="Input 20 2 3 4" xfId="7356"/>
    <cellStyle name="Input 20 2 3 5" xfId="7357"/>
    <cellStyle name="Input 20 2 3 6" xfId="7358"/>
    <cellStyle name="Input 20 2 3 7" xfId="7359"/>
    <cellStyle name="Input 20 2 4" xfId="7360"/>
    <cellStyle name="Input 20 2 4 2" xfId="7361"/>
    <cellStyle name="Input 20 2 4 3" xfId="7362"/>
    <cellStyle name="Input 20 2 4 4" xfId="7363"/>
    <cellStyle name="Input 20 2 4 5" xfId="7364"/>
    <cellStyle name="Input 20 2 4 6" xfId="7365"/>
    <cellStyle name="Input 20 2 4 7" xfId="7366"/>
    <cellStyle name="Input 20 2 5" xfId="7367"/>
    <cellStyle name="Input 20 2 5 2" xfId="7368"/>
    <cellStyle name="Input 20 2 5 3" xfId="7369"/>
    <cellStyle name="Input 20 2 5 4" xfId="7370"/>
    <cellStyle name="Input 20 2 5 5" xfId="7371"/>
    <cellStyle name="Input 20 2 5 6" xfId="7372"/>
    <cellStyle name="Input 20 2 5 7" xfId="7373"/>
    <cellStyle name="Input 20 2 6" xfId="7374"/>
    <cellStyle name="Input 20 2 6 2" xfId="7375"/>
    <cellStyle name="Input 20 2 6 3" xfId="7376"/>
    <cellStyle name="Input 20 2 6 4" xfId="7377"/>
    <cellStyle name="Input 20 2 6 5" xfId="7378"/>
    <cellStyle name="Input 20 2 6 6" xfId="7379"/>
    <cellStyle name="Input 20 2 6 7" xfId="7380"/>
    <cellStyle name="Input 20 2 7" xfId="7381"/>
    <cellStyle name="Input 20 2 7 2" xfId="7382"/>
    <cellStyle name="Input 20 2 7 3" xfId="7383"/>
    <cellStyle name="Input 20 2 7 4" xfId="7384"/>
    <cellStyle name="Input 20 2 7 5" xfId="7385"/>
    <cellStyle name="Input 20 2 7 6" xfId="7386"/>
    <cellStyle name="Input 20 2 7 7" xfId="7387"/>
    <cellStyle name="Input 20 2 8" xfId="7388"/>
    <cellStyle name="Input 20 2 8 2" xfId="7389"/>
    <cellStyle name="Input 20 2 8 3" xfId="7390"/>
    <cellStyle name="Input 20 2 8 4" xfId="7391"/>
    <cellStyle name="Input 20 2 8 5" xfId="7392"/>
    <cellStyle name="Input 20 2 8 6" xfId="7393"/>
    <cellStyle name="Input 20 2 8 7" xfId="7394"/>
    <cellStyle name="Input 20 2 9" xfId="7395"/>
    <cellStyle name="Input 20 2 9 2" xfId="7396"/>
    <cellStyle name="Input 20 2 9 3" xfId="7397"/>
    <cellStyle name="Input 20 2 9 4" xfId="7398"/>
    <cellStyle name="Input 20 2 9 5" xfId="7399"/>
    <cellStyle name="Input 20 2 9 6" xfId="7400"/>
    <cellStyle name="Input 20 3" xfId="7401"/>
    <cellStyle name="Input 20 3 10" xfId="7402"/>
    <cellStyle name="Input 20 3 10 2" xfId="7403"/>
    <cellStyle name="Input 20 3 10 3" xfId="7404"/>
    <cellStyle name="Input 20 3 10 4" xfId="7405"/>
    <cellStyle name="Input 20 3 10 5" xfId="7406"/>
    <cellStyle name="Input 20 3 10 6" xfId="7407"/>
    <cellStyle name="Input 20 3 11" xfId="7408"/>
    <cellStyle name="Input 20 3 12" xfId="7409"/>
    <cellStyle name="Input 20 3 13" xfId="7410"/>
    <cellStyle name="Input 20 3 14" xfId="7411"/>
    <cellStyle name="Input 20 3 2" xfId="7412"/>
    <cellStyle name="Input 20 3 2 2" xfId="7413"/>
    <cellStyle name="Input 20 3 2 3" xfId="7414"/>
    <cellStyle name="Input 20 3 2 4" xfId="7415"/>
    <cellStyle name="Input 20 3 2 5" xfId="7416"/>
    <cellStyle name="Input 20 3 2 6" xfId="7417"/>
    <cellStyle name="Input 20 3 2 7" xfId="7418"/>
    <cellStyle name="Input 20 3 3" xfId="7419"/>
    <cellStyle name="Input 20 3 3 2" xfId="7420"/>
    <cellStyle name="Input 20 3 3 3" xfId="7421"/>
    <cellStyle name="Input 20 3 3 4" xfId="7422"/>
    <cellStyle name="Input 20 3 3 5" xfId="7423"/>
    <cellStyle name="Input 20 3 3 6" xfId="7424"/>
    <cellStyle name="Input 20 3 3 7" xfId="7425"/>
    <cellStyle name="Input 20 3 4" xfId="7426"/>
    <cellStyle name="Input 20 3 4 2" xfId="7427"/>
    <cellStyle name="Input 20 3 4 3" xfId="7428"/>
    <cellStyle name="Input 20 3 4 4" xfId="7429"/>
    <cellStyle name="Input 20 3 4 5" xfId="7430"/>
    <cellStyle name="Input 20 3 4 6" xfId="7431"/>
    <cellStyle name="Input 20 3 4 7" xfId="7432"/>
    <cellStyle name="Input 20 3 5" xfId="7433"/>
    <cellStyle name="Input 20 3 5 2" xfId="7434"/>
    <cellStyle name="Input 20 3 5 3" xfId="7435"/>
    <cellStyle name="Input 20 3 5 4" xfId="7436"/>
    <cellStyle name="Input 20 3 5 5" xfId="7437"/>
    <cellStyle name="Input 20 3 5 6" xfId="7438"/>
    <cellStyle name="Input 20 3 5 7" xfId="7439"/>
    <cellStyle name="Input 20 3 6" xfId="7440"/>
    <cellStyle name="Input 20 3 6 2" xfId="7441"/>
    <cellStyle name="Input 20 3 6 3" xfId="7442"/>
    <cellStyle name="Input 20 3 6 4" xfId="7443"/>
    <cellStyle name="Input 20 3 6 5" xfId="7444"/>
    <cellStyle name="Input 20 3 6 6" xfId="7445"/>
    <cellStyle name="Input 20 3 6 7" xfId="7446"/>
    <cellStyle name="Input 20 3 7" xfId="7447"/>
    <cellStyle name="Input 20 3 7 2" xfId="7448"/>
    <cellStyle name="Input 20 3 7 3" xfId="7449"/>
    <cellStyle name="Input 20 3 7 4" xfId="7450"/>
    <cellStyle name="Input 20 3 7 5" xfId="7451"/>
    <cellStyle name="Input 20 3 7 6" xfId="7452"/>
    <cellStyle name="Input 20 3 7 7" xfId="7453"/>
    <cellStyle name="Input 20 3 8" xfId="7454"/>
    <cellStyle name="Input 20 3 8 2" xfId="7455"/>
    <cellStyle name="Input 20 3 8 3" xfId="7456"/>
    <cellStyle name="Input 20 3 8 4" xfId="7457"/>
    <cellStyle name="Input 20 3 8 5" xfId="7458"/>
    <cellStyle name="Input 20 3 8 6" xfId="7459"/>
    <cellStyle name="Input 20 3 8 7" xfId="7460"/>
    <cellStyle name="Input 20 3 9" xfId="7461"/>
    <cellStyle name="Input 20 3 9 2" xfId="7462"/>
    <cellStyle name="Input 20 3 9 3" xfId="7463"/>
    <cellStyle name="Input 20 3 9 4" xfId="7464"/>
    <cellStyle name="Input 20 3 9 5" xfId="7465"/>
    <cellStyle name="Input 20 3 9 6" xfId="7466"/>
    <cellStyle name="Input 20 4" xfId="7467"/>
    <cellStyle name="Input 20 4 2" xfId="7468"/>
    <cellStyle name="Input 20 4 3" xfId="7469"/>
    <cellStyle name="Input 20 4 4" xfId="7470"/>
    <cellStyle name="Input 20 4 5" xfId="7471"/>
    <cellStyle name="Input 20 4 6" xfId="7472"/>
    <cellStyle name="Input 20 4 7" xfId="7473"/>
    <cellStyle name="Input 20 5" xfId="7474"/>
    <cellStyle name="Input 20 5 2" xfId="7475"/>
    <cellStyle name="Input 20 5 3" xfId="7476"/>
    <cellStyle name="Input 20 5 4" xfId="7477"/>
    <cellStyle name="Input 20 5 5" xfId="7478"/>
    <cellStyle name="Input 20 5 6" xfId="7479"/>
    <cellStyle name="Input 20 5 7" xfId="7480"/>
    <cellStyle name="Input 20 6" xfId="7481"/>
    <cellStyle name="Input 20 6 2" xfId="7482"/>
    <cellStyle name="Input 20 6 3" xfId="7483"/>
    <cellStyle name="Input 20 6 4" xfId="7484"/>
    <cellStyle name="Input 20 6 5" xfId="7485"/>
    <cellStyle name="Input 20 6 6" xfId="7486"/>
    <cellStyle name="Input 20 6 7" xfId="7487"/>
    <cellStyle name="Input 20 7" xfId="7488"/>
    <cellStyle name="Input 20 7 2" xfId="7489"/>
    <cellStyle name="Input 20 7 3" xfId="7490"/>
    <cellStyle name="Input 20 7 4" xfId="7491"/>
    <cellStyle name="Input 20 7 5" xfId="7492"/>
    <cellStyle name="Input 20 7 6" xfId="7493"/>
    <cellStyle name="Input 20 7 7" xfId="7494"/>
    <cellStyle name="Input 20 8" xfId="7495"/>
    <cellStyle name="Input 20 8 2" xfId="7496"/>
    <cellStyle name="Input 20 8 3" xfId="7497"/>
    <cellStyle name="Input 20 8 4" xfId="7498"/>
    <cellStyle name="Input 20 8 5" xfId="7499"/>
    <cellStyle name="Input 20 8 6" xfId="7500"/>
    <cellStyle name="Input 20 8 7" xfId="7501"/>
    <cellStyle name="Input 20 9" xfId="7502"/>
    <cellStyle name="Input 20 9 2" xfId="7503"/>
    <cellStyle name="Input 20 9 3" xfId="7504"/>
    <cellStyle name="Input 20 9 4" xfId="7505"/>
    <cellStyle name="Input 20 9 5" xfId="7506"/>
    <cellStyle name="Input 20 9 6" xfId="7507"/>
    <cellStyle name="Input 20 9 7" xfId="7508"/>
    <cellStyle name="Input 21" xfId="7509"/>
    <cellStyle name="Input 21 10" xfId="7510"/>
    <cellStyle name="Input 21 10 2" xfId="7511"/>
    <cellStyle name="Input 21 10 3" xfId="7512"/>
    <cellStyle name="Input 21 10 4" xfId="7513"/>
    <cellStyle name="Input 21 10 5" xfId="7514"/>
    <cellStyle name="Input 21 10 6" xfId="7515"/>
    <cellStyle name="Input 21 10 7" xfId="7516"/>
    <cellStyle name="Input 21 11" xfId="7517"/>
    <cellStyle name="Input 21 11 2" xfId="7518"/>
    <cellStyle name="Input 21 11 3" xfId="7519"/>
    <cellStyle name="Input 21 11 4" xfId="7520"/>
    <cellStyle name="Input 21 11 5" xfId="7521"/>
    <cellStyle name="Input 21 11 6" xfId="7522"/>
    <cellStyle name="Input 21 12" xfId="7523"/>
    <cellStyle name="Input 21 12 2" xfId="7524"/>
    <cellStyle name="Input 21 12 3" xfId="7525"/>
    <cellStyle name="Input 21 12 4" xfId="7526"/>
    <cellStyle name="Input 21 12 5" xfId="7527"/>
    <cellStyle name="Input 21 12 6" xfId="7528"/>
    <cellStyle name="Input 21 13" xfId="7529"/>
    <cellStyle name="Input 21 14" xfId="7530"/>
    <cellStyle name="Input 21 15" xfId="7531"/>
    <cellStyle name="Input 21 16" xfId="7532"/>
    <cellStyle name="Input 21 2" xfId="7533"/>
    <cellStyle name="Input 21 2 10" xfId="7534"/>
    <cellStyle name="Input 21 2 10 2" xfId="7535"/>
    <cellStyle name="Input 21 2 10 3" xfId="7536"/>
    <cellStyle name="Input 21 2 10 4" xfId="7537"/>
    <cellStyle name="Input 21 2 10 5" xfId="7538"/>
    <cellStyle name="Input 21 2 10 6" xfId="7539"/>
    <cellStyle name="Input 21 2 11" xfId="7540"/>
    <cellStyle name="Input 21 2 12" xfId="7541"/>
    <cellStyle name="Input 21 2 13" xfId="7542"/>
    <cellStyle name="Input 21 2 14" xfId="7543"/>
    <cellStyle name="Input 21 2 2" xfId="7544"/>
    <cellStyle name="Input 21 2 2 2" xfId="7545"/>
    <cellStyle name="Input 21 2 2 3" xfId="7546"/>
    <cellStyle name="Input 21 2 2 4" xfId="7547"/>
    <cellStyle name="Input 21 2 2 5" xfId="7548"/>
    <cellStyle name="Input 21 2 2 6" xfId="7549"/>
    <cellStyle name="Input 21 2 2 7" xfId="7550"/>
    <cellStyle name="Input 21 2 3" xfId="7551"/>
    <cellStyle name="Input 21 2 3 2" xfId="7552"/>
    <cellStyle name="Input 21 2 3 3" xfId="7553"/>
    <cellStyle name="Input 21 2 3 4" xfId="7554"/>
    <cellStyle name="Input 21 2 3 5" xfId="7555"/>
    <cellStyle name="Input 21 2 3 6" xfId="7556"/>
    <cellStyle name="Input 21 2 3 7" xfId="7557"/>
    <cellStyle name="Input 21 2 4" xfId="7558"/>
    <cellStyle name="Input 21 2 4 2" xfId="7559"/>
    <cellStyle name="Input 21 2 4 3" xfId="7560"/>
    <cellStyle name="Input 21 2 4 4" xfId="7561"/>
    <cellStyle name="Input 21 2 4 5" xfId="7562"/>
    <cellStyle name="Input 21 2 4 6" xfId="7563"/>
    <cellStyle name="Input 21 2 4 7" xfId="7564"/>
    <cellStyle name="Input 21 2 5" xfId="7565"/>
    <cellStyle name="Input 21 2 5 2" xfId="7566"/>
    <cellStyle name="Input 21 2 5 3" xfId="7567"/>
    <cellStyle name="Input 21 2 5 4" xfId="7568"/>
    <cellStyle name="Input 21 2 5 5" xfId="7569"/>
    <cellStyle name="Input 21 2 5 6" xfId="7570"/>
    <cellStyle name="Input 21 2 5 7" xfId="7571"/>
    <cellStyle name="Input 21 2 6" xfId="7572"/>
    <cellStyle name="Input 21 2 6 2" xfId="7573"/>
    <cellStyle name="Input 21 2 6 3" xfId="7574"/>
    <cellStyle name="Input 21 2 6 4" xfId="7575"/>
    <cellStyle name="Input 21 2 6 5" xfId="7576"/>
    <cellStyle name="Input 21 2 6 6" xfId="7577"/>
    <cellStyle name="Input 21 2 6 7" xfId="7578"/>
    <cellStyle name="Input 21 2 7" xfId="7579"/>
    <cellStyle name="Input 21 2 7 2" xfId="7580"/>
    <cellStyle name="Input 21 2 7 3" xfId="7581"/>
    <cellStyle name="Input 21 2 7 4" xfId="7582"/>
    <cellStyle name="Input 21 2 7 5" xfId="7583"/>
    <cellStyle name="Input 21 2 7 6" xfId="7584"/>
    <cellStyle name="Input 21 2 7 7" xfId="7585"/>
    <cellStyle name="Input 21 2 8" xfId="7586"/>
    <cellStyle name="Input 21 2 8 2" xfId="7587"/>
    <cellStyle name="Input 21 2 8 3" xfId="7588"/>
    <cellStyle name="Input 21 2 8 4" xfId="7589"/>
    <cellStyle name="Input 21 2 8 5" xfId="7590"/>
    <cellStyle name="Input 21 2 8 6" xfId="7591"/>
    <cellStyle name="Input 21 2 8 7" xfId="7592"/>
    <cellStyle name="Input 21 2 9" xfId="7593"/>
    <cellStyle name="Input 21 2 9 2" xfId="7594"/>
    <cellStyle name="Input 21 2 9 3" xfId="7595"/>
    <cellStyle name="Input 21 2 9 4" xfId="7596"/>
    <cellStyle name="Input 21 2 9 5" xfId="7597"/>
    <cellStyle name="Input 21 2 9 6" xfId="7598"/>
    <cellStyle name="Input 21 3" xfId="7599"/>
    <cellStyle name="Input 21 3 10" xfId="7600"/>
    <cellStyle name="Input 21 3 10 2" xfId="7601"/>
    <cellStyle name="Input 21 3 10 3" xfId="7602"/>
    <cellStyle name="Input 21 3 10 4" xfId="7603"/>
    <cellStyle name="Input 21 3 10 5" xfId="7604"/>
    <cellStyle name="Input 21 3 10 6" xfId="7605"/>
    <cellStyle name="Input 21 3 11" xfId="7606"/>
    <cellStyle name="Input 21 3 12" xfId="7607"/>
    <cellStyle name="Input 21 3 13" xfId="7608"/>
    <cellStyle name="Input 21 3 14" xfId="7609"/>
    <cellStyle name="Input 21 3 2" xfId="7610"/>
    <cellStyle name="Input 21 3 2 2" xfId="7611"/>
    <cellStyle name="Input 21 3 2 3" xfId="7612"/>
    <cellStyle name="Input 21 3 2 4" xfId="7613"/>
    <cellStyle name="Input 21 3 2 5" xfId="7614"/>
    <cellStyle name="Input 21 3 2 6" xfId="7615"/>
    <cellStyle name="Input 21 3 2 7" xfId="7616"/>
    <cellStyle name="Input 21 3 3" xfId="7617"/>
    <cellStyle name="Input 21 3 3 2" xfId="7618"/>
    <cellStyle name="Input 21 3 3 3" xfId="7619"/>
    <cellStyle name="Input 21 3 3 4" xfId="7620"/>
    <cellStyle name="Input 21 3 3 5" xfId="7621"/>
    <cellStyle name="Input 21 3 3 6" xfId="7622"/>
    <cellStyle name="Input 21 3 3 7" xfId="7623"/>
    <cellStyle name="Input 21 3 4" xfId="7624"/>
    <cellStyle name="Input 21 3 4 2" xfId="7625"/>
    <cellStyle name="Input 21 3 4 3" xfId="7626"/>
    <cellStyle name="Input 21 3 4 4" xfId="7627"/>
    <cellStyle name="Input 21 3 4 5" xfId="7628"/>
    <cellStyle name="Input 21 3 4 6" xfId="7629"/>
    <cellStyle name="Input 21 3 4 7" xfId="7630"/>
    <cellStyle name="Input 21 3 5" xfId="7631"/>
    <cellStyle name="Input 21 3 5 2" xfId="7632"/>
    <cellStyle name="Input 21 3 5 3" xfId="7633"/>
    <cellStyle name="Input 21 3 5 4" xfId="7634"/>
    <cellStyle name="Input 21 3 5 5" xfId="7635"/>
    <cellStyle name="Input 21 3 5 6" xfId="7636"/>
    <cellStyle name="Input 21 3 5 7" xfId="7637"/>
    <cellStyle name="Input 21 3 6" xfId="7638"/>
    <cellStyle name="Input 21 3 6 2" xfId="7639"/>
    <cellStyle name="Input 21 3 6 3" xfId="7640"/>
    <cellStyle name="Input 21 3 6 4" xfId="7641"/>
    <cellStyle name="Input 21 3 6 5" xfId="7642"/>
    <cellStyle name="Input 21 3 6 6" xfId="7643"/>
    <cellStyle name="Input 21 3 6 7" xfId="7644"/>
    <cellStyle name="Input 21 3 7" xfId="7645"/>
    <cellStyle name="Input 21 3 7 2" xfId="7646"/>
    <cellStyle name="Input 21 3 7 3" xfId="7647"/>
    <cellStyle name="Input 21 3 7 4" xfId="7648"/>
    <cellStyle name="Input 21 3 7 5" xfId="7649"/>
    <cellStyle name="Input 21 3 7 6" xfId="7650"/>
    <cellStyle name="Input 21 3 7 7" xfId="7651"/>
    <cellStyle name="Input 21 3 8" xfId="7652"/>
    <cellStyle name="Input 21 3 8 2" xfId="7653"/>
    <cellStyle name="Input 21 3 8 3" xfId="7654"/>
    <cellStyle name="Input 21 3 8 4" xfId="7655"/>
    <cellStyle name="Input 21 3 8 5" xfId="7656"/>
    <cellStyle name="Input 21 3 8 6" xfId="7657"/>
    <cellStyle name="Input 21 3 8 7" xfId="7658"/>
    <cellStyle name="Input 21 3 9" xfId="7659"/>
    <cellStyle name="Input 21 3 9 2" xfId="7660"/>
    <cellStyle name="Input 21 3 9 3" xfId="7661"/>
    <cellStyle name="Input 21 3 9 4" xfId="7662"/>
    <cellStyle name="Input 21 3 9 5" xfId="7663"/>
    <cellStyle name="Input 21 3 9 6" xfId="7664"/>
    <cellStyle name="Input 21 4" xfId="7665"/>
    <cellStyle name="Input 21 4 2" xfId="7666"/>
    <cellStyle name="Input 21 4 3" xfId="7667"/>
    <cellStyle name="Input 21 4 4" xfId="7668"/>
    <cellStyle name="Input 21 4 5" xfId="7669"/>
    <cellStyle name="Input 21 4 6" xfId="7670"/>
    <cellStyle name="Input 21 4 7" xfId="7671"/>
    <cellStyle name="Input 21 5" xfId="7672"/>
    <cellStyle name="Input 21 5 2" xfId="7673"/>
    <cellStyle name="Input 21 5 3" xfId="7674"/>
    <cellStyle name="Input 21 5 4" xfId="7675"/>
    <cellStyle name="Input 21 5 5" xfId="7676"/>
    <cellStyle name="Input 21 5 6" xfId="7677"/>
    <cellStyle name="Input 21 5 7" xfId="7678"/>
    <cellStyle name="Input 21 6" xfId="7679"/>
    <cellStyle name="Input 21 6 2" xfId="7680"/>
    <cellStyle name="Input 21 6 3" xfId="7681"/>
    <cellStyle name="Input 21 6 4" xfId="7682"/>
    <cellStyle name="Input 21 6 5" xfId="7683"/>
    <cellStyle name="Input 21 6 6" xfId="7684"/>
    <cellStyle name="Input 21 6 7" xfId="7685"/>
    <cellStyle name="Input 21 7" xfId="7686"/>
    <cellStyle name="Input 21 7 2" xfId="7687"/>
    <cellStyle name="Input 21 7 3" xfId="7688"/>
    <cellStyle name="Input 21 7 4" xfId="7689"/>
    <cellStyle name="Input 21 7 5" xfId="7690"/>
    <cellStyle name="Input 21 7 6" xfId="7691"/>
    <cellStyle name="Input 21 7 7" xfId="7692"/>
    <cellStyle name="Input 21 8" xfId="7693"/>
    <cellStyle name="Input 21 8 2" xfId="7694"/>
    <cellStyle name="Input 21 8 3" xfId="7695"/>
    <cellStyle name="Input 21 8 4" xfId="7696"/>
    <cellStyle name="Input 21 8 5" xfId="7697"/>
    <cellStyle name="Input 21 8 6" xfId="7698"/>
    <cellStyle name="Input 21 8 7" xfId="7699"/>
    <cellStyle name="Input 21 9" xfId="7700"/>
    <cellStyle name="Input 21 9 2" xfId="7701"/>
    <cellStyle name="Input 21 9 3" xfId="7702"/>
    <cellStyle name="Input 21 9 4" xfId="7703"/>
    <cellStyle name="Input 21 9 5" xfId="7704"/>
    <cellStyle name="Input 21 9 6" xfId="7705"/>
    <cellStyle name="Input 21 9 7" xfId="7706"/>
    <cellStyle name="Input 22" xfId="7707"/>
    <cellStyle name="Input 22 10" xfId="7708"/>
    <cellStyle name="Input 22 10 2" xfId="7709"/>
    <cellStyle name="Input 22 10 3" xfId="7710"/>
    <cellStyle name="Input 22 10 4" xfId="7711"/>
    <cellStyle name="Input 22 10 5" xfId="7712"/>
    <cellStyle name="Input 22 10 6" xfId="7713"/>
    <cellStyle name="Input 22 10 7" xfId="7714"/>
    <cellStyle name="Input 22 11" xfId="7715"/>
    <cellStyle name="Input 22 11 2" xfId="7716"/>
    <cellStyle name="Input 22 11 3" xfId="7717"/>
    <cellStyle name="Input 22 11 4" xfId="7718"/>
    <cellStyle name="Input 22 11 5" xfId="7719"/>
    <cellStyle name="Input 22 11 6" xfId="7720"/>
    <cellStyle name="Input 22 12" xfId="7721"/>
    <cellStyle name="Input 22 12 2" xfId="7722"/>
    <cellStyle name="Input 22 12 3" xfId="7723"/>
    <cellStyle name="Input 22 12 4" xfId="7724"/>
    <cellStyle name="Input 22 12 5" xfId="7725"/>
    <cellStyle name="Input 22 12 6" xfId="7726"/>
    <cellStyle name="Input 22 13" xfId="7727"/>
    <cellStyle name="Input 22 14" xfId="7728"/>
    <cellStyle name="Input 22 15" xfId="7729"/>
    <cellStyle name="Input 22 16" xfId="7730"/>
    <cellStyle name="Input 22 2" xfId="7731"/>
    <cellStyle name="Input 22 2 10" xfId="7732"/>
    <cellStyle name="Input 22 2 10 2" xfId="7733"/>
    <cellStyle name="Input 22 2 10 3" xfId="7734"/>
    <cellStyle name="Input 22 2 10 4" xfId="7735"/>
    <cellStyle name="Input 22 2 10 5" xfId="7736"/>
    <cellStyle name="Input 22 2 10 6" xfId="7737"/>
    <cellStyle name="Input 22 2 11" xfId="7738"/>
    <cellStyle name="Input 22 2 12" xfId="7739"/>
    <cellStyle name="Input 22 2 13" xfId="7740"/>
    <cellStyle name="Input 22 2 14" xfId="7741"/>
    <cellStyle name="Input 22 2 2" xfId="7742"/>
    <cellStyle name="Input 22 2 2 2" xfId="7743"/>
    <cellStyle name="Input 22 2 2 3" xfId="7744"/>
    <cellStyle name="Input 22 2 2 4" xfId="7745"/>
    <cellStyle name="Input 22 2 2 5" xfId="7746"/>
    <cellStyle name="Input 22 2 2 6" xfId="7747"/>
    <cellStyle name="Input 22 2 2 7" xfId="7748"/>
    <cellStyle name="Input 22 2 3" xfId="7749"/>
    <cellStyle name="Input 22 2 3 2" xfId="7750"/>
    <cellStyle name="Input 22 2 3 3" xfId="7751"/>
    <cellStyle name="Input 22 2 3 4" xfId="7752"/>
    <cellStyle name="Input 22 2 3 5" xfId="7753"/>
    <cellStyle name="Input 22 2 3 6" xfId="7754"/>
    <cellStyle name="Input 22 2 3 7" xfId="7755"/>
    <cellStyle name="Input 22 2 4" xfId="7756"/>
    <cellStyle name="Input 22 2 4 2" xfId="7757"/>
    <cellStyle name="Input 22 2 4 3" xfId="7758"/>
    <cellStyle name="Input 22 2 4 4" xfId="7759"/>
    <cellStyle name="Input 22 2 4 5" xfId="7760"/>
    <cellStyle name="Input 22 2 4 6" xfId="7761"/>
    <cellStyle name="Input 22 2 4 7" xfId="7762"/>
    <cellStyle name="Input 22 2 5" xfId="7763"/>
    <cellStyle name="Input 22 2 5 2" xfId="7764"/>
    <cellStyle name="Input 22 2 5 3" xfId="7765"/>
    <cellStyle name="Input 22 2 5 4" xfId="7766"/>
    <cellStyle name="Input 22 2 5 5" xfId="7767"/>
    <cellStyle name="Input 22 2 5 6" xfId="7768"/>
    <cellStyle name="Input 22 2 5 7" xfId="7769"/>
    <cellStyle name="Input 22 2 6" xfId="7770"/>
    <cellStyle name="Input 22 2 6 2" xfId="7771"/>
    <cellStyle name="Input 22 2 6 3" xfId="7772"/>
    <cellStyle name="Input 22 2 6 4" xfId="7773"/>
    <cellStyle name="Input 22 2 6 5" xfId="7774"/>
    <cellStyle name="Input 22 2 6 6" xfId="7775"/>
    <cellStyle name="Input 22 2 6 7" xfId="7776"/>
    <cellStyle name="Input 22 2 7" xfId="7777"/>
    <cellStyle name="Input 22 2 7 2" xfId="7778"/>
    <cellStyle name="Input 22 2 7 3" xfId="7779"/>
    <cellStyle name="Input 22 2 7 4" xfId="7780"/>
    <cellStyle name="Input 22 2 7 5" xfId="7781"/>
    <cellStyle name="Input 22 2 7 6" xfId="7782"/>
    <cellStyle name="Input 22 2 7 7" xfId="7783"/>
    <cellStyle name="Input 22 2 8" xfId="7784"/>
    <cellStyle name="Input 22 2 8 2" xfId="7785"/>
    <cellStyle name="Input 22 2 8 3" xfId="7786"/>
    <cellStyle name="Input 22 2 8 4" xfId="7787"/>
    <cellStyle name="Input 22 2 8 5" xfId="7788"/>
    <cellStyle name="Input 22 2 8 6" xfId="7789"/>
    <cellStyle name="Input 22 2 8 7" xfId="7790"/>
    <cellStyle name="Input 22 2 9" xfId="7791"/>
    <cellStyle name="Input 22 2 9 2" xfId="7792"/>
    <cellStyle name="Input 22 2 9 3" xfId="7793"/>
    <cellStyle name="Input 22 2 9 4" xfId="7794"/>
    <cellStyle name="Input 22 2 9 5" xfId="7795"/>
    <cellStyle name="Input 22 2 9 6" xfId="7796"/>
    <cellStyle name="Input 22 3" xfId="7797"/>
    <cellStyle name="Input 22 3 10" xfId="7798"/>
    <cellStyle name="Input 22 3 10 2" xfId="7799"/>
    <cellStyle name="Input 22 3 10 3" xfId="7800"/>
    <cellStyle name="Input 22 3 10 4" xfId="7801"/>
    <cellStyle name="Input 22 3 10 5" xfId="7802"/>
    <cellStyle name="Input 22 3 10 6" xfId="7803"/>
    <cellStyle name="Input 22 3 11" xfId="7804"/>
    <cellStyle name="Input 22 3 12" xfId="7805"/>
    <cellStyle name="Input 22 3 13" xfId="7806"/>
    <cellStyle name="Input 22 3 14" xfId="7807"/>
    <cellStyle name="Input 22 3 2" xfId="7808"/>
    <cellStyle name="Input 22 3 2 2" xfId="7809"/>
    <cellStyle name="Input 22 3 2 3" xfId="7810"/>
    <cellStyle name="Input 22 3 2 4" xfId="7811"/>
    <cellStyle name="Input 22 3 2 5" xfId="7812"/>
    <cellStyle name="Input 22 3 2 6" xfId="7813"/>
    <cellStyle name="Input 22 3 2 7" xfId="7814"/>
    <cellStyle name="Input 22 3 3" xfId="7815"/>
    <cellStyle name="Input 22 3 3 2" xfId="7816"/>
    <cellStyle name="Input 22 3 3 3" xfId="7817"/>
    <cellStyle name="Input 22 3 3 4" xfId="7818"/>
    <cellStyle name="Input 22 3 3 5" xfId="7819"/>
    <cellStyle name="Input 22 3 3 6" xfId="7820"/>
    <cellStyle name="Input 22 3 3 7" xfId="7821"/>
    <cellStyle name="Input 22 3 4" xfId="7822"/>
    <cellStyle name="Input 22 3 4 2" xfId="7823"/>
    <cellStyle name="Input 22 3 4 3" xfId="7824"/>
    <cellStyle name="Input 22 3 4 4" xfId="7825"/>
    <cellStyle name="Input 22 3 4 5" xfId="7826"/>
    <cellStyle name="Input 22 3 4 6" xfId="7827"/>
    <cellStyle name="Input 22 3 4 7" xfId="7828"/>
    <cellStyle name="Input 22 3 5" xfId="7829"/>
    <cellStyle name="Input 22 3 5 2" xfId="7830"/>
    <cellStyle name="Input 22 3 5 3" xfId="7831"/>
    <cellStyle name="Input 22 3 5 4" xfId="7832"/>
    <cellStyle name="Input 22 3 5 5" xfId="7833"/>
    <cellStyle name="Input 22 3 5 6" xfId="7834"/>
    <cellStyle name="Input 22 3 5 7" xfId="7835"/>
    <cellStyle name="Input 22 3 6" xfId="7836"/>
    <cellStyle name="Input 22 3 6 2" xfId="7837"/>
    <cellStyle name="Input 22 3 6 3" xfId="7838"/>
    <cellStyle name="Input 22 3 6 4" xfId="7839"/>
    <cellStyle name="Input 22 3 6 5" xfId="7840"/>
    <cellStyle name="Input 22 3 6 6" xfId="7841"/>
    <cellStyle name="Input 22 3 6 7" xfId="7842"/>
    <cellStyle name="Input 22 3 7" xfId="7843"/>
    <cellStyle name="Input 22 3 7 2" xfId="7844"/>
    <cellStyle name="Input 22 3 7 3" xfId="7845"/>
    <cellStyle name="Input 22 3 7 4" xfId="7846"/>
    <cellStyle name="Input 22 3 7 5" xfId="7847"/>
    <cellStyle name="Input 22 3 7 6" xfId="7848"/>
    <cellStyle name="Input 22 3 7 7" xfId="7849"/>
    <cellStyle name="Input 22 3 8" xfId="7850"/>
    <cellStyle name="Input 22 3 8 2" xfId="7851"/>
    <cellStyle name="Input 22 3 8 3" xfId="7852"/>
    <cellStyle name="Input 22 3 8 4" xfId="7853"/>
    <cellStyle name="Input 22 3 8 5" xfId="7854"/>
    <cellStyle name="Input 22 3 8 6" xfId="7855"/>
    <cellStyle name="Input 22 3 8 7" xfId="7856"/>
    <cellStyle name="Input 22 3 9" xfId="7857"/>
    <cellStyle name="Input 22 3 9 2" xfId="7858"/>
    <cellStyle name="Input 22 3 9 3" xfId="7859"/>
    <cellStyle name="Input 22 3 9 4" xfId="7860"/>
    <cellStyle name="Input 22 3 9 5" xfId="7861"/>
    <cellStyle name="Input 22 3 9 6" xfId="7862"/>
    <cellStyle name="Input 22 4" xfId="7863"/>
    <cellStyle name="Input 22 4 2" xfId="7864"/>
    <cellStyle name="Input 22 4 3" xfId="7865"/>
    <cellStyle name="Input 22 4 4" xfId="7866"/>
    <cellStyle name="Input 22 4 5" xfId="7867"/>
    <cellStyle name="Input 22 4 6" xfId="7868"/>
    <cellStyle name="Input 22 4 7" xfId="7869"/>
    <cellStyle name="Input 22 5" xfId="7870"/>
    <cellStyle name="Input 22 5 2" xfId="7871"/>
    <cellStyle name="Input 22 5 3" xfId="7872"/>
    <cellStyle name="Input 22 5 4" xfId="7873"/>
    <cellStyle name="Input 22 5 5" xfId="7874"/>
    <cellStyle name="Input 22 5 6" xfId="7875"/>
    <cellStyle name="Input 22 5 7" xfId="7876"/>
    <cellStyle name="Input 22 6" xfId="7877"/>
    <cellStyle name="Input 22 6 2" xfId="7878"/>
    <cellStyle name="Input 22 6 3" xfId="7879"/>
    <cellStyle name="Input 22 6 4" xfId="7880"/>
    <cellStyle name="Input 22 6 5" xfId="7881"/>
    <cellStyle name="Input 22 6 6" xfId="7882"/>
    <cellStyle name="Input 22 6 7" xfId="7883"/>
    <cellStyle name="Input 22 7" xfId="7884"/>
    <cellStyle name="Input 22 7 2" xfId="7885"/>
    <cellStyle name="Input 22 7 3" xfId="7886"/>
    <cellStyle name="Input 22 7 4" xfId="7887"/>
    <cellStyle name="Input 22 7 5" xfId="7888"/>
    <cellStyle name="Input 22 7 6" xfId="7889"/>
    <cellStyle name="Input 22 7 7" xfId="7890"/>
    <cellStyle name="Input 22 8" xfId="7891"/>
    <cellStyle name="Input 22 8 2" xfId="7892"/>
    <cellStyle name="Input 22 8 3" xfId="7893"/>
    <cellStyle name="Input 22 8 4" xfId="7894"/>
    <cellStyle name="Input 22 8 5" xfId="7895"/>
    <cellStyle name="Input 22 8 6" xfId="7896"/>
    <cellStyle name="Input 22 8 7" xfId="7897"/>
    <cellStyle name="Input 22 9" xfId="7898"/>
    <cellStyle name="Input 22 9 2" xfId="7899"/>
    <cellStyle name="Input 22 9 3" xfId="7900"/>
    <cellStyle name="Input 22 9 4" xfId="7901"/>
    <cellStyle name="Input 22 9 5" xfId="7902"/>
    <cellStyle name="Input 22 9 6" xfId="7903"/>
    <cellStyle name="Input 22 9 7" xfId="7904"/>
    <cellStyle name="Input 23" xfId="7905"/>
    <cellStyle name="Input 23 10" xfId="7906"/>
    <cellStyle name="Input 23 10 2" xfId="7907"/>
    <cellStyle name="Input 23 10 3" xfId="7908"/>
    <cellStyle name="Input 23 10 4" xfId="7909"/>
    <cellStyle name="Input 23 10 5" xfId="7910"/>
    <cellStyle name="Input 23 10 6" xfId="7911"/>
    <cellStyle name="Input 23 10 7" xfId="7912"/>
    <cellStyle name="Input 23 11" xfId="7913"/>
    <cellStyle name="Input 23 11 2" xfId="7914"/>
    <cellStyle name="Input 23 11 3" xfId="7915"/>
    <cellStyle name="Input 23 11 4" xfId="7916"/>
    <cellStyle name="Input 23 11 5" xfId="7917"/>
    <cellStyle name="Input 23 11 6" xfId="7918"/>
    <cellStyle name="Input 23 12" xfId="7919"/>
    <cellStyle name="Input 23 12 2" xfId="7920"/>
    <cellStyle name="Input 23 12 3" xfId="7921"/>
    <cellStyle name="Input 23 12 4" xfId="7922"/>
    <cellStyle name="Input 23 12 5" xfId="7923"/>
    <cellStyle name="Input 23 12 6" xfId="7924"/>
    <cellStyle name="Input 23 13" xfId="7925"/>
    <cellStyle name="Input 23 14" xfId="7926"/>
    <cellStyle name="Input 23 15" xfId="7927"/>
    <cellStyle name="Input 23 16" xfId="7928"/>
    <cellStyle name="Input 23 2" xfId="7929"/>
    <cellStyle name="Input 23 2 10" xfId="7930"/>
    <cellStyle name="Input 23 2 10 2" xfId="7931"/>
    <cellStyle name="Input 23 2 10 3" xfId="7932"/>
    <cellStyle name="Input 23 2 10 4" xfId="7933"/>
    <cellStyle name="Input 23 2 10 5" xfId="7934"/>
    <cellStyle name="Input 23 2 10 6" xfId="7935"/>
    <cellStyle name="Input 23 2 11" xfId="7936"/>
    <cellStyle name="Input 23 2 12" xfId="7937"/>
    <cellStyle name="Input 23 2 13" xfId="7938"/>
    <cellStyle name="Input 23 2 14" xfId="7939"/>
    <cellStyle name="Input 23 2 2" xfId="7940"/>
    <cellStyle name="Input 23 2 2 2" xfId="7941"/>
    <cellStyle name="Input 23 2 2 3" xfId="7942"/>
    <cellStyle name="Input 23 2 2 4" xfId="7943"/>
    <cellStyle name="Input 23 2 2 5" xfId="7944"/>
    <cellStyle name="Input 23 2 2 6" xfId="7945"/>
    <cellStyle name="Input 23 2 2 7" xfId="7946"/>
    <cellStyle name="Input 23 2 3" xfId="7947"/>
    <cellStyle name="Input 23 2 3 2" xfId="7948"/>
    <cellStyle name="Input 23 2 3 3" xfId="7949"/>
    <cellStyle name="Input 23 2 3 4" xfId="7950"/>
    <cellStyle name="Input 23 2 3 5" xfId="7951"/>
    <cellStyle name="Input 23 2 3 6" xfId="7952"/>
    <cellStyle name="Input 23 2 3 7" xfId="7953"/>
    <cellStyle name="Input 23 2 4" xfId="7954"/>
    <cellStyle name="Input 23 2 4 2" xfId="7955"/>
    <cellStyle name="Input 23 2 4 3" xfId="7956"/>
    <cellStyle name="Input 23 2 4 4" xfId="7957"/>
    <cellStyle name="Input 23 2 4 5" xfId="7958"/>
    <cellStyle name="Input 23 2 4 6" xfId="7959"/>
    <cellStyle name="Input 23 2 4 7" xfId="7960"/>
    <cellStyle name="Input 23 2 5" xfId="7961"/>
    <cellStyle name="Input 23 2 5 2" xfId="7962"/>
    <cellStyle name="Input 23 2 5 3" xfId="7963"/>
    <cellStyle name="Input 23 2 5 4" xfId="7964"/>
    <cellStyle name="Input 23 2 5 5" xfId="7965"/>
    <cellStyle name="Input 23 2 5 6" xfId="7966"/>
    <cellStyle name="Input 23 2 5 7" xfId="7967"/>
    <cellStyle name="Input 23 2 6" xfId="7968"/>
    <cellStyle name="Input 23 2 6 2" xfId="7969"/>
    <cellStyle name="Input 23 2 6 3" xfId="7970"/>
    <cellStyle name="Input 23 2 6 4" xfId="7971"/>
    <cellStyle name="Input 23 2 6 5" xfId="7972"/>
    <cellStyle name="Input 23 2 6 6" xfId="7973"/>
    <cellStyle name="Input 23 2 6 7" xfId="7974"/>
    <cellStyle name="Input 23 2 7" xfId="7975"/>
    <cellStyle name="Input 23 2 7 2" xfId="7976"/>
    <cellStyle name="Input 23 2 7 3" xfId="7977"/>
    <cellStyle name="Input 23 2 7 4" xfId="7978"/>
    <cellStyle name="Input 23 2 7 5" xfId="7979"/>
    <cellStyle name="Input 23 2 7 6" xfId="7980"/>
    <cellStyle name="Input 23 2 7 7" xfId="7981"/>
    <cellStyle name="Input 23 2 8" xfId="7982"/>
    <cellStyle name="Input 23 2 8 2" xfId="7983"/>
    <cellStyle name="Input 23 2 8 3" xfId="7984"/>
    <cellStyle name="Input 23 2 8 4" xfId="7985"/>
    <cellStyle name="Input 23 2 8 5" xfId="7986"/>
    <cellStyle name="Input 23 2 8 6" xfId="7987"/>
    <cellStyle name="Input 23 2 8 7" xfId="7988"/>
    <cellStyle name="Input 23 2 9" xfId="7989"/>
    <cellStyle name="Input 23 2 9 2" xfId="7990"/>
    <cellStyle name="Input 23 2 9 3" xfId="7991"/>
    <cellStyle name="Input 23 2 9 4" xfId="7992"/>
    <cellStyle name="Input 23 2 9 5" xfId="7993"/>
    <cellStyle name="Input 23 2 9 6" xfId="7994"/>
    <cellStyle name="Input 23 3" xfId="7995"/>
    <cellStyle name="Input 23 3 10" xfId="7996"/>
    <cellStyle name="Input 23 3 10 2" xfId="7997"/>
    <cellStyle name="Input 23 3 10 3" xfId="7998"/>
    <cellStyle name="Input 23 3 10 4" xfId="7999"/>
    <cellStyle name="Input 23 3 10 5" xfId="8000"/>
    <cellStyle name="Input 23 3 10 6" xfId="8001"/>
    <cellStyle name="Input 23 3 11" xfId="8002"/>
    <cellStyle name="Input 23 3 12" xfId="8003"/>
    <cellStyle name="Input 23 3 13" xfId="8004"/>
    <cellStyle name="Input 23 3 14" xfId="8005"/>
    <cellStyle name="Input 23 3 2" xfId="8006"/>
    <cellStyle name="Input 23 3 2 2" xfId="8007"/>
    <cellStyle name="Input 23 3 2 3" xfId="8008"/>
    <cellStyle name="Input 23 3 2 4" xfId="8009"/>
    <cellStyle name="Input 23 3 2 5" xfId="8010"/>
    <cellStyle name="Input 23 3 2 6" xfId="8011"/>
    <cellStyle name="Input 23 3 2 7" xfId="8012"/>
    <cellStyle name="Input 23 3 3" xfId="8013"/>
    <cellStyle name="Input 23 3 3 2" xfId="8014"/>
    <cellStyle name="Input 23 3 3 3" xfId="8015"/>
    <cellStyle name="Input 23 3 3 4" xfId="8016"/>
    <cellStyle name="Input 23 3 3 5" xfId="8017"/>
    <cellStyle name="Input 23 3 3 6" xfId="8018"/>
    <cellStyle name="Input 23 3 3 7" xfId="8019"/>
    <cellStyle name="Input 23 3 4" xfId="8020"/>
    <cellStyle name="Input 23 3 4 2" xfId="8021"/>
    <cellStyle name="Input 23 3 4 3" xfId="8022"/>
    <cellStyle name="Input 23 3 4 4" xfId="8023"/>
    <cellStyle name="Input 23 3 4 5" xfId="8024"/>
    <cellStyle name="Input 23 3 4 6" xfId="8025"/>
    <cellStyle name="Input 23 3 4 7" xfId="8026"/>
    <cellStyle name="Input 23 3 5" xfId="8027"/>
    <cellStyle name="Input 23 3 5 2" xfId="8028"/>
    <cellStyle name="Input 23 3 5 3" xfId="8029"/>
    <cellStyle name="Input 23 3 5 4" xfId="8030"/>
    <cellStyle name="Input 23 3 5 5" xfId="8031"/>
    <cellStyle name="Input 23 3 5 6" xfId="8032"/>
    <cellStyle name="Input 23 3 5 7" xfId="8033"/>
    <cellStyle name="Input 23 3 6" xfId="8034"/>
    <cellStyle name="Input 23 3 6 2" xfId="8035"/>
    <cellStyle name="Input 23 3 6 3" xfId="8036"/>
    <cellStyle name="Input 23 3 6 4" xfId="8037"/>
    <cellStyle name="Input 23 3 6 5" xfId="8038"/>
    <cellStyle name="Input 23 3 6 6" xfId="8039"/>
    <cellStyle name="Input 23 3 6 7" xfId="8040"/>
    <cellStyle name="Input 23 3 7" xfId="8041"/>
    <cellStyle name="Input 23 3 7 2" xfId="8042"/>
    <cellStyle name="Input 23 3 7 3" xfId="8043"/>
    <cellStyle name="Input 23 3 7 4" xfId="8044"/>
    <cellStyle name="Input 23 3 7 5" xfId="8045"/>
    <cellStyle name="Input 23 3 7 6" xfId="8046"/>
    <cellStyle name="Input 23 3 7 7" xfId="8047"/>
    <cellStyle name="Input 23 3 8" xfId="8048"/>
    <cellStyle name="Input 23 3 8 2" xfId="8049"/>
    <cellStyle name="Input 23 3 8 3" xfId="8050"/>
    <cellStyle name="Input 23 3 8 4" xfId="8051"/>
    <cellStyle name="Input 23 3 8 5" xfId="8052"/>
    <cellStyle name="Input 23 3 8 6" xfId="8053"/>
    <cellStyle name="Input 23 3 8 7" xfId="8054"/>
    <cellStyle name="Input 23 3 9" xfId="8055"/>
    <cellStyle name="Input 23 3 9 2" xfId="8056"/>
    <cellStyle name="Input 23 3 9 3" xfId="8057"/>
    <cellStyle name="Input 23 3 9 4" xfId="8058"/>
    <cellStyle name="Input 23 3 9 5" xfId="8059"/>
    <cellStyle name="Input 23 3 9 6" xfId="8060"/>
    <cellStyle name="Input 23 4" xfId="8061"/>
    <cellStyle name="Input 23 4 2" xfId="8062"/>
    <cellStyle name="Input 23 4 3" xfId="8063"/>
    <cellStyle name="Input 23 4 4" xfId="8064"/>
    <cellStyle name="Input 23 4 5" xfId="8065"/>
    <cellStyle name="Input 23 4 6" xfId="8066"/>
    <cellStyle name="Input 23 4 7" xfId="8067"/>
    <cellStyle name="Input 23 5" xfId="8068"/>
    <cellStyle name="Input 23 5 2" xfId="8069"/>
    <cellStyle name="Input 23 5 3" xfId="8070"/>
    <cellStyle name="Input 23 5 4" xfId="8071"/>
    <cellStyle name="Input 23 5 5" xfId="8072"/>
    <cellStyle name="Input 23 5 6" xfId="8073"/>
    <cellStyle name="Input 23 5 7" xfId="8074"/>
    <cellStyle name="Input 23 6" xfId="8075"/>
    <cellStyle name="Input 23 6 2" xfId="8076"/>
    <cellStyle name="Input 23 6 3" xfId="8077"/>
    <cellStyle name="Input 23 6 4" xfId="8078"/>
    <cellStyle name="Input 23 6 5" xfId="8079"/>
    <cellStyle name="Input 23 6 6" xfId="8080"/>
    <cellStyle name="Input 23 6 7" xfId="8081"/>
    <cellStyle name="Input 23 7" xfId="8082"/>
    <cellStyle name="Input 23 7 2" xfId="8083"/>
    <cellStyle name="Input 23 7 3" xfId="8084"/>
    <cellStyle name="Input 23 7 4" xfId="8085"/>
    <cellStyle name="Input 23 7 5" xfId="8086"/>
    <cellStyle name="Input 23 7 6" xfId="8087"/>
    <cellStyle name="Input 23 7 7" xfId="8088"/>
    <cellStyle name="Input 23 8" xfId="8089"/>
    <cellStyle name="Input 23 8 2" xfId="8090"/>
    <cellStyle name="Input 23 8 3" xfId="8091"/>
    <cellStyle name="Input 23 8 4" xfId="8092"/>
    <cellStyle name="Input 23 8 5" xfId="8093"/>
    <cellStyle name="Input 23 8 6" xfId="8094"/>
    <cellStyle name="Input 23 8 7" xfId="8095"/>
    <cellStyle name="Input 23 9" xfId="8096"/>
    <cellStyle name="Input 23 9 2" xfId="8097"/>
    <cellStyle name="Input 23 9 3" xfId="8098"/>
    <cellStyle name="Input 23 9 4" xfId="8099"/>
    <cellStyle name="Input 23 9 5" xfId="8100"/>
    <cellStyle name="Input 23 9 6" xfId="8101"/>
    <cellStyle name="Input 23 9 7" xfId="8102"/>
    <cellStyle name="Input 24" xfId="8103"/>
    <cellStyle name="Input 24 10" xfId="8104"/>
    <cellStyle name="Input 24 10 2" xfId="8105"/>
    <cellStyle name="Input 24 10 3" xfId="8106"/>
    <cellStyle name="Input 24 10 4" xfId="8107"/>
    <cellStyle name="Input 24 10 5" xfId="8108"/>
    <cellStyle name="Input 24 10 6" xfId="8109"/>
    <cellStyle name="Input 24 10 7" xfId="8110"/>
    <cellStyle name="Input 24 11" xfId="8111"/>
    <cellStyle name="Input 24 11 2" xfId="8112"/>
    <cellStyle name="Input 24 11 3" xfId="8113"/>
    <cellStyle name="Input 24 11 4" xfId="8114"/>
    <cellStyle name="Input 24 11 5" xfId="8115"/>
    <cellStyle name="Input 24 11 6" xfId="8116"/>
    <cellStyle name="Input 24 12" xfId="8117"/>
    <cellStyle name="Input 24 12 2" xfId="8118"/>
    <cellStyle name="Input 24 12 3" xfId="8119"/>
    <cellStyle name="Input 24 12 4" xfId="8120"/>
    <cellStyle name="Input 24 12 5" xfId="8121"/>
    <cellStyle name="Input 24 12 6" xfId="8122"/>
    <cellStyle name="Input 24 13" xfId="8123"/>
    <cellStyle name="Input 24 14" xfId="8124"/>
    <cellStyle name="Input 24 15" xfId="8125"/>
    <cellStyle name="Input 24 16" xfId="8126"/>
    <cellStyle name="Input 24 2" xfId="8127"/>
    <cellStyle name="Input 24 2 10" xfId="8128"/>
    <cellStyle name="Input 24 2 10 2" xfId="8129"/>
    <cellStyle name="Input 24 2 10 3" xfId="8130"/>
    <cellStyle name="Input 24 2 10 4" xfId="8131"/>
    <cellStyle name="Input 24 2 10 5" xfId="8132"/>
    <cellStyle name="Input 24 2 10 6" xfId="8133"/>
    <cellStyle name="Input 24 2 11" xfId="8134"/>
    <cellStyle name="Input 24 2 12" xfId="8135"/>
    <cellStyle name="Input 24 2 13" xfId="8136"/>
    <cellStyle name="Input 24 2 14" xfId="8137"/>
    <cellStyle name="Input 24 2 2" xfId="8138"/>
    <cellStyle name="Input 24 2 2 2" xfId="8139"/>
    <cellStyle name="Input 24 2 2 3" xfId="8140"/>
    <cellStyle name="Input 24 2 2 4" xfId="8141"/>
    <cellStyle name="Input 24 2 2 5" xfId="8142"/>
    <cellStyle name="Input 24 2 2 6" xfId="8143"/>
    <cellStyle name="Input 24 2 2 7" xfId="8144"/>
    <cellStyle name="Input 24 2 3" xfId="8145"/>
    <cellStyle name="Input 24 2 3 2" xfId="8146"/>
    <cellStyle name="Input 24 2 3 3" xfId="8147"/>
    <cellStyle name="Input 24 2 3 4" xfId="8148"/>
    <cellStyle name="Input 24 2 3 5" xfId="8149"/>
    <cellStyle name="Input 24 2 3 6" xfId="8150"/>
    <cellStyle name="Input 24 2 3 7" xfId="8151"/>
    <cellStyle name="Input 24 2 4" xfId="8152"/>
    <cellStyle name="Input 24 2 4 2" xfId="8153"/>
    <cellStyle name="Input 24 2 4 3" xfId="8154"/>
    <cellStyle name="Input 24 2 4 4" xfId="8155"/>
    <cellStyle name="Input 24 2 4 5" xfId="8156"/>
    <cellStyle name="Input 24 2 4 6" xfId="8157"/>
    <cellStyle name="Input 24 2 4 7" xfId="8158"/>
    <cellStyle name="Input 24 2 5" xfId="8159"/>
    <cellStyle name="Input 24 2 5 2" xfId="8160"/>
    <cellStyle name="Input 24 2 5 3" xfId="8161"/>
    <cellStyle name="Input 24 2 5 4" xfId="8162"/>
    <cellStyle name="Input 24 2 5 5" xfId="8163"/>
    <cellStyle name="Input 24 2 5 6" xfId="8164"/>
    <cellStyle name="Input 24 2 5 7" xfId="8165"/>
    <cellStyle name="Input 24 2 6" xfId="8166"/>
    <cellStyle name="Input 24 2 6 2" xfId="8167"/>
    <cellStyle name="Input 24 2 6 3" xfId="8168"/>
    <cellStyle name="Input 24 2 6 4" xfId="8169"/>
    <cellStyle name="Input 24 2 6 5" xfId="8170"/>
    <cellStyle name="Input 24 2 6 6" xfId="8171"/>
    <cellStyle name="Input 24 2 6 7" xfId="8172"/>
    <cellStyle name="Input 24 2 7" xfId="8173"/>
    <cellStyle name="Input 24 2 7 2" xfId="8174"/>
    <cellStyle name="Input 24 2 7 3" xfId="8175"/>
    <cellStyle name="Input 24 2 7 4" xfId="8176"/>
    <cellStyle name="Input 24 2 7 5" xfId="8177"/>
    <cellStyle name="Input 24 2 7 6" xfId="8178"/>
    <cellStyle name="Input 24 2 7 7" xfId="8179"/>
    <cellStyle name="Input 24 2 8" xfId="8180"/>
    <cellStyle name="Input 24 2 8 2" xfId="8181"/>
    <cellStyle name="Input 24 2 8 3" xfId="8182"/>
    <cellStyle name="Input 24 2 8 4" xfId="8183"/>
    <cellStyle name="Input 24 2 8 5" xfId="8184"/>
    <cellStyle name="Input 24 2 8 6" xfId="8185"/>
    <cellStyle name="Input 24 2 8 7" xfId="8186"/>
    <cellStyle name="Input 24 2 9" xfId="8187"/>
    <cellStyle name="Input 24 2 9 2" xfId="8188"/>
    <cellStyle name="Input 24 2 9 3" xfId="8189"/>
    <cellStyle name="Input 24 2 9 4" xfId="8190"/>
    <cellStyle name="Input 24 2 9 5" xfId="8191"/>
    <cellStyle name="Input 24 2 9 6" xfId="8192"/>
    <cellStyle name="Input 24 3" xfId="8193"/>
    <cellStyle name="Input 24 3 10" xfId="8194"/>
    <cellStyle name="Input 24 3 10 2" xfId="8195"/>
    <cellStyle name="Input 24 3 10 3" xfId="8196"/>
    <cellStyle name="Input 24 3 10 4" xfId="8197"/>
    <cellStyle name="Input 24 3 10 5" xfId="8198"/>
    <cellStyle name="Input 24 3 10 6" xfId="8199"/>
    <cellStyle name="Input 24 3 11" xfId="8200"/>
    <cellStyle name="Input 24 3 12" xfId="8201"/>
    <cellStyle name="Input 24 3 13" xfId="8202"/>
    <cellStyle name="Input 24 3 14" xfId="8203"/>
    <cellStyle name="Input 24 3 2" xfId="8204"/>
    <cellStyle name="Input 24 3 2 2" xfId="8205"/>
    <cellStyle name="Input 24 3 2 3" xfId="8206"/>
    <cellStyle name="Input 24 3 2 4" xfId="8207"/>
    <cellStyle name="Input 24 3 2 5" xfId="8208"/>
    <cellStyle name="Input 24 3 2 6" xfId="8209"/>
    <cellStyle name="Input 24 3 2 7" xfId="8210"/>
    <cellStyle name="Input 24 3 3" xfId="8211"/>
    <cellStyle name="Input 24 3 3 2" xfId="8212"/>
    <cellStyle name="Input 24 3 3 3" xfId="8213"/>
    <cellStyle name="Input 24 3 3 4" xfId="8214"/>
    <cellStyle name="Input 24 3 3 5" xfId="8215"/>
    <cellStyle name="Input 24 3 3 6" xfId="8216"/>
    <cellStyle name="Input 24 3 3 7" xfId="8217"/>
    <cellStyle name="Input 24 3 4" xfId="8218"/>
    <cellStyle name="Input 24 3 4 2" xfId="8219"/>
    <cellStyle name="Input 24 3 4 3" xfId="8220"/>
    <cellStyle name="Input 24 3 4 4" xfId="8221"/>
    <cellStyle name="Input 24 3 4 5" xfId="8222"/>
    <cellStyle name="Input 24 3 4 6" xfId="8223"/>
    <cellStyle name="Input 24 3 4 7" xfId="8224"/>
    <cellStyle name="Input 24 3 5" xfId="8225"/>
    <cellStyle name="Input 24 3 5 2" xfId="8226"/>
    <cellStyle name="Input 24 3 5 3" xfId="8227"/>
    <cellStyle name="Input 24 3 5 4" xfId="8228"/>
    <cellStyle name="Input 24 3 5 5" xfId="8229"/>
    <cellStyle name="Input 24 3 5 6" xfId="8230"/>
    <cellStyle name="Input 24 3 5 7" xfId="8231"/>
    <cellStyle name="Input 24 3 6" xfId="8232"/>
    <cellStyle name="Input 24 3 6 2" xfId="8233"/>
    <cellStyle name="Input 24 3 6 3" xfId="8234"/>
    <cellStyle name="Input 24 3 6 4" xfId="8235"/>
    <cellStyle name="Input 24 3 6 5" xfId="8236"/>
    <cellStyle name="Input 24 3 6 6" xfId="8237"/>
    <cellStyle name="Input 24 3 6 7" xfId="8238"/>
    <cellStyle name="Input 24 3 7" xfId="8239"/>
    <cellStyle name="Input 24 3 7 2" xfId="8240"/>
    <cellStyle name="Input 24 3 7 3" xfId="8241"/>
    <cellStyle name="Input 24 3 7 4" xfId="8242"/>
    <cellStyle name="Input 24 3 7 5" xfId="8243"/>
    <cellStyle name="Input 24 3 7 6" xfId="8244"/>
    <cellStyle name="Input 24 3 7 7" xfId="8245"/>
    <cellStyle name="Input 24 3 8" xfId="8246"/>
    <cellStyle name="Input 24 3 8 2" xfId="8247"/>
    <cellStyle name="Input 24 3 8 3" xfId="8248"/>
    <cellStyle name="Input 24 3 8 4" xfId="8249"/>
    <cellStyle name="Input 24 3 8 5" xfId="8250"/>
    <cellStyle name="Input 24 3 8 6" xfId="8251"/>
    <cellStyle name="Input 24 3 8 7" xfId="8252"/>
    <cellStyle name="Input 24 3 9" xfId="8253"/>
    <cellStyle name="Input 24 3 9 2" xfId="8254"/>
    <cellStyle name="Input 24 3 9 3" xfId="8255"/>
    <cellStyle name="Input 24 3 9 4" xfId="8256"/>
    <cellStyle name="Input 24 3 9 5" xfId="8257"/>
    <cellStyle name="Input 24 3 9 6" xfId="8258"/>
    <cellStyle name="Input 24 4" xfId="8259"/>
    <cellStyle name="Input 24 4 2" xfId="8260"/>
    <cellStyle name="Input 24 4 3" xfId="8261"/>
    <cellStyle name="Input 24 4 4" xfId="8262"/>
    <cellStyle name="Input 24 4 5" xfId="8263"/>
    <cellStyle name="Input 24 4 6" xfId="8264"/>
    <cellStyle name="Input 24 4 7" xfId="8265"/>
    <cellStyle name="Input 24 5" xfId="8266"/>
    <cellStyle name="Input 24 5 2" xfId="8267"/>
    <cellStyle name="Input 24 5 3" xfId="8268"/>
    <cellStyle name="Input 24 5 4" xfId="8269"/>
    <cellStyle name="Input 24 5 5" xfId="8270"/>
    <cellStyle name="Input 24 5 6" xfId="8271"/>
    <cellStyle name="Input 24 5 7" xfId="8272"/>
    <cellStyle name="Input 24 6" xfId="8273"/>
    <cellStyle name="Input 24 6 2" xfId="8274"/>
    <cellStyle name="Input 24 6 3" xfId="8275"/>
    <cellStyle name="Input 24 6 4" xfId="8276"/>
    <cellStyle name="Input 24 6 5" xfId="8277"/>
    <cellStyle name="Input 24 6 6" xfId="8278"/>
    <cellStyle name="Input 24 6 7" xfId="8279"/>
    <cellStyle name="Input 24 7" xfId="8280"/>
    <cellStyle name="Input 24 7 2" xfId="8281"/>
    <cellStyle name="Input 24 7 3" xfId="8282"/>
    <cellStyle name="Input 24 7 4" xfId="8283"/>
    <cellStyle name="Input 24 7 5" xfId="8284"/>
    <cellStyle name="Input 24 7 6" xfId="8285"/>
    <cellStyle name="Input 24 7 7" xfId="8286"/>
    <cellStyle name="Input 24 8" xfId="8287"/>
    <cellStyle name="Input 24 8 2" xfId="8288"/>
    <cellStyle name="Input 24 8 3" xfId="8289"/>
    <cellStyle name="Input 24 8 4" xfId="8290"/>
    <cellStyle name="Input 24 8 5" xfId="8291"/>
    <cellStyle name="Input 24 8 6" xfId="8292"/>
    <cellStyle name="Input 24 8 7" xfId="8293"/>
    <cellStyle name="Input 24 9" xfId="8294"/>
    <cellStyle name="Input 24 9 2" xfId="8295"/>
    <cellStyle name="Input 24 9 3" xfId="8296"/>
    <cellStyle name="Input 24 9 4" xfId="8297"/>
    <cellStyle name="Input 24 9 5" xfId="8298"/>
    <cellStyle name="Input 24 9 6" xfId="8299"/>
    <cellStyle name="Input 24 9 7" xfId="8300"/>
    <cellStyle name="Input 25" xfId="8301"/>
    <cellStyle name="Input 25 10" xfId="8302"/>
    <cellStyle name="Input 25 10 2" xfId="8303"/>
    <cellStyle name="Input 25 10 3" xfId="8304"/>
    <cellStyle name="Input 25 10 4" xfId="8305"/>
    <cellStyle name="Input 25 10 5" xfId="8306"/>
    <cellStyle name="Input 25 10 6" xfId="8307"/>
    <cellStyle name="Input 25 10 7" xfId="8308"/>
    <cellStyle name="Input 25 11" xfId="8309"/>
    <cellStyle name="Input 25 11 2" xfId="8310"/>
    <cellStyle name="Input 25 11 3" xfId="8311"/>
    <cellStyle name="Input 25 11 4" xfId="8312"/>
    <cellStyle name="Input 25 11 5" xfId="8313"/>
    <cellStyle name="Input 25 11 6" xfId="8314"/>
    <cellStyle name="Input 25 12" xfId="8315"/>
    <cellStyle name="Input 25 12 2" xfId="8316"/>
    <cellStyle name="Input 25 12 3" xfId="8317"/>
    <cellStyle name="Input 25 12 4" xfId="8318"/>
    <cellStyle name="Input 25 12 5" xfId="8319"/>
    <cellStyle name="Input 25 12 6" xfId="8320"/>
    <cellStyle name="Input 25 13" xfId="8321"/>
    <cellStyle name="Input 25 14" xfId="8322"/>
    <cellStyle name="Input 25 15" xfId="8323"/>
    <cellStyle name="Input 25 16" xfId="8324"/>
    <cellStyle name="Input 25 2" xfId="8325"/>
    <cellStyle name="Input 25 2 10" xfId="8326"/>
    <cellStyle name="Input 25 2 10 2" xfId="8327"/>
    <cellStyle name="Input 25 2 10 3" xfId="8328"/>
    <cellStyle name="Input 25 2 10 4" xfId="8329"/>
    <cellStyle name="Input 25 2 10 5" xfId="8330"/>
    <cellStyle name="Input 25 2 10 6" xfId="8331"/>
    <cellStyle name="Input 25 2 11" xfId="8332"/>
    <cellStyle name="Input 25 2 12" xfId="8333"/>
    <cellStyle name="Input 25 2 13" xfId="8334"/>
    <cellStyle name="Input 25 2 14" xfId="8335"/>
    <cellStyle name="Input 25 2 2" xfId="8336"/>
    <cellStyle name="Input 25 2 2 2" xfId="8337"/>
    <cellStyle name="Input 25 2 2 3" xfId="8338"/>
    <cellStyle name="Input 25 2 2 4" xfId="8339"/>
    <cellStyle name="Input 25 2 2 5" xfId="8340"/>
    <cellStyle name="Input 25 2 2 6" xfId="8341"/>
    <cellStyle name="Input 25 2 2 7" xfId="8342"/>
    <cellStyle name="Input 25 2 3" xfId="8343"/>
    <cellStyle name="Input 25 2 3 2" xfId="8344"/>
    <cellStyle name="Input 25 2 3 3" xfId="8345"/>
    <cellStyle name="Input 25 2 3 4" xfId="8346"/>
    <cellStyle name="Input 25 2 3 5" xfId="8347"/>
    <cellStyle name="Input 25 2 3 6" xfId="8348"/>
    <cellStyle name="Input 25 2 3 7" xfId="8349"/>
    <cellStyle name="Input 25 2 4" xfId="8350"/>
    <cellStyle name="Input 25 2 4 2" xfId="8351"/>
    <cellStyle name="Input 25 2 4 3" xfId="8352"/>
    <cellStyle name="Input 25 2 4 4" xfId="8353"/>
    <cellStyle name="Input 25 2 4 5" xfId="8354"/>
    <cellStyle name="Input 25 2 4 6" xfId="8355"/>
    <cellStyle name="Input 25 2 4 7" xfId="8356"/>
    <cellStyle name="Input 25 2 5" xfId="8357"/>
    <cellStyle name="Input 25 2 5 2" xfId="8358"/>
    <cellStyle name="Input 25 2 5 3" xfId="8359"/>
    <cellStyle name="Input 25 2 5 4" xfId="8360"/>
    <cellStyle name="Input 25 2 5 5" xfId="8361"/>
    <cellStyle name="Input 25 2 5 6" xfId="8362"/>
    <cellStyle name="Input 25 2 5 7" xfId="8363"/>
    <cellStyle name="Input 25 2 6" xfId="8364"/>
    <cellStyle name="Input 25 2 6 2" xfId="8365"/>
    <cellStyle name="Input 25 2 6 3" xfId="8366"/>
    <cellStyle name="Input 25 2 6 4" xfId="8367"/>
    <cellStyle name="Input 25 2 6 5" xfId="8368"/>
    <cellStyle name="Input 25 2 6 6" xfId="8369"/>
    <cellStyle name="Input 25 2 6 7" xfId="8370"/>
    <cellStyle name="Input 25 2 7" xfId="8371"/>
    <cellStyle name="Input 25 2 7 2" xfId="8372"/>
    <cellStyle name="Input 25 2 7 3" xfId="8373"/>
    <cellStyle name="Input 25 2 7 4" xfId="8374"/>
    <cellStyle name="Input 25 2 7 5" xfId="8375"/>
    <cellStyle name="Input 25 2 7 6" xfId="8376"/>
    <cellStyle name="Input 25 2 7 7" xfId="8377"/>
    <cellStyle name="Input 25 2 8" xfId="8378"/>
    <cellStyle name="Input 25 2 8 2" xfId="8379"/>
    <cellStyle name="Input 25 2 8 3" xfId="8380"/>
    <cellStyle name="Input 25 2 8 4" xfId="8381"/>
    <cellStyle name="Input 25 2 8 5" xfId="8382"/>
    <cellStyle name="Input 25 2 8 6" xfId="8383"/>
    <cellStyle name="Input 25 2 8 7" xfId="8384"/>
    <cellStyle name="Input 25 2 9" xfId="8385"/>
    <cellStyle name="Input 25 2 9 2" xfId="8386"/>
    <cellStyle name="Input 25 2 9 3" xfId="8387"/>
    <cellStyle name="Input 25 2 9 4" xfId="8388"/>
    <cellStyle name="Input 25 2 9 5" xfId="8389"/>
    <cellStyle name="Input 25 2 9 6" xfId="8390"/>
    <cellStyle name="Input 25 3" xfId="8391"/>
    <cellStyle name="Input 25 3 10" xfId="8392"/>
    <cellStyle name="Input 25 3 10 2" xfId="8393"/>
    <cellStyle name="Input 25 3 10 3" xfId="8394"/>
    <cellStyle name="Input 25 3 10 4" xfId="8395"/>
    <cellStyle name="Input 25 3 10 5" xfId="8396"/>
    <cellStyle name="Input 25 3 10 6" xfId="8397"/>
    <cellStyle name="Input 25 3 11" xfId="8398"/>
    <cellStyle name="Input 25 3 12" xfId="8399"/>
    <cellStyle name="Input 25 3 13" xfId="8400"/>
    <cellStyle name="Input 25 3 14" xfId="8401"/>
    <cellStyle name="Input 25 3 2" xfId="8402"/>
    <cellStyle name="Input 25 3 2 2" xfId="8403"/>
    <cellStyle name="Input 25 3 2 3" xfId="8404"/>
    <cellStyle name="Input 25 3 2 4" xfId="8405"/>
    <cellStyle name="Input 25 3 2 5" xfId="8406"/>
    <cellStyle name="Input 25 3 2 6" xfId="8407"/>
    <cellStyle name="Input 25 3 2 7" xfId="8408"/>
    <cellStyle name="Input 25 3 3" xfId="8409"/>
    <cellStyle name="Input 25 3 3 2" xfId="8410"/>
    <cellStyle name="Input 25 3 3 3" xfId="8411"/>
    <cellStyle name="Input 25 3 3 4" xfId="8412"/>
    <cellStyle name="Input 25 3 3 5" xfId="8413"/>
    <cellStyle name="Input 25 3 3 6" xfId="8414"/>
    <cellStyle name="Input 25 3 3 7" xfId="8415"/>
    <cellStyle name="Input 25 3 4" xfId="8416"/>
    <cellStyle name="Input 25 3 4 2" xfId="8417"/>
    <cellStyle name="Input 25 3 4 3" xfId="8418"/>
    <cellStyle name="Input 25 3 4 4" xfId="8419"/>
    <cellStyle name="Input 25 3 4 5" xfId="8420"/>
    <cellStyle name="Input 25 3 4 6" xfId="8421"/>
    <cellStyle name="Input 25 3 4 7" xfId="8422"/>
    <cellStyle name="Input 25 3 5" xfId="8423"/>
    <cellStyle name="Input 25 3 5 2" xfId="8424"/>
    <cellStyle name="Input 25 3 5 3" xfId="8425"/>
    <cellStyle name="Input 25 3 5 4" xfId="8426"/>
    <cellStyle name="Input 25 3 5 5" xfId="8427"/>
    <cellStyle name="Input 25 3 5 6" xfId="8428"/>
    <cellStyle name="Input 25 3 5 7" xfId="8429"/>
    <cellStyle name="Input 25 3 6" xfId="8430"/>
    <cellStyle name="Input 25 3 6 2" xfId="8431"/>
    <cellStyle name="Input 25 3 6 3" xfId="8432"/>
    <cellStyle name="Input 25 3 6 4" xfId="8433"/>
    <cellStyle name="Input 25 3 6 5" xfId="8434"/>
    <cellStyle name="Input 25 3 6 6" xfId="8435"/>
    <cellStyle name="Input 25 3 6 7" xfId="8436"/>
    <cellStyle name="Input 25 3 7" xfId="8437"/>
    <cellStyle name="Input 25 3 7 2" xfId="8438"/>
    <cellStyle name="Input 25 3 7 3" xfId="8439"/>
    <cellStyle name="Input 25 3 7 4" xfId="8440"/>
    <cellStyle name="Input 25 3 7 5" xfId="8441"/>
    <cellStyle name="Input 25 3 7 6" xfId="8442"/>
    <cellStyle name="Input 25 3 7 7" xfId="8443"/>
    <cellStyle name="Input 25 3 8" xfId="8444"/>
    <cellStyle name="Input 25 3 8 2" xfId="8445"/>
    <cellStyle name="Input 25 3 8 3" xfId="8446"/>
    <cellStyle name="Input 25 3 8 4" xfId="8447"/>
    <cellStyle name="Input 25 3 8 5" xfId="8448"/>
    <cellStyle name="Input 25 3 8 6" xfId="8449"/>
    <cellStyle name="Input 25 3 8 7" xfId="8450"/>
    <cellStyle name="Input 25 3 9" xfId="8451"/>
    <cellStyle name="Input 25 3 9 2" xfId="8452"/>
    <cellStyle name="Input 25 3 9 3" xfId="8453"/>
    <cellStyle name="Input 25 3 9 4" xfId="8454"/>
    <cellStyle name="Input 25 3 9 5" xfId="8455"/>
    <cellStyle name="Input 25 3 9 6" xfId="8456"/>
    <cellStyle name="Input 25 4" xfId="8457"/>
    <cellStyle name="Input 25 4 2" xfId="8458"/>
    <cellStyle name="Input 25 4 3" xfId="8459"/>
    <cellStyle name="Input 25 4 4" xfId="8460"/>
    <cellStyle name="Input 25 4 5" xfId="8461"/>
    <cellStyle name="Input 25 4 6" xfId="8462"/>
    <cellStyle name="Input 25 4 7" xfId="8463"/>
    <cellStyle name="Input 25 5" xfId="8464"/>
    <cellStyle name="Input 25 5 2" xfId="8465"/>
    <cellStyle name="Input 25 5 3" xfId="8466"/>
    <cellStyle name="Input 25 5 4" xfId="8467"/>
    <cellStyle name="Input 25 5 5" xfId="8468"/>
    <cellStyle name="Input 25 5 6" xfId="8469"/>
    <cellStyle name="Input 25 5 7" xfId="8470"/>
    <cellStyle name="Input 25 6" xfId="8471"/>
    <cellStyle name="Input 25 6 2" xfId="8472"/>
    <cellStyle name="Input 25 6 3" xfId="8473"/>
    <cellStyle name="Input 25 6 4" xfId="8474"/>
    <cellStyle name="Input 25 6 5" xfId="8475"/>
    <cellStyle name="Input 25 6 6" xfId="8476"/>
    <cellStyle name="Input 25 6 7" xfId="8477"/>
    <cellStyle name="Input 25 7" xfId="8478"/>
    <cellStyle name="Input 25 7 2" xfId="8479"/>
    <cellStyle name="Input 25 7 3" xfId="8480"/>
    <cellStyle name="Input 25 7 4" xfId="8481"/>
    <cellStyle name="Input 25 7 5" xfId="8482"/>
    <cellStyle name="Input 25 7 6" xfId="8483"/>
    <cellStyle name="Input 25 7 7" xfId="8484"/>
    <cellStyle name="Input 25 8" xfId="8485"/>
    <cellStyle name="Input 25 8 2" xfId="8486"/>
    <cellStyle name="Input 25 8 3" xfId="8487"/>
    <cellStyle name="Input 25 8 4" xfId="8488"/>
    <cellStyle name="Input 25 8 5" xfId="8489"/>
    <cellStyle name="Input 25 8 6" xfId="8490"/>
    <cellStyle name="Input 25 8 7" xfId="8491"/>
    <cellStyle name="Input 25 9" xfId="8492"/>
    <cellStyle name="Input 25 9 2" xfId="8493"/>
    <cellStyle name="Input 25 9 3" xfId="8494"/>
    <cellStyle name="Input 25 9 4" xfId="8495"/>
    <cellStyle name="Input 25 9 5" xfId="8496"/>
    <cellStyle name="Input 25 9 6" xfId="8497"/>
    <cellStyle name="Input 25 9 7" xfId="8498"/>
    <cellStyle name="Input 26" xfId="8499"/>
    <cellStyle name="Input 26 10" xfId="8500"/>
    <cellStyle name="Input 26 10 2" xfId="8501"/>
    <cellStyle name="Input 26 10 3" xfId="8502"/>
    <cellStyle name="Input 26 10 4" xfId="8503"/>
    <cellStyle name="Input 26 10 5" xfId="8504"/>
    <cellStyle name="Input 26 10 6" xfId="8505"/>
    <cellStyle name="Input 26 10 7" xfId="8506"/>
    <cellStyle name="Input 26 11" xfId="8507"/>
    <cellStyle name="Input 26 11 2" xfId="8508"/>
    <cellStyle name="Input 26 11 3" xfId="8509"/>
    <cellStyle name="Input 26 11 4" xfId="8510"/>
    <cellStyle name="Input 26 11 5" xfId="8511"/>
    <cellStyle name="Input 26 11 6" xfId="8512"/>
    <cellStyle name="Input 26 12" xfId="8513"/>
    <cellStyle name="Input 26 12 2" xfId="8514"/>
    <cellStyle name="Input 26 12 3" xfId="8515"/>
    <cellStyle name="Input 26 12 4" xfId="8516"/>
    <cellStyle name="Input 26 12 5" xfId="8517"/>
    <cellStyle name="Input 26 12 6" xfId="8518"/>
    <cellStyle name="Input 26 13" xfId="8519"/>
    <cellStyle name="Input 26 14" xfId="8520"/>
    <cellStyle name="Input 26 15" xfId="8521"/>
    <cellStyle name="Input 26 16" xfId="8522"/>
    <cellStyle name="Input 26 2" xfId="8523"/>
    <cellStyle name="Input 26 2 10" xfId="8524"/>
    <cellStyle name="Input 26 2 10 2" xfId="8525"/>
    <cellStyle name="Input 26 2 10 3" xfId="8526"/>
    <cellStyle name="Input 26 2 10 4" xfId="8527"/>
    <cellStyle name="Input 26 2 10 5" xfId="8528"/>
    <cellStyle name="Input 26 2 10 6" xfId="8529"/>
    <cellStyle name="Input 26 2 11" xfId="8530"/>
    <cellStyle name="Input 26 2 12" xfId="8531"/>
    <cellStyle name="Input 26 2 13" xfId="8532"/>
    <cellStyle name="Input 26 2 14" xfId="8533"/>
    <cellStyle name="Input 26 2 2" xfId="8534"/>
    <cellStyle name="Input 26 2 2 2" xfId="8535"/>
    <cellStyle name="Input 26 2 2 3" xfId="8536"/>
    <cellStyle name="Input 26 2 2 4" xfId="8537"/>
    <cellStyle name="Input 26 2 2 5" xfId="8538"/>
    <cellStyle name="Input 26 2 2 6" xfId="8539"/>
    <cellStyle name="Input 26 2 2 7" xfId="8540"/>
    <cellStyle name="Input 26 2 3" xfId="8541"/>
    <cellStyle name="Input 26 2 3 2" xfId="8542"/>
    <cellStyle name="Input 26 2 3 3" xfId="8543"/>
    <cellStyle name="Input 26 2 3 4" xfId="8544"/>
    <cellStyle name="Input 26 2 3 5" xfId="8545"/>
    <cellStyle name="Input 26 2 3 6" xfId="8546"/>
    <cellStyle name="Input 26 2 3 7" xfId="8547"/>
    <cellStyle name="Input 26 2 4" xfId="8548"/>
    <cellStyle name="Input 26 2 4 2" xfId="8549"/>
    <cellStyle name="Input 26 2 4 3" xfId="8550"/>
    <cellStyle name="Input 26 2 4 4" xfId="8551"/>
    <cellStyle name="Input 26 2 4 5" xfId="8552"/>
    <cellStyle name="Input 26 2 4 6" xfId="8553"/>
    <cellStyle name="Input 26 2 4 7" xfId="8554"/>
    <cellStyle name="Input 26 2 5" xfId="8555"/>
    <cellStyle name="Input 26 2 5 2" xfId="8556"/>
    <cellStyle name="Input 26 2 5 3" xfId="8557"/>
    <cellStyle name="Input 26 2 5 4" xfId="8558"/>
    <cellStyle name="Input 26 2 5 5" xfId="8559"/>
    <cellStyle name="Input 26 2 5 6" xfId="8560"/>
    <cellStyle name="Input 26 2 5 7" xfId="8561"/>
    <cellStyle name="Input 26 2 6" xfId="8562"/>
    <cellStyle name="Input 26 2 6 2" xfId="8563"/>
    <cellStyle name="Input 26 2 6 3" xfId="8564"/>
    <cellStyle name="Input 26 2 6 4" xfId="8565"/>
    <cellStyle name="Input 26 2 6 5" xfId="8566"/>
    <cellStyle name="Input 26 2 6 6" xfId="8567"/>
    <cellStyle name="Input 26 2 6 7" xfId="8568"/>
    <cellStyle name="Input 26 2 7" xfId="8569"/>
    <cellStyle name="Input 26 2 7 2" xfId="8570"/>
    <cellStyle name="Input 26 2 7 3" xfId="8571"/>
    <cellStyle name="Input 26 2 7 4" xfId="8572"/>
    <cellStyle name="Input 26 2 7 5" xfId="8573"/>
    <cellStyle name="Input 26 2 7 6" xfId="8574"/>
    <cellStyle name="Input 26 2 7 7" xfId="8575"/>
    <cellStyle name="Input 26 2 8" xfId="8576"/>
    <cellStyle name="Input 26 2 8 2" xfId="8577"/>
    <cellStyle name="Input 26 2 8 3" xfId="8578"/>
    <cellStyle name="Input 26 2 8 4" xfId="8579"/>
    <cellStyle name="Input 26 2 8 5" xfId="8580"/>
    <cellStyle name="Input 26 2 8 6" xfId="8581"/>
    <cellStyle name="Input 26 2 8 7" xfId="8582"/>
    <cellStyle name="Input 26 2 9" xfId="8583"/>
    <cellStyle name="Input 26 2 9 2" xfId="8584"/>
    <cellStyle name="Input 26 2 9 3" xfId="8585"/>
    <cellStyle name="Input 26 2 9 4" xfId="8586"/>
    <cellStyle name="Input 26 2 9 5" xfId="8587"/>
    <cellStyle name="Input 26 2 9 6" xfId="8588"/>
    <cellStyle name="Input 26 3" xfId="8589"/>
    <cellStyle name="Input 26 3 10" xfId="8590"/>
    <cellStyle name="Input 26 3 10 2" xfId="8591"/>
    <cellStyle name="Input 26 3 10 3" xfId="8592"/>
    <cellStyle name="Input 26 3 10 4" xfId="8593"/>
    <cellStyle name="Input 26 3 10 5" xfId="8594"/>
    <cellStyle name="Input 26 3 10 6" xfId="8595"/>
    <cellStyle name="Input 26 3 11" xfId="8596"/>
    <cellStyle name="Input 26 3 12" xfId="8597"/>
    <cellStyle name="Input 26 3 13" xfId="8598"/>
    <cellStyle name="Input 26 3 14" xfId="8599"/>
    <cellStyle name="Input 26 3 2" xfId="8600"/>
    <cellStyle name="Input 26 3 2 2" xfId="8601"/>
    <cellStyle name="Input 26 3 2 3" xfId="8602"/>
    <cellStyle name="Input 26 3 2 4" xfId="8603"/>
    <cellStyle name="Input 26 3 2 5" xfId="8604"/>
    <cellStyle name="Input 26 3 2 6" xfId="8605"/>
    <cellStyle name="Input 26 3 2 7" xfId="8606"/>
    <cellStyle name="Input 26 3 3" xfId="8607"/>
    <cellStyle name="Input 26 3 3 2" xfId="8608"/>
    <cellStyle name="Input 26 3 3 3" xfId="8609"/>
    <cellStyle name="Input 26 3 3 4" xfId="8610"/>
    <cellStyle name="Input 26 3 3 5" xfId="8611"/>
    <cellStyle name="Input 26 3 3 6" xfId="8612"/>
    <cellStyle name="Input 26 3 3 7" xfId="8613"/>
    <cellStyle name="Input 26 3 4" xfId="8614"/>
    <cellStyle name="Input 26 3 4 2" xfId="8615"/>
    <cellStyle name="Input 26 3 4 3" xfId="8616"/>
    <cellStyle name="Input 26 3 4 4" xfId="8617"/>
    <cellStyle name="Input 26 3 4 5" xfId="8618"/>
    <cellStyle name="Input 26 3 4 6" xfId="8619"/>
    <cellStyle name="Input 26 3 4 7" xfId="8620"/>
    <cellStyle name="Input 26 3 5" xfId="8621"/>
    <cellStyle name="Input 26 3 5 2" xfId="8622"/>
    <cellStyle name="Input 26 3 5 3" xfId="8623"/>
    <cellStyle name="Input 26 3 5 4" xfId="8624"/>
    <cellStyle name="Input 26 3 5 5" xfId="8625"/>
    <cellStyle name="Input 26 3 5 6" xfId="8626"/>
    <cellStyle name="Input 26 3 5 7" xfId="8627"/>
    <cellStyle name="Input 26 3 6" xfId="8628"/>
    <cellStyle name="Input 26 3 6 2" xfId="8629"/>
    <cellStyle name="Input 26 3 6 3" xfId="8630"/>
    <cellStyle name="Input 26 3 6 4" xfId="8631"/>
    <cellStyle name="Input 26 3 6 5" xfId="8632"/>
    <cellStyle name="Input 26 3 6 6" xfId="8633"/>
    <cellStyle name="Input 26 3 6 7" xfId="8634"/>
    <cellStyle name="Input 26 3 7" xfId="8635"/>
    <cellStyle name="Input 26 3 7 2" xfId="8636"/>
    <cellStyle name="Input 26 3 7 3" xfId="8637"/>
    <cellStyle name="Input 26 3 7 4" xfId="8638"/>
    <cellStyle name="Input 26 3 7 5" xfId="8639"/>
    <cellStyle name="Input 26 3 7 6" xfId="8640"/>
    <cellStyle name="Input 26 3 7 7" xfId="8641"/>
    <cellStyle name="Input 26 3 8" xfId="8642"/>
    <cellStyle name="Input 26 3 8 2" xfId="8643"/>
    <cellStyle name="Input 26 3 8 3" xfId="8644"/>
    <cellStyle name="Input 26 3 8 4" xfId="8645"/>
    <cellStyle name="Input 26 3 8 5" xfId="8646"/>
    <cellStyle name="Input 26 3 8 6" xfId="8647"/>
    <cellStyle name="Input 26 3 8 7" xfId="8648"/>
    <cellStyle name="Input 26 3 9" xfId="8649"/>
    <cellStyle name="Input 26 3 9 2" xfId="8650"/>
    <cellStyle name="Input 26 3 9 3" xfId="8651"/>
    <cellStyle name="Input 26 3 9 4" xfId="8652"/>
    <cellStyle name="Input 26 3 9 5" xfId="8653"/>
    <cellStyle name="Input 26 3 9 6" xfId="8654"/>
    <cellStyle name="Input 26 4" xfId="8655"/>
    <cellStyle name="Input 26 4 2" xfId="8656"/>
    <cellStyle name="Input 26 4 3" xfId="8657"/>
    <cellStyle name="Input 26 4 4" xfId="8658"/>
    <cellStyle name="Input 26 4 5" xfId="8659"/>
    <cellStyle name="Input 26 4 6" xfId="8660"/>
    <cellStyle name="Input 26 4 7" xfId="8661"/>
    <cellStyle name="Input 26 5" xfId="8662"/>
    <cellStyle name="Input 26 5 2" xfId="8663"/>
    <cellStyle name="Input 26 5 3" xfId="8664"/>
    <cellStyle name="Input 26 5 4" xfId="8665"/>
    <cellStyle name="Input 26 5 5" xfId="8666"/>
    <cellStyle name="Input 26 5 6" xfId="8667"/>
    <cellStyle name="Input 26 5 7" xfId="8668"/>
    <cellStyle name="Input 26 6" xfId="8669"/>
    <cellStyle name="Input 26 6 2" xfId="8670"/>
    <cellStyle name="Input 26 6 3" xfId="8671"/>
    <cellStyle name="Input 26 6 4" xfId="8672"/>
    <cellStyle name="Input 26 6 5" xfId="8673"/>
    <cellStyle name="Input 26 6 6" xfId="8674"/>
    <cellStyle name="Input 26 6 7" xfId="8675"/>
    <cellStyle name="Input 26 7" xfId="8676"/>
    <cellStyle name="Input 26 7 2" xfId="8677"/>
    <cellStyle name="Input 26 7 3" xfId="8678"/>
    <cellStyle name="Input 26 7 4" xfId="8679"/>
    <cellStyle name="Input 26 7 5" xfId="8680"/>
    <cellStyle name="Input 26 7 6" xfId="8681"/>
    <cellStyle name="Input 26 7 7" xfId="8682"/>
    <cellStyle name="Input 26 8" xfId="8683"/>
    <cellStyle name="Input 26 8 2" xfId="8684"/>
    <cellStyle name="Input 26 8 3" xfId="8685"/>
    <cellStyle name="Input 26 8 4" xfId="8686"/>
    <cellStyle name="Input 26 8 5" xfId="8687"/>
    <cellStyle name="Input 26 8 6" xfId="8688"/>
    <cellStyle name="Input 26 8 7" xfId="8689"/>
    <cellStyle name="Input 26 9" xfId="8690"/>
    <cellStyle name="Input 26 9 2" xfId="8691"/>
    <cellStyle name="Input 26 9 3" xfId="8692"/>
    <cellStyle name="Input 26 9 4" xfId="8693"/>
    <cellStyle name="Input 26 9 5" xfId="8694"/>
    <cellStyle name="Input 26 9 6" xfId="8695"/>
    <cellStyle name="Input 26 9 7" xfId="8696"/>
    <cellStyle name="Input 27" xfId="8697"/>
    <cellStyle name="Input 27 10" xfId="8698"/>
    <cellStyle name="Input 27 10 2" xfId="8699"/>
    <cellStyle name="Input 27 10 3" xfId="8700"/>
    <cellStyle name="Input 27 10 4" xfId="8701"/>
    <cellStyle name="Input 27 10 5" xfId="8702"/>
    <cellStyle name="Input 27 10 6" xfId="8703"/>
    <cellStyle name="Input 27 10 7" xfId="8704"/>
    <cellStyle name="Input 27 11" xfId="8705"/>
    <cellStyle name="Input 27 11 2" xfId="8706"/>
    <cellStyle name="Input 27 11 3" xfId="8707"/>
    <cellStyle name="Input 27 11 4" xfId="8708"/>
    <cellStyle name="Input 27 11 5" xfId="8709"/>
    <cellStyle name="Input 27 11 6" xfId="8710"/>
    <cellStyle name="Input 27 12" xfId="8711"/>
    <cellStyle name="Input 27 12 2" xfId="8712"/>
    <cellStyle name="Input 27 12 3" xfId="8713"/>
    <cellStyle name="Input 27 12 4" xfId="8714"/>
    <cellStyle name="Input 27 12 5" xfId="8715"/>
    <cellStyle name="Input 27 12 6" xfId="8716"/>
    <cellStyle name="Input 27 13" xfId="8717"/>
    <cellStyle name="Input 27 14" xfId="8718"/>
    <cellStyle name="Input 27 15" xfId="8719"/>
    <cellStyle name="Input 27 16" xfId="8720"/>
    <cellStyle name="Input 27 2" xfId="8721"/>
    <cellStyle name="Input 27 2 10" xfId="8722"/>
    <cellStyle name="Input 27 2 10 2" xfId="8723"/>
    <cellStyle name="Input 27 2 10 3" xfId="8724"/>
    <cellStyle name="Input 27 2 10 4" xfId="8725"/>
    <cellStyle name="Input 27 2 10 5" xfId="8726"/>
    <cellStyle name="Input 27 2 10 6" xfId="8727"/>
    <cellStyle name="Input 27 2 11" xfId="8728"/>
    <cellStyle name="Input 27 2 12" xfId="8729"/>
    <cellStyle name="Input 27 2 13" xfId="8730"/>
    <cellStyle name="Input 27 2 14" xfId="8731"/>
    <cellStyle name="Input 27 2 2" xfId="8732"/>
    <cellStyle name="Input 27 2 2 2" xfId="8733"/>
    <cellStyle name="Input 27 2 2 3" xfId="8734"/>
    <cellStyle name="Input 27 2 2 4" xfId="8735"/>
    <cellStyle name="Input 27 2 2 5" xfId="8736"/>
    <cellStyle name="Input 27 2 2 6" xfId="8737"/>
    <cellStyle name="Input 27 2 2 7" xfId="8738"/>
    <cellStyle name="Input 27 2 3" xfId="8739"/>
    <cellStyle name="Input 27 2 3 2" xfId="8740"/>
    <cellStyle name="Input 27 2 3 3" xfId="8741"/>
    <cellStyle name="Input 27 2 3 4" xfId="8742"/>
    <cellStyle name="Input 27 2 3 5" xfId="8743"/>
    <cellStyle name="Input 27 2 3 6" xfId="8744"/>
    <cellStyle name="Input 27 2 3 7" xfId="8745"/>
    <cellStyle name="Input 27 2 4" xfId="8746"/>
    <cellStyle name="Input 27 2 4 2" xfId="8747"/>
    <cellStyle name="Input 27 2 4 3" xfId="8748"/>
    <cellStyle name="Input 27 2 4 4" xfId="8749"/>
    <cellStyle name="Input 27 2 4 5" xfId="8750"/>
    <cellStyle name="Input 27 2 4 6" xfId="8751"/>
    <cellStyle name="Input 27 2 4 7" xfId="8752"/>
    <cellStyle name="Input 27 2 5" xfId="8753"/>
    <cellStyle name="Input 27 2 5 2" xfId="8754"/>
    <cellStyle name="Input 27 2 5 3" xfId="8755"/>
    <cellStyle name="Input 27 2 5 4" xfId="8756"/>
    <cellStyle name="Input 27 2 5 5" xfId="8757"/>
    <cellStyle name="Input 27 2 5 6" xfId="8758"/>
    <cellStyle name="Input 27 2 5 7" xfId="8759"/>
    <cellStyle name="Input 27 2 6" xfId="8760"/>
    <cellStyle name="Input 27 2 6 2" xfId="8761"/>
    <cellStyle name="Input 27 2 6 3" xfId="8762"/>
    <cellStyle name="Input 27 2 6 4" xfId="8763"/>
    <cellStyle name="Input 27 2 6 5" xfId="8764"/>
    <cellStyle name="Input 27 2 6 6" xfId="8765"/>
    <cellStyle name="Input 27 2 6 7" xfId="8766"/>
    <cellStyle name="Input 27 2 7" xfId="8767"/>
    <cellStyle name="Input 27 2 7 2" xfId="8768"/>
    <cellStyle name="Input 27 2 7 3" xfId="8769"/>
    <cellStyle name="Input 27 2 7 4" xfId="8770"/>
    <cellStyle name="Input 27 2 7 5" xfId="8771"/>
    <cellStyle name="Input 27 2 7 6" xfId="8772"/>
    <cellStyle name="Input 27 2 7 7" xfId="8773"/>
    <cellStyle name="Input 27 2 8" xfId="8774"/>
    <cellStyle name="Input 27 2 8 2" xfId="8775"/>
    <cellStyle name="Input 27 2 8 3" xfId="8776"/>
    <cellStyle name="Input 27 2 8 4" xfId="8777"/>
    <cellStyle name="Input 27 2 8 5" xfId="8778"/>
    <cellStyle name="Input 27 2 8 6" xfId="8779"/>
    <cellStyle name="Input 27 2 8 7" xfId="8780"/>
    <cellStyle name="Input 27 2 9" xfId="8781"/>
    <cellStyle name="Input 27 2 9 2" xfId="8782"/>
    <cellStyle name="Input 27 2 9 3" xfId="8783"/>
    <cellStyle name="Input 27 2 9 4" xfId="8784"/>
    <cellStyle name="Input 27 2 9 5" xfId="8785"/>
    <cellStyle name="Input 27 2 9 6" xfId="8786"/>
    <cellStyle name="Input 27 3" xfId="8787"/>
    <cellStyle name="Input 27 3 10" xfId="8788"/>
    <cellStyle name="Input 27 3 10 2" xfId="8789"/>
    <cellStyle name="Input 27 3 10 3" xfId="8790"/>
    <cellStyle name="Input 27 3 10 4" xfId="8791"/>
    <cellStyle name="Input 27 3 10 5" xfId="8792"/>
    <cellStyle name="Input 27 3 10 6" xfId="8793"/>
    <cellStyle name="Input 27 3 11" xfId="8794"/>
    <cellStyle name="Input 27 3 12" xfId="8795"/>
    <cellStyle name="Input 27 3 13" xfId="8796"/>
    <cellStyle name="Input 27 3 14" xfId="8797"/>
    <cellStyle name="Input 27 3 2" xfId="8798"/>
    <cellStyle name="Input 27 3 2 2" xfId="8799"/>
    <cellStyle name="Input 27 3 2 3" xfId="8800"/>
    <cellStyle name="Input 27 3 2 4" xfId="8801"/>
    <cellStyle name="Input 27 3 2 5" xfId="8802"/>
    <cellStyle name="Input 27 3 2 6" xfId="8803"/>
    <cellStyle name="Input 27 3 2 7" xfId="8804"/>
    <cellStyle name="Input 27 3 3" xfId="8805"/>
    <cellStyle name="Input 27 3 3 2" xfId="8806"/>
    <cellStyle name="Input 27 3 3 3" xfId="8807"/>
    <cellStyle name="Input 27 3 3 4" xfId="8808"/>
    <cellStyle name="Input 27 3 3 5" xfId="8809"/>
    <cellStyle name="Input 27 3 3 6" xfId="8810"/>
    <cellStyle name="Input 27 3 3 7" xfId="8811"/>
    <cellStyle name="Input 27 3 4" xfId="8812"/>
    <cellStyle name="Input 27 3 4 2" xfId="8813"/>
    <cellStyle name="Input 27 3 4 3" xfId="8814"/>
    <cellStyle name="Input 27 3 4 4" xfId="8815"/>
    <cellStyle name="Input 27 3 4 5" xfId="8816"/>
    <cellStyle name="Input 27 3 4 6" xfId="8817"/>
    <cellStyle name="Input 27 3 4 7" xfId="8818"/>
    <cellStyle name="Input 27 3 5" xfId="8819"/>
    <cellStyle name="Input 27 3 5 2" xfId="8820"/>
    <cellStyle name="Input 27 3 5 3" xfId="8821"/>
    <cellStyle name="Input 27 3 5 4" xfId="8822"/>
    <cellStyle name="Input 27 3 5 5" xfId="8823"/>
    <cellStyle name="Input 27 3 5 6" xfId="8824"/>
    <cellStyle name="Input 27 3 5 7" xfId="8825"/>
    <cellStyle name="Input 27 3 6" xfId="8826"/>
    <cellStyle name="Input 27 3 6 2" xfId="8827"/>
    <cellStyle name="Input 27 3 6 3" xfId="8828"/>
    <cellStyle name="Input 27 3 6 4" xfId="8829"/>
    <cellStyle name="Input 27 3 6 5" xfId="8830"/>
    <cellStyle name="Input 27 3 6 6" xfId="8831"/>
    <cellStyle name="Input 27 3 6 7" xfId="8832"/>
    <cellStyle name="Input 27 3 7" xfId="8833"/>
    <cellStyle name="Input 27 3 7 2" xfId="8834"/>
    <cellStyle name="Input 27 3 7 3" xfId="8835"/>
    <cellStyle name="Input 27 3 7 4" xfId="8836"/>
    <cellStyle name="Input 27 3 7 5" xfId="8837"/>
    <cellStyle name="Input 27 3 7 6" xfId="8838"/>
    <cellStyle name="Input 27 3 7 7" xfId="8839"/>
    <cellStyle name="Input 27 3 8" xfId="8840"/>
    <cellStyle name="Input 27 3 8 2" xfId="8841"/>
    <cellStyle name="Input 27 3 8 3" xfId="8842"/>
    <cellStyle name="Input 27 3 8 4" xfId="8843"/>
    <cellStyle name="Input 27 3 8 5" xfId="8844"/>
    <cellStyle name="Input 27 3 8 6" xfId="8845"/>
    <cellStyle name="Input 27 3 8 7" xfId="8846"/>
    <cellStyle name="Input 27 3 9" xfId="8847"/>
    <cellStyle name="Input 27 3 9 2" xfId="8848"/>
    <cellStyle name="Input 27 3 9 3" xfId="8849"/>
    <cellStyle name="Input 27 3 9 4" xfId="8850"/>
    <cellStyle name="Input 27 3 9 5" xfId="8851"/>
    <cellStyle name="Input 27 3 9 6" xfId="8852"/>
    <cellStyle name="Input 27 4" xfId="8853"/>
    <cellStyle name="Input 27 4 2" xfId="8854"/>
    <cellStyle name="Input 27 4 3" xfId="8855"/>
    <cellStyle name="Input 27 4 4" xfId="8856"/>
    <cellStyle name="Input 27 4 5" xfId="8857"/>
    <cellStyle name="Input 27 4 6" xfId="8858"/>
    <cellStyle name="Input 27 4 7" xfId="8859"/>
    <cellStyle name="Input 27 5" xfId="8860"/>
    <cellStyle name="Input 27 5 2" xfId="8861"/>
    <cellStyle name="Input 27 5 3" xfId="8862"/>
    <cellStyle name="Input 27 5 4" xfId="8863"/>
    <cellStyle name="Input 27 5 5" xfId="8864"/>
    <cellStyle name="Input 27 5 6" xfId="8865"/>
    <cellStyle name="Input 27 5 7" xfId="8866"/>
    <cellStyle name="Input 27 6" xfId="8867"/>
    <cellStyle name="Input 27 6 2" xfId="8868"/>
    <cellStyle name="Input 27 6 3" xfId="8869"/>
    <cellStyle name="Input 27 6 4" xfId="8870"/>
    <cellStyle name="Input 27 6 5" xfId="8871"/>
    <cellStyle name="Input 27 6 6" xfId="8872"/>
    <cellStyle name="Input 27 6 7" xfId="8873"/>
    <cellStyle name="Input 27 7" xfId="8874"/>
    <cellStyle name="Input 27 7 2" xfId="8875"/>
    <cellStyle name="Input 27 7 3" xfId="8876"/>
    <cellStyle name="Input 27 7 4" xfId="8877"/>
    <cellStyle name="Input 27 7 5" xfId="8878"/>
    <cellStyle name="Input 27 7 6" xfId="8879"/>
    <cellStyle name="Input 27 7 7" xfId="8880"/>
    <cellStyle name="Input 27 8" xfId="8881"/>
    <cellStyle name="Input 27 8 2" xfId="8882"/>
    <cellStyle name="Input 27 8 3" xfId="8883"/>
    <cellStyle name="Input 27 8 4" xfId="8884"/>
    <cellStyle name="Input 27 8 5" xfId="8885"/>
    <cellStyle name="Input 27 8 6" xfId="8886"/>
    <cellStyle name="Input 27 8 7" xfId="8887"/>
    <cellStyle name="Input 27 9" xfId="8888"/>
    <cellStyle name="Input 27 9 2" xfId="8889"/>
    <cellStyle name="Input 27 9 3" xfId="8890"/>
    <cellStyle name="Input 27 9 4" xfId="8891"/>
    <cellStyle name="Input 27 9 5" xfId="8892"/>
    <cellStyle name="Input 27 9 6" xfId="8893"/>
    <cellStyle name="Input 27 9 7" xfId="8894"/>
    <cellStyle name="Input 28" xfId="8895"/>
    <cellStyle name="Input 28 10" xfId="8896"/>
    <cellStyle name="Input 28 10 2" xfId="8897"/>
    <cellStyle name="Input 28 10 3" xfId="8898"/>
    <cellStyle name="Input 28 10 4" xfId="8899"/>
    <cellStyle name="Input 28 10 5" xfId="8900"/>
    <cellStyle name="Input 28 10 6" xfId="8901"/>
    <cellStyle name="Input 28 10 7" xfId="8902"/>
    <cellStyle name="Input 28 11" xfId="8903"/>
    <cellStyle name="Input 28 11 2" xfId="8904"/>
    <cellStyle name="Input 28 11 3" xfId="8905"/>
    <cellStyle name="Input 28 11 4" xfId="8906"/>
    <cellStyle name="Input 28 11 5" xfId="8907"/>
    <cellStyle name="Input 28 11 6" xfId="8908"/>
    <cellStyle name="Input 28 12" xfId="8909"/>
    <cellStyle name="Input 28 12 2" xfId="8910"/>
    <cellStyle name="Input 28 12 3" xfId="8911"/>
    <cellStyle name="Input 28 12 4" xfId="8912"/>
    <cellStyle name="Input 28 12 5" xfId="8913"/>
    <cellStyle name="Input 28 12 6" xfId="8914"/>
    <cellStyle name="Input 28 13" xfId="8915"/>
    <cellStyle name="Input 28 14" xfId="8916"/>
    <cellStyle name="Input 28 15" xfId="8917"/>
    <cellStyle name="Input 28 16" xfId="8918"/>
    <cellStyle name="Input 28 2" xfId="8919"/>
    <cellStyle name="Input 28 2 10" xfId="8920"/>
    <cellStyle name="Input 28 2 10 2" xfId="8921"/>
    <cellStyle name="Input 28 2 10 3" xfId="8922"/>
    <cellStyle name="Input 28 2 10 4" xfId="8923"/>
    <cellStyle name="Input 28 2 10 5" xfId="8924"/>
    <cellStyle name="Input 28 2 10 6" xfId="8925"/>
    <cellStyle name="Input 28 2 11" xfId="8926"/>
    <cellStyle name="Input 28 2 12" xfId="8927"/>
    <cellStyle name="Input 28 2 13" xfId="8928"/>
    <cellStyle name="Input 28 2 14" xfId="8929"/>
    <cellStyle name="Input 28 2 2" xfId="8930"/>
    <cellStyle name="Input 28 2 2 2" xfId="8931"/>
    <cellStyle name="Input 28 2 2 3" xfId="8932"/>
    <cellStyle name="Input 28 2 2 4" xfId="8933"/>
    <cellStyle name="Input 28 2 2 5" xfId="8934"/>
    <cellStyle name="Input 28 2 2 6" xfId="8935"/>
    <cellStyle name="Input 28 2 2 7" xfId="8936"/>
    <cellStyle name="Input 28 2 3" xfId="8937"/>
    <cellStyle name="Input 28 2 3 2" xfId="8938"/>
    <cellStyle name="Input 28 2 3 3" xfId="8939"/>
    <cellStyle name="Input 28 2 3 4" xfId="8940"/>
    <cellStyle name="Input 28 2 3 5" xfId="8941"/>
    <cellStyle name="Input 28 2 3 6" xfId="8942"/>
    <cellStyle name="Input 28 2 3 7" xfId="8943"/>
    <cellStyle name="Input 28 2 4" xfId="8944"/>
    <cellStyle name="Input 28 2 4 2" xfId="8945"/>
    <cellStyle name="Input 28 2 4 3" xfId="8946"/>
    <cellStyle name="Input 28 2 4 4" xfId="8947"/>
    <cellStyle name="Input 28 2 4 5" xfId="8948"/>
    <cellStyle name="Input 28 2 4 6" xfId="8949"/>
    <cellStyle name="Input 28 2 4 7" xfId="8950"/>
    <cellStyle name="Input 28 2 5" xfId="8951"/>
    <cellStyle name="Input 28 2 5 2" xfId="8952"/>
    <cellStyle name="Input 28 2 5 3" xfId="8953"/>
    <cellStyle name="Input 28 2 5 4" xfId="8954"/>
    <cellStyle name="Input 28 2 5 5" xfId="8955"/>
    <cellStyle name="Input 28 2 5 6" xfId="8956"/>
    <cellStyle name="Input 28 2 5 7" xfId="8957"/>
    <cellStyle name="Input 28 2 6" xfId="8958"/>
    <cellStyle name="Input 28 2 6 2" xfId="8959"/>
    <cellStyle name="Input 28 2 6 3" xfId="8960"/>
    <cellStyle name="Input 28 2 6 4" xfId="8961"/>
    <cellStyle name="Input 28 2 6 5" xfId="8962"/>
    <cellStyle name="Input 28 2 6 6" xfId="8963"/>
    <cellStyle name="Input 28 2 6 7" xfId="8964"/>
    <cellStyle name="Input 28 2 7" xfId="8965"/>
    <cellStyle name="Input 28 2 7 2" xfId="8966"/>
    <cellStyle name="Input 28 2 7 3" xfId="8967"/>
    <cellStyle name="Input 28 2 7 4" xfId="8968"/>
    <cellStyle name="Input 28 2 7 5" xfId="8969"/>
    <cellStyle name="Input 28 2 7 6" xfId="8970"/>
    <cellStyle name="Input 28 2 7 7" xfId="8971"/>
    <cellStyle name="Input 28 2 8" xfId="8972"/>
    <cellStyle name="Input 28 2 8 2" xfId="8973"/>
    <cellStyle name="Input 28 2 8 3" xfId="8974"/>
    <cellStyle name="Input 28 2 8 4" xfId="8975"/>
    <cellStyle name="Input 28 2 8 5" xfId="8976"/>
    <cellStyle name="Input 28 2 8 6" xfId="8977"/>
    <cellStyle name="Input 28 2 8 7" xfId="8978"/>
    <cellStyle name="Input 28 2 9" xfId="8979"/>
    <cellStyle name="Input 28 2 9 2" xfId="8980"/>
    <cellStyle name="Input 28 2 9 3" xfId="8981"/>
    <cellStyle name="Input 28 2 9 4" xfId="8982"/>
    <cellStyle name="Input 28 2 9 5" xfId="8983"/>
    <cellStyle name="Input 28 2 9 6" xfId="8984"/>
    <cellStyle name="Input 28 3" xfId="8985"/>
    <cellStyle name="Input 28 3 10" xfId="8986"/>
    <cellStyle name="Input 28 3 10 2" xfId="8987"/>
    <cellStyle name="Input 28 3 10 3" xfId="8988"/>
    <cellStyle name="Input 28 3 10 4" xfId="8989"/>
    <cellStyle name="Input 28 3 10 5" xfId="8990"/>
    <cellStyle name="Input 28 3 10 6" xfId="8991"/>
    <cellStyle name="Input 28 3 11" xfId="8992"/>
    <cellStyle name="Input 28 3 12" xfId="8993"/>
    <cellStyle name="Input 28 3 13" xfId="8994"/>
    <cellStyle name="Input 28 3 14" xfId="8995"/>
    <cellStyle name="Input 28 3 2" xfId="8996"/>
    <cellStyle name="Input 28 3 2 2" xfId="8997"/>
    <cellStyle name="Input 28 3 2 3" xfId="8998"/>
    <cellStyle name="Input 28 3 2 4" xfId="8999"/>
    <cellStyle name="Input 28 3 2 5" xfId="9000"/>
    <cellStyle name="Input 28 3 2 6" xfId="9001"/>
    <cellStyle name="Input 28 3 2 7" xfId="9002"/>
    <cellStyle name="Input 28 3 3" xfId="9003"/>
    <cellStyle name="Input 28 3 3 2" xfId="9004"/>
    <cellStyle name="Input 28 3 3 3" xfId="9005"/>
    <cellStyle name="Input 28 3 3 4" xfId="9006"/>
    <cellStyle name="Input 28 3 3 5" xfId="9007"/>
    <cellStyle name="Input 28 3 3 6" xfId="9008"/>
    <cellStyle name="Input 28 3 3 7" xfId="9009"/>
    <cellStyle name="Input 28 3 4" xfId="9010"/>
    <cellStyle name="Input 28 3 4 2" xfId="9011"/>
    <cellStyle name="Input 28 3 4 3" xfId="9012"/>
    <cellStyle name="Input 28 3 4 4" xfId="9013"/>
    <cellStyle name="Input 28 3 4 5" xfId="9014"/>
    <cellStyle name="Input 28 3 4 6" xfId="9015"/>
    <cellStyle name="Input 28 3 4 7" xfId="9016"/>
    <cellStyle name="Input 28 3 5" xfId="9017"/>
    <cellStyle name="Input 28 3 5 2" xfId="9018"/>
    <cellStyle name="Input 28 3 5 3" xfId="9019"/>
    <cellStyle name="Input 28 3 5 4" xfId="9020"/>
    <cellStyle name="Input 28 3 5 5" xfId="9021"/>
    <cellStyle name="Input 28 3 5 6" xfId="9022"/>
    <cellStyle name="Input 28 3 5 7" xfId="9023"/>
    <cellStyle name="Input 28 3 6" xfId="9024"/>
    <cellStyle name="Input 28 3 6 2" xfId="9025"/>
    <cellStyle name="Input 28 3 6 3" xfId="9026"/>
    <cellStyle name="Input 28 3 6 4" xfId="9027"/>
    <cellStyle name="Input 28 3 6 5" xfId="9028"/>
    <cellStyle name="Input 28 3 6 6" xfId="9029"/>
    <cellStyle name="Input 28 3 6 7" xfId="9030"/>
    <cellStyle name="Input 28 3 7" xfId="9031"/>
    <cellStyle name="Input 28 3 7 2" xfId="9032"/>
    <cellStyle name="Input 28 3 7 3" xfId="9033"/>
    <cellStyle name="Input 28 3 7 4" xfId="9034"/>
    <cellStyle name="Input 28 3 7 5" xfId="9035"/>
    <cellStyle name="Input 28 3 7 6" xfId="9036"/>
    <cellStyle name="Input 28 3 7 7" xfId="9037"/>
    <cellStyle name="Input 28 3 8" xfId="9038"/>
    <cellStyle name="Input 28 3 8 2" xfId="9039"/>
    <cellStyle name="Input 28 3 8 3" xfId="9040"/>
    <cellStyle name="Input 28 3 8 4" xfId="9041"/>
    <cellStyle name="Input 28 3 8 5" xfId="9042"/>
    <cellStyle name="Input 28 3 8 6" xfId="9043"/>
    <cellStyle name="Input 28 3 8 7" xfId="9044"/>
    <cellStyle name="Input 28 3 9" xfId="9045"/>
    <cellStyle name="Input 28 3 9 2" xfId="9046"/>
    <cellStyle name="Input 28 3 9 3" xfId="9047"/>
    <cellStyle name="Input 28 3 9 4" xfId="9048"/>
    <cellStyle name="Input 28 3 9 5" xfId="9049"/>
    <cellStyle name="Input 28 3 9 6" xfId="9050"/>
    <cellStyle name="Input 28 4" xfId="9051"/>
    <cellStyle name="Input 28 4 2" xfId="9052"/>
    <cellStyle name="Input 28 4 3" xfId="9053"/>
    <cellStyle name="Input 28 4 4" xfId="9054"/>
    <cellStyle name="Input 28 4 5" xfId="9055"/>
    <cellStyle name="Input 28 4 6" xfId="9056"/>
    <cellStyle name="Input 28 4 7" xfId="9057"/>
    <cellStyle name="Input 28 5" xfId="9058"/>
    <cellStyle name="Input 28 5 2" xfId="9059"/>
    <cellStyle name="Input 28 5 3" xfId="9060"/>
    <cellStyle name="Input 28 5 4" xfId="9061"/>
    <cellStyle name="Input 28 5 5" xfId="9062"/>
    <cellStyle name="Input 28 5 6" xfId="9063"/>
    <cellStyle name="Input 28 5 7" xfId="9064"/>
    <cellStyle name="Input 28 6" xfId="9065"/>
    <cellStyle name="Input 28 6 2" xfId="9066"/>
    <cellStyle name="Input 28 6 3" xfId="9067"/>
    <cellStyle name="Input 28 6 4" xfId="9068"/>
    <cellStyle name="Input 28 6 5" xfId="9069"/>
    <cellStyle name="Input 28 6 6" xfId="9070"/>
    <cellStyle name="Input 28 6 7" xfId="9071"/>
    <cellStyle name="Input 28 7" xfId="9072"/>
    <cellStyle name="Input 28 7 2" xfId="9073"/>
    <cellStyle name="Input 28 7 3" xfId="9074"/>
    <cellStyle name="Input 28 7 4" xfId="9075"/>
    <cellStyle name="Input 28 7 5" xfId="9076"/>
    <cellStyle name="Input 28 7 6" xfId="9077"/>
    <cellStyle name="Input 28 7 7" xfId="9078"/>
    <cellStyle name="Input 28 8" xfId="9079"/>
    <cellStyle name="Input 28 8 2" xfId="9080"/>
    <cellStyle name="Input 28 8 3" xfId="9081"/>
    <cellStyle name="Input 28 8 4" xfId="9082"/>
    <cellStyle name="Input 28 8 5" xfId="9083"/>
    <cellStyle name="Input 28 8 6" xfId="9084"/>
    <cellStyle name="Input 28 8 7" xfId="9085"/>
    <cellStyle name="Input 28 9" xfId="9086"/>
    <cellStyle name="Input 28 9 2" xfId="9087"/>
    <cellStyle name="Input 28 9 3" xfId="9088"/>
    <cellStyle name="Input 28 9 4" xfId="9089"/>
    <cellStyle name="Input 28 9 5" xfId="9090"/>
    <cellStyle name="Input 28 9 6" xfId="9091"/>
    <cellStyle name="Input 28 9 7" xfId="9092"/>
    <cellStyle name="Input 29" xfId="9093"/>
    <cellStyle name="Input 29 10" xfId="9094"/>
    <cellStyle name="Input 29 10 2" xfId="9095"/>
    <cellStyle name="Input 29 10 3" xfId="9096"/>
    <cellStyle name="Input 29 10 4" xfId="9097"/>
    <cellStyle name="Input 29 10 5" xfId="9098"/>
    <cellStyle name="Input 29 10 6" xfId="9099"/>
    <cellStyle name="Input 29 10 7" xfId="9100"/>
    <cellStyle name="Input 29 11" xfId="9101"/>
    <cellStyle name="Input 29 11 2" xfId="9102"/>
    <cellStyle name="Input 29 11 3" xfId="9103"/>
    <cellStyle name="Input 29 11 4" xfId="9104"/>
    <cellStyle name="Input 29 11 5" xfId="9105"/>
    <cellStyle name="Input 29 11 6" xfId="9106"/>
    <cellStyle name="Input 29 12" xfId="9107"/>
    <cellStyle name="Input 29 12 2" xfId="9108"/>
    <cellStyle name="Input 29 12 3" xfId="9109"/>
    <cellStyle name="Input 29 12 4" xfId="9110"/>
    <cellStyle name="Input 29 12 5" xfId="9111"/>
    <cellStyle name="Input 29 12 6" xfId="9112"/>
    <cellStyle name="Input 29 13" xfId="9113"/>
    <cellStyle name="Input 29 14" xfId="9114"/>
    <cellStyle name="Input 29 15" xfId="9115"/>
    <cellStyle name="Input 29 16" xfId="9116"/>
    <cellStyle name="Input 29 2" xfId="9117"/>
    <cellStyle name="Input 29 2 10" xfId="9118"/>
    <cellStyle name="Input 29 2 10 2" xfId="9119"/>
    <cellStyle name="Input 29 2 10 3" xfId="9120"/>
    <cellStyle name="Input 29 2 10 4" xfId="9121"/>
    <cellStyle name="Input 29 2 10 5" xfId="9122"/>
    <cellStyle name="Input 29 2 10 6" xfId="9123"/>
    <cellStyle name="Input 29 2 11" xfId="9124"/>
    <cellStyle name="Input 29 2 12" xfId="9125"/>
    <cellStyle name="Input 29 2 13" xfId="9126"/>
    <cellStyle name="Input 29 2 14" xfId="9127"/>
    <cellStyle name="Input 29 2 2" xfId="9128"/>
    <cellStyle name="Input 29 2 2 2" xfId="9129"/>
    <cellStyle name="Input 29 2 2 3" xfId="9130"/>
    <cellStyle name="Input 29 2 2 4" xfId="9131"/>
    <cellStyle name="Input 29 2 2 5" xfId="9132"/>
    <cellStyle name="Input 29 2 2 6" xfId="9133"/>
    <cellStyle name="Input 29 2 2 7" xfId="9134"/>
    <cellStyle name="Input 29 2 3" xfId="9135"/>
    <cellStyle name="Input 29 2 3 2" xfId="9136"/>
    <cellStyle name="Input 29 2 3 3" xfId="9137"/>
    <cellStyle name="Input 29 2 3 4" xfId="9138"/>
    <cellStyle name="Input 29 2 3 5" xfId="9139"/>
    <cellStyle name="Input 29 2 3 6" xfId="9140"/>
    <cellStyle name="Input 29 2 3 7" xfId="9141"/>
    <cellStyle name="Input 29 2 4" xfId="9142"/>
    <cellStyle name="Input 29 2 4 2" xfId="9143"/>
    <cellStyle name="Input 29 2 4 3" xfId="9144"/>
    <cellStyle name="Input 29 2 4 4" xfId="9145"/>
    <cellStyle name="Input 29 2 4 5" xfId="9146"/>
    <cellStyle name="Input 29 2 4 6" xfId="9147"/>
    <cellStyle name="Input 29 2 4 7" xfId="9148"/>
    <cellStyle name="Input 29 2 5" xfId="9149"/>
    <cellStyle name="Input 29 2 5 2" xfId="9150"/>
    <cellStyle name="Input 29 2 5 3" xfId="9151"/>
    <cellStyle name="Input 29 2 5 4" xfId="9152"/>
    <cellStyle name="Input 29 2 5 5" xfId="9153"/>
    <cellStyle name="Input 29 2 5 6" xfId="9154"/>
    <cellStyle name="Input 29 2 5 7" xfId="9155"/>
    <cellStyle name="Input 29 2 6" xfId="9156"/>
    <cellStyle name="Input 29 2 6 2" xfId="9157"/>
    <cellStyle name="Input 29 2 6 3" xfId="9158"/>
    <cellStyle name="Input 29 2 6 4" xfId="9159"/>
    <cellStyle name="Input 29 2 6 5" xfId="9160"/>
    <cellStyle name="Input 29 2 6 6" xfId="9161"/>
    <cellStyle name="Input 29 2 6 7" xfId="9162"/>
    <cellStyle name="Input 29 2 7" xfId="9163"/>
    <cellStyle name="Input 29 2 7 2" xfId="9164"/>
    <cellStyle name="Input 29 2 7 3" xfId="9165"/>
    <cellStyle name="Input 29 2 7 4" xfId="9166"/>
    <cellStyle name="Input 29 2 7 5" xfId="9167"/>
    <cellStyle name="Input 29 2 7 6" xfId="9168"/>
    <cellStyle name="Input 29 2 7 7" xfId="9169"/>
    <cellStyle name="Input 29 2 8" xfId="9170"/>
    <cellStyle name="Input 29 2 8 2" xfId="9171"/>
    <cellStyle name="Input 29 2 8 3" xfId="9172"/>
    <cellStyle name="Input 29 2 8 4" xfId="9173"/>
    <cellStyle name="Input 29 2 8 5" xfId="9174"/>
    <cellStyle name="Input 29 2 8 6" xfId="9175"/>
    <cellStyle name="Input 29 2 8 7" xfId="9176"/>
    <cellStyle name="Input 29 2 9" xfId="9177"/>
    <cellStyle name="Input 29 2 9 2" xfId="9178"/>
    <cellStyle name="Input 29 2 9 3" xfId="9179"/>
    <cellStyle name="Input 29 2 9 4" xfId="9180"/>
    <cellStyle name="Input 29 2 9 5" xfId="9181"/>
    <cellStyle name="Input 29 2 9 6" xfId="9182"/>
    <cellStyle name="Input 29 3" xfId="9183"/>
    <cellStyle name="Input 29 3 10" xfId="9184"/>
    <cellStyle name="Input 29 3 10 2" xfId="9185"/>
    <cellStyle name="Input 29 3 10 3" xfId="9186"/>
    <cellStyle name="Input 29 3 10 4" xfId="9187"/>
    <cellStyle name="Input 29 3 10 5" xfId="9188"/>
    <cellStyle name="Input 29 3 10 6" xfId="9189"/>
    <cellStyle name="Input 29 3 11" xfId="9190"/>
    <cellStyle name="Input 29 3 12" xfId="9191"/>
    <cellStyle name="Input 29 3 13" xfId="9192"/>
    <cellStyle name="Input 29 3 14" xfId="9193"/>
    <cellStyle name="Input 29 3 2" xfId="9194"/>
    <cellStyle name="Input 29 3 2 2" xfId="9195"/>
    <cellStyle name="Input 29 3 2 3" xfId="9196"/>
    <cellStyle name="Input 29 3 2 4" xfId="9197"/>
    <cellStyle name="Input 29 3 2 5" xfId="9198"/>
    <cellStyle name="Input 29 3 2 6" xfId="9199"/>
    <cellStyle name="Input 29 3 2 7" xfId="9200"/>
    <cellStyle name="Input 29 3 3" xfId="9201"/>
    <cellStyle name="Input 29 3 3 2" xfId="9202"/>
    <cellStyle name="Input 29 3 3 3" xfId="9203"/>
    <cellStyle name="Input 29 3 3 4" xfId="9204"/>
    <cellStyle name="Input 29 3 3 5" xfId="9205"/>
    <cellStyle name="Input 29 3 3 6" xfId="9206"/>
    <cellStyle name="Input 29 3 3 7" xfId="9207"/>
    <cellStyle name="Input 29 3 4" xfId="9208"/>
    <cellStyle name="Input 29 3 4 2" xfId="9209"/>
    <cellStyle name="Input 29 3 4 3" xfId="9210"/>
    <cellStyle name="Input 29 3 4 4" xfId="9211"/>
    <cellStyle name="Input 29 3 4 5" xfId="9212"/>
    <cellStyle name="Input 29 3 4 6" xfId="9213"/>
    <cellStyle name="Input 29 3 4 7" xfId="9214"/>
    <cellStyle name="Input 29 3 5" xfId="9215"/>
    <cellStyle name="Input 29 3 5 2" xfId="9216"/>
    <cellStyle name="Input 29 3 5 3" xfId="9217"/>
    <cellStyle name="Input 29 3 5 4" xfId="9218"/>
    <cellStyle name="Input 29 3 5 5" xfId="9219"/>
    <cellStyle name="Input 29 3 5 6" xfId="9220"/>
    <cellStyle name="Input 29 3 5 7" xfId="9221"/>
    <cellStyle name="Input 29 3 6" xfId="9222"/>
    <cellStyle name="Input 29 3 6 2" xfId="9223"/>
    <cellStyle name="Input 29 3 6 3" xfId="9224"/>
    <cellStyle name="Input 29 3 6 4" xfId="9225"/>
    <cellStyle name="Input 29 3 6 5" xfId="9226"/>
    <cellStyle name="Input 29 3 6 6" xfId="9227"/>
    <cellStyle name="Input 29 3 6 7" xfId="9228"/>
    <cellStyle name="Input 29 3 7" xfId="9229"/>
    <cellStyle name="Input 29 3 7 2" xfId="9230"/>
    <cellStyle name="Input 29 3 7 3" xfId="9231"/>
    <cellStyle name="Input 29 3 7 4" xfId="9232"/>
    <cellStyle name="Input 29 3 7 5" xfId="9233"/>
    <cellStyle name="Input 29 3 7 6" xfId="9234"/>
    <cellStyle name="Input 29 3 7 7" xfId="9235"/>
    <cellStyle name="Input 29 3 8" xfId="9236"/>
    <cellStyle name="Input 29 3 8 2" xfId="9237"/>
    <cellStyle name="Input 29 3 8 3" xfId="9238"/>
    <cellStyle name="Input 29 3 8 4" xfId="9239"/>
    <cellStyle name="Input 29 3 8 5" xfId="9240"/>
    <cellStyle name="Input 29 3 8 6" xfId="9241"/>
    <cellStyle name="Input 29 3 8 7" xfId="9242"/>
    <cellStyle name="Input 29 3 9" xfId="9243"/>
    <cellStyle name="Input 29 3 9 2" xfId="9244"/>
    <cellStyle name="Input 29 3 9 3" xfId="9245"/>
    <cellStyle name="Input 29 3 9 4" xfId="9246"/>
    <cellStyle name="Input 29 3 9 5" xfId="9247"/>
    <cellStyle name="Input 29 3 9 6" xfId="9248"/>
    <cellStyle name="Input 29 4" xfId="9249"/>
    <cellStyle name="Input 29 4 2" xfId="9250"/>
    <cellStyle name="Input 29 4 3" xfId="9251"/>
    <cellStyle name="Input 29 4 4" xfId="9252"/>
    <cellStyle name="Input 29 4 5" xfId="9253"/>
    <cellStyle name="Input 29 4 6" xfId="9254"/>
    <cellStyle name="Input 29 4 7" xfId="9255"/>
    <cellStyle name="Input 29 5" xfId="9256"/>
    <cellStyle name="Input 29 5 2" xfId="9257"/>
    <cellStyle name="Input 29 5 3" xfId="9258"/>
    <cellStyle name="Input 29 5 4" xfId="9259"/>
    <cellStyle name="Input 29 5 5" xfId="9260"/>
    <cellStyle name="Input 29 5 6" xfId="9261"/>
    <cellStyle name="Input 29 5 7" xfId="9262"/>
    <cellStyle name="Input 29 6" xfId="9263"/>
    <cellStyle name="Input 29 6 2" xfId="9264"/>
    <cellStyle name="Input 29 6 3" xfId="9265"/>
    <cellStyle name="Input 29 6 4" xfId="9266"/>
    <cellStyle name="Input 29 6 5" xfId="9267"/>
    <cellStyle name="Input 29 6 6" xfId="9268"/>
    <cellStyle name="Input 29 6 7" xfId="9269"/>
    <cellStyle name="Input 29 7" xfId="9270"/>
    <cellStyle name="Input 29 7 2" xfId="9271"/>
    <cellStyle name="Input 29 7 3" xfId="9272"/>
    <cellStyle name="Input 29 7 4" xfId="9273"/>
    <cellStyle name="Input 29 7 5" xfId="9274"/>
    <cellStyle name="Input 29 7 6" xfId="9275"/>
    <cellStyle name="Input 29 7 7" xfId="9276"/>
    <cellStyle name="Input 29 8" xfId="9277"/>
    <cellStyle name="Input 29 8 2" xfId="9278"/>
    <cellStyle name="Input 29 8 3" xfId="9279"/>
    <cellStyle name="Input 29 8 4" xfId="9280"/>
    <cellStyle name="Input 29 8 5" xfId="9281"/>
    <cellStyle name="Input 29 8 6" xfId="9282"/>
    <cellStyle name="Input 29 8 7" xfId="9283"/>
    <cellStyle name="Input 29 9" xfId="9284"/>
    <cellStyle name="Input 29 9 2" xfId="9285"/>
    <cellStyle name="Input 29 9 3" xfId="9286"/>
    <cellStyle name="Input 29 9 4" xfId="9287"/>
    <cellStyle name="Input 29 9 5" xfId="9288"/>
    <cellStyle name="Input 29 9 6" xfId="9289"/>
    <cellStyle name="Input 29 9 7" xfId="9290"/>
    <cellStyle name="Input 3" xfId="9291"/>
    <cellStyle name="Input 3 10" xfId="9292"/>
    <cellStyle name="Input 3 10 2" xfId="9293"/>
    <cellStyle name="Input 3 10 3" xfId="9294"/>
    <cellStyle name="Input 3 10 4" xfId="9295"/>
    <cellStyle name="Input 3 10 5" xfId="9296"/>
    <cellStyle name="Input 3 10 6" xfId="9297"/>
    <cellStyle name="Input 3 10 7" xfId="9298"/>
    <cellStyle name="Input 3 11" xfId="9299"/>
    <cellStyle name="Input 3 11 2" xfId="9300"/>
    <cellStyle name="Input 3 11 3" xfId="9301"/>
    <cellStyle name="Input 3 11 4" xfId="9302"/>
    <cellStyle name="Input 3 11 5" xfId="9303"/>
    <cellStyle name="Input 3 11 6" xfId="9304"/>
    <cellStyle name="Input 3 12" xfId="9305"/>
    <cellStyle name="Input 3 12 2" xfId="9306"/>
    <cellStyle name="Input 3 12 3" xfId="9307"/>
    <cellStyle name="Input 3 12 4" xfId="9308"/>
    <cellStyle name="Input 3 12 5" xfId="9309"/>
    <cellStyle name="Input 3 12 6" xfId="9310"/>
    <cellStyle name="Input 3 13" xfId="9311"/>
    <cellStyle name="Input 3 14" xfId="9312"/>
    <cellStyle name="Input 3 15" xfId="9313"/>
    <cellStyle name="Input 3 16" xfId="9314"/>
    <cellStyle name="Input 3 2" xfId="9315"/>
    <cellStyle name="Input 3 2 10" xfId="9316"/>
    <cellStyle name="Input 3 2 10 2" xfId="9317"/>
    <cellStyle name="Input 3 2 10 3" xfId="9318"/>
    <cellStyle name="Input 3 2 10 4" xfId="9319"/>
    <cellStyle name="Input 3 2 10 5" xfId="9320"/>
    <cellStyle name="Input 3 2 10 6" xfId="9321"/>
    <cellStyle name="Input 3 2 11" xfId="9322"/>
    <cellStyle name="Input 3 2 12" xfId="9323"/>
    <cellStyle name="Input 3 2 13" xfId="9324"/>
    <cellStyle name="Input 3 2 14" xfId="9325"/>
    <cellStyle name="Input 3 2 2" xfId="9326"/>
    <cellStyle name="Input 3 2 2 2" xfId="9327"/>
    <cellStyle name="Input 3 2 2 3" xfId="9328"/>
    <cellStyle name="Input 3 2 2 4" xfId="9329"/>
    <cellStyle name="Input 3 2 2 5" xfId="9330"/>
    <cellStyle name="Input 3 2 2 6" xfId="9331"/>
    <cellStyle name="Input 3 2 2 7" xfId="9332"/>
    <cellStyle name="Input 3 2 3" xfId="9333"/>
    <cellStyle name="Input 3 2 3 2" xfId="9334"/>
    <cellStyle name="Input 3 2 3 3" xfId="9335"/>
    <cellStyle name="Input 3 2 3 4" xfId="9336"/>
    <cellStyle name="Input 3 2 3 5" xfId="9337"/>
    <cellStyle name="Input 3 2 3 6" xfId="9338"/>
    <cellStyle name="Input 3 2 3 7" xfId="9339"/>
    <cellStyle name="Input 3 2 4" xfId="9340"/>
    <cellStyle name="Input 3 2 4 2" xfId="9341"/>
    <cellStyle name="Input 3 2 4 3" xfId="9342"/>
    <cellStyle name="Input 3 2 4 4" xfId="9343"/>
    <cellStyle name="Input 3 2 4 5" xfId="9344"/>
    <cellStyle name="Input 3 2 4 6" xfId="9345"/>
    <cellStyle name="Input 3 2 4 7" xfId="9346"/>
    <cellStyle name="Input 3 2 5" xfId="9347"/>
    <cellStyle name="Input 3 2 5 2" xfId="9348"/>
    <cellStyle name="Input 3 2 5 3" xfId="9349"/>
    <cellStyle name="Input 3 2 5 4" xfId="9350"/>
    <cellStyle name="Input 3 2 5 5" xfId="9351"/>
    <cellStyle name="Input 3 2 5 6" xfId="9352"/>
    <cellStyle name="Input 3 2 5 7" xfId="9353"/>
    <cellStyle name="Input 3 2 6" xfId="9354"/>
    <cellStyle name="Input 3 2 6 2" xfId="9355"/>
    <cellStyle name="Input 3 2 6 3" xfId="9356"/>
    <cellStyle name="Input 3 2 6 4" xfId="9357"/>
    <cellStyle name="Input 3 2 6 5" xfId="9358"/>
    <cellStyle name="Input 3 2 6 6" xfId="9359"/>
    <cellStyle name="Input 3 2 6 7" xfId="9360"/>
    <cellStyle name="Input 3 2 7" xfId="9361"/>
    <cellStyle name="Input 3 2 7 2" xfId="9362"/>
    <cellStyle name="Input 3 2 7 3" xfId="9363"/>
    <cellStyle name="Input 3 2 7 4" xfId="9364"/>
    <cellStyle name="Input 3 2 7 5" xfId="9365"/>
    <cellStyle name="Input 3 2 7 6" xfId="9366"/>
    <cellStyle name="Input 3 2 7 7" xfId="9367"/>
    <cellStyle name="Input 3 2 8" xfId="9368"/>
    <cellStyle name="Input 3 2 8 2" xfId="9369"/>
    <cellStyle name="Input 3 2 8 3" xfId="9370"/>
    <cellStyle name="Input 3 2 8 4" xfId="9371"/>
    <cellStyle name="Input 3 2 8 5" xfId="9372"/>
    <cellStyle name="Input 3 2 8 6" xfId="9373"/>
    <cellStyle name="Input 3 2 8 7" xfId="9374"/>
    <cellStyle name="Input 3 2 9" xfId="9375"/>
    <cellStyle name="Input 3 2 9 2" xfId="9376"/>
    <cellStyle name="Input 3 2 9 3" xfId="9377"/>
    <cellStyle name="Input 3 2 9 4" xfId="9378"/>
    <cellStyle name="Input 3 2 9 5" xfId="9379"/>
    <cellStyle name="Input 3 2 9 6" xfId="9380"/>
    <cellStyle name="Input 3 3" xfId="9381"/>
    <cellStyle name="Input 3 3 10" xfId="9382"/>
    <cellStyle name="Input 3 3 10 2" xfId="9383"/>
    <cellStyle name="Input 3 3 10 3" xfId="9384"/>
    <cellStyle name="Input 3 3 10 4" xfId="9385"/>
    <cellStyle name="Input 3 3 10 5" xfId="9386"/>
    <cellStyle name="Input 3 3 10 6" xfId="9387"/>
    <cellStyle name="Input 3 3 11" xfId="9388"/>
    <cellStyle name="Input 3 3 12" xfId="9389"/>
    <cellStyle name="Input 3 3 13" xfId="9390"/>
    <cellStyle name="Input 3 3 14" xfId="9391"/>
    <cellStyle name="Input 3 3 2" xfId="9392"/>
    <cellStyle name="Input 3 3 2 2" xfId="9393"/>
    <cellStyle name="Input 3 3 2 3" xfId="9394"/>
    <cellStyle name="Input 3 3 2 4" xfId="9395"/>
    <cellStyle name="Input 3 3 2 5" xfId="9396"/>
    <cellStyle name="Input 3 3 2 6" xfId="9397"/>
    <cellStyle name="Input 3 3 2 7" xfId="9398"/>
    <cellStyle name="Input 3 3 3" xfId="9399"/>
    <cellStyle name="Input 3 3 3 2" xfId="9400"/>
    <cellStyle name="Input 3 3 3 3" xfId="9401"/>
    <cellStyle name="Input 3 3 3 4" xfId="9402"/>
    <cellStyle name="Input 3 3 3 5" xfId="9403"/>
    <cellStyle name="Input 3 3 3 6" xfId="9404"/>
    <cellStyle name="Input 3 3 3 7" xfId="9405"/>
    <cellStyle name="Input 3 3 4" xfId="9406"/>
    <cellStyle name="Input 3 3 4 2" xfId="9407"/>
    <cellStyle name="Input 3 3 4 3" xfId="9408"/>
    <cellStyle name="Input 3 3 4 4" xfId="9409"/>
    <cellStyle name="Input 3 3 4 5" xfId="9410"/>
    <cellStyle name="Input 3 3 4 6" xfId="9411"/>
    <cellStyle name="Input 3 3 4 7" xfId="9412"/>
    <cellStyle name="Input 3 3 5" xfId="9413"/>
    <cellStyle name="Input 3 3 5 2" xfId="9414"/>
    <cellStyle name="Input 3 3 5 3" xfId="9415"/>
    <cellStyle name="Input 3 3 5 4" xfId="9416"/>
    <cellStyle name="Input 3 3 5 5" xfId="9417"/>
    <cellStyle name="Input 3 3 5 6" xfId="9418"/>
    <cellStyle name="Input 3 3 5 7" xfId="9419"/>
    <cellStyle name="Input 3 3 6" xfId="9420"/>
    <cellStyle name="Input 3 3 6 2" xfId="9421"/>
    <cellStyle name="Input 3 3 6 3" xfId="9422"/>
    <cellStyle name="Input 3 3 6 4" xfId="9423"/>
    <cellStyle name="Input 3 3 6 5" xfId="9424"/>
    <cellStyle name="Input 3 3 6 6" xfId="9425"/>
    <cellStyle name="Input 3 3 6 7" xfId="9426"/>
    <cellStyle name="Input 3 3 7" xfId="9427"/>
    <cellStyle name="Input 3 3 7 2" xfId="9428"/>
    <cellStyle name="Input 3 3 7 3" xfId="9429"/>
    <cellStyle name="Input 3 3 7 4" xfId="9430"/>
    <cellStyle name="Input 3 3 7 5" xfId="9431"/>
    <cellStyle name="Input 3 3 7 6" xfId="9432"/>
    <cellStyle name="Input 3 3 7 7" xfId="9433"/>
    <cellStyle name="Input 3 3 8" xfId="9434"/>
    <cellStyle name="Input 3 3 8 2" xfId="9435"/>
    <cellStyle name="Input 3 3 8 3" xfId="9436"/>
    <cellStyle name="Input 3 3 8 4" xfId="9437"/>
    <cellStyle name="Input 3 3 8 5" xfId="9438"/>
    <cellStyle name="Input 3 3 8 6" xfId="9439"/>
    <cellStyle name="Input 3 3 8 7" xfId="9440"/>
    <cellStyle name="Input 3 3 9" xfId="9441"/>
    <cellStyle name="Input 3 3 9 2" xfId="9442"/>
    <cellStyle name="Input 3 3 9 3" xfId="9443"/>
    <cellStyle name="Input 3 3 9 4" xfId="9444"/>
    <cellStyle name="Input 3 3 9 5" xfId="9445"/>
    <cellStyle name="Input 3 3 9 6" xfId="9446"/>
    <cellStyle name="Input 3 4" xfId="9447"/>
    <cellStyle name="Input 3 4 2" xfId="9448"/>
    <cellStyle name="Input 3 4 3" xfId="9449"/>
    <cellStyle name="Input 3 4 4" xfId="9450"/>
    <cellStyle name="Input 3 4 5" xfId="9451"/>
    <cellStyle name="Input 3 4 6" xfId="9452"/>
    <cellStyle name="Input 3 4 7" xfId="9453"/>
    <cellStyle name="Input 3 5" xfId="9454"/>
    <cellStyle name="Input 3 5 2" xfId="9455"/>
    <cellStyle name="Input 3 5 3" xfId="9456"/>
    <cellStyle name="Input 3 5 4" xfId="9457"/>
    <cellStyle name="Input 3 5 5" xfId="9458"/>
    <cellStyle name="Input 3 5 6" xfId="9459"/>
    <cellStyle name="Input 3 5 7" xfId="9460"/>
    <cellStyle name="Input 3 6" xfId="9461"/>
    <cellStyle name="Input 3 6 2" xfId="9462"/>
    <cellStyle name="Input 3 6 3" xfId="9463"/>
    <cellStyle name="Input 3 6 4" xfId="9464"/>
    <cellStyle name="Input 3 6 5" xfId="9465"/>
    <cellStyle name="Input 3 6 6" xfId="9466"/>
    <cellStyle name="Input 3 6 7" xfId="9467"/>
    <cellStyle name="Input 3 7" xfId="9468"/>
    <cellStyle name="Input 3 7 2" xfId="9469"/>
    <cellStyle name="Input 3 7 3" xfId="9470"/>
    <cellStyle name="Input 3 7 4" xfId="9471"/>
    <cellStyle name="Input 3 7 5" xfId="9472"/>
    <cellStyle name="Input 3 7 6" xfId="9473"/>
    <cellStyle name="Input 3 7 7" xfId="9474"/>
    <cellStyle name="Input 3 8" xfId="9475"/>
    <cellStyle name="Input 3 8 2" xfId="9476"/>
    <cellStyle name="Input 3 8 3" xfId="9477"/>
    <cellStyle name="Input 3 8 4" xfId="9478"/>
    <cellStyle name="Input 3 8 5" xfId="9479"/>
    <cellStyle name="Input 3 8 6" xfId="9480"/>
    <cellStyle name="Input 3 8 7" xfId="9481"/>
    <cellStyle name="Input 3 9" xfId="9482"/>
    <cellStyle name="Input 3 9 2" xfId="9483"/>
    <cellStyle name="Input 3 9 3" xfId="9484"/>
    <cellStyle name="Input 3 9 4" xfId="9485"/>
    <cellStyle name="Input 3 9 5" xfId="9486"/>
    <cellStyle name="Input 3 9 6" xfId="9487"/>
    <cellStyle name="Input 3 9 7" xfId="9488"/>
    <cellStyle name="Input 30" xfId="9489"/>
    <cellStyle name="Input 30 10" xfId="9490"/>
    <cellStyle name="Input 30 10 2" xfId="9491"/>
    <cellStyle name="Input 30 10 3" xfId="9492"/>
    <cellStyle name="Input 30 10 4" xfId="9493"/>
    <cellStyle name="Input 30 10 5" xfId="9494"/>
    <cellStyle name="Input 30 10 6" xfId="9495"/>
    <cellStyle name="Input 30 10 7" xfId="9496"/>
    <cellStyle name="Input 30 11" xfId="9497"/>
    <cellStyle name="Input 30 11 2" xfId="9498"/>
    <cellStyle name="Input 30 11 3" xfId="9499"/>
    <cellStyle name="Input 30 11 4" xfId="9500"/>
    <cellStyle name="Input 30 11 5" xfId="9501"/>
    <cellStyle name="Input 30 11 6" xfId="9502"/>
    <cellStyle name="Input 30 12" xfId="9503"/>
    <cellStyle name="Input 30 12 2" xfId="9504"/>
    <cellStyle name="Input 30 12 3" xfId="9505"/>
    <cellStyle name="Input 30 12 4" xfId="9506"/>
    <cellStyle name="Input 30 12 5" xfId="9507"/>
    <cellStyle name="Input 30 12 6" xfId="9508"/>
    <cellStyle name="Input 30 13" xfId="9509"/>
    <cellStyle name="Input 30 14" xfId="9510"/>
    <cellStyle name="Input 30 15" xfId="9511"/>
    <cellStyle name="Input 30 16" xfId="9512"/>
    <cellStyle name="Input 30 2" xfId="9513"/>
    <cellStyle name="Input 30 2 10" xfId="9514"/>
    <cellStyle name="Input 30 2 10 2" xfId="9515"/>
    <cellStyle name="Input 30 2 10 3" xfId="9516"/>
    <cellStyle name="Input 30 2 10 4" xfId="9517"/>
    <cellStyle name="Input 30 2 10 5" xfId="9518"/>
    <cellStyle name="Input 30 2 10 6" xfId="9519"/>
    <cellStyle name="Input 30 2 11" xfId="9520"/>
    <cellStyle name="Input 30 2 12" xfId="9521"/>
    <cellStyle name="Input 30 2 13" xfId="9522"/>
    <cellStyle name="Input 30 2 14" xfId="9523"/>
    <cellStyle name="Input 30 2 2" xfId="9524"/>
    <cellStyle name="Input 30 2 2 2" xfId="9525"/>
    <cellStyle name="Input 30 2 2 3" xfId="9526"/>
    <cellStyle name="Input 30 2 2 4" xfId="9527"/>
    <cellStyle name="Input 30 2 2 5" xfId="9528"/>
    <cellStyle name="Input 30 2 2 6" xfId="9529"/>
    <cellStyle name="Input 30 2 2 7" xfId="9530"/>
    <cellStyle name="Input 30 2 3" xfId="9531"/>
    <cellStyle name="Input 30 2 3 2" xfId="9532"/>
    <cellStyle name="Input 30 2 3 3" xfId="9533"/>
    <cellStyle name="Input 30 2 3 4" xfId="9534"/>
    <cellStyle name="Input 30 2 3 5" xfId="9535"/>
    <cellStyle name="Input 30 2 3 6" xfId="9536"/>
    <cellStyle name="Input 30 2 3 7" xfId="9537"/>
    <cellStyle name="Input 30 2 4" xfId="9538"/>
    <cellStyle name="Input 30 2 4 2" xfId="9539"/>
    <cellStyle name="Input 30 2 4 3" xfId="9540"/>
    <cellStyle name="Input 30 2 4 4" xfId="9541"/>
    <cellStyle name="Input 30 2 4 5" xfId="9542"/>
    <cellStyle name="Input 30 2 4 6" xfId="9543"/>
    <cellStyle name="Input 30 2 4 7" xfId="9544"/>
    <cellStyle name="Input 30 2 5" xfId="9545"/>
    <cellStyle name="Input 30 2 5 2" xfId="9546"/>
    <cellStyle name="Input 30 2 5 3" xfId="9547"/>
    <cellStyle name="Input 30 2 5 4" xfId="9548"/>
    <cellStyle name="Input 30 2 5 5" xfId="9549"/>
    <cellStyle name="Input 30 2 5 6" xfId="9550"/>
    <cellStyle name="Input 30 2 5 7" xfId="9551"/>
    <cellStyle name="Input 30 2 6" xfId="9552"/>
    <cellStyle name="Input 30 2 6 2" xfId="9553"/>
    <cellStyle name="Input 30 2 6 3" xfId="9554"/>
    <cellStyle name="Input 30 2 6 4" xfId="9555"/>
    <cellStyle name="Input 30 2 6 5" xfId="9556"/>
    <cellStyle name="Input 30 2 6 6" xfId="9557"/>
    <cellStyle name="Input 30 2 6 7" xfId="9558"/>
    <cellStyle name="Input 30 2 7" xfId="9559"/>
    <cellStyle name="Input 30 2 7 2" xfId="9560"/>
    <cellStyle name="Input 30 2 7 3" xfId="9561"/>
    <cellStyle name="Input 30 2 7 4" xfId="9562"/>
    <cellStyle name="Input 30 2 7 5" xfId="9563"/>
    <cellStyle name="Input 30 2 7 6" xfId="9564"/>
    <cellStyle name="Input 30 2 7 7" xfId="9565"/>
    <cellStyle name="Input 30 2 8" xfId="9566"/>
    <cellStyle name="Input 30 2 8 2" xfId="9567"/>
    <cellStyle name="Input 30 2 8 3" xfId="9568"/>
    <cellStyle name="Input 30 2 8 4" xfId="9569"/>
    <cellStyle name="Input 30 2 8 5" xfId="9570"/>
    <cellStyle name="Input 30 2 8 6" xfId="9571"/>
    <cellStyle name="Input 30 2 8 7" xfId="9572"/>
    <cellStyle name="Input 30 2 9" xfId="9573"/>
    <cellStyle name="Input 30 2 9 2" xfId="9574"/>
    <cellStyle name="Input 30 2 9 3" xfId="9575"/>
    <cellStyle name="Input 30 2 9 4" xfId="9576"/>
    <cellStyle name="Input 30 2 9 5" xfId="9577"/>
    <cellStyle name="Input 30 2 9 6" xfId="9578"/>
    <cellStyle name="Input 30 3" xfId="9579"/>
    <cellStyle name="Input 30 3 10" xfId="9580"/>
    <cellStyle name="Input 30 3 10 2" xfId="9581"/>
    <cellStyle name="Input 30 3 10 3" xfId="9582"/>
    <cellStyle name="Input 30 3 10 4" xfId="9583"/>
    <cellStyle name="Input 30 3 10 5" xfId="9584"/>
    <cellStyle name="Input 30 3 10 6" xfId="9585"/>
    <cellStyle name="Input 30 3 11" xfId="9586"/>
    <cellStyle name="Input 30 3 12" xfId="9587"/>
    <cellStyle name="Input 30 3 13" xfId="9588"/>
    <cellStyle name="Input 30 3 14" xfId="9589"/>
    <cellStyle name="Input 30 3 2" xfId="9590"/>
    <cellStyle name="Input 30 3 2 2" xfId="9591"/>
    <cellStyle name="Input 30 3 2 3" xfId="9592"/>
    <cellStyle name="Input 30 3 2 4" xfId="9593"/>
    <cellStyle name="Input 30 3 2 5" xfId="9594"/>
    <cellStyle name="Input 30 3 2 6" xfId="9595"/>
    <cellStyle name="Input 30 3 2 7" xfId="9596"/>
    <cellStyle name="Input 30 3 3" xfId="9597"/>
    <cellStyle name="Input 30 3 3 2" xfId="9598"/>
    <cellStyle name="Input 30 3 3 3" xfId="9599"/>
    <cellStyle name="Input 30 3 3 4" xfId="9600"/>
    <cellStyle name="Input 30 3 3 5" xfId="9601"/>
    <cellStyle name="Input 30 3 3 6" xfId="9602"/>
    <cellStyle name="Input 30 3 3 7" xfId="9603"/>
    <cellStyle name="Input 30 3 4" xfId="9604"/>
    <cellStyle name="Input 30 3 4 2" xfId="9605"/>
    <cellStyle name="Input 30 3 4 3" xfId="9606"/>
    <cellStyle name="Input 30 3 4 4" xfId="9607"/>
    <cellStyle name="Input 30 3 4 5" xfId="9608"/>
    <cellStyle name="Input 30 3 4 6" xfId="9609"/>
    <cellStyle name="Input 30 3 4 7" xfId="9610"/>
    <cellStyle name="Input 30 3 5" xfId="9611"/>
    <cellStyle name="Input 30 3 5 2" xfId="9612"/>
    <cellStyle name="Input 30 3 5 3" xfId="9613"/>
    <cellStyle name="Input 30 3 5 4" xfId="9614"/>
    <cellStyle name="Input 30 3 5 5" xfId="9615"/>
    <cellStyle name="Input 30 3 5 6" xfId="9616"/>
    <cellStyle name="Input 30 3 5 7" xfId="9617"/>
    <cellStyle name="Input 30 3 6" xfId="9618"/>
    <cellStyle name="Input 30 3 6 2" xfId="9619"/>
    <cellStyle name="Input 30 3 6 3" xfId="9620"/>
    <cellStyle name="Input 30 3 6 4" xfId="9621"/>
    <cellStyle name="Input 30 3 6 5" xfId="9622"/>
    <cellStyle name="Input 30 3 6 6" xfId="9623"/>
    <cellStyle name="Input 30 3 6 7" xfId="9624"/>
    <cellStyle name="Input 30 3 7" xfId="9625"/>
    <cellStyle name="Input 30 3 7 2" xfId="9626"/>
    <cellStyle name="Input 30 3 7 3" xfId="9627"/>
    <cellStyle name="Input 30 3 7 4" xfId="9628"/>
    <cellStyle name="Input 30 3 7 5" xfId="9629"/>
    <cellStyle name="Input 30 3 7 6" xfId="9630"/>
    <cellStyle name="Input 30 3 7 7" xfId="9631"/>
    <cellStyle name="Input 30 3 8" xfId="9632"/>
    <cellStyle name="Input 30 3 8 2" xfId="9633"/>
    <cellStyle name="Input 30 3 8 3" xfId="9634"/>
    <cellStyle name="Input 30 3 8 4" xfId="9635"/>
    <cellStyle name="Input 30 3 8 5" xfId="9636"/>
    <cellStyle name="Input 30 3 8 6" xfId="9637"/>
    <cellStyle name="Input 30 3 8 7" xfId="9638"/>
    <cellStyle name="Input 30 3 9" xfId="9639"/>
    <cellStyle name="Input 30 3 9 2" xfId="9640"/>
    <cellStyle name="Input 30 3 9 3" xfId="9641"/>
    <cellStyle name="Input 30 3 9 4" xfId="9642"/>
    <cellStyle name="Input 30 3 9 5" xfId="9643"/>
    <cellStyle name="Input 30 3 9 6" xfId="9644"/>
    <cellStyle name="Input 30 4" xfId="9645"/>
    <cellStyle name="Input 30 4 2" xfId="9646"/>
    <cellStyle name="Input 30 4 3" xfId="9647"/>
    <cellStyle name="Input 30 4 4" xfId="9648"/>
    <cellStyle name="Input 30 4 5" xfId="9649"/>
    <cellStyle name="Input 30 4 6" xfId="9650"/>
    <cellStyle name="Input 30 4 7" xfId="9651"/>
    <cellStyle name="Input 30 5" xfId="9652"/>
    <cellStyle name="Input 30 5 2" xfId="9653"/>
    <cellStyle name="Input 30 5 3" xfId="9654"/>
    <cellStyle name="Input 30 5 4" xfId="9655"/>
    <cellStyle name="Input 30 5 5" xfId="9656"/>
    <cellStyle name="Input 30 5 6" xfId="9657"/>
    <cellStyle name="Input 30 5 7" xfId="9658"/>
    <cellStyle name="Input 30 6" xfId="9659"/>
    <cellStyle name="Input 30 6 2" xfId="9660"/>
    <cellStyle name="Input 30 6 3" xfId="9661"/>
    <cellStyle name="Input 30 6 4" xfId="9662"/>
    <cellStyle name="Input 30 6 5" xfId="9663"/>
    <cellStyle name="Input 30 6 6" xfId="9664"/>
    <cellStyle name="Input 30 6 7" xfId="9665"/>
    <cellStyle name="Input 30 7" xfId="9666"/>
    <cellStyle name="Input 30 7 2" xfId="9667"/>
    <cellStyle name="Input 30 7 3" xfId="9668"/>
    <cellStyle name="Input 30 7 4" xfId="9669"/>
    <cellStyle name="Input 30 7 5" xfId="9670"/>
    <cellStyle name="Input 30 7 6" xfId="9671"/>
    <cellStyle name="Input 30 7 7" xfId="9672"/>
    <cellStyle name="Input 30 8" xfId="9673"/>
    <cellStyle name="Input 30 8 2" xfId="9674"/>
    <cellStyle name="Input 30 8 3" xfId="9675"/>
    <cellStyle name="Input 30 8 4" xfId="9676"/>
    <cellStyle name="Input 30 8 5" xfId="9677"/>
    <cellStyle name="Input 30 8 6" xfId="9678"/>
    <cellStyle name="Input 30 8 7" xfId="9679"/>
    <cellStyle name="Input 30 9" xfId="9680"/>
    <cellStyle name="Input 30 9 2" xfId="9681"/>
    <cellStyle name="Input 30 9 3" xfId="9682"/>
    <cellStyle name="Input 30 9 4" xfId="9683"/>
    <cellStyle name="Input 30 9 5" xfId="9684"/>
    <cellStyle name="Input 30 9 6" xfId="9685"/>
    <cellStyle name="Input 30 9 7" xfId="9686"/>
    <cellStyle name="Input 31" xfId="9687"/>
    <cellStyle name="Input 31 10" xfId="9688"/>
    <cellStyle name="Input 31 10 2" xfId="9689"/>
    <cellStyle name="Input 31 10 3" xfId="9690"/>
    <cellStyle name="Input 31 10 4" xfId="9691"/>
    <cellStyle name="Input 31 10 5" xfId="9692"/>
    <cellStyle name="Input 31 10 6" xfId="9693"/>
    <cellStyle name="Input 31 10 7" xfId="9694"/>
    <cellStyle name="Input 31 11" xfId="9695"/>
    <cellStyle name="Input 31 11 2" xfId="9696"/>
    <cellStyle name="Input 31 11 3" xfId="9697"/>
    <cellStyle name="Input 31 11 4" xfId="9698"/>
    <cellStyle name="Input 31 11 5" xfId="9699"/>
    <cellStyle name="Input 31 11 6" xfId="9700"/>
    <cellStyle name="Input 31 12" xfId="9701"/>
    <cellStyle name="Input 31 12 2" xfId="9702"/>
    <cellStyle name="Input 31 12 3" xfId="9703"/>
    <cellStyle name="Input 31 12 4" xfId="9704"/>
    <cellStyle name="Input 31 12 5" xfId="9705"/>
    <cellStyle name="Input 31 12 6" xfId="9706"/>
    <cellStyle name="Input 31 13" xfId="9707"/>
    <cellStyle name="Input 31 14" xfId="9708"/>
    <cellStyle name="Input 31 15" xfId="9709"/>
    <cellStyle name="Input 31 16" xfId="9710"/>
    <cellStyle name="Input 31 2" xfId="9711"/>
    <cellStyle name="Input 31 2 10" xfId="9712"/>
    <cellStyle name="Input 31 2 10 2" xfId="9713"/>
    <cellStyle name="Input 31 2 10 3" xfId="9714"/>
    <cellStyle name="Input 31 2 10 4" xfId="9715"/>
    <cellStyle name="Input 31 2 10 5" xfId="9716"/>
    <cellStyle name="Input 31 2 10 6" xfId="9717"/>
    <cellStyle name="Input 31 2 11" xfId="9718"/>
    <cellStyle name="Input 31 2 12" xfId="9719"/>
    <cellStyle name="Input 31 2 13" xfId="9720"/>
    <cellStyle name="Input 31 2 14" xfId="9721"/>
    <cellStyle name="Input 31 2 2" xfId="9722"/>
    <cellStyle name="Input 31 2 2 2" xfId="9723"/>
    <cellStyle name="Input 31 2 2 3" xfId="9724"/>
    <cellStyle name="Input 31 2 2 4" xfId="9725"/>
    <cellStyle name="Input 31 2 2 5" xfId="9726"/>
    <cellStyle name="Input 31 2 2 6" xfId="9727"/>
    <cellStyle name="Input 31 2 2 7" xfId="9728"/>
    <cellStyle name="Input 31 2 3" xfId="9729"/>
    <cellStyle name="Input 31 2 3 2" xfId="9730"/>
    <cellStyle name="Input 31 2 3 3" xfId="9731"/>
    <cellStyle name="Input 31 2 3 4" xfId="9732"/>
    <cellStyle name="Input 31 2 3 5" xfId="9733"/>
    <cellStyle name="Input 31 2 3 6" xfId="9734"/>
    <cellStyle name="Input 31 2 3 7" xfId="9735"/>
    <cellStyle name="Input 31 2 4" xfId="9736"/>
    <cellStyle name="Input 31 2 4 2" xfId="9737"/>
    <cellStyle name="Input 31 2 4 3" xfId="9738"/>
    <cellStyle name="Input 31 2 4 4" xfId="9739"/>
    <cellStyle name="Input 31 2 4 5" xfId="9740"/>
    <cellStyle name="Input 31 2 4 6" xfId="9741"/>
    <cellStyle name="Input 31 2 4 7" xfId="9742"/>
    <cellStyle name="Input 31 2 5" xfId="9743"/>
    <cellStyle name="Input 31 2 5 2" xfId="9744"/>
    <cellStyle name="Input 31 2 5 3" xfId="9745"/>
    <cellStyle name="Input 31 2 5 4" xfId="9746"/>
    <cellStyle name="Input 31 2 5 5" xfId="9747"/>
    <cellStyle name="Input 31 2 5 6" xfId="9748"/>
    <cellStyle name="Input 31 2 5 7" xfId="9749"/>
    <cellStyle name="Input 31 2 6" xfId="9750"/>
    <cellStyle name="Input 31 2 6 2" xfId="9751"/>
    <cellStyle name="Input 31 2 6 3" xfId="9752"/>
    <cellStyle name="Input 31 2 6 4" xfId="9753"/>
    <cellStyle name="Input 31 2 6 5" xfId="9754"/>
    <cellStyle name="Input 31 2 6 6" xfId="9755"/>
    <cellStyle name="Input 31 2 6 7" xfId="9756"/>
    <cellStyle name="Input 31 2 7" xfId="9757"/>
    <cellStyle name="Input 31 2 7 2" xfId="9758"/>
    <cellStyle name="Input 31 2 7 3" xfId="9759"/>
    <cellStyle name="Input 31 2 7 4" xfId="9760"/>
    <cellStyle name="Input 31 2 7 5" xfId="9761"/>
    <cellStyle name="Input 31 2 7 6" xfId="9762"/>
    <cellStyle name="Input 31 2 7 7" xfId="9763"/>
    <cellStyle name="Input 31 2 8" xfId="9764"/>
    <cellStyle name="Input 31 2 8 2" xfId="9765"/>
    <cellStyle name="Input 31 2 8 3" xfId="9766"/>
    <cellStyle name="Input 31 2 8 4" xfId="9767"/>
    <cellStyle name="Input 31 2 8 5" xfId="9768"/>
    <cellStyle name="Input 31 2 8 6" xfId="9769"/>
    <cellStyle name="Input 31 2 8 7" xfId="9770"/>
    <cellStyle name="Input 31 2 9" xfId="9771"/>
    <cellStyle name="Input 31 2 9 2" xfId="9772"/>
    <cellStyle name="Input 31 2 9 3" xfId="9773"/>
    <cellStyle name="Input 31 2 9 4" xfId="9774"/>
    <cellStyle name="Input 31 2 9 5" xfId="9775"/>
    <cellStyle name="Input 31 2 9 6" xfId="9776"/>
    <cellStyle name="Input 31 3" xfId="9777"/>
    <cellStyle name="Input 31 3 10" xfId="9778"/>
    <cellStyle name="Input 31 3 10 2" xfId="9779"/>
    <cellStyle name="Input 31 3 10 3" xfId="9780"/>
    <cellStyle name="Input 31 3 10 4" xfId="9781"/>
    <cellStyle name="Input 31 3 10 5" xfId="9782"/>
    <cellStyle name="Input 31 3 10 6" xfId="9783"/>
    <cellStyle name="Input 31 3 11" xfId="9784"/>
    <cellStyle name="Input 31 3 12" xfId="9785"/>
    <cellStyle name="Input 31 3 13" xfId="9786"/>
    <cellStyle name="Input 31 3 14" xfId="9787"/>
    <cellStyle name="Input 31 3 2" xfId="9788"/>
    <cellStyle name="Input 31 3 2 2" xfId="9789"/>
    <cellStyle name="Input 31 3 2 3" xfId="9790"/>
    <cellStyle name="Input 31 3 2 4" xfId="9791"/>
    <cellStyle name="Input 31 3 2 5" xfId="9792"/>
    <cellStyle name="Input 31 3 2 6" xfId="9793"/>
    <cellStyle name="Input 31 3 2 7" xfId="9794"/>
    <cellStyle name="Input 31 3 3" xfId="9795"/>
    <cellStyle name="Input 31 3 3 2" xfId="9796"/>
    <cellStyle name="Input 31 3 3 3" xfId="9797"/>
    <cellStyle name="Input 31 3 3 4" xfId="9798"/>
    <cellStyle name="Input 31 3 3 5" xfId="9799"/>
    <cellStyle name="Input 31 3 3 6" xfId="9800"/>
    <cellStyle name="Input 31 3 3 7" xfId="9801"/>
    <cellStyle name="Input 31 3 4" xfId="9802"/>
    <cellStyle name="Input 31 3 4 2" xfId="9803"/>
    <cellStyle name="Input 31 3 4 3" xfId="9804"/>
    <cellStyle name="Input 31 3 4 4" xfId="9805"/>
    <cellStyle name="Input 31 3 4 5" xfId="9806"/>
    <cellStyle name="Input 31 3 4 6" xfId="9807"/>
    <cellStyle name="Input 31 3 4 7" xfId="9808"/>
    <cellStyle name="Input 31 3 5" xfId="9809"/>
    <cellStyle name="Input 31 3 5 2" xfId="9810"/>
    <cellStyle name="Input 31 3 5 3" xfId="9811"/>
    <cellStyle name="Input 31 3 5 4" xfId="9812"/>
    <cellStyle name="Input 31 3 5 5" xfId="9813"/>
    <cellStyle name="Input 31 3 5 6" xfId="9814"/>
    <cellStyle name="Input 31 3 5 7" xfId="9815"/>
    <cellStyle name="Input 31 3 6" xfId="9816"/>
    <cellStyle name="Input 31 3 6 2" xfId="9817"/>
    <cellStyle name="Input 31 3 6 3" xfId="9818"/>
    <cellStyle name="Input 31 3 6 4" xfId="9819"/>
    <cellStyle name="Input 31 3 6 5" xfId="9820"/>
    <cellStyle name="Input 31 3 6 6" xfId="9821"/>
    <cellStyle name="Input 31 3 6 7" xfId="9822"/>
    <cellStyle name="Input 31 3 7" xfId="9823"/>
    <cellStyle name="Input 31 3 7 2" xfId="9824"/>
    <cellStyle name="Input 31 3 7 3" xfId="9825"/>
    <cellStyle name="Input 31 3 7 4" xfId="9826"/>
    <cellStyle name="Input 31 3 7 5" xfId="9827"/>
    <cellStyle name="Input 31 3 7 6" xfId="9828"/>
    <cellStyle name="Input 31 3 7 7" xfId="9829"/>
    <cellStyle name="Input 31 3 8" xfId="9830"/>
    <cellStyle name="Input 31 3 8 2" xfId="9831"/>
    <cellStyle name="Input 31 3 8 3" xfId="9832"/>
    <cellStyle name="Input 31 3 8 4" xfId="9833"/>
    <cellStyle name="Input 31 3 8 5" xfId="9834"/>
    <cellStyle name="Input 31 3 8 6" xfId="9835"/>
    <cellStyle name="Input 31 3 8 7" xfId="9836"/>
    <cellStyle name="Input 31 3 9" xfId="9837"/>
    <cellStyle name="Input 31 3 9 2" xfId="9838"/>
    <cellStyle name="Input 31 3 9 3" xfId="9839"/>
    <cellStyle name="Input 31 3 9 4" xfId="9840"/>
    <cellStyle name="Input 31 3 9 5" xfId="9841"/>
    <cellStyle name="Input 31 3 9 6" xfId="9842"/>
    <cellStyle name="Input 31 4" xfId="9843"/>
    <cellStyle name="Input 31 4 2" xfId="9844"/>
    <cellStyle name="Input 31 4 3" xfId="9845"/>
    <cellStyle name="Input 31 4 4" xfId="9846"/>
    <cellStyle name="Input 31 4 5" xfId="9847"/>
    <cellStyle name="Input 31 4 6" xfId="9848"/>
    <cellStyle name="Input 31 4 7" xfId="9849"/>
    <cellStyle name="Input 31 5" xfId="9850"/>
    <cellStyle name="Input 31 5 2" xfId="9851"/>
    <cellStyle name="Input 31 5 3" xfId="9852"/>
    <cellStyle name="Input 31 5 4" xfId="9853"/>
    <cellStyle name="Input 31 5 5" xfId="9854"/>
    <cellStyle name="Input 31 5 6" xfId="9855"/>
    <cellStyle name="Input 31 5 7" xfId="9856"/>
    <cellStyle name="Input 31 6" xfId="9857"/>
    <cellStyle name="Input 31 6 2" xfId="9858"/>
    <cellStyle name="Input 31 6 3" xfId="9859"/>
    <cellStyle name="Input 31 6 4" xfId="9860"/>
    <cellStyle name="Input 31 6 5" xfId="9861"/>
    <cellStyle name="Input 31 6 6" xfId="9862"/>
    <cellStyle name="Input 31 6 7" xfId="9863"/>
    <cellStyle name="Input 31 7" xfId="9864"/>
    <cellStyle name="Input 31 7 2" xfId="9865"/>
    <cellStyle name="Input 31 7 3" xfId="9866"/>
    <cellStyle name="Input 31 7 4" xfId="9867"/>
    <cellStyle name="Input 31 7 5" xfId="9868"/>
    <cellStyle name="Input 31 7 6" xfId="9869"/>
    <cellStyle name="Input 31 7 7" xfId="9870"/>
    <cellStyle name="Input 31 8" xfId="9871"/>
    <cellStyle name="Input 31 8 2" xfId="9872"/>
    <cellStyle name="Input 31 8 3" xfId="9873"/>
    <cellStyle name="Input 31 8 4" xfId="9874"/>
    <cellStyle name="Input 31 8 5" xfId="9875"/>
    <cellStyle name="Input 31 8 6" xfId="9876"/>
    <cellStyle name="Input 31 8 7" xfId="9877"/>
    <cellStyle name="Input 31 9" xfId="9878"/>
    <cellStyle name="Input 31 9 2" xfId="9879"/>
    <cellStyle name="Input 31 9 3" xfId="9880"/>
    <cellStyle name="Input 31 9 4" xfId="9881"/>
    <cellStyle name="Input 31 9 5" xfId="9882"/>
    <cellStyle name="Input 31 9 6" xfId="9883"/>
    <cellStyle name="Input 31 9 7" xfId="9884"/>
    <cellStyle name="Input 32" xfId="9885"/>
    <cellStyle name="Input 32 10" xfId="9886"/>
    <cellStyle name="Input 32 10 2" xfId="9887"/>
    <cellStyle name="Input 32 10 3" xfId="9888"/>
    <cellStyle name="Input 32 10 4" xfId="9889"/>
    <cellStyle name="Input 32 10 5" xfId="9890"/>
    <cellStyle name="Input 32 10 6" xfId="9891"/>
    <cellStyle name="Input 32 10 7" xfId="9892"/>
    <cellStyle name="Input 32 11" xfId="9893"/>
    <cellStyle name="Input 32 11 2" xfId="9894"/>
    <cellStyle name="Input 32 11 3" xfId="9895"/>
    <cellStyle name="Input 32 11 4" xfId="9896"/>
    <cellStyle name="Input 32 11 5" xfId="9897"/>
    <cellStyle name="Input 32 11 6" xfId="9898"/>
    <cellStyle name="Input 32 12" xfId="9899"/>
    <cellStyle name="Input 32 12 2" xfId="9900"/>
    <cellStyle name="Input 32 12 3" xfId="9901"/>
    <cellStyle name="Input 32 12 4" xfId="9902"/>
    <cellStyle name="Input 32 12 5" xfId="9903"/>
    <cellStyle name="Input 32 12 6" xfId="9904"/>
    <cellStyle name="Input 32 13" xfId="9905"/>
    <cellStyle name="Input 32 14" xfId="9906"/>
    <cellStyle name="Input 32 15" xfId="9907"/>
    <cellStyle name="Input 32 16" xfId="9908"/>
    <cellStyle name="Input 32 2" xfId="9909"/>
    <cellStyle name="Input 32 2 10" xfId="9910"/>
    <cellStyle name="Input 32 2 10 2" xfId="9911"/>
    <cellStyle name="Input 32 2 10 3" xfId="9912"/>
    <cellStyle name="Input 32 2 10 4" xfId="9913"/>
    <cellStyle name="Input 32 2 10 5" xfId="9914"/>
    <cellStyle name="Input 32 2 10 6" xfId="9915"/>
    <cellStyle name="Input 32 2 11" xfId="9916"/>
    <cellStyle name="Input 32 2 12" xfId="9917"/>
    <cellStyle name="Input 32 2 13" xfId="9918"/>
    <cellStyle name="Input 32 2 14" xfId="9919"/>
    <cellStyle name="Input 32 2 2" xfId="9920"/>
    <cellStyle name="Input 32 2 2 2" xfId="9921"/>
    <cellStyle name="Input 32 2 2 3" xfId="9922"/>
    <cellStyle name="Input 32 2 2 4" xfId="9923"/>
    <cellStyle name="Input 32 2 2 5" xfId="9924"/>
    <cellStyle name="Input 32 2 2 6" xfId="9925"/>
    <cellStyle name="Input 32 2 2 7" xfId="9926"/>
    <cellStyle name="Input 32 2 3" xfId="9927"/>
    <cellStyle name="Input 32 2 3 2" xfId="9928"/>
    <cellStyle name="Input 32 2 3 3" xfId="9929"/>
    <cellStyle name="Input 32 2 3 4" xfId="9930"/>
    <cellStyle name="Input 32 2 3 5" xfId="9931"/>
    <cellStyle name="Input 32 2 3 6" xfId="9932"/>
    <cellStyle name="Input 32 2 3 7" xfId="9933"/>
    <cellStyle name="Input 32 2 4" xfId="9934"/>
    <cellStyle name="Input 32 2 4 2" xfId="9935"/>
    <cellStyle name="Input 32 2 4 3" xfId="9936"/>
    <cellStyle name="Input 32 2 4 4" xfId="9937"/>
    <cellStyle name="Input 32 2 4 5" xfId="9938"/>
    <cellStyle name="Input 32 2 4 6" xfId="9939"/>
    <cellStyle name="Input 32 2 4 7" xfId="9940"/>
    <cellStyle name="Input 32 2 5" xfId="9941"/>
    <cellStyle name="Input 32 2 5 2" xfId="9942"/>
    <cellStyle name="Input 32 2 5 3" xfId="9943"/>
    <cellStyle name="Input 32 2 5 4" xfId="9944"/>
    <cellStyle name="Input 32 2 5 5" xfId="9945"/>
    <cellStyle name="Input 32 2 5 6" xfId="9946"/>
    <cellStyle name="Input 32 2 5 7" xfId="9947"/>
    <cellStyle name="Input 32 2 6" xfId="9948"/>
    <cellStyle name="Input 32 2 6 2" xfId="9949"/>
    <cellStyle name="Input 32 2 6 3" xfId="9950"/>
    <cellStyle name="Input 32 2 6 4" xfId="9951"/>
    <cellStyle name="Input 32 2 6 5" xfId="9952"/>
    <cellStyle name="Input 32 2 6 6" xfId="9953"/>
    <cellStyle name="Input 32 2 6 7" xfId="9954"/>
    <cellStyle name="Input 32 2 7" xfId="9955"/>
    <cellStyle name="Input 32 2 7 2" xfId="9956"/>
    <cellStyle name="Input 32 2 7 3" xfId="9957"/>
    <cellStyle name="Input 32 2 7 4" xfId="9958"/>
    <cellStyle name="Input 32 2 7 5" xfId="9959"/>
    <cellStyle name="Input 32 2 7 6" xfId="9960"/>
    <cellStyle name="Input 32 2 7 7" xfId="9961"/>
    <cellStyle name="Input 32 2 8" xfId="9962"/>
    <cellStyle name="Input 32 2 8 2" xfId="9963"/>
    <cellStyle name="Input 32 2 8 3" xfId="9964"/>
    <cellStyle name="Input 32 2 8 4" xfId="9965"/>
    <cellStyle name="Input 32 2 8 5" xfId="9966"/>
    <cellStyle name="Input 32 2 8 6" xfId="9967"/>
    <cellStyle name="Input 32 2 8 7" xfId="9968"/>
    <cellStyle name="Input 32 2 9" xfId="9969"/>
    <cellStyle name="Input 32 2 9 2" xfId="9970"/>
    <cellStyle name="Input 32 2 9 3" xfId="9971"/>
    <cellStyle name="Input 32 2 9 4" xfId="9972"/>
    <cellStyle name="Input 32 2 9 5" xfId="9973"/>
    <cellStyle name="Input 32 2 9 6" xfId="9974"/>
    <cellStyle name="Input 32 3" xfId="9975"/>
    <cellStyle name="Input 32 3 10" xfId="9976"/>
    <cellStyle name="Input 32 3 10 2" xfId="9977"/>
    <cellStyle name="Input 32 3 10 3" xfId="9978"/>
    <cellStyle name="Input 32 3 10 4" xfId="9979"/>
    <cellStyle name="Input 32 3 10 5" xfId="9980"/>
    <cellStyle name="Input 32 3 10 6" xfId="9981"/>
    <cellStyle name="Input 32 3 11" xfId="9982"/>
    <cellStyle name="Input 32 3 12" xfId="9983"/>
    <cellStyle name="Input 32 3 13" xfId="9984"/>
    <cellStyle name="Input 32 3 14" xfId="9985"/>
    <cellStyle name="Input 32 3 2" xfId="9986"/>
    <cellStyle name="Input 32 3 2 2" xfId="9987"/>
    <cellStyle name="Input 32 3 2 3" xfId="9988"/>
    <cellStyle name="Input 32 3 2 4" xfId="9989"/>
    <cellStyle name="Input 32 3 2 5" xfId="9990"/>
    <cellStyle name="Input 32 3 2 6" xfId="9991"/>
    <cellStyle name="Input 32 3 2 7" xfId="9992"/>
    <cellStyle name="Input 32 3 3" xfId="9993"/>
    <cellStyle name="Input 32 3 3 2" xfId="9994"/>
    <cellStyle name="Input 32 3 3 3" xfId="9995"/>
    <cellStyle name="Input 32 3 3 4" xfId="9996"/>
    <cellStyle name="Input 32 3 3 5" xfId="9997"/>
    <cellStyle name="Input 32 3 3 6" xfId="9998"/>
    <cellStyle name="Input 32 3 3 7" xfId="9999"/>
    <cellStyle name="Input 32 3 4" xfId="10000"/>
    <cellStyle name="Input 32 3 4 2" xfId="10001"/>
    <cellStyle name="Input 32 3 4 3" xfId="10002"/>
    <cellStyle name="Input 32 3 4 4" xfId="10003"/>
    <cellStyle name="Input 32 3 4 5" xfId="10004"/>
    <cellStyle name="Input 32 3 4 6" xfId="10005"/>
    <cellStyle name="Input 32 3 4 7" xfId="10006"/>
    <cellStyle name="Input 32 3 5" xfId="10007"/>
    <cellStyle name="Input 32 3 5 2" xfId="10008"/>
    <cellStyle name="Input 32 3 5 3" xfId="10009"/>
    <cellStyle name="Input 32 3 5 4" xfId="10010"/>
    <cellStyle name="Input 32 3 5 5" xfId="10011"/>
    <cellStyle name="Input 32 3 5 6" xfId="10012"/>
    <cellStyle name="Input 32 3 5 7" xfId="10013"/>
    <cellStyle name="Input 32 3 6" xfId="10014"/>
    <cellStyle name="Input 32 3 6 2" xfId="10015"/>
    <cellStyle name="Input 32 3 6 3" xfId="10016"/>
    <cellStyle name="Input 32 3 6 4" xfId="10017"/>
    <cellStyle name="Input 32 3 6 5" xfId="10018"/>
    <cellStyle name="Input 32 3 6 6" xfId="10019"/>
    <cellStyle name="Input 32 3 6 7" xfId="10020"/>
    <cellStyle name="Input 32 3 7" xfId="10021"/>
    <cellStyle name="Input 32 3 7 2" xfId="10022"/>
    <cellStyle name="Input 32 3 7 3" xfId="10023"/>
    <cellStyle name="Input 32 3 7 4" xfId="10024"/>
    <cellStyle name="Input 32 3 7 5" xfId="10025"/>
    <cellStyle name="Input 32 3 7 6" xfId="10026"/>
    <cellStyle name="Input 32 3 7 7" xfId="10027"/>
    <cellStyle name="Input 32 3 8" xfId="10028"/>
    <cellStyle name="Input 32 3 8 2" xfId="10029"/>
    <cellStyle name="Input 32 3 8 3" xfId="10030"/>
    <cellStyle name="Input 32 3 8 4" xfId="10031"/>
    <cellStyle name="Input 32 3 8 5" xfId="10032"/>
    <cellStyle name="Input 32 3 8 6" xfId="10033"/>
    <cellStyle name="Input 32 3 8 7" xfId="10034"/>
    <cellStyle name="Input 32 3 9" xfId="10035"/>
    <cellStyle name="Input 32 3 9 2" xfId="10036"/>
    <cellStyle name="Input 32 3 9 3" xfId="10037"/>
    <cellStyle name="Input 32 3 9 4" xfId="10038"/>
    <cellStyle name="Input 32 3 9 5" xfId="10039"/>
    <cellStyle name="Input 32 3 9 6" xfId="10040"/>
    <cellStyle name="Input 32 4" xfId="10041"/>
    <cellStyle name="Input 32 4 2" xfId="10042"/>
    <cellStyle name="Input 32 4 3" xfId="10043"/>
    <cellStyle name="Input 32 4 4" xfId="10044"/>
    <cellStyle name="Input 32 4 5" xfId="10045"/>
    <cellStyle name="Input 32 4 6" xfId="10046"/>
    <cellStyle name="Input 32 4 7" xfId="10047"/>
    <cellStyle name="Input 32 5" xfId="10048"/>
    <cellStyle name="Input 32 5 2" xfId="10049"/>
    <cellStyle name="Input 32 5 3" xfId="10050"/>
    <cellStyle name="Input 32 5 4" xfId="10051"/>
    <cellStyle name="Input 32 5 5" xfId="10052"/>
    <cellStyle name="Input 32 5 6" xfId="10053"/>
    <cellStyle name="Input 32 5 7" xfId="10054"/>
    <cellStyle name="Input 32 6" xfId="10055"/>
    <cellStyle name="Input 32 6 2" xfId="10056"/>
    <cellStyle name="Input 32 6 3" xfId="10057"/>
    <cellStyle name="Input 32 6 4" xfId="10058"/>
    <cellStyle name="Input 32 6 5" xfId="10059"/>
    <cellStyle name="Input 32 6 6" xfId="10060"/>
    <cellStyle name="Input 32 6 7" xfId="10061"/>
    <cellStyle name="Input 32 7" xfId="10062"/>
    <cellStyle name="Input 32 7 2" xfId="10063"/>
    <cellStyle name="Input 32 7 3" xfId="10064"/>
    <cellStyle name="Input 32 7 4" xfId="10065"/>
    <cellStyle name="Input 32 7 5" xfId="10066"/>
    <cellStyle name="Input 32 7 6" xfId="10067"/>
    <cellStyle name="Input 32 7 7" xfId="10068"/>
    <cellStyle name="Input 32 8" xfId="10069"/>
    <cellStyle name="Input 32 8 2" xfId="10070"/>
    <cellStyle name="Input 32 8 3" xfId="10071"/>
    <cellStyle name="Input 32 8 4" xfId="10072"/>
    <cellStyle name="Input 32 8 5" xfId="10073"/>
    <cellStyle name="Input 32 8 6" xfId="10074"/>
    <cellStyle name="Input 32 8 7" xfId="10075"/>
    <cellStyle name="Input 32 9" xfId="10076"/>
    <cellStyle name="Input 32 9 2" xfId="10077"/>
    <cellStyle name="Input 32 9 3" xfId="10078"/>
    <cellStyle name="Input 32 9 4" xfId="10079"/>
    <cellStyle name="Input 32 9 5" xfId="10080"/>
    <cellStyle name="Input 32 9 6" xfId="10081"/>
    <cellStyle name="Input 32 9 7" xfId="10082"/>
    <cellStyle name="Input 33" xfId="10083"/>
    <cellStyle name="Input 33 10" xfId="10084"/>
    <cellStyle name="Input 33 10 2" xfId="10085"/>
    <cellStyle name="Input 33 10 3" xfId="10086"/>
    <cellStyle name="Input 33 10 4" xfId="10087"/>
    <cellStyle name="Input 33 10 5" xfId="10088"/>
    <cellStyle name="Input 33 10 6" xfId="10089"/>
    <cellStyle name="Input 33 10 7" xfId="10090"/>
    <cellStyle name="Input 33 11" xfId="10091"/>
    <cellStyle name="Input 33 11 2" xfId="10092"/>
    <cellStyle name="Input 33 11 3" xfId="10093"/>
    <cellStyle name="Input 33 11 4" xfId="10094"/>
    <cellStyle name="Input 33 11 5" xfId="10095"/>
    <cellStyle name="Input 33 11 6" xfId="10096"/>
    <cellStyle name="Input 33 12" xfId="10097"/>
    <cellStyle name="Input 33 12 2" xfId="10098"/>
    <cellStyle name="Input 33 12 3" xfId="10099"/>
    <cellStyle name="Input 33 12 4" xfId="10100"/>
    <cellStyle name="Input 33 12 5" xfId="10101"/>
    <cellStyle name="Input 33 12 6" xfId="10102"/>
    <cellStyle name="Input 33 13" xfId="10103"/>
    <cellStyle name="Input 33 14" xfId="10104"/>
    <cellStyle name="Input 33 15" xfId="10105"/>
    <cellStyle name="Input 33 16" xfId="10106"/>
    <cellStyle name="Input 33 2" xfId="10107"/>
    <cellStyle name="Input 33 2 10" xfId="10108"/>
    <cellStyle name="Input 33 2 10 2" xfId="10109"/>
    <cellStyle name="Input 33 2 10 3" xfId="10110"/>
    <cellStyle name="Input 33 2 10 4" xfId="10111"/>
    <cellStyle name="Input 33 2 10 5" xfId="10112"/>
    <cellStyle name="Input 33 2 10 6" xfId="10113"/>
    <cellStyle name="Input 33 2 11" xfId="10114"/>
    <cellStyle name="Input 33 2 12" xfId="10115"/>
    <cellStyle name="Input 33 2 13" xfId="10116"/>
    <cellStyle name="Input 33 2 14" xfId="10117"/>
    <cellStyle name="Input 33 2 2" xfId="10118"/>
    <cellStyle name="Input 33 2 2 2" xfId="10119"/>
    <cellStyle name="Input 33 2 2 3" xfId="10120"/>
    <cellStyle name="Input 33 2 2 4" xfId="10121"/>
    <cellStyle name="Input 33 2 2 5" xfId="10122"/>
    <cellStyle name="Input 33 2 2 6" xfId="10123"/>
    <cellStyle name="Input 33 2 2 7" xfId="10124"/>
    <cellStyle name="Input 33 2 3" xfId="10125"/>
    <cellStyle name="Input 33 2 3 2" xfId="10126"/>
    <cellStyle name="Input 33 2 3 3" xfId="10127"/>
    <cellStyle name="Input 33 2 3 4" xfId="10128"/>
    <cellStyle name="Input 33 2 3 5" xfId="10129"/>
    <cellStyle name="Input 33 2 3 6" xfId="10130"/>
    <cellStyle name="Input 33 2 3 7" xfId="10131"/>
    <cellStyle name="Input 33 2 4" xfId="10132"/>
    <cellStyle name="Input 33 2 4 2" xfId="10133"/>
    <cellStyle name="Input 33 2 4 3" xfId="10134"/>
    <cellStyle name="Input 33 2 4 4" xfId="10135"/>
    <cellStyle name="Input 33 2 4 5" xfId="10136"/>
    <cellStyle name="Input 33 2 4 6" xfId="10137"/>
    <cellStyle name="Input 33 2 4 7" xfId="10138"/>
    <cellStyle name="Input 33 2 5" xfId="10139"/>
    <cellStyle name="Input 33 2 5 2" xfId="10140"/>
    <cellStyle name="Input 33 2 5 3" xfId="10141"/>
    <cellStyle name="Input 33 2 5 4" xfId="10142"/>
    <cellStyle name="Input 33 2 5 5" xfId="10143"/>
    <cellStyle name="Input 33 2 5 6" xfId="10144"/>
    <cellStyle name="Input 33 2 5 7" xfId="10145"/>
    <cellStyle name="Input 33 2 6" xfId="10146"/>
    <cellStyle name="Input 33 2 6 2" xfId="10147"/>
    <cellStyle name="Input 33 2 6 3" xfId="10148"/>
    <cellStyle name="Input 33 2 6 4" xfId="10149"/>
    <cellStyle name="Input 33 2 6 5" xfId="10150"/>
    <cellStyle name="Input 33 2 6 6" xfId="10151"/>
    <cellStyle name="Input 33 2 6 7" xfId="10152"/>
    <cellStyle name="Input 33 2 7" xfId="10153"/>
    <cellStyle name="Input 33 2 7 2" xfId="10154"/>
    <cellStyle name="Input 33 2 7 3" xfId="10155"/>
    <cellStyle name="Input 33 2 7 4" xfId="10156"/>
    <cellStyle name="Input 33 2 7 5" xfId="10157"/>
    <cellStyle name="Input 33 2 7 6" xfId="10158"/>
    <cellStyle name="Input 33 2 7 7" xfId="10159"/>
    <cellStyle name="Input 33 2 8" xfId="10160"/>
    <cellStyle name="Input 33 2 8 2" xfId="10161"/>
    <cellStyle name="Input 33 2 8 3" xfId="10162"/>
    <cellStyle name="Input 33 2 8 4" xfId="10163"/>
    <cellStyle name="Input 33 2 8 5" xfId="10164"/>
    <cellStyle name="Input 33 2 8 6" xfId="10165"/>
    <cellStyle name="Input 33 2 8 7" xfId="10166"/>
    <cellStyle name="Input 33 2 9" xfId="10167"/>
    <cellStyle name="Input 33 2 9 2" xfId="10168"/>
    <cellStyle name="Input 33 2 9 3" xfId="10169"/>
    <cellStyle name="Input 33 2 9 4" xfId="10170"/>
    <cellStyle name="Input 33 2 9 5" xfId="10171"/>
    <cellStyle name="Input 33 2 9 6" xfId="10172"/>
    <cellStyle name="Input 33 3" xfId="10173"/>
    <cellStyle name="Input 33 3 10" xfId="10174"/>
    <cellStyle name="Input 33 3 10 2" xfId="10175"/>
    <cellStyle name="Input 33 3 10 3" xfId="10176"/>
    <cellStyle name="Input 33 3 10 4" xfId="10177"/>
    <cellStyle name="Input 33 3 10 5" xfId="10178"/>
    <cellStyle name="Input 33 3 10 6" xfId="10179"/>
    <cellStyle name="Input 33 3 11" xfId="10180"/>
    <cellStyle name="Input 33 3 12" xfId="10181"/>
    <cellStyle name="Input 33 3 13" xfId="10182"/>
    <cellStyle name="Input 33 3 14" xfId="10183"/>
    <cellStyle name="Input 33 3 2" xfId="10184"/>
    <cellStyle name="Input 33 3 2 2" xfId="10185"/>
    <cellStyle name="Input 33 3 2 3" xfId="10186"/>
    <cellStyle name="Input 33 3 2 4" xfId="10187"/>
    <cellStyle name="Input 33 3 2 5" xfId="10188"/>
    <cellStyle name="Input 33 3 2 6" xfId="10189"/>
    <cellStyle name="Input 33 3 2 7" xfId="10190"/>
    <cellStyle name="Input 33 3 3" xfId="10191"/>
    <cellStyle name="Input 33 3 3 2" xfId="10192"/>
    <cellStyle name="Input 33 3 3 3" xfId="10193"/>
    <cellStyle name="Input 33 3 3 4" xfId="10194"/>
    <cellStyle name="Input 33 3 3 5" xfId="10195"/>
    <cellStyle name="Input 33 3 3 6" xfId="10196"/>
    <cellStyle name="Input 33 3 3 7" xfId="10197"/>
    <cellStyle name="Input 33 3 4" xfId="10198"/>
    <cellStyle name="Input 33 3 4 2" xfId="10199"/>
    <cellStyle name="Input 33 3 4 3" xfId="10200"/>
    <cellStyle name="Input 33 3 4 4" xfId="10201"/>
    <cellStyle name="Input 33 3 4 5" xfId="10202"/>
    <cellStyle name="Input 33 3 4 6" xfId="10203"/>
    <cellStyle name="Input 33 3 4 7" xfId="10204"/>
    <cellStyle name="Input 33 3 5" xfId="10205"/>
    <cellStyle name="Input 33 3 5 2" xfId="10206"/>
    <cellStyle name="Input 33 3 5 3" xfId="10207"/>
    <cellStyle name="Input 33 3 5 4" xfId="10208"/>
    <cellStyle name="Input 33 3 5 5" xfId="10209"/>
    <cellStyle name="Input 33 3 5 6" xfId="10210"/>
    <cellStyle name="Input 33 3 5 7" xfId="10211"/>
    <cellStyle name="Input 33 3 6" xfId="10212"/>
    <cellStyle name="Input 33 3 6 2" xfId="10213"/>
    <cellStyle name="Input 33 3 6 3" xfId="10214"/>
    <cellStyle name="Input 33 3 6 4" xfId="10215"/>
    <cellStyle name="Input 33 3 6 5" xfId="10216"/>
    <cellStyle name="Input 33 3 6 6" xfId="10217"/>
    <cellStyle name="Input 33 3 6 7" xfId="10218"/>
    <cellStyle name="Input 33 3 7" xfId="10219"/>
    <cellStyle name="Input 33 3 7 2" xfId="10220"/>
    <cellStyle name="Input 33 3 7 3" xfId="10221"/>
    <cellStyle name="Input 33 3 7 4" xfId="10222"/>
    <cellStyle name="Input 33 3 7 5" xfId="10223"/>
    <cellStyle name="Input 33 3 7 6" xfId="10224"/>
    <cellStyle name="Input 33 3 7 7" xfId="10225"/>
    <cellStyle name="Input 33 3 8" xfId="10226"/>
    <cellStyle name="Input 33 3 8 2" xfId="10227"/>
    <cellStyle name="Input 33 3 8 3" xfId="10228"/>
    <cellStyle name="Input 33 3 8 4" xfId="10229"/>
    <cellStyle name="Input 33 3 8 5" xfId="10230"/>
    <cellStyle name="Input 33 3 8 6" xfId="10231"/>
    <cellStyle name="Input 33 3 8 7" xfId="10232"/>
    <cellStyle name="Input 33 3 9" xfId="10233"/>
    <cellStyle name="Input 33 3 9 2" xfId="10234"/>
    <cellStyle name="Input 33 3 9 3" xfId="10235"/>
    <cellStyle name="Input 33 3 9 4" xfId="10236"/>
    <cellStyle name="Input 33 3 9 5" xfId="10237"/>
    <cellStyle name="Input 33 3 9 6" xfId="10238"/>
    <cellStyle name="Input 33 4" xfId="10239"/>
    <cellStyle name="Input 33 4 2" xfId="10240"/>
    <cellStyle name="Input 33 4 3" xfId="10241"/>
    <cellStyle name="Input 33 4 4" xfId="10242"/>
    <cellStyle name="Input 33 4 5" xfId="10243"/>
    <cellStyle name="Input 33 4 6" xfId="10244"/>
    <cellStyle name="Input 33 4 7" xfId="10245"/>
    <cellStyle name="Input 33 5" xfId="10246"/>
    <cellStyle name="Input 33 5 2" xfId="10247"/>
    <cellStyle name="Input 33 5 3" xfId="10248"/>
    <cellStyle name="Input 33 5 4" xfId="10249"/>
    <cellStyle name="Input 33 5 5" xfId="10250"/>
    <cellStyle name="Input 33 5 6" xfId="10251"/>
    <cellStyle name="Input 33 5 7" xfId="10252"/>
    <cellStyle name="Input 33 6" xfId="10253"/>
    <cellStyle name="Input 33 6 2" xfId="10254"/>
    <cellStyle name="Input 33 6 3" xfId="10255"/>
    <cellStyle name="Input 33 6 4" xfId="10256"/>
    <cellStyle name="Input 33 6 5" xfId="10257"/>
    <cellStyle name="Input 33 6 6" xfId="10258"/>
    <cellStyle name="Input 33 6 7" xfId="10259"/>
    <cellStyle name="Input 33 7" xfId="10260"/>
    <cellStyle name="Input 33 7 2" xfId="10261"/>
    <cellStyle name="Input 33 7 3" xfId="10262"/>
    <cellStyle name="Input 33 7 4" xfId="10263"/>
    <cellStyle name="Input 33 7 5" xfId="10264"/>
    <cellStyle name="Input 33 7 6" xfId="10265"/>
    <cellStyle name="Input 33 7 7" xfId="10266"/>
    <cellStyle name="Input 33 8" xfId="10267"/>
    <cellStyle name="Input 33 8 2" xfId="10268"/>
    <cellStyle name="Input 33 8 3" xfId="10269"/>
    <cellStyle name="Input 33 8 4" xfId="10270"/>
    <cellStyle name="Input 33 8 5" xfId="10271"/>
    <cellStyle name="Input 33 8 6" xfId="10272"/>
    <cellStyle name="Input 33 8 7" xfId="10273"/>
    <cellStyle name="Input 33 9" xfId="10274"/>
    <cellStyle name="Input 33 9 2" xfId="10275"/>
    <cellStyle name="Input 33 9 3" xfId="10276"/>
    <cellStyle name="Input 33 9 4" xfId="10277"/>
    <cellStyle name="Input 33 9 5" xfId="10278"/>
    <cellStyle name="Input 33 9 6" xfId="10279"/>
    <cellStyle name="Input 33 9 7" xfId="10280"/>
    <cellStyle name="Input 34" xfId="10281"/>
    <cellStyle name="Input 34 10" xfId="10282"/>
    <cellStyle name="Input 34 10 2" xfId="10283"/>
    <cellStyle name="Input 34 10 3" xfId="10284"/>
    <cellStyle name="Input 34 10 4" xfId="10285"/>
    <cellStyle name="Input 34 10 5" xfId="10286"/>
    <cellStyle name="Input 34 10 6" xfId="10287"/>
    <cellStyle name="Input 34 10 7" xfId="10288"/>
    <cellStyle name="Input 34 11" xfId="10289"/>
    <cellStyle name="Input 34 11 2" xfId="10290"/>
    <cellStyle name="Input 34 11 3" xfId="10291"/>
    <cellStyle name="Input 34 11 4" xfId="10292"/>
    <cellStyle name="Input 34 11 5" xfId="10293"/>
    <cellStyle name="Input 34 11 6" xfId="10294"/>
    <cellStyle name="Input 34 12" xfId="10295"/>
    <cellStyle name="Input 34 12 2" xfId="10296"/>
    <cellStyle name="Input 34 12 3" xfId="10297"/>
    <cellStyle name="Input 34 12 4" xfId="10298"/>
    <cellStyle name="Input 34 12 5" xfId="10299"/>
    <cellStyle name="Input 34 12 6" xfId="10300"/>
    <cellStyle name="Input 34 13" xfId="10301"/>
    <cellStyle name="Input 34 14" xfId="10302"/>
    <cellStyle name="Input 34 15" xfId="10303"/>
    <cellStyle name="Input 34 16" xfId="10304"/>
    <cellStyle name="Input 34 2" xfId="10305"/>
    <cellStyle name="Input 34 2 10" xfId="10306"/>
    <cellStyle name="Input 34 2 10 2" xfId="10307"/>
    <cellStyle name="Input 34 2 10 3" xfId="10308"/>
    <cellStyle name="Input 34 2 10 4" xfId="10309"/>
    <cellStyle name="Input 34 2 10 5" xfId="10310"/>
    <cellStyle name="Input 34 2 10 6" xfId="10311"/>
    <cellStyle name="Input 34 2 11" xfId="10312"/>
    <cellStyle name="Input 34 2 12" xfId="10313"/>
    <cellStyle name="Input 34 2 13" xfId="10314"/>
    <cellStyle name="Input 34 2 14" xfId="10315"/>
    <cellStyle name="Input 34 2 2" xfId="10316"/>
    <cellStyle name="Input 34 2 2 2" xfId="10317"/>
    <cellStyle name="Input 34 2 2 3" xfId="10318"/>
    <cellStyle name="Input 34 2 2 4" xfId="10319"/>
    <cellStyle name="Input 34 2 2 5" xfId="10320"/>
    <cellStyle name="Input 34 2 2 6" xfId="10321"/>
    <cellStyle name="Input 34 2 2 7" xfId="10322"/>
    <cellStyle name="Input 34 2 3" xfId="10323"/>
    <cellStyle name="Input 34 2 3 2" xfId="10324"/>
    <cellStyle name="Input 34 2 3 3" xfId="10325"/>
    <cellStyle name="Input 34 2 3 4" xfId="10326"/>
    <cellStyle name="Input 34 2 3 5" xfId="10327"/>
    <cellStyle name="Input 34 2 3 6" xfId="10328"/>
    <cellStyle name="Input 34 2 3 7" xfId="10329"/>
    <cellStyle name="Input 34 2 4" xfId="10330"/>
    <cellStyle name="Input 34 2 4 2" xfId="10331"/>
    <cellStyle name="Input 34 2 4 3" xfId="10332"/>
    <cellStyle name="Input 34 2 4 4" xfId="10333"/>
    <cellStyle name="Input 34 2 4 5" xfId="10334"/>
    <cellStyle name="Input 34 2 4 6" xfId="10335"/>
    <cellStyle name="Input 34 2 4 7" xfId="10336"/>
    <cellStyle name="Input 34 2 5" xfId="10337"/>
    <cellStyle name="Input 34 2 5 2" xfId="10338"/>
    <cellStyle name="Input 34 2 5 3" xfId="10339"/>
    <cellStyle name="Input 34 2 5 4" xfId="10340"/>
    <cellStyle name="Input 34 2 5 5" xfId="10341"/>
    <cellStyle name="Input 34 2 5 6" xfId="10342"/>
    <cellStyle name="Input 34 2 5 7" xfId="10343"/>
    <cellStyle name="Input 34 2 6" xfId="10344"/>
    <cellStyle name="Input 34 2 6 2" xfId="10345"/>
    <cellStyle name="Input 34 2 6 3" xfId="10346"/>
    <cellStyle name="Input 34 2 6 4" xfId="10347"/>
    <cellStyle name="Input 34 2 6 5" xfId="10348"/>
    <cellStyle name="Input 34 2 6 6" xfId="10349"/>
    <cellStyle name="Input 34 2 6 7" xfId="10350"/>
    <cellStyle name="Input 34 2 7" xfId="10351"/>
    <cellStyle name="Input 34 2 7 2" xfId="10352"/>
    <cellStyle name="Input 34 2 7 3" xfId="10353"/>
    <cellStyle name="Input 34 2 7 4" xfId="10354"/>
    <cellStyle name="Input 34 2 7 5" xfId="10355"/>
    <cellStyle name="Input 34 2 7 6" xfId="10356"/>
    <cellStyle name="Input 34 2 7 7" xfId="10357"/>
    <cellStyle name="Input 34 2 8" xfId="10358"/>
    <cellStyle name="Input 34 2 8 2" xfId="10359"/>
    <cellStyle name="Input 34 2 8 3" xfId="10360"/>
    <cellStyle name="Input 34 2 8 4" xfId="10361"/>
    <cellStyle name="Input 34 2 8 5" xfId="10362"/>
    <cellStyle name="Input 34 2 8 6" xfId="10363"/>
    <cellStyle name="Input 34 2 8 7" xfId="10364"/>
    <cellStyle name="Input 34 2 9" xfId="10365"/>
    <cellStyle name="Input 34 2 9 2" xfId="10366"/>
    <cellStyle name="Input 34 2 9 3" xfId="10367"/>
    <cellStyle name="Input 34 2 9 4" xfId="10368"/>
    <cellStyle name="Input 34 2 9 5" xfId="10369"/>
    <cellStyle name="Input 34 2 9 6" xfId="10370"/>
    <cellStyle name="Input 34 3" xfId="10371"/>
    <cellStyle name="Input 34 3 10" xfId="10372"/>
    <cellStyle name="Input 34 3 10 2" xfId="10373"/>
    <cellStyle name="Input 34 3 10 3" xfId="10374"/>
    <cellStyle name="Input 34 3 10 4" xfId="10375"/>
    <cellStyle name="Input 34 3 10 5" xfId="10376"/>
    <cellStyle name="Input 34 3 10 6" xfId="10377"/>
    <cellStyle name="Input 34 3 11" xfId="10378"/>
    <cellStyle name="Input 34 3 12" xfId="10379"/>
    <cellStyle name="Input 34 3 13" xfId="10380"/>
    <cellStyle name="Input 34 3 14" xfId="10381"/>
    <cellStyle name="Input 34 3 2" xfId="10382"/>
    <cellStyle name="Input 34 3 2 2" xfId="10383"/>
    <cellStyle name="Input 34 3 2 3" xfId="10384"/>
    <cellStyle name="Input 34 3 2 4" xfId="10385"/>
    <cellStyle name="Input 34 3 2 5" xfId="10386"/>
    <cellStyle name="Input 34 3 2 6" xfId="10387"/>
    <cellStyle name="Input 34 3 2 7" xfId="10388"/>
    <cellStyle name="Input 34 3 3" xfId="10389"/>
    <cellStyle name="Input 34 3 3 2" xfId="10390"/>
    <cellStyle name="Input 34 3 3 3" xfId="10391"/>
    <cellStyle name="Input 34 3 3 4" xfId="10392"/>
    <cellStyle name="Input 34 3 3 5" xfId="10393"/>
    <cellStyle name="Input 34 3 3 6" xfId="10394"/>
    <cellStyle name="Input 34 3 3 7" xfId="10395"/>
    <cellStyle name="Input 34 3 4" xfId="10396"/>
    <cellStyle name="Input 34 3 4 2" xfId="10397"/>
    <cellStyle name="Input 34 3 4 3" xfId="10398"/>
    <cellStyle name="Input 34 3 4 4" xfId="10399"/>
    <cellStyle name="Input 34 3 4 5" xfId="10400"/>
    <cellStyle name="Input 34 3 4 6" xfId="10401"/>
    <cellStyle name="Input 34 3 4 7" xfId="10402"/>
    <cellStyle name="Input 34 3 5" xfId="10403"/>
    <cellStyle name="Input 34 3 5 2" xfId="10404"/>
    <cellStyle name="Input 34 3 5 3" xfId="10405"/>
    <cellStyle name="Input 34 3 5 4" xfId="10406"/>
    <cellStyle name="Input 34 3 5 5" xfId="10407"/>
    <cellStyle name="Input 34 3 5 6" xfId="10408"/>
    <cellStyle name="Input 34 3 5 7" xfId="10409"/>
    <cellStyle name="Input 34 3 6" xfId="10410"/>
    <cellStyle name="Input 34 3 6 2" xfId="10411"/>
    <cellStyle name="Input 34 3 6 3" xfId="10412"/>
    <cellStyle name="Input 34 3 6 4" xfId="10413"/>
    <cellStyle name="Input 34 3 6 5" xfId="10414"/>
    <cellStyle name="Input 34 3 6 6" xfId="10415"/>
    <cellStyle name="Input 34 3 6 7" xfId="10416"/>
    <cellStyle name="Input 34 3 7" xfId="10417"/>
    <cellStyle name="Input 34 3 7 2" xfId="10418"/>
    <cellStyle name="Input 34 3 7 3" xfId="10419"/>
    <cellStyle name="Input 34 3 7 4" xfId="10420"/>
    <cellStyle name="Input 34 3 7 5" xfId="10421"/>
    <cellStyle name="Input 34 3 7 6" xfId="10422"/>
    <cellStyle name="Input 34 3 7 7" xfId="10423"/>
    <cellStyle name="Input 34 3 8" xfId="10424"/>
    <cellStyle name="Input 34 3 8 2" xfId="10425"/>
    <cellStyle name="Input 34 3 8 3" xfId="10426"/>
    <cellStyle name="Input 34 3 8 4" xfId="10427"/>
    <cellStyle name="Input 34 3 8 5" xfId="10428"/>
    <cellStyle name="Input 34 3 8 6" xfId="10429"/>
    <cellStyle name="Input 34 3 8 7" xfId="10430"/>
    <cellStyle name="Input 34 3 9" xfId="10431"/>
    <cellStyle name="Input 34 3 9 2" xfId="10432"/>
    <cellStyle name="Input 34 3 9 3" xfId="10433"/>
    <cellStyle name="Input 34 3 9 4" xfId="10434"/>
    <cellStyle name="Input 34 3 9 5" xfId="10435"/>
    <cellStyle name="Input 34 3 9 6" xfId="10436"/>
    <cellStyle name="Input 34 4" xfId="10437"/>
    <cellStyle name="Input 34 4 2" xfId="10438"/>
    <cellStyle name="Input 34 4 3" xfId="10439"/>
    <cellStyle name="Input 34 4 4" xfId="10440"/>
    <cellStyle name="Input 34 4 5" xfId="10441"/>
    <cellStyle name="Input 34 4 6" xfId="10442"/>
    <cellStyle name="Input 34 4 7" xfId="10443"/>
    <cellStyle name="Input 34 5" xfId="10444"/>
    <cellStyle name="Input 34 5 2" xfId="10445"/>
    <cellStyle name="Input 34 5 3" xfId="10446"/>
    <cellStyle name="Input 34 5 4" xfId="10447"/>
    <cellStyle name="Input 34 5 5" xfId="10448"/>
    <cellStyle name="Input 34 5 6" xfId="10449"/>
    <cellStyle name="Input 34 5 7" xfId="10450"/>
    <cellStyle name="Input 34 6" xfId="10451"/>
    <cellStyle name="Input 34 6 2" xfId="10452"/>
    <cellStyle name="Input 34 6 3" xfId="10453"/>
    <cellStyle name="Input 34 6 4" xfId="10454"/>
    <cellStyle name="Input 34 6 5" xfId="10455"/>
    <cellStyle name="Input 34 6 6" xfId="10456"/>
    <cellStyle name="Input 34 6 7" xfId="10457"/>
    <cellStyle name="Input 34 7" xfId="10458"/>
    <cellStyle name="Input 34 7 2" xfId="10459"/>
    <cellStyle name="Input 34 7 3" xfId="10460"/>
    <cellStyle name="Input 34 7 4" xfId="10461"/>
    <cellStyle name="Input 34 7 5" xfId="10462"/>
    <cellStyle name="Input 34 7 6" xfId="10463"/>
    <cellStyle name="Input 34 7 7" xfId="10464"/>
    <cellStyle name="Input 34 8" xfId="10465"/>
    <cellStyle name="Input 34 8 2" xfId="10466"/>
    <cellStyle name="Input 34 8 3" xfId="10467"/>
    <cellStyle name="Input 34 8 4" xfId="10468"/>
    <cellStyle name="Input 34 8 5" xfId="10469"/>
    <cellStyle name="Input 34 8 6" xfId="10470"/>
    <cellStyle name="Input 34 8 7" xfId="10471"/>
    <cellStyle name="Input 34 9" xfId="10472"/>
    <cellStyle name="Input 34 9 2" xfId="10473"/>
    <cellStyle name="Input 34 9 3" xfId="10474"/>
    <cellStyle name="Input 34 9 4" xfId="10475"/>
    <cellStyle name="Input 34 9 5" xfId="10476"/>
    <cellStyle name="Input 34 9 6" xfId="10477"/>
    <cellStyle name="Input 34 9 7" xfId="10478"/>
    <cellStyle name="Input 35" xfId="10479"/>
    <cellStyle name="Input 35 10" xfId="10480"/>
    <cellStyle name="Input 35 10 2" xfId="10481"/>
    <cellStyle name="Input 35 10 3" xfId="10482"/>
    <cellStyle name="Input 35 10 4" xfId="10483"/>
    <cellStyle name="Input 35 10 5" xfId="10484"/>
    <cellStyle name="Input 35 10 6" xfId="10485"/>
    <cellStyle name="Input 35 10 7" xfId="10486"/>
    <cellStyle name="Input 35 11" xfId="10487"/>
    <cellStyle name="Input 35 11 2" xfId="10488"/>
    <cellStyle name="Input 35 11 3" xfId="10489"/>
    <cellStyle name="Input 35 11 4" xfId="10490"/>
    <cellStyle name="Input 35 11 5" xfId="10491"/>
    <cellStyle name="Input 35 11 6" xfId="10492"/>
    <cellStyle name="Input 35 12" xfId="10493"/>
    <cellStyle name="Input 35 12 2" xfId="10494"/>
    <cellStyle name="Input 35 12 3" xfId="10495"/>
    <cellStyle name="Input 35 12 4" xfId="10496"/>
    <cellStyle name="Input 35 12 5" xfId="10497"/>
    <cellStyle name="Input 35 12 6" xfId="10498"/>
    <cellStyle name="Input 35 13" xfId="10499"/>
    <cellStyle name="Input 35 14" xfId="10500"/>
    <cellStyle name="Input 35 15" xfId="10501"/>
    <cellStyle name="Input 35 16" xfId="10502"/>
    <cellStyle name="Input 35 2" xfId="10503"/>
    <cellStyle name="Input 35 2 10" xfId="10504"/>
    <cellStyle name="Input 35 2 10 2" xfId="10505"/>
    <cellStyle name="Input 35 2 10 3" xfId="10506"/>
    <cellStyle name="Input 35 2 10 4" xfId="10507"/>
    <cellStyle name="Input 35 2 10 5" xfId="10508"/>
    <cellStyle name="Input 35 2 10 6" xfId="10509"/>
    <cellStyle name="Input 35 2 11" xfId="10510"/>
    <cellStyle name="Input 35 2 12" xfId="10511"/>
    <cellStyle name="Input 35 2 13" xfId="10512"/>
    <cellStyle name="Input 35 2 14" xfId="10513"/>
    <cellStyle name="Input 35 2 2" xfId="10514"/>
    <cellStyle name="Input 35 2 2 2" xfId="10515"/>
    <cellStyle name="Input 35 2 2 3" xfId="10516"/>
    <cellStyle name="Input 35 2 2 4" xfId="10517"/>
    <cellStyle name="Input 35 2 2 5" xfId="10518"/>
    <cellStyle name="Input 35 2 2 6" xfId="10519"/>
    <cellStyle name="Input 35 2 2 7" xfId="10520"/>
    <cellStyle name="Input 35 2 3" xfId="10521"/>
    <cellStyle name="Input 35 2 3 2" xfId="10522"/>
    <cellStyle name="Input 35 2 3 3" xfId="10523"/>
    <cellStyle name="Input 35 2 3 4" xfId="10524"/>
    <cellStyle name="Input 35 2 3 5" xfId="10525"/>
    <cellStyle name="Input 35 2 3 6" xfId="10526"/>
    <cellStyle name="Input 35 2 3 7" xfId="10527"/>
    <cellStyle name="Input 35 2 4" xfId="10528"/>
    <cellStyle name="Input 35 2 4 2" xfId="10529"/>
    <cellStyle name="Input 35 2 4 3" xfId="10530"/>
    <cellStyle name="Input 35 2 4 4" xfId="10531"/>
    <cellStyle name="Input 35 2 4 5" xfId="10532"/>
    <cellStyle name="Input 35 2 4 6" xfId="10533"/>
    <cellStyle name="Input 35 2 4 7" xfId="10534"/>
    <cellStyle name="Input 35 2 5" xfId="10535"/>
    <cellStyle name="Input 35 2 5 2" xfId="10536"/>
    <cellStyle name="Input 35 2 5 3" xfId="10537"/>
    <cellStyle name="Input 35 2 5 4" xfId="10538"/>
    <cellStyle name="Input 35 2 5 5" xfId="10539"/>
    <cellStyle name="Input 35 2 5 6" xfId="10540"/>
    <cellStyle name="Input 35 2 5 7" xfId="10541"/>
    <cellStyle name="Input 35 2 6" xfId="10542"/>
    <cellStyle name="Input 35 2 6 2" xfId="10543"/>
    <cellStyle name="Input 35 2 6 3" xfId="10544"/>
    <cellStyle name="Input 35 2 6 4" xfId="10545"/>
    <cellStyle name="Input 35 2 6 5" xfId="10546"/>
    <cellStyle name="Input 35 2 6 6" xfId="10547"/>
    <cellStyle name="Input 35 2 6 7" xfId="10548"/>
    <cellStyle name="Input 35 2 7" xfId="10549"/>
    <cellStyle name="Input 35 2 7 2" xfId="10550"/>
    <cellStyle name="Input 35 2 7 3" xfId="10551"/>
    <cellStyle name="Input 35 2 7 4" xfId="10552"/>
    <cellStyle name="Input 35 2 7 5" xfId="10553"/>
    <cellStyle name="Input 35 2 7 6" xfId="10554"/>
    <cellStyle name="Input 35 2 7 7" xfId="10555"/>
    <cellStyle name="Input 35 2 8" xfId="10556"/>
    <cellStyle name="Input 35 2 8 2" xfId="10557"/>
    <cellStyle name="Input 35 2 8 3" xfId="10558"/>
    <cellStyle name="Input 35 2 8 4" xfId="10559"/>
    <cellStyle name="Input 35 2 8 5" xfId="10560"/>
    <cellStyle name="Input 35 2 8 6" xfId="10561"/>
    <cellStyle name="Input 35 2 8 7" xfId="10562"/>
    <cellStyle name="Input 35 2 9" xfId="10563"/>
    <cellStyle name="Input 35 2 9 2" xfId="10564"/>
    <cellStyle name="Input 35 2 9 3" xfId="10565"/>
    <cellStyle name="Input 35 2 9 4" xfId="10566"/>
    <cellStyle name="Input 35 2 9 5" xfId="10567"/>
    <cellStyle name="Input 35 2 9 6" xfId="10568"/>
    <cellStyle name="Input 35 3" xfId="10569"/>
    <cellStyle name="Input 35 3 10" xfId="10570"/>
    <cellStyle name="Input 35 3 10 2" xfId="10571"/>
    <cellStyle name="Input 35 3 10 3" xfId="10572"/>
    <cellStyle name="Input 35 3 10 4" xfId="10573"/>
    <cellStyle name="Input 35 3 10 5" xfId="10574"/>
    <cellStyle name="Input 35 3 10 6" xfId="10575"/>
    <cellStyle name="Input 35 3 11" xfId="10576"/>
    <cellStyle name="Input 35 3 12" xfId="10577"/>
    <cellStyle name="Input 35 3 13" xfId="10578"/>
    <cellStyle name="Input 35 3 14" xfId="10579"/>
    <cellStyle name="Input 35 3 2" xfId="10580"/>
    <cellStyle name="Input 35 3 2 2" xfId="10581"/>
    <cellStyle name="Input 35 3 2 3" xfId="10582"/>
    <cellStyle name="Input 35 3 2 4" xfId="10583"/>
    <cellStyle name="Input 35 3 2 5" xfId="10584"/>
    <cellStyle name="Input 35 3 2 6" xfId="10585"/>
    <cellStyle name="Input 35 3 2 7" xfId="10586"/>
    <cellStyle name="Input 35 3 3" xfId="10587"/>
    <cellStyle name="Input 35 3 3 2" xfId="10588"/>
    <cellStyle name="Input 35 3 3 3" xfId="10589"/>
    <cellStyle name="Input 35 3 3 4" xfId="10590"/>
    <cellStyle name="Input 35 3 3 5" xfId="10591"/>
    <cellStyle name="Input 35 3 3 6" xfId="10592"/>
    <cellStyle name="Input 35 3 3 7" xfId="10593"/>
    <cellStyle name="Input 35 3 4" xfId="10594"/>
    <cellStyle name="Input 35 3 4 2" xfId="10595"/>
    <cellStyle name="Input 35 3 4 3" xfId="10596"/>
    <cellStyle name="Input 35 3 4 4" xfId="10597"/>
    <cellStyle name="Input 35 3 4 5" xfId="10598"/>
    <cellStyle name="Input 35 3 4 6" xfId="10599"/>
    <cellStyle name="Input 35 3 4 7" xfId="10600"/>
    <cellStyle name="Input 35 3 5" xfId="10601"/>
    <cellStyle name="Input 35 3 5 2" xfId="10602"/>
    <cellStyle name="Input 35 3 5 3" xfId="10603"/>
    <cellStyle name="Input 35 3 5 4" xfId="10604"/>
    <cellStyle name="Input 35 3 5 5" xfId="10605"/>
    <cellStyle name="Input 35 3 5 6" xfId="10606"/>
    <cellStyle name="Input 35 3 5 7" xfId="10607"/>
    <cellStyle name="Input 35 3 6" xfId="10608"/>
    <cellStyle name="Input 35 3 6 2" xfId="10609"/>
    <cellStyle name="Input 35 3 6 3" xfId="10610"/>
    <cellStyle name="Input 35 3 6 4" xfId="10611"/>
    <cellStyle name="Input 35 3 6 5" xfId="10612"/>
    <cellStyle name="Input 35 3 6 6" xfId="10613"/>
    <cellStyle name="Input 35 3 6 7" xfId="10614"/>
    <cellStyle name="Input 35 3 7" xfId="10615"/>
    <cellStyle name="Input 35 3 7 2" xfId="10616"/>
    <cellStyle name="Input 35 3 7 3" xfId="10617"/>
    <cellStyle name="Input 35 3 7 4" xfId="10618"/>
    <cellStyle name="Input 35 3 7 5" xfId="10619"/>
    <cellStyle name="Input 35 3 7 6" xfId="10620"/>
    <cellStyle name="Input 35 3 7 7" xfId="10621"/>
    <cellStyle name="Input 35 3 8" xfId="10622"/>
    <cellStyle name="Input 35 3 8 2" xfId="10623"/>
    <cellStyle name="Input 35 3 8 3" xfId="10624"/>
    <cellStyle name="Input 35 3 8 4" xfId="10625"/>
    <cellStyle name="Input 35 3 8 5" xfId="10626"/>
    <cellStyle name="Input 35 3 8 6" xfId="10627"/>
    <cellStyle name="Input 35 3 8 7" xfId="10628"/>
    <cellStyle name="Input 35 3 9" xfId="10629"/>
    <cellStyle name="Input 35 3 9 2" xfId="10630"/>
    <cellStyle name="Input 35 3 9 3" xfId="10631"/>
    <cellStyle name="Input 35 3 9 4" xfId="10632"/>
    <cellStyle name="Input 35 3 9 5" xfId="10633"/>
    <cellStyle name="Input 35 3 9 6" xfId="10634"/>
    <cellStyle name="Input 35 4" xfId="10635"/>
    <cellStyle name="Input 35 4 2" xfId="10636"/>
    <cellStyle name="Input 35 4 3" xfId="10637"/>
    <cellStyle name="Input 35 4 4" xfId="10638"/>
    <cellStyle name="Input 35 4 5" xfId="10639"/>
    <cellStyle name="Input 35 4 6" xfId="10640"/>
    <cellStyle name="Input 35 4 7" xfId="10641"/>
    <cellStyle name="Input 35 5" xfId="10642"/>
    <cellStyle name="Input 35 5 2" xfId="10643"/>
    <cellStyle name="Input 35 5 3" xfId="10644"/>
    <cellStyle name="Input 35 5 4" xfId="10645"/>
    <cellStyle name="Input 35 5 5" xfId="10646"/>
    <cellStyle name="Input 35 5 6" xfId="10647"/>
    <cellStyle name="Input 35 5 7" xfId="10648"/>
    <cellStyle name="Input 35 6" xfId="10649"/>
    <cellStyle name="Input 35 6 2" xfId="10650"/>
    <cellStyle name="Input 35 6 3" xfId="10651"/>
    <cellStyle name="Input 35 6 4" xfId="10652"/>
    <cellStyle name="Input 35 6 5" xfId="10653"/>
    <cellStyle name="Input 35 6 6" xfId="10654"/>
    <cellStyle name="Input 35 6 7" xfId="10655"/>
    <cellStyle name="Input 35 7" xfId="10656"/>
    <cellStyle name="Input 35 7 2" xfId="10657"/>
    <cellStyle name="Input 35 7 3" xfId="10658"/>
    <cellStyle name="Input 35 7 4" xfId="10659"/>
    <cellStyle name="Input 35 7 5" xfId="10660"/>
    <cellStyle name="Input 35 7 6" xfId="10661"/>
    <cellStyle name="Input 35 7 7" xfId="10662"/>
    <cellStyle name="Input 35 8" xfId="10663"/>
    <cellStyle name="Input 35 8 2" xfId="10664"/>
    <cellStyle name="Input 35 8 3" xfId="10665"/>
    <cellStyle name="Input 35 8 4" xfId="10666"/>
    <cellStyle name="Input 35 8 5" xfId="10667"/>
    <cellStyle name="Input 35 8 6" xfId="10668"/>
    <cellStyle name="Input 35 8 7" xfId="10669"/>
    <cellStyle name="Input 35 9" xfId="10670"/>
    <cellStyle name="Input 35 9 2" xfId="10671"/>
    <cellStyle name="Input 35 9 3" xfId="10672"/>
    <cellStyle name="Input 35 9 4" xfId="10673"/>
    <cellStyle name="Input 35 9 5" xfId="10674"/>
    <cellStyle name="Input 35 9 6" xfId="10675"/>
    <cellStyle name="Input 35 9 7" xfId="10676"/>
    <cellStyle name="Input 36" xfId="10677"/>
    <cellStyle name="Input 36 10" xfId="10678"/>
    <cellStyle name="Input 36 10 2" xfId="10679"/>
    <cellStyle name="Input 36 10 3" xfId="10680"/>
    <cellStyle name="Input 36 10 4" xfId="10681"/>
    <cellStyle name="Input 36 10 5" xfId="10682"/>
    <cellStyle name="Input 36 10 6" xfId="10683"/>
    <cellStyle name="Input 36 10 7" xfId="10684"/>
    <cellStyle name="Input 36 11" xfId="10685"/>
    <cellStyle name="Input 36 11 2" xfId="10686"/>
    <cellStyle name="Input 36 11 3" xfId="10687"/>
    <cellStyle name="Input 36 11 4" xfId="10688"/>
    <cellStyle name="Input 36 11 5" xfId="10689"/>
    <cellStyle name="Input 36 11 6" xfId="10690"/>
    <cellStyle name="Input 36 12" xfId="10691"/>
    <cellStyle name="Input 36 12 2" xfId="10692"/>
    <cellStyle name="Input 36 12 3" xfId="10693"/>
    <cellStyle name="Input 36 12 4" xfId="10694"/>
    <cellStyle name="Input 36 12 5" xfId="10695"/>
    <cellStyle name="Input 36 12 6" xfId="10696"/>
    <cellStyle name="Input 36 13" xfId="10697"/>
    <cellStyle name="Input 36 14" xfId="10698"/>
    <cellStyle name="Input 36 15" xfId="10699"/>
    <cellStyle name="Input 36 16" xfId="10700"/>
    <cellStyle name="Input 36 2" xfId="10701"/>
    <cellStyle name="Input 36 2 10" xfId="10702"/>
    <cellStyle name="Input 36 2 10 2" xfId="10703"/>
    <cellStyle name="Input 36 2 10 3" xfId="10704"/>
    <cellStyle name="Input 36 2 10 4" xfId="10705"/>
    <cellStyle name="Input 36 2 10 5" xfId="10706"/>
    <cellStyle name="Input 36 2 10 6" xfId="10707"/>
    <cellStyle name="Input 36 2 11" xfId="10708"/>
    <cellStyle name="Input 36 2 12" xfId="10709"/>
    <cellStyle name="Input 36 2 13" xfId="10710"/>
    <cellStyle name="Input 36 2 14" xfId="10711"/>
    <cellStyle name="Input 36 2 2" xfId="10712"/>
    <cellStyle name="Input 36 2 2 2" xfId="10713"/>
    <cellStyle name="Input 36 2 2 3" xfId="10714"/>
    <cellStyle name="Input 36 2 2 4" xfId="10715"/>
    <cellStyle name="Input 36 2 2 5" xfId="10716"/>
    <cellStyle name="Input 36 2 2 6" xfId="10717"/>
    <cellStyle name="Input 36 2 2 7" xfId="10718"/>
    <cellStyle name="Input 36 2 3" xfId="10719"/>
    <cellStyle name="Input 36 2 3 2" xfId="10720"/>
    <cellStyle name="Input 36 2 3 3" xfId="10721"/>
    <cellStyle name="Input 36 2 3 4" xfId="10722"/>
    <cellStyle name="Input 36 2 3 5" xfId="10723"/>
    <cellStyle name="Input 36 2 3 6" xfId="10724"/>
    <cellStyle name="Input 36 2 3 7" xfId="10725"/>
    <cellStyle name="Input 36 2 4" xfId="10726"/>
    <cellStyle name="Input 36 2 4 2" xfId="10727"/>
    <cellStyle name="Input 36 2 4 3" xfId="10728"/>
    <cellStyle name="Input 36 2 4 4" xfId="10729"/>
    <cellStyle name="Input 36 2 4 5" xfId="10730"/>
    <cellStyle name="Input 36 2 4 6" xfId="10731"/>
    <cellStyle name="Input 36 2 4 7" xfId="10732"/>
    <cellStyle name="Input 36 2 5" xfId="10733"/>
    <cellStyle name="Input 36 2 5 2" xfId="10734"/>
    <cellStyle name="Input 36 2 5 3" xfId="10735"/>
    <cellStyle name="Input 36 2 5 4" xfId="10736"/>
    <cellStyle name="Input 36 2 5 5" xfId="10737"/>
    <cellStyle name="Input 36 2 5 6" xfId="10738"/>
    <cellStyle name="Input 36 2 5 7" xfId="10739"/>
    <cellStyle name="Input 36 2 6" xfId="10740"/>
    <cellStyle name="Input 36 2 6 2" xfId="10741"/>
    <cellStyle name="Input 36 2 6 3" xfId="10742"/>
    <cellStyle name="Input 36 2 6 4" xfId="10743"/>
    <cellStyle name="Input 36 2 6 5" xfId="10744"/>
    <cellStyle name="Input 36 2 6 6" xfId="10745"/>
    <cellStyle name="Input 36 2 6 7" xfId="10746"/>
    <cellStyle name="Input 36 2 7" xfId="10747"/>
    <cellStyle name="Input 36 2 7 2" xfId="10748"/>
    <cellStyle name="Input 36 2 7 3" xfId="10749"/>
    <cellStyle name="Input 36 2 7 4" xfId="10750"/>
    <cellStyle name="Input 36 2 7 5" xfId="10751"/>
    <cellStyle name="Input 36 2 7 6" xfId="10752"/>
    <cellStyle name="Input 36 2 7 7" xfId="10753"/>
    <cellStyle name="Input 36 2 8" xfId="10754"/>
    <cellStyle name="Input 36 2 8 2" xfId="10755"/>
    <cellStyle name="Input 36 2 8 3" xfId="10756"/>
    <cellStyle name="Input 36 2 8 4" xfId="10757"/>
    <cellStyle name="Input 36 2 8 5" xfId="10758"/>
    <cellStyle name="Input 36 2 8 6" xfId="10759"/>
    <cellStyle name="Input 36 2 8 7" xfId="10760"/>
    <cellStyle name="Input 36 2 9" xfId="10761"/>
    <cellStyle name="Input 36 2 9 2" xfId="10762"/>
    <cellStyle name="Input 36 2 9 3" xfId="10763"/>
    <cellStyle name="Input 36 2 9 4" xfId="10764"/>
    <cellStyle name="Input 36 2 9 5" xfId="10765"/>
    <cellStyle name="Input 36 2 9 6" xfId="10766"/>
    <cellStyle name="Input 36 3" xfId="10767"/>
    <cellStyle name="Input 36 3 10" xfId="10768"/>
    <cellStyle name="Input 36 3 10 2" xfId="10769"/>
    <cellStyle name="Input 36 3 10 3" xfId="10770"/>
    <cellStyle name="Input 36 3 10 4" xfId="10771"/>
    <cellStyle name="Input 36 3 10 5" xfId="10772"/>
    <cellStyle name="Input 36 3 10 6" xfId="10773"/>
    <cellStyle name="Input 36 3 11" xfId="10774"/>
    <cellStyle name="Input 36 3 12" xfId="10775"/>
    <cellStyle name="Input 36 3 13" xfId="10776"/>
    <cellStyle name="Input 36 3 14" xfId="10777"/>
    <cellStyle name="Input 36 3 2" xfId="10778"/>
    <cellStyle name="Input 36 3 2 2" xfId="10779"/>
    <cellStyle name="Input 36 3 2 3" xfId="10780"/>
    <cellStyle name="Input 36 3 2 4" xfId="10781"/>
    <cellStyle name="Input 36 3 2 5" xfId="10782"/>
    <cellStyle name="Input 36 3 2 6" xfId="10783"/>
    <cellStyle name="Input 36 3 2 7" xfId="10784"/>
    <cellStyle name="Input 36 3 3" xfId="10785"/>
    <cellStyle name="Input 36 3 3 2" xfId="10786"/>
    <cellStyle name="Input 36 3 3 3" xfId="10787"/>
    <cellStyle name="Input 36 3 3 4" xfId="10788"/>
    <cellStyle name="Input 36 3 3 5" xfId="10789"/>
    <cellStyle name="Input 36 3 3 6" xfId="10790"/>
    <cellStyle name="Input 36 3 3 7" xfId="10791"/>
    <cellStyle name="Input 36 3 4" xfId="10792"/>
    <cellStyle name="Input 36 3 4 2" xfId="10793"/>
    <cellStyle name="Input 36 3 4 3" xfId="10794"/>
    <cellStyle name="Input 36 3 4 4" xfId="10795"/>
    <cellStyle name="Input 36 3 4 5" xfId="10796"/>
    <cellStyle name="Input 36 3 4 6" xfId="10797"/>
    <cellStyle name="Input 36 3 4 7" xfId="10798"/>
    <cellStyle name="Input 36 3 5" xfId="10799"/>
    <cellStyle name="Input 36 3 5 2" xfId="10800"/>
    <cellStyle name="Input 36 3 5 3" xfId="10801"/>
    <cellStyle name="Input 36 3 5 4" xfId="10802"/>
    <cellStyle name="Input 36 3 5 5" xfId="10803"/>
    <cellStyle name="Input 36 3 5 6" xfId="10804"/>
    <cellStyle name="Input 36 3 5 7" xfId="10805"/>
    <cellStyle name="Input 36 3 6" xfId="10806"/>
    <cellStyle name="Input 36 3 6 2" xfId="10807"/>
    <cellStyle name="Input 36 3 6 3" xfId="10808"/>
    <cellStyle name="Input 36 3 6 4" xfId="10809"/>
    <cellStyle name="Input 36 3 6 5" xfId="10810"/>
    <cellStyle name="Input 36 3 6 6" xfId="10811"/>
    <cellStyle name="Input 36 3 6 7" xfId="10812"/>
    <cellStyle name="Input 36 3 7" xfId="10813"/>
    <cellStyle name="Input 36 3 7 2" xfId="10814"/>
    <cellStyle name="Input 36 3 7 3" xfId="10815"/>
    <cellStyle name="Input 36 3 7 4" xfId="10816"/>
    <cellStyle name="Input 36 3 7 5" xfId="10817"/>
    <cellStyle name="Input 36 3 7 6" xfId="10818"/>
    <cellStyle name="Input 36 3 7 7" xfId="10819"/>
    <cellStyle name="Input 36 3 8" xfId="10820"/>
    <cellStyle name="Input 36 3 8 2" xfId="10821"/>
    <cellStyle name="Input 36 3 8 3" xfId="10822"/>
    <cellStyle name="Input 36 3 8 4" xfId="10823"/>
    <cellStyle name="Input 36 3 8 5" xfId="10824"/>
    <cellStyle name="Input 36 3 8 6" xfId="10825"/>
    <cellStyle name="Input 36 3 8 7" xfId="10826"/>
    <cellStyle name="Input 36 3 9" xfId="10827"/>
    <cellStyle name="Input 36 3 9 2" xfId="10828"/>
    <cellStyle name="Input 36 3 9 3" xfId="10829"/>
    <cellStyle name="Input 36 3 9 4" xfId="10830"/>
    <cellStyle name="Input 36 3 9 5" xfId="10831"/>
    <cellStyle name="Input 36 3 9 6" xfId="10832"/>
    <cellStyle name="Input 36 4" xfId="10833"/>
    <cellStyle name="Input 36 4 2" xfId="10834"/>
    <cellStyle name="Input 36 4 3" xfId="10835"/>
    <cellStyle name="Input 36 4 4" xfId="10836"/>
    <cellStyle name="Input 36 4 5" xfId="10837"/>
    <cellStyle name="Input 36 4 6" xfId="10838"/>
    <cellStyle name="Input 36 4 7" xfId="10839"/>
    <cellStyle name="Input 36 5" xfId="10840"/>
    <cellStyle name="Input 36 5 2" xfId="10841"/>
    <cellStyle name="Input 36 5 3" xfId="10842"/>
    <cellStyle name="Input 36 5 4" xfId="10843"/>
    <cellStyle name="Input 36 5 5" xfId="10844"/>
    <cellStyle name="Input 36 5 6" xfId="10845"/>
    <cellStyle name="Input 36 5 7" xfId="10846"/>
    <cellStyle name="Input 36 6" xfId="10847"/>
    <cellStyle name="Input 36 6 2" xfId="10848"/>
    <cellStyle name="Input 36 6 3" xfId="10849"/>
    <cellStyle name="Input 36 6 4" xfId="10850"/>
    <cellStyle name="Input 36 6 5" xfId="10851"/>
    <cellStyle name="Input 36 6 6" xfId="10852"/>
    <cellStyle name="Input 36 6 7" xfId="10853"/>
    <cellStyle name="Input 36 7" xfId="10854"/>
    <cellStyle name="Input 36 7 2" xfId="10855"/>
    <cellStyle name="Input 36 7 3" xfId="10856"/>
    <cellStyle name="Input 36 7 4" xfId="10857"/>
    <cellStyle name="Input 36 7 5" xfId="10858"/>
    <cellStyle name="Input 36 7 6" xfId="10859"/>
    <cellStyle name="Input 36 7 7" xfId="10860"/>
    <cellStyle name="Input 36 8" xfId="10861"/>
    <cellStyle name="Input 36 8 2" xfId="10862"/>
    <cellStyle name="Input 36 8 3" xfId="10863"/>
    <cellStyle name="Input 36 8 4" xfId="10864"/>
    <cellStyle name="Input 36 8 5" xfId="10865"/>
    <cellStyle name="Input 36 8 6" xfId="10866"/>
    <cellStyle name="Input 36 8 7" xfId="10867"/>
    <cellStyle name="Input 36 9" xfId="10868"/>
    <cellStyle name="Input 36 9 2" xfId="10869"/>
    <cellStyle name="Input 36 9 3" xfId="10870"/>
    <cellStyle name="Input 36 9 4" xfId="10871"/>
    <cellStyle name="Input 36 9 5" xfId="10872"/>
    <cellStyle name="Input 36 9 6" xfId="10873"/>
    <cellStyle name="Input 36 9 7" xfId="10874"/>
    <cellStyle name="Input 37" xfId="10875"/>
    <cellStyle name="Input 37 10" xfId="10876"/>
    <cellStyle name="Input 37 10 2" xfId="10877"/>
    <cellStyle name="Input 37 10 3" xfId="10878"/>
    <cellStyle name="Input 37 10 4" xfId="10879"/>
    <cellStyle name="Input 37 10 5" xfId="10880"/>
    <cellStyle name="Input 37 10 6" xfId="10881"/>
    <cellStyle name="Input 37 10 7" xfId="10882"/>
    <cellStyle name="Input 37 11" xfId="10883"/>
    <cellStyle name="Input 37 11 2" xfId="10884"/>
    <cellStyle name="Input 37 11 3" xfId="10885"/>
    <cellStyle name="Input 37 11 4" xfId="10886"/>
    <cellStyle name="Input 37 11 5" xfId="10887"/>
    <cellStyle name="Input 37 11 6" xfId="10888"/>
    <cellStyle name="Input 37 12" xfId="10889"/>
    <cellStyle name="Input 37 12 2" xfId="10890"/>
    <cellStyle name="Input 37 12 3" xfId="10891"/>
    <cellStyle name="Input 37 12 4" xfId="10892"/>
    <cellStyle name="Input 37 12 5" xfId="10893"/>
    <cellStyle name="Input 37 12 6" xfId="10894"/>
    <cellStyle name="Input 37 13" xfId="10895"/>
    <cellStyle name="Input 37 14" xfId="10896"/>
    <cellStyle name="Input 37 15" xfId="10897"/>
    <cellStyle name="Input 37 16" xfId="10898"/>
    <cellStyle name="Input 37 2" xfId="10899"/>
    <cellStyle name="Input 37 2 10" xfId="10900"/>
    <cellStyle name="Input 37 2 10 2" xfId="10901"/>
    <cellStyle name="Input 37 2 10 3" xfId="10902"/>
    <cellStyle name="Input 37 2 10 4" xfId="10903"/>
    <cellStyle name="Input 37 2 10 5" xfId="10904"/>
    <cellStyle name="Input 37 2 10 6" xfId="10905"/>
    <cellStyle name="Input 37 2 11" xfId="10906"/>
    <cellStyle name="Input 37 2 12" xfId="10907"/>
    <cellStyle name="Input 37 2 13" xfId="10908"/>
    <cellStyle name="Input 37 2 14" xfId="10909"/>
    <cellStyle name="Input 37 2 2" xfId="10910"/>
    <cellStyle name="Input 37 2 2 2" xfId="10911"/>
    <cellStyle name="Input 37 2 2 3" xfId="10912"/>
    <cellStyle name="Input 37 2 2 4" xfId="10913"/>
    <cellStyle name="Input 37 2 2 5" xfId="10914"/>
    <cellStyle name="Input 37 2 2 6" xfId="10915"/>
    <cellStyle name="Input 37 2 2 7" xfId="10916"/>
    <cellStyle name="Input 37 2 3" xfId="10917"/>
    <cellStyle name="Input 37 2 3 2" xfId="10918"/>
    <cellStyle name="Input 37 2 3 3" xfId="10919"/>
    <cellStyle name="Input 37 2 3 4" xfId="10920"/>
    <cellStyle name="Input 37 2 3 5" xfId="10921"/>
    <cellStyle name="Input 37 2 3 6" xfId="10922"/>
    <cellStyle name="Input 37 2 3 7" xfId="10923"/>
    <cellStyle name="Input 37 2 4" xfId="10924"/>
    <cellStyle name="Input 37 2 4 2" xfId="10925"/>
    <cellStyle name="Input 37 2 4 3" xfId="10926"/>
    <cellStyle name="Input 37 2 4 4" xfId="10927"/>
    <cellStyle name="Input 37 2 4 5" xfId="10928"/>
    <cellStyle name="Input 37 2 4 6" xfId="10929"/>
    <cellStyle name="Input 37 2 4 7" xfId="10930"/>
    <cellStyle name="Input 37 2 5" xfId="10931"/>
    <cellStyle name="Input 37 2 5 2" xfId="10932"/>
    <cellStyle name="Input 37 2 5 3" xfId="10933"/>
    <cellStyle name="Input 37 2 5 4" xfId="10934"/>
    <cellStyle name="Input 37 2 5 5" xfId="10935"/>
    <cellStyle name="Input 37 2 5 6" xfId="10936"/>
    <cellStyle name="Input 37 2 5 7" xfId="10937"/>
    <cellStyle name="Input 37 2 6" xfId="10938"/>
    <cellStyle name="Input 37 2 6 2" xfId="10939"/>
    <cellStyle name="Input 37 2 6 3" xfId="10940"/>
    <cellStyle name="Input 37 2 6 4" xfId="10941"/>
    <cellStyle name="Input 37 2 6 5" xfId="10942"/>
    <cellStyle name="Input 37 2 6 6" xfId="10943"/>
    <cellStyle name="Input 37 2 6 7" xfId="10944"/>
    <cellStyle name="Input 37 2 7" xfId="10945"/>
    <cellStyle name="Input 37 2 7 2" xfId="10946"/>
    <cellStyle name="Input 37 2 7 3" xfId="10947"/>
    <cellStyle name="Input 37 2 7 4" xfId="10948"/>
    <cellStyle name="Input 37 2 7 5" xfId="10949"/>
    <cellStyle name="Input 37 2 7 6" xfId="10950"/>
    <cellStyle name="Input 37 2 7 7" xfId="10951"/>
    <cellStyle name="Input 37 2 8" xfId="10952"/>
    <cellStyle name="Input 37 2 8 2" xfId="10953"/>
    <cellStyle name="Input 37 2 8 3" xfId="10954"/>
    <cellStyle name="Input 37 2 8 4" xfId="10955"/>
    <cellStyle name="Input 37 2 8 5" xfId="10956"/>
    <cellStyle name="Input 37 2 8 6" xfId="10957"/>
    <cellStyle name="Input 37 2 8 7" xfId="10958"/>
    <cellStyle name="Input 37 2 9" xfId="10959"/>
    <cellStyle name="Input 37 2 9 2" xfId="10960"/>
    <cellStyle name="Input 37 2 9 3" xfId="10961"/>
    <cellStyle name="Input 37 2 9 4" xfId="10962"/>
    <cellStyle name="Input 37 2 9 5" xfId="10963"/>
    <cellStyle name="Input 37 2 9 6" xfId="10964"/>
    <cellStyle name="Input 37 3" xfId="10965"/>
    <cellStyle name="Input 37 3 10" xfId="10966"/>
    <cellStyle name="Input 37 3 10 2" xfId="10967"/>
    <cellStyle name="Input 37 3 10 3" xfId="10968"/>
    <cellStyle name="Input 37 3 10 4" xfId="10969"/>
    <cellStyle name="Input 37 3 10 5" xfId="10970"/>
    <cellStyle name="Input 37 3 10 6" xfId="10971"/>
    <cellStyle name="Input 37 3 11" xfId="10972"/>
    <cellStyle name="Input 37 3 12" xfId="10973"/>
    <cellStyle name="Input 37 3 13" xfId="10974"/>
    <cellStyle name="Input 37 3 14" xfId="10975"/>
    <cellStyle name="Input 37 3 2" xfId="10976"/>
    <cellStyle name="Input 37 3 2 2" xfId="10977"/>
    <cellStyle name="Input 37 3 2 3" xfId="10978"/>
    <cellStyle name="Input 37 3 2 4" xfId="10979"/>
    <cellStyle name="Input 37 3 2 5" xfId="10980"/>
    <cellStyle name="Input 37 3 2 6" xfId="10981"/>
    <cellStyle name="Input 37 3 2 7" xfId="10982"/>
    <cellStyle name="Input 37 3 3" xfId="10983"/>
    <cellStyle name="Input 37 3 3 2" xfId="10984"/>
    <cellStyle name="Input 37 3 3 3" xfId="10985"/>
    <cellStyle name="Input 37 3 3 4" xfId="10986"/>
    <cellStyle name="Input 37 3 3 5" xfId="10987"/>
    <cellStyle name="Input 37 3 3 6" xfId="10988"/>
    <cellStyle name="Input 37 3 3 7" xfId="10989"/>
    <cellStyle name="Input 37 3 4" xfId="10990"/>
    <cellStyle name="Input 37 3 4 2" xfId="10991"/>
    <cellStyle name="Input 37 3 4 3" xfId="10992"/>
    <cellStyle name="Input 37 3 4 4" xfId="10993"/>
    <cellStyle name="Input 37 3 4 5" xfId="10994"/>
    <cellStyle name="Input 37 3 4 6" xfId="10995"/>
    <cellStyle name="Input 37 3 4 7" xfId="10996"/>
    <cellStyle name="Input 37 3 5" xfId="10997"/>
    <cellStyle name="Input 37 3 5 2" xfId="10998"/>
    <cellStyle name="Input 37 3 5 3" xfId="10999"/>
    <cellStyle name="Input 37 3 5 4" xfId="11000"/>
    <cellStyle name="Input 37 3 5 5" xfId="11001"/>
    <cellStyle name="Input 37 3 5 6" xfId="11002"/>
    <cellStyle name="Input 37 3 5 7" xfId="11003"/>
    <cellStyle name="Input 37 3 6" xfId="11004"/>
    <cellStyle name="Input 37 3 6 2" xfId="11005"/>
    <cellStyle name="Input 37 3 6 3" xfId="11006"/>
    <cellStyle name="Input 37 3 6 4" xfId="11007"/>
    <cellStyle name="Input 37 3 6 5" xfId="11008"/>
    <cellStyle name="Input 37 3 6 6" xfId="11009"/>
    <cellStyle name="Input 37 3 6 7" xfId="11010"/>
    <cellStyle name="Input 37 3 7" xfId="11011"/>
    <cellStyle name="Input 37 3 7 2" xfId="11012"/>
    <cellStyle name="Input 37 3 7 3" xfId="11013"/>
    <cellStyle name="Input 37 3 7 4" xfId="11014"/>
    <cellStyle name="Input 37 3 7 5" xfId="11015"/>
    <cellStyle name="Input 37 3 7 6" xfId="11016"/>
    <cellStyle name="Input 37 3 7 7" xfId="11017"/>
    <cellStyle name="Input 37 3 8" xfId="11018"/>
    <cellStyle name="Input 37 3 8 2" xfId="11019"/>
    <cellStyle name="Input 37 3 8 3" xfId="11020"/>
    <cellStyle name="Input 37 3 8 4" xfId="11021"/>
    <cellStyle name="Input 37 3 8 5" xfId="11022"/>
    <cellStyle name="Input 37 3 8 6" xfId="11023"/>
    <cellStyle name="Input 37 3 8 7" xfId="11024"/>
    <cellStyle name="Input 37 3 9" xfId="11025"/>
    <cellStyle name="Input 37 3 9 2" xfId="11026"/>
    <cellStyle name="Input 37 3 9 3" xfId="11027"/>
    <cellStyle name="Input 37 3 9 4" xfId="11028"/>
    <cellStyle name="Input 37 3 9 5" xfId="11029"/>
    <cellStyle name="Input 37 3 9 6" xfId="11030"/>
    <cellStyle name="Input 37 4" xfId="11031"/>
    <cellStyle name="Input 37 4 2" xfId="11032"/>
    <cellStyle name="Input 37 4 3" xfId="11033"/>
    <cellStyle name="Input 37 4 4" xfId="11034"/>
    <cellStyle name="Input 37 4 5" xfId="11035"/>
    <cellStyle name="Input 37 4 6" xfId="11036"/>
    <cellStyle name="Input 37 4 7" xfId="11037"/>
    <cellStyle name="Input 37 5" xfId="11038"/>
    <cellStyle name="Input 37 5 2" xfId="11039"/>
    <cellStyle name="Input 37 5 3" xfId="11040"/>
    <cellStyle name="Input 37 5 4" xfId="11041"/>
    <cellStyle name="Input 37 5 5" xfId="11042"/>
    <cellStyle name="Input 37 5 6" xfId="11043"/>
    <cellStyle name="Input 37 5 7" xfId="11044"/>
    <cellStyle name="Input 37 6" xfId="11045"/>
    <cellStyle name="Input 37 6 2" xfId="11046"/>
    <cellStyle name="Input 37 6 3" xfId="11047"/>
    <cellStyle name="Input 37 6 4" xfId="11048"/>
    <cellStyle name="Input 37 6 5" xfId="11049"/>
    <cellStyle name="Input 37 6 6" xfId="11050"/>
    <cellStyle name="Input 37 6 7" xfId="11051"/>
    <cellStyle name="Input 37 7" xfId="11052"/>
    <cellStyle name="Input 37 7 2" xfId="11053"/>
    <cellStyle name="Input 37 7 3" xfId="11054"/>
    <cellStyle name="Input 37 7 4" xfId="11055"/>
    <cellStyle name="Input 37 7 5" xfId="11056"/>
    <cellStyle name="Input 37 7 6" xfId="11057"/>
    <cellStyle name="Input 37 7 7" xfId="11058"/>
    <cellStyle name="Input 37 8" xfId="11059"/>
    <cellStyle name="Input 37 8 2" xfId="11060"/>
    <cellStyle name="Input 37 8 3" xfId="11061"/>
    <cellStyle name="Input 37 8 4" xfId="11062"/>
    <cellStyle name="Input 37 8 5" xfId="11063"/>
    <cellStyle name="Input 37 8 6" xfId="11064"/>
    <cellStyle name="Input 37 8 7" xfId="11065"/>
    <cellStyle name="Input 37 9" xfId="11066"/>
    <cellStyle name="Input 37 9 2" xfId="11067"/>
    <cellStyle name="Input 37 9 3" xfId="11068"/>
    <cellStyle name="Input 37 9 4" xfId="11069"/>
    <cellStyle name="Input 37 9 5" xfId="11070"/>
    <cellStyle name="Input 37 9 6" xfId="11071"/>
    <cellStyle name="Input 37 9 7" xfId="11072"/>
    <cellStyle name="Input 38" xfId="11073"/>
    <cellStyle name="Input 38 10" xfId="11074"/>
    <cellStyle name="Input 38 10 2" xfId="11075"/>
    <cellStyle name="Input 38 10 3" xfId="11076"/>
    <cellStyle name="Input 38 10 4" xfId="11077"/>
    <cellStyle name="Input 38 10 5" xfId="11078"/>
    <cellStyle name="Input 38 10 6" xfId="11079"/>
    <cellStyle name="Input 38 10 7" xfId="11080"/>
    <cellStyle name="Input 38 11" xfId="11081"/>
    <cellStyle name="Input 38 11 2" xfId="11082"/>
    <cellStyle name="Input 38 11 3" xfId="11083"/>
    <cellStyle name="Input 38 11 4" xfId="11084"/>
    <cellStyle name="Input 38 11 5" xfId="11085"/>
    <cellStyle name="Input 38 11 6" xfId="11086"/>
    <cellStyle name="Input 38 12" xfId="11087"/>
    <cellStyle name="Input 38 12 2" xfId="11088"/>
    <cellStyle name="Input 38 12 3" xfId="11089"/>
    <cellStyle name="Input 38 12 4" xfId="11090"/>
    <cellStyle name="Input 38 12 5" xfId="11091"/>
    <cellStyle name="Input 38 12 6" xfId="11092"/>
    <cellStyle name="Input 38 13" xfId="11093"/>
    <cellStyle name="Input 38 14" xfId="11094"/>
    <cellStyle name="Input 38 15" xfId="11095"/>
    <cellStyle name="Input 38 16" xfId="11096"/>
    <cellStyle name="Input 38 2" xfId="11097"/>
    <cellStyle name="Input 38 2 10" xfId="11098"/>
    <cellStyle name="Input 38 2 10 2" xfId="11099"/>
    <cellStyle name="Input 38 2 10 3" xfId="11100"/>
    <cellStyle name="Input 38 2 10 4" xfId="11101"/>
    <cellStyle name="Input 38 2 10 5" xfId="11102"/>
    <cellStyle name="Input 38 2 10 6" xfId="11103"/>
    <cellStyle name="Input 38 2 11" xfId="11104"/>
    <cellStyle name="Input 38 2 12" xfId="11105"/>
    <cellStyle name="Input 38 2 13" xfId="11106"/>
    <cellStyle name="Input 38 2 14" xfId="11107"/>
    <cellStyle name="Input 38 2 2" xfId="11108"/>
    <cellStyle name="Input 38 2 2 2" xfId="11109"/>
    <cellStyle name="Input 38 2 2 3" xfId="11110"/>
    <cellStyle name="Input 38 2 2 4" xfId="11111"/>
    <cellStyle name="Input 38 2 2 5" xfId="11112"/>
    <cellStyle name="Input 38 2 2 6" xfId="11113"/>
    <cellStyle name="Input 38 2 2 7" xfId="11114"/>
    <cellStyle name="Input 38 2 3" xfId="11115"/>
    <cellStyle name="Input 38 2 3 2" xfId="11116"/>
    <cellStyle name="Input 38 2 3 3" xfId="11117"/>
    <cellStyle name="Input 38 2 3 4" xfId="11118"/>
    <cellStyle name="Input 38 2 3 5" xfId="11119"/>
    <cellStyle name="Input 38 2 3 6" xfId="11120"/>
    <cellStyle name="Input 38 2 3 7" xfId="11121"/>
    <cellStyle name="Input 38 2 4" xfId="11122"/>
    <cellStyle name="Input 38 2 4 2" xfId="11123"/>
    <cellStyle name="Input 38 2 4 3" xfId="11124"/>
    <cellStyle name="Input 38 2 4 4" xfId="11125"/>
    <cellStyle name="Input 38 2 4 5" xfId="11126"/>
    <cellStyle name="Input 38 2 4 6" xfId="11127"/>
    <cellStyle name="Input 38 2 4 7" xfId="11128"/>
    <cellStyle name="Input 38 2 5" xfId="11129"/>
    <cellStyle name="Input 38 2 5 2" xfId="11130"/>
    <cellStyle name="Input 38 2 5 3" xfId="11131"/>
    <cellStyle name="Input 38 2 5 4" xfId="11132"/>
    <cellStyle name="Input 38 2 5 5" xfId="11133"/>
    <cellStyle name="Input 38 2 5 6" xfId="11134"/>
    <cellStyle name="Input 38 2 5 7" xfId="11135"/>
    <cellStyle name="Input 38 2 6" xfId="11136"/>
    <cellStyle name="Input 38 2 6 2" xfId="11137"/>
    <cellStyle name="Input 38 2 6 3" xfId="11138"/>
    <cellStyle name="Input 38 2 6 4" xfId="11139"/>
    <cellStyle name="Input 38 2 6 5" xfId="11140"/>
    <cellStyle name="Input 38 2 6 6" xfId="11141"/>
    <cellStyle name="Input 38 2 6 7" xfId="11142"/>
    <cellStyle name="Input 38 2 7" xfId="11143"/>
    <cellStyle name="Input 38 2 7 2" xfId="11144"/>
    <cellStyle name="Input 38 2 7 3" xfId="11145"/>
    <cellStyle name="Input 38 2 7 4" xfId="11146"/>
    <cellStyle name="Input 38 2 7 5" xfId="11147"/>
    <cellStyle name="Input 38 2 7 6" xfId="11148"/>
    <cellStyle name="Input 38 2 7 7" xfId="11149"/>
    <cellStyle name="Input 38 2 8" xfId="11150"/>
    <cellStyle name="Input 38 2 8 2" xfId="11151"/>
    <cellStyle name="Input 38 2 8 3" xfId="11152"/>
    <cellStyle name="Input 38 2 8 4" xfId="11153"/>
    <cellStyle name="Input 38 2 8 5" xfId="11154"/>
    <cellStyle name="Input 38 2 8 6" xfId="11155"/>
    <cellStyle name="Input 38 2 8 7" xfId="11156"/>
    <cellStyle name="Input 38 2 9" xfId="11157"/>
    <cellStyle name="Input 38 2 9 2" xfId="11158"/>
    <cellStyle name="Input 38 2 9 3" xfId="11159"/>
    <cellStyle name="Input 38 2 9 4" xfId="11160"/>
    <cellStyle name="Input 38 2 9 5" xfId="11161"/>
    <cellStyle name="Input 38 2 9 6" xfId="11162"/>
    <cellStyle name="Input 38 3" xfId="11163"/>
    <cellStyle name="Input 38 3 10" xfId="11164"/>
    <cellStyle name="Input 38 3 10 2" xfId="11165"/>
    <cellStyle name="Input 38 3 10 3" xfId="11166"/>
    <cellStyle name="Input 38 3 10 4" xfId="11167"/>
    <cellStyle name="Input 38 3 10 5" xfId="11168"/>
    <cellStyle name="Input 38 3 10 6" xfId="11169"/>
    <cellStyle name="Input 38 3 11" xfId="11170"/>
    <cellStyle name="Input 38 3 12" xfId="11171"/>
    <cellStyle name="Input 38 3 13" xfId="11172"/>
    <cellStyle name="Input 38 3 14" xfId="11173"/>
    <cellStyle name="Input 38 3 2" xfId="11174"/>
    <cellStyle name="Input 38 3 2 2" xfId="11175"/>
    <cellStyle name="Input 38 3 2 3" xfId="11176"/>
    <cellStyle name="Input 38 3 2 4" xfId="11177"/>
    <cellStyle name="Input 38 3 2 5" xfId="11178"/>
    <cellStyle name="Input 38 3 2 6" xfId="11179"/>
    <cellStyle name="Input 38 3 2 7" xfId="11180"/>
    <cellStyle name="Input 38 3 3" xfId="11181"/>
    <cellStyle name="Input 38 3 3 2" xfId="11182"/>
    <cellStyle name="Input 38 3 3 3" xfId="11183"/>
    <cellStyle name="Input 38 3 3 4" xfId="11184"/>
    <cellStyle name="Input 38 3 3 5" xfId="11185"/>
    <cellStyle name="Input 38 3 3 6" xfId="11186"/>
    <cellStyle name="Input 38 3 3 7" xfId="11187"/>
    <cellStyle name="Input 38 3 4" xfId="11188"/>
    <cellStyle name="Input 38 3 4 2" xfId="11189"/>
    <cellStyle name="Input 38 3 4 3" xfId="11190"/>
    <cellStyle name="Input 38 3 4 4" xfId="11191"/>
    <cellStyle name="Input 38 3 4 5" xfId="11192"/>
    <cellStyle name="Input 38 3 4 6" xfId="11193"/>
    <cellStyle name="Input 38 3 4 7" xfId="11194"/>
    <cellStyle name="Input 38 3 5" xfId="11195"/>
    <cellStyle name="Input 38 3 5 2" xfId="11196"/>
    <cellStyle name="Input 38 3 5 3" xfId="11197"/>
    <cellStyle name="Input 38 3 5 4" xfId="11198"/>
    <cellStyle name="Input 38 3 5 5" xfId="11199"/>
    <cellStyle name="Input 38 3 5 6" xfId="11200"/>
    <cellStyle name="Input 38 3 5 7" xfId="11201"/>
    <cellStyle name="Input 38 3 6" xfId="11202"/>
    <cellStyle name="Input 38 3 6 2" xfId="11203"/>
    <cellStyle name="Input 38 3 6 3" xfId="11204"/>
    <cellStyle name="Input 38 3 6 4" xfId="11205"/>
    <cellStyle name="Input 38 3 6 5" xfId="11206"/>
    <cellStyle name="Input 38 3 6 6" xfId="11207"/>
    <cellStyle name="Input 38 3 6 7" xfId="11208"/>
    <cellStyle name="Input 38 3 7" xfId="11209"/>
    <cellStyle name="Input 38 3 7 2" xfId="11210"/>
    <cellStyle name="Input 38 3 7 3" xfId="11211"/>
    <cellStyle name="Input 38 3 7 4" xfId="11212"/>
    <cellStyle name="Input 38 3 7 5" xfId="11213"/>
    <cellStyle name="Input 38 3 7 6" xfId="11214"/>
    <cellStyle name="Input 38 3 7 7" xfId="11215"/>
    <cellStyle name="Input 38 3 8" xfId="11216"/>
    <cellStyle name="Input 38 3 8 2" xfId="11217"/>
    <cellStyle name="Input 38 3 8 3" xfId="11218"/>
    <cellStyle name="Input 38 3 8 4" xfId="11219"/>
    <cellStyle name="Input 38 3 8 5" xfId="11220"/>
    <cellStyle name="Input 38 3 8 6" xfId="11221"/>
    <cellStyle name="Input 38 3 8 7" xfId="11222"/>
    <cellStyle name="Input 38 3 9" xfId="11223"/>
    <cellStyle name="Input 38 3 9 2" xfId="11224"/>
    <cellStyle name="Input 38 3 9 3" xfId="11225"/>
    <cellStyle name="Input 38 3 9 4" xfId="11226"/>
    <cellStyle name="Input 38 3 9 5" xfId="11227"/>
    <cellStyle name="Input 38 3 9 6" xfId="11228"/>
    <cellStyle name="Input 38 4" xfId="11229"/>
    <cellStyle name="Input 38 4 2" xfId="11230"/>
    <cellStyle name="Input 38 4 3" xfId="11231"/>
    <cellStyle name="Input 38 4 4" xfId="11232"/>
    <cellStyle name="Input 38 4 5" xfId="11233"/>
    <cellStyle name="Input 38 4 6" xfId="11234"/>
    <cellStyle name="Input 38 4 7" xfId="11235"/>
    <cellStyle name="Input 38 5" xfId="11236"/>
    <cellStyle name="Input 38 5 2" xfId="11237"/>
    <cellStyle name="Input 38 5 3" xfId="11238"/>
    <cellStyle name="Input 38 5 4" xfId="11239"/>
    <cellStyle name="Input 38 5 5" xfId="11240"/>
    <cellStyle name="Input 38 5 6" xfId="11241"/>
    <cellStyle name="Input 38 5 7" xfId="11242"/>
    <cellStyle name="Input 38 6" xfId="11243"/>
    <cellStyle name="Input 38 6 2" xfId="11244"/>
    <cellStyle name="Input 38 6 3" xfId="11245"/>
    <cellStyle name="Input 38 6 4" xfId="11246"/>
    <cellStyle name="Input 38 6 5" xfId="11247"/>
    <cellStyle name="Input 38 6 6" xfId="11248"/>
    <cellStyle name="Input 38 6 7" xfId="11249"/>
    <cellStyle name="Input 38 7" xfId="11250"/>
    <cellStyle name="Input 38 7 2" xfId="11251"/>
    <cellStyle name="Input 38 7 3" xfId="11252"/>
    <cellStyle name="Input 38 7 4" xfId="11253"/>
    <cellStyle name="Input 38 7 5" xfId="11254"/>
    <cellStyle name="Input 38 7 6" xfId="11255"/>
    <cellStyle name="Input 38 7 7" xfId="11256"/>
    <cellStyle name="Input 38 8" xfId="11257"/>
    <cellStyle name="Input 38 8 2" xfId="11258"/>
    <cellStyle name="Input 38 8 3" xfId="11259"/>
    <cellStyle name="Input 38 8 4" xfId="11260"/>
    <cellStyle name="Input 38 8 5" xfId="11261"/>
    <cellStyle name="Input 38 8 6" xfId="11262"/>
    <cellStyle name="Input 38 8 7" xfId="11263"/>
    <cellStyle name="Input 38 9" xfId="11264"/>
    <cellStyle name="Input 38 9 2" xfId="11265"/>
    <cellStyle name="Input 38 9 3" xfId="11266"/>
    <cellStyle name="Input 38 9 4" xfId="11267"/>
    <cellStyle name="Input 38 9 5" xfId="11268"/>
    <cellStyle name="Input 38 9 6" xfId="11269"/>
    <cellStyle name="Input 38 9 7" xfId="11270"/>
    <cellStyle name="Input 39" xfId="11271"/>
    <cellStyle name="Input 39 10" xfId="11272"/>
    <cellStyle name="Input 39 10 2" xfId="11273"/>
    <cellStyle name="Input 39 10 3" xfId="11274"/>
    <cellStyle name="Input 39 10 4" xfId="11275"/>
    <cellStyle name="Input 39 10 5" xfId="11276"/>
    <cellStyle name="Input 39 10 6" xfId="11277"/>
    <cellStyle name="Input 39 10 7" xfId="11278"/>
    <cellStyle name="Input 39 11" xfId="11279"/>
    <cellStyle name="Input 39 11 2" xfId="11280"/>
    <cellStyle name="Input 39 11 3" xfId="11281"/>
    <cellStyle name="Input 39 11 4" xfId="11282"/>
    <cellStyle name="Input 39 11 5" xfId="11283"/>
    <cellStyle name="Input 39 11 6" xfId="11284"/>
    <cellStyle name="Input 39 12" xfId="11285"/>
    <cellStyle name="Input 39 12 2" xfId="11286"/>
    <cellStyle name="Input 39 12 3" xfId="11287"/>
    <cellStyle name="Input 39 12 4" xfId="11288"/>
    <cellStyle name="Input 39 12 5" xfId="11289"/>
    <cellStyle name="Input 39 12 6" xfId="11290"/>
    <cellStyle name="Input 39 13" xfId="11291"/>
    <cellStyle name="Input 39 14" xfId="11292"/>
    <cellStyle name="Input 39 15" xfId="11293"/>
    <cellStyle name="Input 39 16" xfId="11294"/>
    <cellStyle name="Input 39 2" xfId="11295"/>
    <cellStyle name="Input 39 2 10" xfId="11296"/>
    <cellStyle name="Input 39 2 10 2" xfId="11297"/>
    <cellStyle name="Input 39 2 10 3" xfId="11298"/>
    <cellStyle name="Input 39 2 10 4" xfId="11299"/>
    <cellStyle name="Input 39 2 10 5" xfId="11300"/>
    <cellStyle name="Input 39 2 10 6" xfId="11301"/>
    <cellStyle name="Input 39 2 11" xfId="11302"/>
    <cellStyle name="Input 39 2 12" xfId="11303"/>
    <cellStyle name="Input 39 2 13" xfId="11304"/>
    <cellStyle name="Input 39 2 14" xfId="11305"/>
    <cellStyle name="Input 39 2 2" xfId="11306"/>
    <cellStyle name="Input 39 2 2 2" xfId="11307"/>
    <cellStyle name="Input 39 2 2 3" xfId="11308"/>
    <cellStyle name="Input 39 2 2 4" xfId="11309"/>
    <cellStyle name="Input 39 2 2 5" xfId="11310"/>
    <cellStyle name="Input 39 2 2 6" xfId="11311"/>
    <cellStyle name="Input 39 2 2 7" xfId="11312"/>
    <cellStyle name="Input 39 2 3" xfId="11313"/>
    <cellStyle name="Input 39 2 3 2" xfId="11314"/>
    <cellStyle name="Input 39 2 3 3" xfId="11315"/>
    <cellStyle name="Input 39 2 3 4" xfId="11316"/>
    <cellStyle name="Input 39 2 3 5" xfId="11317"/>
    <cellStyle name="Input 39 2 3 6" xfId="11318"/>
    <cellStyle name="Input 39 2 3 7" xfId="11319"/>
    <cellStyle name="Input 39 2 4" xfId="11320"/>
    <cellStyle name="Input 39 2 4 2" xfId="11321"/>
    <cellStyle name="Input 39 2 4 3" xfId="11322"/>
    <cellStyle name="Input 39 2 4 4" xfId="11323"/>
    <cellStyle name="Input 39 2 4 5" xfId="11324"/>
    <cellStyle name="Input 39 2 4 6" xfId="11325"/>
    <cellStyle name="Input 39 2 4 7" xfId="11326"/>
    <cellStyle name="Input 39 2 5" xfId="11327"/>
    <cellStyle name="Input 39 2 5 2" xfId="11328"/>
    <cellStyle name="Input 39 2 5 3" xfId="11329"/>
    <cellStyle name="Input 39 2 5 4" xfId="11330"/>
    <cellStyle name="Input 39 2 5 5" xfId="11331"/>
    <cellStyle name="Input 39 2 5 6" xfId="11332"/>
    <cellStyle name="Input 39 2 5 7" xfId="11333"/>
    <cellStyle name="Input 39 2 6" xfId="11334"/>
    <cellStyle name="Input 39 2 6 2" xfId="11335"/>
    <cellStyle name="Input 39 2 6 3" xfId="11336"/>
    <cellStyle name="Input 39 2 6 4" xfId="11337"/>
    <cellStyle name="Input 39 2 6 5" xfId="11338"/>
    <cellStyle name="Input 39 2 6 6" xfId="11339"/>
    <cellStyle name="Input 39 2 6 7" xfId="11340"/>
    <cellStyle name="Input 39 2 7" xfId="11341"/>
    <cellStyle name="Input 39 2 7 2" xfId="11342"/>
    <cellStyle name="Input 39 2 7 3" xfId="11343"/>
    <cellStyle name="Input 39 2 7 4" xfId="11344"/>
    <cellStyle name="Input 39 2 7 5" xfId="11345"/>
    <cellStyle name="Input 39 2 7 6" xfId="11346"/>
    <cellStyle name="Input 39 2 7 7" xfId="11347"/>
    <cellStyle name="Input 39 2 8" xfId="11348"/>
    <cellStyle name="Input 39 2 8 2" xfId="11349"/>
    <cellStyle name="Input 39 2 8 3" xfId="11350"/>
    <cellStyle name="Input 39 2 8 4" xfId="11351"/>
    <cellStyle name="Input 39 2 8 5" xfId="11352"/>
    <cellStyle name="Input 39 2 8 6" xfId="11353"/>
    <cellStyle name="Input 39 2 8 7" xfId="11354"/>
    <cellStyle name="Input 39 2 9" xfId="11355"/>
    <cellStyle name="Input 39 2 9 2" xfId="11356"/>
    <cellStyle name="Input 39 2 9 3" xfId="11357"/>
    <cellStyle name="Input 39 2 9 4" xfId="11358"/>
    <cellStyle name="Input 39 2 9 5" xfId="11359"/>
    <cellStyle name="Input 39 2 9 6" xfId="11360"/>
    <cellStyle name="Input 39 3" xfId="11361"/>
    <cellStyle name="Input 39 3 10" xfId="11362"/>
    <cellStyle name="Input 39 3 10 2" xfId="11363"/>
    <cellStyle name="Input 39 3 10 3" xfId="11364"/>
    <cellStyle name="Input 39 3 10 4" xfId="11365"/>
    <cellStyle name="Input 39 3 10 5" xfId="11366"/>
    <cellStyle name="Input 39 3 10 6" xfId="11367"/>
    <cellStyle name="Input 39 3 11" xfId="11368"/>
    <cellStyle name="Input 39 3 12" xfId="11369"/>
    <cellStyle name="Input 39 3 13" xfId="11370"/>
    <cellStyle name="Input 39 3 14" xfId="11371"/>
    <cellStyle name="Input 39 3 2" xfId="11372"/>
    <cellStyle name="Input 39 3 2 2" xfId="11373"/>
    <cellStyle name="Input 39 3 2 3" xfId="11374"/>
    <cellStyle name="Input 39 3 2 4" xfId="11375"/>
    <cellStyle name="Input 39 3 2 5" xfId="11376"/>
    <cellStyle name="Input 39 3 2 6" xfId="11377"/>
    <cellStyle name="Input 39 3 2 7" xfId="11378"/>
    <cellStyle name="Input 39 3 3" xfId="11379"/>
    <cellStyle name="Input 39 3 3 2" xfId="11380"/>
    <cellStyle name="Input 39 3 3 3" xfId="11381"/>
    <cellStyle name="Input 39 3 3 4" xfId="11382"/>
    <cellStyle name="Input 39 3 3 5" xfId="11383"/>
    <cellStyle name="Input 39 3 3 6" xfId="11384"/>
    <cellStyle name="Input 39 3 3 7" xfId="11385"/>
    <cellStyle name="Input 39 3 4" xfId="11386"/>
    <cellStyle name="Input 39 3 4 2" xfId="11387"/>
    <cellStyle name="Input 39 3 4 3" xfId="11388"/>
    <cellStyle name="Input 39 3 4 4" xfId="11389"/>
    <cellStyle name="Input 39 3 4 5" xfId="11390"/>
    <cellStyle name="Input 39 3 4 6" xfId="11391"/>
    <cellStyle name="Input 39 3 4 7" xfId="11392"/>
    <cellStyle name="Input 39 3 5" xfId="11393"/>
    <cellStyle name="Input 39 3 5 2" xfId="11394"/>
    <cellStyle name="Input 39 3 5 3" xfId="11395"/>
    <cellStyle name="Input 39 3 5 4" xfId="11396"/>
    <cellStyle name="Input 39 3 5 5" xfId="11397"/>
    <cellStyle name="Input 39 3 5 6" xfId="11398"/>
    <cellStyle name="Input 39 3 5 7" xfId="11399"/>
    <cellStyle name="Input 39 3 6" xfId="11400"/>
    <cellStyle name="Input 39 3 6 2" xfId="11401"/>
    <cellStyle name="Input 39 3 6 3" xfId="11402"/>
    <cellStyle name="Input 39 3 6 4" xfId="11403"/>
    <cellStyle name="Input 39 3 6 5" xfId="11404"/>
    <cellStyle name="Input 39 3 6 6" xfId="11405"/>
    <cellStyle name="Input 39 3 6 7" xfId="11406"/>
    <cellStyle name="Input 39 3 7" xfId="11407"/>
    <cellStyle name="Input 39 3 7 2" xfId="11408"/>
    <cellStyle name="Input 39 3 7 3" xfId="11409"/>
    <cellStyle name="Input 39 3 7 4" xfId="11410"/>
    <cellStyle name="Input 39 3 7 5" xfId="11411"/>
    <cellStyle name="Input 39 3 7 6" xfId="11412"/>
    <cellStyle name="Input 39 3 7 7" xfId="11413"/>
    <cellStyle name="Input 39 3 8" xfId="11414"/>
    <cellStyle name="Input 39 3 8 2" xfId="11415"/>
    <cellStyle name="Input 39 3 8 3" xfId="11416"/>
    <cellStyle name="Input 39 3 8 4" xfId="11417"/>
    <cellStyle name="Input 39 3 8 5" xfId="11418"/>
    <cellStyle name="Input 39 3 8 6" xfId="11419"/>
    <cellStyle name="Input 39 3 8 7" xfId="11420"/>
    <cellStyle name="Input 39 3 9" xfId="11421"/>
    <cellStyle name="Input 39 3 9 2" xfId="11422"/>
    <cellStyle name="Input 39 3 9 3" xfId="11423"/>
    <cellStyle name="Input 39 3 9 4" xfId="11424"/>
    <cellStyle name="Input 39 3 9 5" xfId="11425"/>
    <cellStyle name="Input 39 3 9 6" xfId="11426"/>
    <cellStyle name="Input 39 4" xfId="11427"/>
    <cellStyle name="Input 39 4 2" xfId="11428"/>
    <cellStyle name="Input 39 4 3" xfId="11429"/>
    <cellStyle name="Input 39 4 4" xfId="11430"/>
    <cellStyle name="Input 39 4 5" xfId="11431"/>
    <cellStyle name="Input 39 4 6" xfId="11432"/>
    <cellStyle name="Input 39 4 7" xfId="11433"/>
    <cellStyle name="Input 39 5" xfId="11434"/>
    <cellStyle name="Input 39 5 2" xfId="11435"/>
    <cellStyle name="Input 39 5 3" xfId="11436"/>
    <cellStyle name="Input 39 5 4" xfId="11437"/>
    <cellStyle name="Input 39 5 5" xfId="11438"/>
    <cellStyle name="Input 39 5 6" xfId="11439"/>
    <cellStyle name="Input 39 5 7" xfId="11440"/>
    <cellStyle name="Input 39 6" xfId="11441"/>
    <cellStyle name="Input 39 6 2" xfId="11442"/>
    <cellStyle name="Input 39 6 3" xfId="11443"/>
    <cellStyle name="Input 39 6 4" xfId="11444"/>
    <cellStyle name="Input 39 6 5" xfId="11445"/>
    <cellStyle name="Input 39 6 6" xfId="11446"/>
    <cellStyle name="Input 39 6 7" xfId="11447"/>
    <cellStyle name="Input 39 7" xfId="11448"/>
    <cellStyle name="Input 39 7 2" xfId="11449"/>
    <cellStyle name="Input 39 7 3" xfId="11450"/>
    <cellStyle name="Input 39 7 4" xfId="11451"/>
    <cellStyle name="Input 39 7 5" xfId="11452"/>
    <cellStyle name="Input 39 7 6" xfId="11453"/>
    <cellStyle name="Input 39 7 7" xfId="11454"/>
    <cellStyle name="Input 39 8" xfId="11455"/>
    <cellStyle name="Input 39 8 2" xfId="11456"/>
    <cellStyle name="Input 39 8 3" xfId="11457"/>
    <cellStyle name="Input 39 8 4" xfId="11458"/>
    <cellStyle name="Input 39 8 5" xfId="11459"/>
    <cellStyle name="Input 39 8 6" xfId="11460"/>
    <cellStyle name="Input 39 8 7" xfId="11461"/>
    <cellStyle name="Input 39 9" xfId="11462"/>
    <cellStyle name="Input 39 9 2" xfId="11463"/>
    <cellStyle name="Input 39 9 3" xfId="11464"/>
    <cellStyle name="Input 39 9 4" xfId="11465"/>
    <cellStyle name="Input 39 9 5" xfId="11466"/>
    <cellStyle name="Input 39 9 6" xfId="11467"/>
    <cellStyle name="Input 39 9 7" xfId="11468"/>
    <cellStyle name="Input 4" xfId="11469"/>
    <cellStyle name="Input 4 10" xfId="11470"/>
    <cellStyle name="Input 4 10 2" xfId="11471"/>
    <cellStyle name="Input 4 10 3" xfId="11472"/>
    <cellStyle name="Input 4 10 4" xfId="11473"/>
    <cellStyle name="Input 4 10 5" xfId="11474"/>
    <cellStyle name="Input 4 10 6" xfId="11475"/>
    <cellStyle name="Input 4 10 7" xfId="11476"/>
    <cellStyle name="Input 4 11" xfId="11477"/>
    <cellStyle name="Input 4 11 2" xfId="11478"/>
    <cellStyle name="Input 4 11 3" xfId="11479"/>
    <cellStyle name="Input 4 11 4" xfId="11480"/>
    <cellStyle name="Input 4 11 5" xfId="11481"/>
    <cellStyle name="Input 4 11 6" xfId="11482"/>
    <cellStyle name="Input 4 12" xfId="11483"/>
    <cellStyle name="Input 4 12 2" xfId="11484"/>
    <cellStyle name="Input 4 12 3" xfId="11485"/>
    <cellStyle name="Input 4 12 4" xfId="11486"/>
    <cellStyle name="Input 4 12 5" xfId="11487"/>
    <cellStyle name="Input 4 12 6" xfId="11488"/>
    <cellStyle name="Input 4 13" xfId="11489"/>
    <cellStyle name="Input 4 14" xfId="11490"/>
    <cellStyle name="Input 4 15" xfId="11491"/>
    <cellStyle name="Input 4 16" xfId="11492"/>
    <cellStyle name="Input 4 2" xfId="11493"/>
    <cellStyle name="Input 4 2 10" xfId="11494"/>
    <cellStyle name="Input 4 2 10 2" xfId="11495"/>
    <cellStyle name="Input 4 2 10 3" xfId="11496"/>
    <cellStyle name="Input 4 2 10 4" xfId="11497"/>
    <cellStyle name="Input 4 2 10 5" xfId="11498"/>
    <cellStyle name="Input 4 2 10 6" xfId="11499"/>
    <cellStyle name="Input 4 2 11" xfId="11500"/>
    <cellStyle name="Input 4 2 12" xfId="11501"/>
    <cellStyle name="Input 4 2 13" xfId="11502"/>
    <cellStyle name="Input 4 2 14" xfId="11503"/>
    <cellStyle name="Input 4 2 2" xfId="11504"/>
    <cellStyle name="Input 4 2 2 2" xfId="11505"/>
    <cellStyle name="Input 4 2 2 3" xfId="11506"/>
    <cellStyle name="Input 4 2 2 4" xfId="11507"/>
    <cellStyle name="Input 4 2 2 5" xfId="11508"/>
    <cellStyle name="Input 4 2 2 6" xfId="11509"/>
    <cellStyle name="Input 4 2 2 7" xfId="11510"/>
    <cellStyle name="Input 4 2 3" xfId="11511"/>
    <cellStyle name="Input 4 2 3 2" xfId="11512"/>
    <cellStyle name="Input 4 2 3 3" xfId="11513"/>
    <cellStyle name="Input 4 2 3 4" xfId="11514"/>
    <cellStyle name="Input 4 2 3 5" xfId="11515"/>
    <cellStyle name="Input 4 2 3 6" xfId="11516"/>
    <cellStyle name="Input 4 2 3 7" xfId="11517"/>
    <cellStyle name="Input 4 2 4" xfId="11518"/>
    <cellStyle name="Input 4 2 4 2" xfId="11519"/>
    <cellStyle name="Input 4 2 4 3" xfId="11520"/>
    <cellStyle name="Input 4 2 4 4" xfId="11521"/>
    <cellStyle name="Input 4 2 4 5" xfId="11522"/>
    <cellStyle name="Input 4 2 4 6" xfId="11523"/>
    <cellStyle name="Input 4 2 4 7" xfId="11524"/>
    <cellStyle name="Input 4 2 5" xfId="11525"/>
    <cellStyle name="Input 4 2 5 2" xfId="11526"/>
    <cellStyle name="Input 4 2 5 3" xfId="11527"/>
    <cellStyle name="Input 4 2 5 4" xfId="11528"/>
    <cellStyle name="Input 4 2 5 5" xfId="11529"/>
    <cellStyle name="Input 4 2 5 6" xfId="11530"/>
    <cellStyle name="Input 4 2 5 7" xfId="11531"/>
    <cellStyle name="Input 4 2 6" xfId="11532"/>
    <cellStyle name="Input 4 2 6 2" xfId="11533"/>
    <cellStyle name="Input 4 2 6 3" xfId="11534"/>
    <cellStyle name="Input 4 2 6 4" xfId="11535"/>
    <cellStyle name="Input 4 2 6 5" xfId="11536"/>
    <cellStyle name="Input 4 2 6 6" xfId="11537"/>
    <cellStyle name="Input 4 2 6 7" xfId="11538"/>
    <cellStyle name="Input 4 2 7" xfId="11539"/>
    <cellStyle name="Input 4 2 7 2" xfId="11540"/>
    <cellStyle name="Input 4 2 7 3" xfId="11541"/>
    <cellStyle name="Input 4 2 7 4" xfId="11542"/>
    <cellStyle name="Input 4 2 7 5" xfId="11543"/>
    <cellStyle name="Input 4 2 7 6" xfId="11544"/>
    <cellStyle name="Input 4 2 7 7" xfId="11545"/>
    <cellStyle name="Input 4 2 8" xfId="11546"/>
    <cellStyle name="Input 4 2 8 2" xfId="11547"/>
    <cellStyle name="Input 4 2 8 3" xfId="11548"/>
    <cellStyle name="Input 4 2 8 4" xfId="11549"/>
    <cellStyle name="Input 4 2 8 5" xfId="11550"/>
    <cellStyle name="Input 4 2 8 6" xfId="11551"/>
    <cellStyle name="Input 4 2 8 7" xfId="11552"/>
    <cellStyle name="Input 4 2 9" xfId="11553"/>
    <cellStyle name="Input 4 2 9 2" xfId="11554"/>
    <cellStyle name="Input 4 2 9 3" xfId="11555"/>
    <cellStyle name="Input 4 2 9 4" xfId="11556"/>
    <cellStyle name="Input 4 2 9 5" xfId="11557"/>
    <cellStyle name="Input 4 2 9 6" xfId="11558"/>
    <cellStyle name="Input 4 3" xfId="11559"/>
    <cellStyle name="Input 4 3 10" xfId="11560"/>
    <cellStyle name="Input 4 3 10 2" xfId="11561"/>
    <cellStyle name="Input 4 3 10 3" xfId="11562"/>
    <cellStyle name="Input 4 3 10 4" xfId="11563"/>
    <cellStyle name="Input 4 3 10 5" xfId="11564"/>
    <cellStyle name="Input 4 3 10 6" xfId="11565"/>
    <cellStyle name="Input 4 3 11" xfId="11566"/>
    <cellStyle name="Input 4 3 12" xfId="11567"/>
    <cellStyle name="Input 4 3 13" xfId="11568"/>
    <cellStyle name="Input 4 3 14" xfId="11569"/>
    <cellStyle name="Input 4 3 2" xfId="11570"/>
    <cellStyle name="Input 4 3 2 2" xfId="11571"/>
    <cellStyle name="Input 4 3 2 3" xfId="11572"/>
    <cellStyle name="Input 4 3 2 4" xfId="11573"/>
    <cellStyle name="Input 4 3 2 5" xfId="11574"/>
    <cellStyle name="Input 4 3 2 6" xfId="11575"/>
    <cellStyle name="Input 4 3 2 7" xfId="11576"/>
    <cellStyle name="Input 4 3 3" xfId="11577"/>
    <cellStyle name="Input 4 3 3 2" xfId="11578"/>
    <cellStyle name="Input 4 3 3 3" xfId="11579"/>
    <cellStyle name="Input 4 3 3 4" xfId="11580"/>
    <cellStyle name="Input 4 3 3 5" xfId="11581"/>
    <cellStyle name="Input 4 3 3 6" xfId="11582"/>
    <cellStyle name="Input 4 3 3 7" xfId="11583"/>
    <cellStyle name="Input 4 3 4" xfId="11584"/>
    <cellStyle name="Input 4 3 4 2" xfId="11585"/>
    <cellStyle name="Input 4 3 4 3" xfId="11586"/>
    <cellStyle name="Input 4 3 4 4" xfId="11587"/>
    <cellStyle name="Input 4 3 4 5" xfId="11588"/>
    <cellStyle name="Input 4 3 4 6" xfId="11589"/>
    <cellStyle name="Input 4 3 4 7" xfId="11590"/>
    <cellStyle name="Input 4 3 5" xfId="11591"/>
    <cellStyle name="Input 4 3 5 2" xfId="11592"/>
    <cellStyle name="Input 4 3 5 3" xfId="11593"/>
    <cellStyle name="Input 4 3 5 4" xfId="11594"/>
    <cellStyle name="Input 4 3 5 5" xfId="11595"/>
    <cellStyle name="Input 4 3 5 6" xfId="11596"/>
    <cellStyle name="Input 4 3 5 7" xfId="11597"/>
    <cellStyle name="Input 4 3 6" xfId="11598"/>
    <cellStyle name="Input 4 3 6 2" xfId="11599"/>
    <cellStyle name="Input 4 3 6 3" xfId="11600"/>
    <cellStyle name="Input 4 3 6 4" xfId="11601"/>
    <cellStyle name="Input 4 3 6 5" xfId="11602"/>
    <cellStyle name="Input 4 3 6 6" xfId="11603"/>
    <cellStyle name="Input 4 3 6 7" xfId="11604"/>
    <cellStyle name="Input 4 3 7" xfId="11605"/>
    <cellStyle name="Input 4 3 7 2" xfId="11606"/>
    <cellStyle name="Input 4 3 7 3" xfId="11607"/>
    <cellStyle name="Input 4 3 7 4" xfId="11608"/>
    <cellStyle name="Input 4 3 7 5" xfId="11609"/>
    <cellStyle name="Input 4 3 7 6" xfId="11610"/>
    <cellStyle name="Input 4 3 7 7" xfId="11611"/>
    <cellStyle name="Input 4 3 8" xfId="11612"/>
    <cellStyle name="Input 4 3 8 2" xfId="11613"/>
    <cellStyle name="Input 4 3 8 3" xfId="11614"/>
    <cellStyle name="Input 4 3 8 4" xfId="11615"/>
    <cellStyle name="Input 4 3 8 5" xfId="11616"/>
    <cellStyle name="Input 4 3 8 6" xfId="11617"/>
    <cellStyle name="Input 4 3 8 7" xfId="11618"/>
    <cellStyle name="Input 4 3 9" xfId="11619"/>
    <cellStyle name="Input 4 3 9 2" xfId="11620"/>
    <cellStyle name="Input 4 3 9 3" xfId="11621"/>
    <cellStyle name="Input 4 3 9 4" xfId="11622"/>
    <cellStyle name="Input 4 3 9 5" xfId="11623"/>
    <cellStyle name="Input 4 3 9 6" xfId="11624"/>
    <cellStyle name="Input 4 4" xfId="11625"/>
    <cellStyle name="Input 4 4 2" xfId="11626"/>
    <cellStyle name="Input 4 4 3" xfId="11627"/>
    <cellStyle name="Input 4 4 4" xfId="11628"/>
    <cellStyle name="Input 4 4 5" xfId="11629"/>
    <cellStyle name="Input 4 4 6" xfId="11630"/>
    <cellStyle name="Input 4 4 7" xfId="11631"/>
    <cellStyle name="Input 4 5" xfId="11632"/>
    <cellStyle name="Input 4 5 2" xfId="11633"/>
    <cellStyle name="Input 4 5 3" xfId="11634"/>
    <cellStyle name="Input 4 5 4" xfId="11635"/>
    <cellStyle name="Input 4 5 5" xfId="11636"/>
    <cellStyle name="Input 4 5 6" xfId="11637"/>
    <cellStyle name="Input 4 5 7" xfId="11638"/>
    <cellStyle name="Input 4 6" xfId="11639"/>
    <cellStyle name="Input 4 6 2" xfId="11640"/>
    <cellStyle name="Input 4 6 3" xfId="11641"/>
    <cellStyle name="Input 4 6 4" xfId="11642"/>
    <cellStyle name="Input 4 6 5" xfId="11643"/>
    <cellStyle name="Input 4 6 6" xfId="11644"/>
    <cellStyle name="Input 4 6 7" xfId="11645"/>
    <cellStyle name="Input 4 7" xfId="11646"/>
    <cellStyle name="Input 4 7 2" xfId="11647"/>
    <cellStyle name="Input 4 7 3" xfId="11648"/>
    <cellStyle name="Input 4 7 4" xfId="11649"/>
    <cellStyle name="Input 4 7 5" xfId="11650"/>
    <cellStyle name="Input 4 7 6" xfId="11651"/>
    <cellStyle name="Input 4 7 7" xfId="11652"/>
    <cellStyle name="Input 4 8" xfId="11653"/>
    <cellStyle name="Input 4 8 2" xfId="11654"/>
    <cellStyle name="Input 4 8 3" xfId="11655"/>
    <cellStyle name="Input 4 8 4" xfId="11656"/>
    <cellStyle name="Input 4 8 5" xfId="11657"/>
    <cellStyle name="Input 4 8 6" xfId="11658"/>
    <cellStyle name="Input 4 8 7" xfId="11659"/>
    <cellStyle name="Input 4 9" xfId="11660"/>
    <cellStyle name="Input 4 9 2" xfId="11661"/>
    <cellStyle name="Input 4 9 3" xfId="11662"/>
    <cellStyle name="Input 4 9 4" xfId="11663"/>
    <cellStyle name="Input 4 9 5" xfId="11664"/>
    <cellStyle name="Input 4 9 6" xfId="11665"/>
    <cellStyle name="Input 4 9 7" xfId="11666"/>
    <cellStyle name="Input 40" xfId="11667"/>
    <cellStyle name="Input 40 10" xfId="11668"/>
    <cellStyle name="Input 40 10 2" xfId="11669"/>
    <cellStyle name="Input 40 10 3" xfId="11670"/>
    <cellStyle name="Input 40 10 4" xfId="11671"/>
    <cellStyle name="Input 40 10 5" xfId="11672"/>
    <cellStyle name="Input 40 10 6" xfId="11673"/>
    <cellStyle name="Input 40 10 7" xfId="11674"/>
    <cellStyle name="Input 40 11" xfId="11675"/>
    <cellStyle name="Input 40 11 2" xfId="11676"/>
    <cellStyle name="Input 40 11 3" xfId="11677"/>
    <cellStyle name="Input 40 11 4" xfId="11678"/>
    <cellStyle name="Input 40 11 5" xfId="11679"/>
    <cellStyle name="Input 40 11 6" xfId="11680"/>
    <cellStyle name="Input 40 12" xfId="11681"/>
    <cellStyle name="Input 40 12 2" xfId="11682"/>
    <cellStyle name="Input 40 12 3" xfId="11683"/>
    <cellStyle name="Input 40 12 4" xfId="11684"/>
    <cellStyle name="Input 40 12 5" xfId="11685"/>
    <cellStyle name="Input 40 12 6" xfId="11686"/>
    <cellStyle name="Input 40 13" xfId="11687"/>
    <cellStyle name="Input 40 14" xfId="11688"/>
    <cellStyle name="Input 40 15" xfId="11689"/>
    <cellStyle name="Input 40 16" xfId="11690"/>
    <cellStyle name="Input 40 2" xfId="11691"/>
    <cellStyle name="Input 40 2 10" xfId="11692"/>
    <cellStyle name="Input 40 2 10 2" xfId="11693"/>
    <cellStyle name="Input 40 2 10 3" xfId="11694"/>
    <cellStyle name="Input 40 2 10 4" xfId="11695"/>
    <cellStyle name="Input 40 2 10 5" xfId="11696"/>
    <cellStyle name="Input 40 2 10 6" xfId="11697"/>
    <cellStyle name="Input 40 2 11" xfId="11698"/>
    <cellStyle name="Input 40 2 12" xfId="11699"/>
    <cellStyle name="Input 40 2 13" xfId="11700"/>
    <cellStyle name="Input 40 2 14" xfId="11701"/>
    <cellStyle name="Input 40 2 2" xfId="11702"/>
    <cellStyle name="Input 40 2 2 2" xfId="11703"/>
    <cellStyle name="Input 40 2 2 3" xfId="11704"/>
    <cellStyle name="Input 40 2 2 4" xfId="11705"/>
    <cellStyle name="Input 40 2 2 5" xfId="11706"/>
    <cellStyle name="Input 40 2 2 6" xfId="11707"/>
    <cellStyle name="Input 40 2 2 7" xfId="11708"/>
    <cellStyle name="Input 40 2 3" xfId="11709"/>
    <cellStyle name="Input 40 2 3 2" xfId="11710"/>
    <cellStyle name="Input 40 2 3 3" xfId="11711"/>
    <cellStyle name="Input 40 2 3 4" xfId="11712"/>
    <cellStyle name="Input 40 2 3 5" xfId="11713"/>
    <cellStyle name="Input 40 2 3 6" xfId="11714"/>
    <cellStyle name="Input 40 2 3 7" xfId="11715"/>
    <cellStyle name="Input 40 2 4" xfId="11716"/>
    <cellStyle name="Input 40 2 4 2" xfId="11717"/>
    <cellStyle name="Input 40 2 4 3" xfId="11718"/>
    <cellStyle name="Input 40 2 4 4" xfId="11719"/>
    <cellStyle name="Input 40 2 4 5" xfId="11720"/>
    <cellStyle name="Input 40 2 4 6" xfId="11721"/>
    <cellStyle name="Input 40 2 4 7" xfId="11722"/>
    <cellStyle name="Input 40 2 5" xfId="11723"/>
    <cellStyle name="Input 40 2 5 2" xfId="11724"/>
    <cellStyle name="Input 40 2 5 3" xfId="11725"/>
    <cellStyle name="Input 40 2 5 4" xfId="11726"/>
    <cellStyle name="Input 40 2 5 5" xfId="11727"/>
    <cellStyle name="Input 40 2 5 6" xfId="11728"/>
    <cellStyle name="Input 40 2 5 7" xfId="11729"/>
    <cellStyle name="Input 40 2 6" xfId="11730"/>
    <cellStyle name="Input 40 2 6 2" xfId="11731"/>
    <cellStyle name="Input 40 2 6 3" xfId="11732"/>
    <cellStyle name="Input 40 2 6 4" xfId="11733"/>
    <cellStyle name="Input 40 2 6 5" xfId="11734"/>
    <cellStyle name="Input 40 2 6 6" xfId="11735"/>
    <cellStyle name="Input 40 2 6 7" xfId="11736"/>
    <cellStyle name="Input 40 2 7" xfId="11737"/>
    <cellStyle name="Input 40 2 7 2" xfId="11738"/>
    <cellStyle name="Input 40 2 7 3" xfId="11739"/>
    <cellStyle name="Input 40 2 7 4" xfId="11740"/>
    <cellStyle name="Input 40 2 7 5" xfId="11741"/>
    <cellStyle name="Input 40 2 7 6" xfId="11742"/>
    <cellStyle name="Input 40 2 7 7" xfId="11743"/>
    <cellStyle name="Input 40 2 8" xfId="11744"/>
    <cellStyle name="Input 40 2 8 2" xfId="11745"/>
    <cellStyle name="Input 40 2 8 3" xfId="11746"/>
    <cellStyle name="Input 40 2 8 4" xfId="11747"/>
    <cellStyle name="Input 40 2 8 5" xfId="11748"/>
    <cellStyle name="Input 40 2 8 6" xfId="11749"/>
    <cellStyle name="Input 40 2 8 7" xfId="11750"/>
    <cellStyle name="Input 40 2 9" xfId="11751"/>
    <cellStyle name="Input 40 2 9 2" xfId="11752"/>
    <cellStyle name="Input 40 2 9 3" xfId="11753"/>
    <cellStyle name="Input 40 2 9 4" xfId="11754"/>
    <cellStyle name="Input 40 2 9 5" xfId="11755"/>
    <cellStyle name="Input 40 2 9 6" xfId="11756"/>
    <cellStyle name="Input 40 3" xfId="11757"/>
    <cellStyle name="Input 40 3 10" xfId="11758"/>
    <cellStyle name="Input 40 3 10 2" xfId="11759"/>
    <cellStyle name="Input 40 3 10 3" xfId="11760"/>
    <cellStyle name="Input 40 3 10 4" xfId="11761"/>
    <cellStyle name="Input 40 3 10 5" xfId="11762"/>
    <cellStyle name="Input 40 3 10 6" xfId="11763"/>
    <cellStyle name="Input 40 3 11" xfId="11764"/>
    <cellStyle name="Input 40 3 12" xfId="11765"/>
    <cellStyle name="Input 40 3 13" xfId="11766"/>
    <cellStyle name="Input 40 3 14" xfId="11767"/>
    <cellStyle name="Input 40 3 2" xfId="11768"/>
    <cellStyle name="Input 40 3 2 2" xfId="11769"/>
    <cellStyle name="Input 40 3 2 3" xfId="11770"/>
    <cellStyle name="Input 40 3 2 4" xfId="11771"/>
    <cellStyle name="Input 40 3 2 5" xfId="11772"/>
    <cellStyle name="Input 40 3 2 6" xfId="11773"/>
    <cellStyle name="Input 40 3 2 7" xfId="11774"/>
    <cellStyle name="Input 40 3 3" xfId="11775"/>
    <cellStyle name="Input 40 3 3 2" xfId="11776"/>
    <cellStyle name="Input 40 3 3 3" xfId="11777"/>
    <cellStyle name="Input 40 3 3 4" xfId="11778"/>
    <cellStyle name="Input 40 3 3 5" xfId="11779"/>
    <cellStyle name="Input 40 3 3 6" xfId="11780"/>
    <cellStyle name="Input 40 3 3 7" xfId="11781"/>
    <cellStyle name="Input 40 3 4" xfId="11782"/>
    <cellStyle name="Input 40 3 4 2" xfId="11783"/>
    <cellStyle name="Input 40 3 4 3" xfId="11784"/>
    <cellStyle name="Input 40 3 4 4" xfId="11785"/>
    <cellStyle name="Input 40 3 4 5" xfId="11786"/>
    <cellStyle name="Input 40 3 4 6" xfId="11787"/>
    <cellStyle name="Input 40 3 4 7" xfId="11788"/>
    <cellStyle name="Input 40 3 5" xfId="11789"/>
    <cellStyle name="Input 40 3 5 2" xfId="11790"/>
    <cellStyle name="Input 40 3 5 3" xfId="11791"/>
    <cellStyle name="Input 40 3 5 4" xfId="11792"/>
    <cellStyle name="Input 40 3 5 5" xfId="11793"/>
    <cellStyle name="Input 40 3 5 6" xfId="11794"/>
    <cellStyle name="Input 40 3 5 7" xfId="11795"/>
    <cellStyle name="Input 40 3 6" xfId="11796"/>
    <cellStyle name="Input 40 3 6 2" xfId="11797"/>
    <cellStyle name="Input 40 3 6 3" xfId="11798"/>
    <cellStyle name="Input 40 3 6 4" xfId="11799"/>
    <cellStyle name="Input 40 3 6 5" xfId="11800"/>
    <cellStyle name="Input 40 3 6 6" xfId="11801"/>
    <cellStyle name="Input 40 3 6 7" xfId="11802"/>
    <cellStyle name="Input 40 3 7" xfId="11803"/>
    <cellStyle name="Input 40 3 7 2" xfId="11804"/>
    <cellStyle name="Input 40 3 7 3" xfId="11805"/>
    <cellStyle name="Input 40 3 7 4" xfId="11806"/>
    <cellStyle name="Input 40 3 7 5" xfId="11807"/>
    <cellStyle name="Input 40 3 7 6" xfId="11808"/>
    <cellStyle name="Input 40 3 7 7" xfId="11809"/>
    <cellStyle name="Input 40 3 8" xfId="11810"/>
    <cellStyle name="Input 40 3 8 2" xfId="11811"/>
    <cellStyle name="Input 40 3 8 3" xfId="11812"/>
    <cellStyle name="Input 40 3 8 4" xfId="11813"/>
    <cellStyle name="Input 40 3 8 5" xfId="11814"/>
    <cellStyle name="Input 40 3 8 6" xfId="11815"/>
    <cellStyle name="Input 40 3 8 7" xfId="11816"/>
    <cellStyle name="Input 40 3 9" xfId="11817"/>
    <cellStyle name="Input 40 3 9 2" xfId="11818"/>
    <cellStyle name="Input 40 3 9 3" xfId="11819"/>
    <cellStyle name="Input 40 3 9 4" xfId="11820"/>
    <cellStyle name="Input 40 3 9 5" xfId="11821"/>
    <cellStyle name="Input 40 3 9 6" xfId="11822"/>
    <cellStyle name="Input 40 4" xfId="11823"/>
    <cellStyle name="Input 40 4 2" xfId="11824"/>
    <cellStyle name="Input 40 4 3" xfId="11825"/>
    <cellStyle name="Input 40 4 4" xfId="11826"/>
    <cellStyle name="Input 40 4 5" xfId="11827"/>
    <cellStyle name="Input 40 4 6" xfId="11828"/>
    <cellStyle name="Input 40 4 7" xfId="11829"/>
    <cellStyle name="Input 40 5" xfId="11830"/>
    <cellStyle name="Input 40 5 2" xfId="11831"/>
    <cellStyle name="Input 40 5 3" xfId="11832"/>
    <cellStyle name="Input 40 5 4" xfId="11833"/>
    <cellStyle name="Input 40 5 5" xfId="11834"/>
    <cellStyle name="Input 40 5 6" xfId="11835"/>
    <cellStyle name="Input 40 5 7" xfId="11836"/>
    <cellStyle name="Input 40 6" xfId="11837"/>
    <cellStyle name="Input 40 6 2" xfId="11838"/>
    <cellStyle name="Input 40 6 3" xfId="11839"/>
    <cellStyle name="Input 40 6 4" xfId="11840"/>
    <cellStyle name="Input 40 6 5" xfId="11841"/>
    <cellStyle name="Input 40 6 6" xfId="11842"/>
    <cellStyle name="Input 40 6 7" xfId="11843"/>
    <cellStyle name="Input 40 7" xfId="11844"/>
    <cellStyle name="Input 40 7 2" xfId="11845"/>
    <cellStyle name="Input 40 7 3" xfId="11846"/>
    <cellStyle name="Input 40 7 4" xfId="11847"/>
    <cellStyle name="Input 40 7 5" xfId="11848"/>
    <cellStyle name="Input 40 7 6" xfId="11849"/>
    <cellStyle name="Input 40 7 7" xfId="11850"/>
    <cellStyle name="Input 40 8" xfId="11851"/>
    <cellStyle name="Input 40 8 2" xfId="11852"/>
    <cellStyle name="Input 40 8 3" xfId="11853"/>
    <cellStyle name="Input 40 8 4" xfId="11854"/>
    <cellStyle name="Input 40 8 5" xfId="11855"/>
    <cellStyle name="Input 40 8 6" xfId="11856"/>
    <cellStyle name="Input 40 8 7" xfId="11857"/>
    <cellStyle name="Input 40 9" xfId="11858"/>
    <cellStyle name="Input 40 9 2" xfId="11859"/>
    <cellStyle name="Input 40 9 3" xfId="11860"/>
    <cellStyle name="Input 40 9 4" xfId="11861"/>
    <cellStyle name="Input 40 9 5" xfId="11862"/>
    <cellStyle name="Input 40 9 6" xfId="11863"/>
    <cellStyle name="Input 40 9 7" xfId="11864"/>
    <cellStyle name="Input 41" xfId="11865"/>
    <cellStyle name="Input 41 10" xfId="11866"/>
    <cellStyle name="Input 41 10 2" xfId="11867"/>
    <cellStyle name="Input 41 10 3" xfId="11868"/>
    <cellStyle name="Input 41 10 4" xfId="11869"/>
    <cellStyle name="Input 41 10 5" xfId="11870"/>
    <cellStyle name="Input 41 10 6" xfId="11871"/>
    <cellStyle name="Input 41 10 7" xfId="11872"/>
    <cellStyle name="Input 41 11" xfId="11873"/>
    <cellStyle name="Input 41 11 2" xfId="11874"/>
    <cellStyle name="Input 41 11 3" xfId="11875"/>
    <cellStyle name="Input 41 11 4" xfId="11876"/>
    <cellStyle name="Input 41 11 5" xfId="11877"/>
    <cellStyle name="Input 41 11 6" xfId="11878"/>
    <cellStyle name="Input 41 12" xfId="11879"/>
    <cellStyle name="Input 41 12 2" xfId="11880"/>
    <cellStyle name="Input 41 12 3" xfId="11881"/>
    <cellStyle name="Input 41 12 4" xfId="11882"/>
    <cellStyle name="Input 41 12 5" xfId="11883"/>
    <cellStyle name="Input 41 12 6" xfId="11884"/>
    <cellStyle name="Input 41 13" xfId="11885"/>
    <cellStyle name="Input 41 14" xfId="11886"/>
    <cellStyle name="Input 41 15" xfId="11887"/>
    <cellStyle name="Input 41 16" xfId="11888"/>
    <cellStyle name="Input 41 2" xfId="11889"/>
    <cellStyle name="Input 41 2 10" xfId="11890"/>
    <cellStyle name="Input 41 2 10 2" xfId="11891"/>
    <cellStyle name="Input 41 2 10 3" xfId="11892"/>
    <cellStyle name="Input 41 2 10 4" xfId="11893"/>
    <cellStyle name="Input 41 2 10 5" xfId="11894"/>
    <cellStyle name="Input 41 2 10 6" xfId="11895"/>
    <cellStyle name="Input 41 2 11" xfId="11896"/>
    <cellStyle name="Input 41 2 12" xfId="11897"/>
    <cellStyle name="Input 41 2 13" xfId="11898"/>
    <cellStyle name="Input 41 2 14" xfId="11899"/>
    <cellStyle name="Input 41 2 2" xfId="11900"/>
    <cellStyle name="Input 41 2 2 2" xfId="11901"/>
    <cellStyle name="Input 41 2 2 3" xfId="11902"/>
    <cellStyle name="Input 41 2 2 4" xfId="11903"/>
    <cellStyle name="Input 41 2 2 5" xfId="11904"/>
    <cellStyle name="Input 41 2 2 6" xfId="11905"/>
    <cellStyle name="Input 41 2 2 7" xfId="11906"/>
    <cellStyle name="Input 41 2 3" xfId="11907"/>
    <cellStyle name="Input 41 2 3 2" xfId="11908"/>
    <cellStyle name="Input 41 2 3 3" xfId="11909"/>
    <cellStyle name="Input 41 2 3 4" xfId="11910"/>
    <cellStyle name="Input 41 2 3 5" xfId="11911"/>
    <cellStyle name="Input 41 2 3 6" xfId="11912"/>
    <cellStyle name="Input 41 2 3 7" xfId="11913"/>
    <cellStyle name="Input 41 2 4" xfId="11914"/>
    <cellStyle name="Input 41 2 4 2" xfId="11915"/>
    <cellStyle name="Input 41 2 4 3" xfId="11916"/>
    <cellStyle name="Input 41 2 4 4" xfId="11917"/>
    <cellStyle name="Input 41 2 4 5" xfId="11918"/>
    <cellStyle name="Input 41 2 4 6" xfId="11919"/>
    <cellStyle name="Input 41 2 4 7" xfId="11920"/>
    <cellStyle name="Input 41 2 5" xfId="11921"/>
    <cellStyle name="Input 41 2 5 2" xfId="11922"/>
    <cellStyle name="Input 41 2 5 3" xfId="11923"/>
    <cellStyle name="Input 41 2 5 4" xfId="11924"/>
    <cellStyle name="Input 41 2 5 5" xfId="11925"/>
    <cellStyle name="Input 41 2 5 6" xfId="11926"/>
    <cellStyle name="Input 41 2 5 7" xfId="11927"/>
    <cellStyle name="Input 41 2 6" xfId="11928"/>
    <cellStyle name="Input 41 2 6 2" xfId="11929"/>
    <cellStyle name="Input 41 2 6 3" xfId="11930"/>
    <cellStyle name="Input 41 2 6 4" xfId="11931"/>
    <cellStyle name="Input 41 2 6 5" xfId="11932"/>
    <cellStyle name="Input 41 2 6 6" xfId="11933"/>
    <cellStyle name="Input 41 2 6 7" xfId="11934"/>
    <cellStyle name="Input 41 2 7" xfId="11935"/>
    <cellStyle name="Input 41 2 7 2" xfId="11936"/>
    <cellStyle name="Input 41 2 7 3" xfId="11937"/>
    <cellStyle name="Input 41 2 7 4" xfId="11938"/>
    <cellStyle name="Input 41 2 7 5" xfId="11939"/>
    <cellStyle name="Input 41 2 7 6" xfId="11940"/>
    <cellStyle name="Input 41 2 7 7" xfId="11941"/>
    <cellStyle name="Input 41 2 8" xfId="11942"/>
    <cellStyle name="Input 41 2 8 2" xfId="11943"/>
    <cellStyle name="Input 41 2 8 3" xfId="11944"/>
    <cellStyle name="Input 41 2 8 4" xfId="11945"/>
    <cellStyle name="Input 41 2 8 5" xfId="11946"/>
    <cellStyle name="Input 41 2 8 6" xfId="11947"/>
    <cellStyle name="Input 41 2 8 7" xfId="11948"/>
    <cellStyle name="Input 41 2 9" xfId="11949"/>
    <cellStyle name="Input 41 2 9 2" xfId="11950"/>
    <cellStyle name="Input 41 2 9 3" xfId="11951"/>
    <cellStyle name="Input 41 2 9 4" xfId="11952"/>
    <cellStyle name="Input 41 2 9 5" xfId="11953"/>
    <cellStyle name="Input 41 2 9 6" xfId="11954"/>
    <cellStyle name="Input 41 3" xfId="11955"/>
    <cellStyle name="Input 41 3 10" xfId="11956"/>
    <cellStyle name="Input 41 3 10 2" xfId="11957"/>
    <cellStyle name="Input 41 3 10 3" xfId="11958"/>
    <cellStyle name="Input 41 3 10 4" xfId="11959"/>
    <cellStyle name="Input 41 3 10 5" xfId="11960"/>
    <cellStyle name="Input 41 3 10 6" xfId="11961"/>
    <cellStyle name="Input 41 3 11" xfId="11962"/>
    <cellStyle name="Input 41 3 12" xfId="11963"/>
    <cellStyle name="Input 41 3 13" xfId="11964"/>
    <cellStyle name="Input 41 3 14" xfId="11965"/>
    <cellStyle name="Input 41 3 2" xfId="11966"/>
    <cellStyle name="Input 41 3 2 2" xfId="11967"/>
    <cellStyle name="Input 41 3 2 3" xfId="11968"/>
    <cellStyle name="Input 41 3 2 4" xfId="11969"/>
    <cellStyle name="Input 41 3 2 5" xfId="11970"/>
    <cellStyle name="Input 41 3 2 6" xfId="11971"/>
    <cellStyle name="Input 41 3 2 7" xfId="11972"/>
    <cellStyle name="Input 41 3 3" xfId="11973"/>
    <cellStyle name="Input 41 3 3 2" xfId="11974"/>
    <cellStyle name="Input 41 3 3 3" xfId="11975"/>
    <cellStyle name="Input 41 3 3 4" xfId="11976"/>
    <cellStyle name="Input 41 3 3 5" xfId="11977"/>
    <cellStyle name="Input 41 3 3 6" xfId="11978"/>
    <cellStyle name="Input 41 3 3 7" xfId="11979"/>
    <cellStyle name="Input 41 3 4" xfId="11980"/>
    <cellStyle name="Input 41 3 4 2" xfId="11981"/>
    <cellStyle name="Input 41 3 4 3" xfId="11982"/>
    <cellStyle name="Input 41 3 4 4" xfId="11983"/>
    <cellStyle name="Input 41 3 4 5" xfId="11984"/>
    <cellStyle name="Input 41 3 4 6" xfId="11985"/>
    <cellStyle name="Input 41 3 4 7" xfId="11986"/>
    <cellStyle name="Input 41 3 5" xfId="11987"/>
    <cellStyle name="Input 41 3 5 2" xfId="11988"/>
    <cellStyle name="Input 41 3 5 3" xfId="11989"/>
    <cellStyle name="Input 41 3 5 4" xfId="11990"/>
    <cellStyle name="Input 41 3 5 5" xfId="11991"/>
    <cellStyle name="Input 41 3 5 6" xfId="11992"/>
    <cellStyle name="Input 41 3 5 7" xfId="11993"/>
    <cellStyle name="Input 41 3 6" xfId="11994"/>
    <cellStyle name="Input 41 3 6 2" xfId="11995"/>
    <cellStyle name="Input 41 3 6 3" xfId="11996"/>
    <cellStyle name="Input 41 3 6 4" xfId="11997"/>
    <cellStyle name="Input 41 3 6 5" xfId="11998"/>
    <cellStyle name="Input 41 3 6 6" xfId="11999"/>
    <cellStyle name="Input 41 3 6 7" xfId="12000"/>
    <cellStyle name="Input 41 3 7" xfId="12001"/>
    <cellStyle name="Input 41 3 7 2" xfId="12002"/>
    <cellStyle name="Input 41 3 7 3" xfId="12003"/>
    <cellStyle name="Input 41 3 7 4" xfId="12004"/>
    <cellStyle name="Input 41 3 7 5" xfId="12005"/>
    <cellStyle name="Input 41 3 7 6" xfId="12006"/>
    <cellStyle name="Input 41 3 7 7" xfId="12007"/>
    <cellStyle name="Input 41 3 8" xfId="12008"/>
    <cellStyle name="Input 41 3 8 2" xfId="12009"/>
    <cellStyle name="Input 41 3 8 3" xfId="12010"/>
    <cellStyle name="Input 41 3 8 4" xfId="12011"/>
    <cellStyle name="Input 41 3 8 5" xfId="12012"/>
    <cellStyle name="Input 41 3 8 6" xfId="12013"/>
    <cellStyle name="Input 41 3 8 7" xfId="12014"/>
    <cellStyle name="Input 41 3 9" xfId="12015"/>
    <cellStyle name="Input 41 3 9 2" xfId="12016"/>
    <cellStyle name="Input 41 3 9 3" xfId="12017"/>
    <cellStyle name="Input 41 3 9 4" xfId="12018"/>
    <cellStyle name="Input 41 3 9 5" xfId="12019"/>
    <cellStyle name="Input 41 3 9 6" xfId="12020"/>
    <cellStyle name="Input 41 4" xfId="12021"/>
    <cellStyle name="Input 41 4 2" xfId="12022"/>
    <cellStyle name="Input 41 4 3" xfId="12023"/>
    <cellStyle name="Input 41 4 4" xfId="12024"/>
    <cellStyle name="Input 41 4 5" xfId="12025"/>
    <cellStyle name="Input 41 4 6" xfId="12026"/>
    <cellStyle name="Input 41 4 7" xfId="12027"/>
    <cellStyle name="Input 41 5" xfId="12028"/>
    <cellStyle name="Input 41 5 2" xfId="12029"/>
    <cellStyle name="Input 41 5 3" xfId="12030"/>
    <cellStyle name="Input 41 5 4" xfId="12031"/>
    <cellStyle name="Input 41 5 5" xfId="12032"/>
    <cellStyle name="Input 41 5 6" xfId="12033"/>
    <cellStyle name="Input 41 5 7" xfId="12034"/>
    <cellStyle name="Input 41 6" xfId="12035"/>
    <cellStyle name="Input 41 6 2" xfId="12036"/>
    <cellStyle name="Input 41 6 3" xfId="12037"/>
    <cellStyle name="Input 41 6 4" xfId="12038"/>
    <cellStyle name="Input 41 6 5" xfId="12039"/>
    <cellStyle name="Input 41 6 6" xfId="12040"/>
    <cellStyle name="Input 41 6 7" xfId="12041"/>
    <cellStyle name="Input 41 7" xfId="12042"/>
    <cellStyle name="Input 41 7 2" xfId="12043"/>
    <cellStyle name="Input 41 7 3" xfId="12044"/>
    <cellStyle name="Input 41 7 4" xfId="12045"/>
    <cellStyle name="Input 41 7 5" xfId="12046"/>
    <cellStyle name="Input 41 7 6" xfId="12047"/>
    <cellStyle name="Input 41 7 7" xfId="12048"/>
    <cellStyle name="Input 41 8" xfId="12049"/>
    <cellStyle name="Input 41 8 2" xfId="12050"/>
    <cellStyle name="Input 41 8 3" xfId="12051"/>
    <cellStyle name="Input 41 8 4" xfId="12052"/>
    <cellStyle name="Input 41 8 5" xfId="12053"/>
    <cellStyle name="Input 41 8 6" xfId="12054"/>
    <cellStyle name="Input 41 8 7" xfId="12055"/>
    <cellStyle name="Input 41 9" xfId="12056"/>
    <cellStyle name="Input 41 9 2" xfId="12057"/>
    <cellStyle name="Input 41 9 3" xfId="12058"/>
    <cellStyle name="Input 41 9 4" xfId="12059"/>
    <cellStyle name="Input 41 9 5" xfId="12060"/>
    <cellStyle name="Input 41 9 6" xfId="12061"/>
    <cellStyle name="Input 41 9 7" xfId="12062"/>
    <cellStyle name="Input 42" xfId="12063"/>
    <cellStyle name="Input 42 10" xfId="12064"/>
    <cellStyle name="Input 42 10 2" xfId="12065"/>
    <cellStyle name="Input 42 10 3" xfId="12066"/>
    <cellStyle name="Input 42 10 4" xfId="12067"/>
    <cellStyle name="Input 42 10 5" xfId="12068"/>
    <cellStyle name="Input 42 10 6" xfId="12069"/>
    <cellStyle name="Input 42 10 7" xfId="12070"/>
    <cellStyle name="Input 42 11" xfId="12071"/>
    <cellStyle name="Input 42 11 2" xfId="12072"/>
    <cellStyle name="Input 42 11 3" xfId="12073"/>
    <cellStyle name="Input 42 11 4" xfId="12074"/>
    <cellStyle name="Input 42 11 5" xfId="12075"/>
    <cellStyle name="Input 42 11 6" xfId="12076"/>
    <cellStyle name="Input 42 12" xfId="12077"/>
    <cellStyle name="Input 42 12 2" xfId="12078"/>
    <cellStyle name="Input 42 12 3" xfId="12079"/>
    <cellStyle name="Input 42 12 4" xfId="12080"/>
    <cellStyle name="Input 42 12 5" xfId="12081"/>
    <cellStyle name="Input 42 12 6" xfId="12082"/>
    <cellStyle name="Input 42 13" xfId="12083"/>
    <cellStyle name="Input 42 14" xfId="12084"/>
    <cellStyle name="Input 42 15" xfId="12085"/>
    <cellStyle name="Input 42 16" xfId="12086"/>
    <cellStyle name="Input 42 2" xfId="12087"/>
    <cellStyle name="Input 42 2 10" xfId="12088"/>
    <cellStyle name="Input 42 2 10 2" xfId="12089"/>
    <cellStyle name="Input 42 2 10 3" xfId="12090"/>
    <cellStyle name="Input 42 2 10 4" xfId="12091"/>
    <cellStyle name="Input 42 2 10 5" xfId="12092"/>
    <cellStyle name="Input 42 2 10 6" xfId="12093"/>
    <cellStyle name="Input 42 2 11" xfId="12094"/>
    <cellStyle name="Input 42 2 12" xfId="12095"/>
    <cellStyle name="Input 42 2 13" xfId="12096"/>
    <cellStyle name="Input 42 2 14" xfId="12097"/>
    <cellStyle name="Input 42 2 2" xfId="12098"/>
    <cellStyle name="Input 42 2 2 2" xfId="12099"/>
    <cellStyle name="Input 42 2 2 3" xfId="12100"/>
    <cellStyle name="Input 42 2 2 4" xfId="12101"/>
    <cellStyle name="Input 42 2 2 5" xfId="12102"/>
    <cellStyle name="Input 42 2 2 6" xfId="12103"/>
    <cellStyle name="Input 42 2 2 7" xfId="12104"/>
    <cellStyle name="Input 42 2 3" xfId="12105"/>
    <cellStyle name="Input 42 2 3 2" xfId="12106"/>
    <cellStyle name="Input 42 2 3 3" xfId="12107"/>
    <cellStyle name="Input 42 2 3 4" xfId="12108"/>
    <cellStyle name="Input 42 2 3 5" xfId="12109"/>
    <cellStyle name="Input 42 2 3 6" xfId="12110"/>
    <cellStyle name="Input 42 2 3 7" xfId="12111"/>
    <cellStyle name="Input 42 2 4" xfId="12112"/>
    <cellStyle name="Input 42 2 4 2" xfId="12113"/>
    <cellStyle name="Input 42 2 4 3" xfId="12114"/>
    <cellStyle name="Input 42 2 4 4" xfId="12115"/>
    <cellStyle name="Input 42 2 4 5" xfId="12116"/>
    <cellStyle name="Input 42 2 4 6" xfId="12117"/>
    <cellStyle name="Input 42 2 4 7" xfId="12118"/>
    <cellStyle name="Input 42 2 5" xfId="12119"/>
    <cellStyle name="Input 42 2 5 2" xfId="12120"/>
    <cellStyle name="Input 42 2 5 3" xfId="12121"/>
    <cellStyle name="Input 42 2 5 4" xfId="12122"/>
    <cellStyle name="Input 42 2 5 5" xfId="12123"/>
    <cellStyle name="Input 42 2 5 6" xfId="12124"/>
    <cellStyle name="Input 42 2 5 7" xfId="12125"/>
    <cellStyle name="Input 42 2 6" xfId="12126"/>
    <cellStyle name="Input 42 2 6 2" xfId="12127"/>
    <cellStyle name="Input 42 2 6 3" xfId="12128"/>
    <cellStyle name="Input 42 2 6 4" xfId="12129"/>
    <cellStyle name="Input 42 2 6 5" xfId="12130"/>
    <cellStyle name="Input 42 2 6 6" xfId="12131"/>
    <cellStyle name="Input 42 2 6 7" xfId="12132"/>
    <cellStyle name="Input 42 2 7" xfId="12133"/>
    <cellStyle name="Input 42 2 7 2" xfId="12134"/>
    <cellStyle name="Input 42 2 7 3" xfId="12135"/>
    <cellStyle name="Input 42 2 7 4" xfId="12136"/>
    <cellStyle name="Input 42 2 7 5" xfId="12137"/>
    <cellStyle name="Input 42 2 7 6" xfId="12138"/>
    <cellStyle name="Input 42 2 7 7" xfId="12139"/>
    <cellStyle name="Input 42 2 8" xfId="12140"/>
    <cellStyle name="Input 42 2 8 2" xfId="12141"/>
    <cellStyle name="Input 42 2 8 3" xfId="12142"/>
    <cellStyle name="Input 42 2 8 4" xfId="12143"/>
    <cellStyle name="Input 42 2 8 5" xfId="12144"/>
    <cellStyle name="Input 42 2 8 6" xfId="12145"/>
    <cellStyle name="Input 42 2 8 7" xfId="12146"/>
    <cellStyle name="Input 42 2 9" xfId="12147"/>
    <cellStyle name="Input 42 2 9 2" xfId="12148"/>
    <cellStyle name="Input 42 2 9 3" xfId="12149"/>
    <cellStyle name="Input 42 2 9 4" xfId="12150"/>
    <cellStyle name="Input 42 2 9 5" xfId="12151"/>
    <cellStyle name="Input 42 2 9 6" xfId="12152"/>
    <cellStyle name="Input 42 3" xfId="12153"/>
    <cellStyle name="Input 42 3 10" xfId="12154"/>
    <cellStyle name="Input 42 3 10 2" xfId="12155"/>
    <cellStyle name="Input 42 3 10 3" xfId="12156"/>
    <cellStyle name="Input 42 3 10 4" xfId="12157"/>
    <cellStyle name="Input 42 3 10 5" xfId="12158"/>
    <cellStyle name="Input 42 3 10 6" xfId="12159"/>
    <cellStyle name="Input 42 3 11" xfId="12160"/>
    <cellStyle name="Input 42 3 12" xfId="12161"/>
    <cellStyle name="Input 42 3 13" xfId="12162"/>
    <cellStyle name="Input 42 3 14" xfId="12163"/>
    <cellStyle name="Input 42 3 2" xfId="12164"/>
    <cellStyle name="Input 42 3 2 2" xfId="12165"/>
    <cellStyle name="Input 42 3 2 3" xfId="12166"/>
    <cellStyle name="Input 42 3 2 4" xfId="12167"/>
    <cellStyle name="Input 42 3 2 5" xfId="12168"/>
    <cellStyle name="Input 42 3 2 6" xfId="12169"/>
    <cellStyle name="Input 42 3 2 7" xfId="12170"/>
    <cellStyle name="Input 42 3 3" xfId="12171"/>
    <cellStyle name="Input 42 3 3 2" xfId="12172"/>
    <cellStyle name="Input 42 3 3 3" xfId="12173"/>
    <cellStyle name="Input 42 3 3 4" xfId="12174"/>
    <cellStyle name="Input 42 3 3 5" xfId="12175"/>
    <cellStyle name="Input 42 3 3 6" xfId="12176"/>
    <cellStyle name="Input 42 3 3 7" xfId="12177"/>
    <cellStyle name="Input 42 3 4" xfId="12178"/>
    <cellStyle name="Input 42 3 4 2" xfId="12179"/>
    <cellStyle name="Input 42 3 4 3" xfId="12180"/>
    <cellStyle name="Input 42 3 4 4" xfId="12181"/>
    <cellStyle name="Input 42 3 4 5" xfId="12182"/>
    <cellStyle name="Input 42 3 4 6" xfId="12183"/>
    <cellStyle name="Input 42 3 4 7" xfId="12184"/>
    <cellStyle name="Input 42 3 5" xfId="12185"/>
    <cellStyle name="Input 42 3 5 2" xfId="12186"/>
    <cellStyle name="Input 42 3 5 3" xfId="12187"/>
    <cellStyle name="Input 42 3 5 4" xfId="12188"/>
    <cellStyle name="Input 42 3 5 5" xfId="12189"/>
    <cellStyle name="Input 42 3 5 6" xfId="12190"/>
    <cellStyle name="Input 42 3 5 7" xfId="12191"/>
    <cellStyle name="Input 42 3 6" xfId="12192"/>
    <cellStyle name="Input 42 3 6 2" xfId="12193"/>
    <cellStyle name="Input 42 3 6 3" xfId="12194"/>
    <cellStyle name="Input 42 3 6 4" xfId="12195"/>
    <cellStyle name="Input 42 3 6 5" xfId="12196"/>
    <cellStyle name="Input 42 3 6 6" xfId="12197"/>
    <cellStyle name="Input 42 3 6 7" xfId="12198"/>
    <cellStyle name="Input 42 3 7" xfId="12199"/>
    <cellStyle name="Input 42 3 7 2" xfId="12200"/>
    <cellStyle name="Input 42 3 7 3" xfId="12201"/>
    <cellStyle name="Input 42 3 7 4" xfId="12202"/>
    <cellStyle name="Input 42 3 7 5" xfId="12203"/>
    <cellStyle name="Input 42 3 7 6" xfId="12204"/>
    <cellStyle name="Input 42 3 7 7" xfId="12205"/>
    <cellStyle name="Input 42 3 8" xfId="12206"/>
    <cellStyle name="Input 42 3 8 2" xfId="12207"/>
    <cellStyle name="Input 42 3 8 3" xfId="12208"/>
    <cellStyle name="Input 42 3 8 4" xfId="12209"/>
    <cellStyle name="Input 42 3 8 5" xfId="12210"/>
    <cellStyle name="Input 42 3 8 6" xfId="12211"/>
    <cellStyle name="Input 42 3 8 7" xfId="12212"/>
    <cellStyle name="Input 42 3 9" xfId="12213"/>
    <cellStyle name="Input 42 3 9 2" xfId="12214"/>
    <cellStyle name="Input 42 3 9 3" xfId="12215"/>
    <cellStyle name="Input 42 3 9 4" xfId="12216"/>
    <cellStyle name="Input 42 3 9 5" xfId="12217"/>
    <cellStyle name="Input 42 3 9 6" xfId="12218"/>
    <cellStyle name="Input 42 4" xfId="12219"/>
    <cellStyle name="Input 42 4 2" xfId="12220"/>
    <cellStyle name="Input 42 4 3" xfId="12221"/>
    <cellStyle name="Input 42 4 4" xfId="12222"/>
    <cellStyle name="Input 42 4 5" xfId="12223"/>
    <cellStyle name="Input 42 4 6" xfId="12224"/>
    <cellStyle name="Input 42 4 7" xfId="12225"/>
    <cellStyle name="Input 42 5" xfId="12226"/>
    <cellStyle name="Input 42 5 2" xfId="12227"/>
    <cellStyle name="Input 42 5 3" xfId="12228"/>
    <cellStyle name="Input 42 5 4" xfId="12229"/>
    <cellStyle name="Input 42 5 5" xfId="12230"/>
    <cellStyle name="Input 42 5 6" xfId="12231"/>
    <cellStyle name="Input 42 5 7" xfId="12232"/>
    <cellStyle name="Input 42 6" xfId="12233"/>
    <cellStyle name="Input 42 6 2" xfId="12234"/>
    <cellStyle name="Input 42 6 3" xfId="12235"/>
    <cellStyle name="Input 42 6 4" xfId="12236"/>
    <cellStyle name="Input 42 6 5" xfId="12237"/>
    <cellStyle name="Input 42 6 6" xfId="12238"/>
    <cellStyle name="Input 42 6 7" xfId="12239"/>
    <cellStyle name="Input 42 7" xfId="12240"/>
    <cellStyle name="Input 42 7 2" xfId="12241"/>
    <cellStyle name="Input 42 7 3" xfId="12242"/>
    <cellStyle name="Input 42 7 4" xfId="12243"/>
    <cellStyle name="Input 42 7 5" xfId="12244"/>
    <cellStyle name="Input 42 7 6" xfId="12245"/>
    <cellStyle name="Input 42 7 7" xfId="12246"/>
    <cellStyle name="Input 42 8" xfId="12247"/>
    <cellStyle name="Input 42 8 2" xfId="12248"/>
    <cellStyle name="Input 42 8 3" xfId="12249"/>
    <cellStyle name="Input 42 8 4" xfId="12250"/>
    <cellStyle name="Input 42 8 5" xfId="12251"/>
    <cellStyle name="Input 42 8 6" xfId="12252"/>
    <cellStyle name="Input 42 8 7" xfId="12253"/>
    <cellStyle name="Input 42 9" xfId="12254"/>
    <cellStyle name="Input 42 9 2" xfId="12255"/>
    <cellStyle name="Input 42 9 3" xfId="12256"/>
    <cellStyle name="Input 42 9 4" xfId="12257"/>
    <cellStyle name="Input 42 9 5" xfId="12258"/>
    <cellStyle name="Input 42 9 6" xfId="12259"/>
    <cellStyle name="Input 42 9 7" xfId="12260"/>
    <cellStyle name="Input 43" xfId="12261"/>
    <cellStyle name="Input 43 10" xfId="12262"/>
    <cellStyle name="Input 43 10 2" xfId="12263"/>
    <cellStyle name="Input 43 10 3" xfId="12264"/>
    <cellStyle name="Input 43 10 4" xfId="12265"/>
    <cellStyle name="Input 43 10 5" xfId="12266"/>
    <cellStyle name="Input 43 10 6" xfId="12267"/>
    <cellStyle name="Input 43 10 7" xfId="12268"/>
    <cellStyle name="Input 43 11" xfId="12269"/>
    <cellStyle name="Input 43 11 2" xfId="12270"/>
    <cellStyle name="Input 43 11 3" xfId="12271"/>
    <cellStyle name="Input 43 11 4" xfId="12272"/>
    <cellStyle name="Input 43 11 5" xfId="12273"/>
    <cellStyle name="Input 43 11 6" xfId="12274"/>
    <cellStyle name="Input 43 12" xfId="12275"/>
    <cellStyle name="Input 43 12 2" xfId="12276"/>
    <cellStyle name="Input 43 12 3" xfId="12277"/>
    <cellStyle name="Input 43 12 4" xfId="12278"/>
    <cellStyle name="Input 43 12 5" xfId="12279"/>
    <cellStyle name="Input 43 12 6" xfId="12280"/>
    <cellStyle name="Input 43 13" xfId="12281"/>
    <cellStyle name="Input 43 14" xfId="12282"/>
    <cellStyle name="Input 43 15" xfId="12283"/>
    <cellStyle name="Input 43 16" xfId="12284"/>
    <cellStyle name="Input 43 2" xfId="12285"/>
    <cellStyle name="Input 43 2 10" xfId="12286"/>
    <cellStyle name="Input 43 2 10 2" xfId="12287"/>
    <cellStyle name="Input 43 2 10 3" xfId="12288"/>
    <cellStyle name="Input 43 2 10 4" xfId="12289"/>
    <cellStyle name="Input 43 2 10 5" xfId="12290"/>
    <cellStyle name="Input 43 2 10 6" xfId="12291"/>
    <cellStyle name="Input 43 2 11" xfId="12292"/>
    <cellStyle name="Input 43 2 12" xfId="12293"/>
    <cellStyle name="Input 43 2 13" xfId="12294"/>
    <cellStyle name="Input 43 2 14" xfId="12295"/>
    <cellStyle name="Input 43 2 2" xfId="12296"/>
    <cellStyle name="Input 43 2 2 2" xfId="12297"/>
    <cellStyle name="Input 43 2 2 3" xfId="12298"/>
    <cellStyle name="Input 43 2 2 4" xfId="12299"/>
    <cellStyle name="Input 43 2 2 5" xfId="12300"/>
    <cellStyle name="Input 43 2 2 6" xfId="12301"/>
    <cellStyle name="Input 43 2 2 7" xfId="12302"/>
    <cellStyle name="Input 43 2 3" xfId="12303"/>
    <cellStyle name="Input 43 2 3 2" xfId="12304"/>
    <cellStyle name="Input 43 2 3 3" xfId="12305"/>
    <cellStyle name="Input 43 2 3 4" xfId="12306"/>
    <cellStyle name="Input 43 2 3 5" xfId="12307"/>
    <cellStyle name="Input 43 2 3 6" xfId="12308"/>
    <cellStyle name="Input 43 2 3 7" xfId="12309"/>
    <cellStyle name="Input 43 2 4" xfId="12310"/>
    <cellStyle name="Input 43 2 4 2" xfId="12311"/>
    <cellStyle name="Input 43 2 4 3" xfId="12312"/>
    <cellStyle name="Input 43 2 4 4" xfId="12313"/>
    <cellStyle name="Input 43 2 4 5" xfId="12314"/>
    <cellStyle name="Input 43 2 4 6" xfId="12315"/>
    <cellStyle name="Input 43 2 4 7" xfId="12316"/>
    <cellStyle name="Input 43 2 5" xfId="12317"/>
    <cellStyle name="Input 43 2 5 2" xfId="12318"/>
    <cellStyle name="Input 43 2 5 3" xfId="12319"/>
    <cellStyle name="Input 43 2 5 4" xfId="12320"/>
    <cellStyle name="Input 43 2 5 5" xfId="12321"/>
    <cellStyle name="Input 43 2 5 6" xfId="12322"/>
    <cellStyle name="Input 43 2 5 7" xfId="12323"/>
    <cellStyle name="Input 43 2 6" xfId="12324"/>
    <cellStyle name="Input 43 2 6 2" xfId="12325"/>
    <cellStyle name="Input 43 2 6 3" xfId="12326"/>
    <cellStyle name="Input 43 2 6 4" xfId="12327"/>
    <cellStyle name="Input 43 2 6 5" xfId="12328"/>
    <cellStyle name="Input 43 2 6 6" xfId="12329"/>
    <cellStyle name="Input 43 2 6 7" xfId="12330"/>
    <cellStyle name="Input 43 2 7" xfId="12331"/>
    <cellStyle name="Input 43 2 7 2" xfId="12332"/>
    <cellStyle name="Input 43 2 7 3" xfId="12333"/>
    <cellStyle name="Input 43 2 7 4" xfId="12334"/>
    <cellStyle name="Input 43 2 7 5" xfId="12335"/>
    <cellStyle name="Input 43 2 7 6" xfId="12336"/>
    <cellStyle name="Input 43 2 7 7" xfId="12337"/>
    <cellStyle name="Input 43 2 8" xfId="12338"/>
    <cellStyle name="Input 43 2 8 2" xfId="12339"/>
    <cellStyle name="Input 43 2 8 3" xfId="12340"/>
    <cellStyle name="Input 43 2 8 4" xfId="12341"/>
    <cellStyle name="Input 43 2 8 5" xfId="12342"/>
    <cellStyle name="Input 43 2 8 6" xfId="12343"/>
    <cellStyle name="Input 43 2 8 7" xfId="12344"/>
    <cellStyle name="Input 43 2 9" xfId="12345"/>
    <cellStyle name="Input 43 2 9 2" xfId="12346"/>
    <cellStyle name="Input 43 2 9 3" xfId="12347"/>
    <cellStyle name="Input 43 2 9 4" xfId="12348"/>
    <cellStyle name="Input 43 2 9 5" xfId="12349"/>
    <cellStyle name="Input 43 2 9 6" xfId="12350"/>
    <cellStyle name="Input 43 3" xfId="12351"/>
    <cellStyle name="Input 43 3 10" xfId="12352"/>
    <cellStyle name="Input 43 3 10 2" xfId="12353"/>
    <cellStyle name="Input 43 3 10 3" xfId="12354"/>
    <cellStyle name="Input 43 3 10 4" xfId="12355"/>
    <cellStyle name="Input 43 3 10 5" xfId="12356"/>
    <cellStyle name="Input 43 3 10 6" xfId="12357"/>
    <cellStyle name="Input 43 3 11" xfId="12358"/>
    <cellStyle name="Input 43 3 12" xfId="12359"/>
    <cellStyle name="Input 43 3 13" xfId="12360"/>
    <cellStyle name="Input 43 3 14" xfId="12361"/>
    <cellStyle name="Input 43 3 2" xfId="12362"/>
    <cellStyle name="Input 43 3 2 2" xfId="12363"/>
    <cellStyle name="Input 43 3 2 3" xfId="12364"/>
    <cellStyle name="Input 43 3 2 4" xfId="12365"/>
    <cellStyle name="Input 43 3 2 5" xfId="12366"/>
    <cellStyle name="Input 43 3 2 6" xfId="12367"/>
    <cellStyle name="Input 43 3 2 7" xfId="12368"/>
    <cellStyle name="Input 43 3 3" xfId="12369"/>
    <cellStyle name="Input 43 3 3 2" xfId="12370"/>
    <cellStyle name="Input 43 3 3 3" xfId="12371"/>
    <cellStyle name="Input 43 3 3 4" xfId="12372"/>
    <cellStyle name="Input 43 3 3 5" xfId="12373"/>
    <cellStyle name="Input 43 3 3 6" xfId="12374"/>
    <cellStyle name="Input 43 3 3 7" xfId="12375"/>
    <cellStyle name="Input 43 3 4" xfId="12376"/>
    <cellStyle name="Input 43 3 4 2" xfId="12377"/>
    <cellStyle name="Input 43 3 4 3" xfId="12378"/>
    <cellStyle name="Input 43 3 4 4" xfId="12379"/>
    <cellStyle name="Input 43 3 4 5" xfId="12380"/>
    <cellStyle name="Input 43 3 4 6" xfId="12381"/>
    <cellStyle name="Input 43 3 4 7" xfId="12382"/>
    <cellStyle name="Input 43 3 5" xfId="12383"/>
    <cellStyle name="Input 43 3 5 2" xfId="12384"/>
    <cellStyle name="Input 43 3 5 3" xfId="12385"/>
    <cellStyle name="Input 43 3 5 4" xfId="12386"/>
    <cellStyle name="Input 43 3 5 5" xfId="12387"/>
    <cellStyle name="Input 43 3 5 6" xfId="12388"/>
    <cellStyle name="Input 43 3 5 7" xfId="12389"/>
    <cellStyle name="Input 43 3 6" xfId="12390"/>
    <cellStyle name="Input 43 3 6 2" xfId="12391"/>
    <cellStyle name="Input 43 3 6 3" xfId="12392"/>
    <cellStyle name="Input 43 3 6 4" xfId="12393"/>
    <cellStyle name="Input 43 3 6 5" xfId="12394"/>
    <cellStyle name="Input 43 3 6 6" xfId="12395"/>
    <cellStyle name="Input 43 3 6 7" xfId="12396"/>
    <cellStyle name="Input 43 3 7" xfId="12397"/>
    <cellStyle name="Input 43 3 7 2" xfId="12398"/>
    <cellStyle name="Input 43 3 7 3" xfId="12399"/>
    <cellStyle name="Input 43 3 7 4" xfId="12400"/>
    <cellStyle name="Input 43 3 7 5" xfId="12401"/>
    <cellStyle name="Input 43 3 7 6" xfId="12402"/>
    <cellStyle name="Input 43 3 7 7" xfId="12403"/>
    <cellStyle name="Input 43 3 8" xfId="12404"/>
    <cellStyle name="Input 43 3 8 2" xfId="12405"/>
    <cellStyle name="Input 43 3 8 3" xfId="12406"/>
    <cellStyle name="Input 43 3 8 4" xfId="12407"/>
    <cellStyle name="Input 43 3 8 5" xfId="12408"/>
    <cellStyle name="Input 43 3 8 6" xfId="12409"/>
    <cellStyle name="Input 43 3 8 7" xfId="12410"/>
    <cellStyle name="Input 43 3 9" xfId="12411"/>
    <cellStyle name="Input 43 3 9 2" xfId="12412"/>
    <cellStyle name="Input 43 3 9 3" xfId="12413"/>
    <cellStyle name="Input 43 3 9 4" xfId="12414"/>
    <cellStyle name="Input 43 3 9 5" xfId="12415"/>
    <cellStyle name="Input 43 3 9 6" xfId="12416"/>
    <cellStyle name="Input 43 4" xfId="12417"/>
    <cellStyle name="Input 43 4 2" xfId="12418"/>
    <cellStyle name="Input 43 4 3" xfId="12419"/>
    <cellStyle name="Input 43 4 4" xfId="12420"/>
    <cellStyle name="Input 43 4 5" xfId="12421"/>
    <cellStyle name="Input 43 4 6" xfId="12422"/>
    <cellStyle name="Input 43 4 7" xfId="12423"/>
    <cellStyle name="Input 43 5" xfId="12424"/>
    <cellStyle name="Input 43 5 2" xfId="12425"/>
    <cellStyle name="Input 43 5 3" xfId="12426"/>
    <cellStyle name="Input 43 5 4" xfId="12427"/>
    <cellStyle name="Input 43 5 5" xfId="12428"/>
    <cellStyle name="Input 43 5 6" xfId="12429"/>
    <cellStyle name="Input 43 5 7" xfId="12430"/>
    <cellStyle name="Input 43 6" xfId="12431"/>
    <cellStyle name="Input 43 6 2" xfId="12432"/>
    <cellStyle name="Input 43 6 3" xfId="12433"/>
    <cellStyle name="Input 43 6 4" xfId="12434"/>
    <cellStyle name="Input 43 6 5" xfId="12435"/>
    <cellStyle name="Input 43 6 6" xfId="12436"/>
    <cellStyle name="Input 43 6 7" xfId="12437"/>
    <cellStyle name="Input 43 7" xfId="12438"/>
    <cellStyle name="Input 43 7 2" xfId="12439"/>
    <cellStyle name="Input 43 7 3" xfId="12440"/>
    <cellStyle name="Input 43 7 4" xfId="12441"/>
    <cellStyle name="Input 43 7 5" xfId="12442"/>
    <cellStyle name="Input 43 7 6" xfId="12443"/>
    <cellStyle name="Input 43 7 7" xfId="12444"/>
    <cellStyle name="Input 43 8" xfId="12445"/>
    <cellStyle name="Input 43 8 2" xfId="12446"/>
    <cellStyle name="Input 43 8 3" xfId="12447"/>
    <cellStyle name="Input 43 8 4" xfId="12448"/>
    <cellStyle name="Input 43 8 5" xfId="12449"/>
    <cellStyle name="Input 43 8 6" xfId="12450"/>
    <cellStyle name="Input 43 8 7" xfId="12451"/>
    <cellStyle name="Input 43 9" xfId="12452"/>
    <cellStyle name="Input 43 9 2" xfId="12453"/>
    <cellStyle name="Input 43 9 3" xfId="12454"/>
    <cellStyle name="Input 43 9 4" xfId="12455"/>
    <cellStyle name="Input 43 9 5" xfId="12456"/>
    <cellStyle name="Input 43 9 6" xfId="12457"/>
    <cellStyle name="Input 43 9 7" xfId="12458"/>
    <cellStyle name="Input 44" xfId="12459"/>
    <cellStyle name="Input 44 10" xfId="12460"/>
    <cellStyle name="Input 44 10 2" xfId="12461"/>
    <cellStyle name="Input 44 10 3" xfId="12462"/>
    <cellStyle name="Input 44 10 4" xfId="12463"/>
    <cellStyle name="Input 44 10 5" xfId="12464"/>
    <cellStyle name="Input 44 10 6" xfId="12465"/>
    <cellStyle name="Input 44 10 7" xfId="12466"/>
    <cellStyle name="Input 44 11" xfId="12467"/>
    <cellStyle name="Input 44 11 2" xfId="12468"/>
    <cellStyle name="Input 44 11 3" xfId="12469"/>
    <cellStyle name="Input 44 11 4" xfId="12470"/>
    <cellStyle name="Input 44 11 5" xfId="12471"/>
    <cellStyle name="Input 44 11 6" xfId="12472"/>
    <cellStyle name="Input 44 12" xfId="12473"/>
    <cellStyle name="Input 44 12 2" xfId="12474"/>
    <cellStyle name="Input 44 12 3" xfId="12475"/>
    <cellStyle name="Input 44 12 4" xfId="12476"/>
    <cellStyle name="Input 44 12 5" xfId="12477"/>
    <cellStyle name="Input 44 12 6" xfId="12478"/>
    <cellStyle name="Input 44 13" xfId="12479"/>
    <cellStyle name="Input 44 14" xfId="12480"/>
    <cellStyle name="Input 44 15" xfId="12481"/>
    <cellStyle name="Input 44 16" xfId="12482"/>
    <cellStyle name="Input 44 2" xfId="12483"/>
    <cellStyle name="Input 44 2 10" xfId="12484"/>
    <cellStyle name="Input 44 2 10 2" xfId="12485"/>
    <cellStyle name="Input 44 2 10 3" xfId="12486"/>
    <cellStyle name="Input 44 2 10 4" xfId="12487"/>
    <cellStyle name="Input 44 2 10 5" xfId="12488"/>
    <cellStyle name="Input 44 2 10 6" xfId="12489"/>
    <cellStyle name="Input 44 2 11" xfId="12490"/>
    <cellStyle name="Input 44 2 12" xfId="12491"/>
    <cellStyle name="Input 44 2 13" xfId="12492"/>
    <cellStyle name="Input 44 2 14" xfId="12493"/>
    <cellStyle name="Input 44 2 2" xfId="12494"/>
    <cellStyle name="Input 44 2 2 2" xfId="12495"/>
    <cellStyle name="Input 44 2 2 3" xfId="12496"/>
    <cellStyle name="Input 44 2 2 4" xfId="12497"/>
    <cellStyle name="Input 44 2 2 5" xfId="12498"/>
    <cellStyle name="Input 44 2 2 6" xfId="12499"/>
    <cellStyle name="Input 44 2 2 7" xfId="12500"/>
    <cellStyle name="Input 44 2 3" xfId="12501"/>
    <cellStyle name="Input 44 2 3 2" xfId="12502"/>
    <cellStyle name="Input 44 2 3 3" xfId="12503"/>
    <cellStyle name="Input 44 2 3 4" xfId="12504"/>
    <cellStyle name="Input 44 2 3 5" xfId="12505"/>
    <cellStyle name="Input 44 2 3 6" xfId="12506"/>
    <cellStyle name="Input 44 2 3 7" xfId="12507"/>
    <cellStyle name="Input 44 2 4" xfId="12508"/>
    <cellStyle name="Input 44 2 4 2" xfId="12509"/>
    <cellStyle name="Input 44 2 4 3" xfId="12510"/>
    <cellStyle name="Input 44 2 4 4" xfId="12511"/>
    <cellStyle name="Input 44 2 4 5" xfId="12512"/>
    <cellStyle name="Input 44 2 4 6" xfId="12513"/>
    <cellStyle name="Input 44 2 4 7" xfId="12514"/>
    <cellStyle name="Input 44 2 5" xfId="12515"/>
    <cellStyle name="Input 44 2 5 2" xfId="12516"/>
    <cellStyle name="Input 44 2 5 3" xfId="12517"/>
    <cellStyle name="Input 44 2 5 4" xfId="12518"/>
    <cellStyle name="Input 44 2 5 5" xfId="12519"/>
    <cellStyle name="Input 44 2 5 6" xfId="12520"/>
    <cellStyle name="Input 44 2 5 7" xfId="12521"/>
    <cellStyle name="Input 44 2 6" xfId="12522"/>
    <cellStyle name="Input 44 2 6 2" xfId="12523"/>
    <cellStyle name="Input 44 2 6 3" xfId="12524"/>
    <cellStyle name="Input 44 2 6 4" xfId="12525"/>
    <cellStyle name="Input 44 2 6 5" xfId="12526"/>
    <cellStyle name="Input 44 2 6 6" xfId="12527"/>
    <cellStyle name="Input 44 2 6 7" xfId="12528"/>
    <cellStyle name="Input 44 2 7" xfId="12529"/>
    <cellStyle name="Input 44 2 7 2" xfId="12530"/>
    <cellStyle name="Input 44 2 7 3" xfId="12531"/>
    <cellStyle name="Input 44 2 7 4" xfId="12532"/>
    <cellStyle name="Input 44 2 7 5" xfId="12533"/>
    <cellStyle name="Input 44 2 7 6" xfId="12534"/>
    <cellStyle name="Input 44 2 7 7" xfId="12535"/>
    <cellStyle name="Input 44 2 8" xfId="12536"/>
    <cellStyle name="Input 44 2 8 2" xfId="12537"/>
    <cellStyle name="Input 44 2 8 3" xfId="12538"/>
    <cellStyle name="Input 44 2 8 4" xfId="12539"/>
    <cellStyle name="Input 44 2 8 5" xfId="12540"/>
    <cellStyle name="Input 44 2 8 6" xfId="12541"/>
    <cellStyle name="Input 44 2 8 7" xfId="12542"/>
    <cellStyle name="Input 44 2 9" xfId="12543"/>
    <cellStyle name="Input 44 2 9 2" xfId="12544"/>
    <cellStyle name="Input 44 2 9 3" xfId="12545"/>
    <cellStyle name="Input 44 2 9 4" xfId="12546"/>
    <cellStyle name="Input 44 2 9 5" xfId="12547"/>
    <cellStyle name="Input 44 2 9 6" xfId="12548"/>
    <cellStyle name="Input 44 3" xfId="12549"/>
    <cellStyle name="Input 44 3 10" xfId="12550"/>
    <cellStyle name="Input 44 3 10 2" xfId="12551"/>
    <cellStyle name="Input 44 3 10 3" xfId="12552"/>
    <cellStyle name="Input 44 3 10 4" xfId="12553"/>
    <cellStyle name="Input 44 3 10 5" xfId="12554"/>
    <cellStyle name="Input 44 3 10 6" xfId="12555"/>
    <cellStyle name="Input 44 3 11" xfId="12556"/>
    <cellStyle name="Input 44 3 12" xfId="12557"/>
    <cellStyle name="Input 44 3 13" xfId="12558"/>
    <cellStyle name="Input 44 3 14" xfId="12559"/>
    <cellStyle name="Input 44 3 2" xfId="12560"/>
    <cellStyle name="Input 44 3 2 2" xfId="12561"/>
    <cellStyle name="Input 44 3 2 3" xfId="12562"/>
    <cellStyle name="Input 44 3 2 4" xfId="12563"/>
    <cellStyle name="Input 44 3 2 5" xfId="12564"/>
    <cellStyle name="Input 44 3 2 6" xfId="12565"/>
    <cellStyle name="Input 44 3 2 7" xfId="12566"/>
    <cellStyle name="Input 44 3 3" xfId="12567"/>
    <cellStyle name="Input 44 3 3 2" xfId="12568"/>
    <cellStyle name="Input 44 3 3 3" xfId="12569"/>
    <cellStyle name="Input 44 3 3 4" xfId="12570"/>
    <cellStyle name="Input 44 3 3 5" xfId="12571"/>
    <cellStyle name="Input 44 3 3 6" xfId="12572"/>
    <cellStyle name="Input 44 3 3 7" xfId="12573"/>
    <cellStyle name="Input 44 3 4" xfId="12574"/>
    <cellStyle name="Input 44 3 4 2" xfId="12575"/>
    <cellStyle name="Input 44 3 4 3" xfId="12576"/>
    <cellStyle name="Input 44 3 4 4" xfId="12577"/>
    <cellStyle name="Input 44 3 4 5" xfId="12578"/>
    <cellStyle name="Input 44 3 4 6" xfId="12579"/>
    <cellStyle name="Input 44 3 4 7" xfId="12580"/>
    <cellStyle name="Input 44 3 5" xfId="12581"/>
    <cellStyle name="Input 44 3 5 2" xfId="12582"/>
    <cellStyle name="Input 44 3 5 3" xfId="12583"/>
    <cellStyle name="Input 44 3 5 4" xfId="12584"/>
    <cellStyle name="Input 44 3 5 5" xfId="12585"/>
    <cellStyle name="Input 44 3 5 6" xfId="12586"/>
    <cellStyle name="Input 44 3 5 7" xfId="12587"/>
    <cellStyle name="Input 44 3 6" xfId="12588"/>
    <cellStyle name="Input 44 3 6 2" xfId="12589"/>
    <cellStyle name="Input 44 3 6 3" xfId="12590"/>
    <cellStyle name="Input 44 3 6 4" xfId="12591"/>
    <cellStyle name="Input 44 3 6 5" xfId="12592"/>
    <cellStyle name="Input 44 3 6 6" xfId="12593"/>
    <cellStyle name="Input 44 3 6 7" xfId="12594"/>
    <cellStyle name="Input 44 3 7" xfId="12595"/>
    <cellStyle name="Input 44 3 7 2" xfId="12596"/>
    <cellStyle name="Input 44 3 7 3" xfId="12597"/>
    <cellStyle name="Input 44 3 7 4" xfId="12598"/>
    <cellStyle name="Input 44 3 7 5" xfId="12599"/>
    <cellStyle name="Input 44 3 7 6" xfId="12600"/>
    <cellStyle name="Input 44 3 7 7" xfId="12601"/>
    <cellStyle name="Input 44 3 8" xfId="12602"/>
    <cellStyle name="Input 44 3 8 2" xfId="12603"/>
    <cellStyle name="Input 44 3 8 3" xfId="12604"/>
    <cellStyle name="Input 44 3 8 4" xfId="12605"/>
    <cellStyle name="Input 44 3 8 5" xfId="12606"/>
    <cellStyle name="Input 44 3 8 6" xfId="12607"/>
    <cellStyle name="Input 44 3 8 7" xfId="12608"/>
    <cellStyle name="Input 44 3 9" xfId="12609"/>
    <cellStyle name="Input 44 3 9 2" xfId="12610"/>
    <cellStyle name="Input 44 3 9 3" xfId="12611"/>
    <cellStyle name="Input 44 3 9 4" xfId="12612"/>
    <cellStyle name="Input 44 3 9 5" xfId="12613"/>
    <cellStyle name="Input 44 3 9 6" xfId="12614"/>
    <cellStyle name="Input 44 4" xfId="12615"/>
    <cellStyle name="Input 44 4 2" xfId="12616"/>
    <cellStyle name="Input 44 4 3" xfId="12617"/>
    <cellStyle name="Input 44 4 4" xfId="12618"/>
    <cellStyle name="Input 44 4 5" xfId="12619"/>
    <cellStyle name="Input 44 4 6" xfId="12620"/>
    <cellStyle name="Input 44 4 7" xfId="12621"/>
    <cellStyle name="Input 44 5" xfId="12622"/>
    <cellStyle name="Input 44 5 2" xfId="12623"/>
    <cellStyle name="Input 44 5 3" xfId="12624"/>
    <cellStyle name="Input 44 5 4" xfId="12625"/>
    <cellStyle name="Input 44 5 5" xfId="12626"/>
    <cellStyle name="Input 44 5 6" xfId="12627"/>
    <cellStyle name="Input 44 5 7" xfId="12628"/>
    <cellStyle name="Input 44 6" xfId="12629"/>
    <cellStyle name="Input 44 6 2" xfId="12630"/>
    <cellStyle name="Input 44 6 3" xfId="12631"/>
    <cellStyle name="Input 44 6 4" xfId="12632"/>
    <cellStyle name="Input 44 6 5" xfId="12633"/>
    <cellStyle name="Input 44 6 6" xfId="12634"/>
    <cellStyle name="Input 44 6 7" xfId="12635"/>
    <cellStyle name="Input 44 7" xfId="12636"/>
    <cellStyle name="Input 44 7 2" xfId="12637"/>
    <cellStyle name="Input 44 7 3" xfId="12638"/>
    <cellStyle name="Input 44 7 4" xfId="12639"/>
    <cellStyle name="Input 44 7 5" xfId="12640"/>
    <cellStyle name="Input 44 7 6" xfId="12641"/>
    <cellStyle name="Input 44 7 7" xfId="12642"/>
    <cellStyle name="Input 44 8" xfId="12643"/>
    <cellStyle name="Input 44 8 2" xfId="12644"/>
    <cellStyle name="Input 44 8 3" xfId="12645"/>
    <cellStyle name="Input 44 8 4" xfId="12646"/>
    <cellStyle name="Input 44 8 5" xfId="12647"/>
    <cellStyle name="Input 44 8 6" xfId="12648"/>
    <cellStyle name="Input 44 8 7" xfId="12649"/>
    <cellStyle name="Input 44 9" xfId="12650"/>
    <cellStyle name="Input 44 9 2" xfId="12651"/>
    <cellStyle name="Input 44 9 3" xfId="12652"/>
    <cellStyle name="Input 44 9 4" xfId="12653"/>
    <cellStyle name="Input 44 9 5" xfId="12654"/>
    <cellStyle name="Input 44 9 6" xfId="12655"/>
    <cellStyle name="Input 44 9 7" xfId="12656"/>
    <cellStyle name="Input 45" xfId="12657"/>
    <cellStyle name="Input 45 10" xfId="12658"/>
    <cellStyle name="Input 45 10 2" xfId="12659"/>
    <cellStyle name="Input 45 10 3" xfId="12660"/>
    <cellStyle name="Input 45 10 4" xfId="12661"/>
    <cellStyle name="Input 45 10 5" xfId="12662"/>
    <cellStyle name="Input 45 10 6" xfId="12663"/>
    <cellStyle name="Input 45 10 7" xfId="12664"/>
    <cellStyle name="Input 45 11" xfId="12665"/>
    <cellStyle name="Input 45 11 2" xfId="12666"/>
    <cellStyle name="Input 45 11 3" xfId="12667"/>
    <cellStyle name="Input 45 11 4" xfId="12668"/>
    <cellStyle name="Input 45 11 5" xfId="12669"/>
    <cellStyle name="Input 45 11 6" xfId="12670"/>
    <cellStyle name="Input 45 12" xfId="12671"/>
    <cellStyle name="Input 45 12 2" xfId="12672"/>
    <cellStyle name="Input 45 12 3" xfId="12673"/>
    <cellStyle name="Input 45 12 4" xfId="12674"/>
    <cellStyle name="Input 45 12 5" xfId="12675"/>
    <cellStyle name="Input 45 12 6" xfId="12676"/>
    <cellStyle name="Input 45 13" xfId="12677"/>
    <cellStyle name="Input 45 14" xfId="12678"/>
    <cellStyle name="Input 45 15" xfId="12679"/>
    <cellStyle name="Input 45 16" xfId="12680"/>
    <cellStyle name="Input 45 2" xfId="12681"/>
    <cellStyle name="Input 45 2 10" xfId="12682"/>
    <cellStyle name="Input 45 2 10 2" xfId="12683"/>
    <cellStyle name="Input 45 2 10 3" xfId="12684"/>
    <cellStyle name="Input 45 2 10 4" xfId="12685"/>
    <cellStyle name="Input 45 2 10 5" xfId="12686"/>
    <cellStyle name="Input 45 2 10 6" xfId="12687"/>
    <cellStyle name="Input 45 2 11" xfId="12688"/>
    <cellStyle name="Input 45 2 12" xfId="12689"/>
    <cellStyle name="Input 45 2 13" xfId="12690"/>
    <cellStyle name="Input 45 2 14" xfId="12691"/>
    <cellStyle name="Input 45 2 2" xfId="12692"/>
    <cellStyle name="Input 45 2 2 2" xfId="12693"/>
    <cellStyle name="Input 45 2 2 3" xfId="12694"/>
    <cellStyle name="Input 45 2 2 4" xfId="12695"/>
    <cellStyle name="Input 45 2 2 5" xfId="12696"/>
    <cellStyle name="Input 45 2 2 6" xfId="12697"/>
    <cellStyle name="Input 45 2 2 7" xfId="12698"/>
    <cellStyle name="Input 45 2 3" xfId="12699"/>
    <cellStyle name="Input 45 2 3 2" xfId="12700"/>
    <cellStyle name="Input 45 2 3 3" xfId="12701"/>
    <cellStyle name="Input 45 2 3 4" xfId="12702"/>
    <cellStyle name="Input 45 2 3 5" xfId="12703"/>
    <cellStyle name="Input 45 2 3 6" xfId="12704"/>
    <cellStyle name="Input 45 2 3 7" xfId="12705"/>
    <cellStyle name="Input 45 2 4" xfId="12706"/>
    <cellStyle name="Input 45 2 4 2" xfId="12707"/>
    <cellStyle name="Input 45 2 4 3" xfId="12708"/>
    <cellStyle name="Input 45 2 4 4" xfId="12709"/>
    <cellStyle name="Input 45 2 4 5" xfId="12710"/>
    <cellStyle name="Input 45 2 4 6" xfId="12711"/>
    <cellStyle name="Input 45 2 4 7" xfId="12712"/>
    <cellStyle name="Input 45 2 5" xfId="12713"/>
    <cellStyle name="Input 45 2 5 2" xfId="12714"/>
    <cellStyle name="Input 45 2 5 3" xfId="12715"/>
    <cellStyle name="Input 45 2 5 4" xfId="12716"/>
    <cellStyle name="Input 45 2 5 5" xfId="12717"/>
    <cellStyle name="Input 45 2 5 6" xfId="12718"/>
    <cellStyle name="Input 45 2 5 7" xfId="12719"/>
    <cellStyle name="Input 45 2 6" xfId="12720"/>
    <cellStyle name="Input 45 2 6 2" xfId="12721"/>
    <cellStyle name="Input 45 2 6 3" xfId="12722"/>
    <cellStyle name="Input 45 2 6 4" xfId="12723"/>
    <cellStyle name="Input 45 2 6 5" xfId="12724"/>
    <cellStyle name="Input 45 2 6 6" xfId="12725"/>
    <cellStyle name="Input 45 2 6 7" xfId="12726"/>
    <cellStyle name="Input 45 2 7" xfId="12727"/>
    <cellStyle name="Input 45 2 7 2" xfId="12728"/>
    <cellStyle name="Input 45 2 7 3" xfId="12729"/>
    <cellStyle name="Input 45 2 7 4" xfId="12730"/>
    <cellStyle name="Input 45 2 7 5" xfId="12731"/>
    <cellStyle name="Input 45 2 7 6" xfId="12732"/>
    <cellStyle name="Input 45 2 7 7" xfId="12733"/>
    <cellStyle name="Input 45 2 8" xfId="12734"/>
    <cellStyle name="Input 45 2 8 2" xfId="12735"/>
    <cellStyle name="Input 45 2 8 3" xfId="12736"/>
    <cellStyle name="Input 45 2 8 4" xfId="12737"/>
    <cellStyle name="Input 45 2 8 5" xfId="12738"/>
    <cellStyle name="Input 45 2 8 6" xfId="12739"/>
    <cellStyle name="Input 45 2 8 7" xfId="12740"/>
    <cellStyle name="Input 45 2 9" xfId="12741"/>
    <cellStyle name="Input 45 2 9 2" xfId="12742"/>
    <cellStyle name="Input 45 2 9 3" xfId="12743"/>
    <cellStyle name="Input 45 2 9 4" xfId="12744"/>
    <cellStyle name="Input 45 2 9 5" xfId="12745"/>
    <cellStyle name="Input 45 2 9 6" xfId="12746"/>
    <cellStyle name="Input 45 3" xfId="12747"/>
    <cellStyle name="Input 45 3 10" xfId="12748"/>
    <cellStyle name="Input 45 3 10 2" xfId="12749"/>
    <cellStyle name="Input 45 3 10 3" xfId="12750"/>
    <cellStyle name="Input 45 3 10 4" xfId="12751"/>
    <cellStyle name="Input 45 3 10 5" xfId="12752"/>
    <cellStyle name="Input 45 3 10 6" xfId="12753"/>
    <cellStyle name="Input 45 3 11" xfId="12754"/>
    <cellStyle name="Input 45 3 12" xfId="12755"/>
    <cellStyle name="Input 45 3 13" xfId="12756"/>
    <cellStyle name="Input 45 3 14" xfId="12757"/>
    <cellStyle name="Input 45 3 2" xfId="12758"/>
    <cellStyle name="Input 45 3 2 2" xfId="12759"/>
    <cellStyle name="Input 45 3 2 3" xfId="12760"/>
    <cellStyle name="Input 45 3 2 4" xfId="12761"/>
    <cellStyle name="Input 45 3 2 5" xfId="12762"/>
    <cellStyle name="Input 45 3 2 6" xfId="12763"/>
    <cellStyle name="Input 45 3 2 7" xfId="12764"/>
    <cellStyle name="Input 45 3 3" xfId="12765"/>
    <cellStyle name="Input 45 3 3 2" xfId="12766"/>
    <cellStyle name="Input 45 3 3 3" xfId="12767"/>
    <cellStyle name="Input 45 3 3 4" xfId="12768"/>
    <cellStyle name="Input 45 3 3 5" xfId="12769"/>
    <cellStyle name="Input 45 3 3 6" xfId="12770"/>
    <cellStyle name="Input 45 3 3 7" xfId="12771"/>
    <cellStyle name="Input 45 3 4" xfId="12772"/>
    <cellStyle name="Input 45 3 4 2" xfId="12773"/>
    <cellStyle name="Input 45 3 4 3" xfId="12774"/>
    <cellStyle name="Input 45 3 4 4" xfId="12775"/>
    <cellStyle name="Input 45 3 4 5" xfId="12776"/>
    <cellStyle name="Input 45 3 4 6" xfId="12777"/>
    <cellStyle name="Input 45 3 4 7" xfId="12778"/>
    <cellStyle name="Input 45 3 5" xfId="12779"/>
    <cellStyle name="Input 45 3 5 2" xfId="12780"/>
    <cellStyle name="Input 45 3 5 3" xfId="12781"/>
    <cellStyle name="Input 45 3 5 4" xfId="12782"/>
    <cellStyle name="Input 45 3 5 5" xfId="12783"/>
    <cellStyle name="Input 45 3 5 6" xfId="12784"/>
    <cellStyle name="Input 45 3 5 7" xfId="12785"/>
    <cellStyle name="Input 45 3 6" xfId="12786"/>
    <cellStyle name="Input 45 3 6 2" xfId="12787"/>
    <cellStyle name="Input 45 3 6 3" xfId="12788"/>
    <cellStyle name="Input 45 3 6 4" xfId="12789"/>
    <cellStyle name="Input 45 3 6 5" xfId="12790"/>
    <cellStyle name="Input 45 3 6 6" xfId="12791"/>
    <cellStyle name="Input 45 3 6 7" xfId="12792"/>
    <cellStyle name="Input 45 3 7" xfId="12793"/>
    <cellStyle name="Input 45 3 7 2" xfId="12794"/>
    <cellStyle name="Input 45 3 7 3" xfId="12795"/>
    <cellStyle name="Input 45 3 7 4" xfId="12796"/>
    <cellStyle name="Input 45 3 7 5" xfId="12797"/>
    <cellStyle name="Input 45 3 7 6" xfId="12798"/>
    <cellStyle name="Input 45 3 7 7" xfId="12799"/>
    <cellStyle name="Input 45 3 8" xfId="12800"/>
    <cellStyle name="Input 45 3 8 2" xfId="12801"/>
    <cellStyle name="Input 45 3 8 3" xfId="12802"/>
    <cellStyle name="Input 45 3 8 4" xfId="12803"/>
    <cellStyle name="Input 45 3 8 5" xfId="12804"/>
    <cellStyle name="Input 45 3 8 6" xfId="12805"/>
    <cellStyle name="Input 45 3 8 7" xfId="12806"/>
    <cellStyle name="Input 45 3 9" xfId="12807"/>
    <cellStyle name="Input 45 3 9 2" xfId="12808"/>
    <cellStyle name="Input 45 3 9 3" xfId="12809"/>
    <cellStyle name="Input 45 3 9 4" xfId="12810"/>
    <cellStyle name="Input 45 3 9 5" xfId="12811"/>
    <cellStyle name="Input 45 3 9 6" xfId="12812"/>
    <cellStyle name="Input 45 4" xfId="12813"/>
    <cellStyle name="Input 45 4 2" xfId="12814"/>
    <cellStyle name="Input 45 4 3" xfId="12815"/>
    <cellStyle name="Input 45 4 4" xfId="12816"/>
    <cellStyle name="Input 45 4 5" xfId="12817"/>
    <cellStyle name="Input 45 4 6" xfId="12818"/>
    <cellStyle name="Input 45 4 7" xfId="12819"/>
    <cellStyle name="Input 45 5" xfId="12820"/>
    <cellStyle name="Input 45 5 2" xfId="12821"/>
    <cellStyle name="Input 45 5 3" xfId="12822"/>
    <cellStyle name="Input 45 5 4" xfId="12823"/>
    <cellStyle name="Input 45 5 5" xfId="12824"/>
    <cellStyle name="Input 45 5 6" xfId="12825"/>
    <cellStyle name="Input 45 5 7" xfId="12826"/>
    <cellStyle name="Input 45 6" xfId="12827"/>
    <cellStyle name="Input 45 6 2" xfId="12828"/>
    <cellStyle name="Input 45 6 3" xfId="12829"/>
    <cellStyle name="Input 45 6 4" xfId="12830"/>
    <cellStyle name="Input 45 6 5" xfId="12831"/>
    <cellStyle name="Input 45 6 6" xfId="12832"/>
    <cellStyle name="Input 45 6 7" xfId="12833"/>
    <cellStyle name="Input 45 7" xfId="12834"/>
    <cellStyle name="Input 45 7 2" xfId="12835"/>
    <cellStyle name="Input 45 7 3" xfId="12836"/>
    <cellStyle name="Input 45 7 4" xfId="12837"/>
    <cellStyle name="Input 45 7 5" xfId="12838"/>
    <cellStyle name="Input 45 7 6" xfId="12839"/>
    <cellStyle name="Input 45 7 7" xfId="12840"/>
    <cellStyle name="Input 45 8" xfId="12841"/>
    <cellStyle name="Input 45 8 2" xfId="12842"/>
    <cellStyle name="Input 45 8 3" xfId="12843"/>
    <cellStyle name="Input 45 8 4" xfId="12844"/>
    <cellStyle name="Input 45 8 5" xfId="12845"/>
    <cellStyle name="Input 45 8 6" xfId="12846"/>
    <cellStyle name="Input 45 8 7" xfId="12847"/>
    <cellStyle name="Input 45 9" xfId="12848"/>
    <cellStyle name="Input 45 9 2" xfId="12849"/>
    <cellStyle name="Input 45 9 3" xfId="12850"/>
    <cellStyle name="Input 45 9 4" xfId="12851"/>
    <cellStyle name="Input 45 9 5" xfId="12852"/>
    <cellStyle name="Input 45 9 6" xfId="12853"/>
    <cellStyle name="Input 45 9 7" xfId="12854"/>
    <cellStyle name="Input 46" xfId="12855"/>
    <cellStyle name="Input 46 10" xfId="12856"/>
    <cellStyle name="Input 46 10 2" xfId="12857"/>
    <cellStyle name="Input 46 10 3" xfId="12858"/>
    <cellStyle name="Input 46 10 4" xfId="12859"/>
    <cellStyle name="Input 46 10 5" xfId="12860"/>
    <cellStyle name="Input 46 10 6" xfId="12861"/>
    <cellStyle name="Input 46 10 7" xfId="12862"/>
    <cellStyle name="Input 46 11" xfId="12863"/>
    <cellStyle name="Input 46 11 2" xfId="12864"/>
    <cellStyle name="Input 46 11 3" xfId="12865"/>
    <cellStyle name="Input 46 11 4" xfId="12866"/>
    <cellStyle name="Input 46 11 5" xfId="12867"/>
    <cellStyle name="Input 46 11 6" xfId="12868"/>
    <cellStyle name="Input 46 12" xfId="12869"/>
    <cellStyle name="Input 46 12 2" xfId="12870"/>
    <cellStyle name="Input 46 12 3" xfId="12871"/>
    <cellStyle name="Input 46 12 4" xfId="12872"/>
    <cellStyle name="Input 46 12 5" xfId="12873"/>
    <cellStyle name="Input 46 12 6" xfId="12874"/>
    <cellStyle name="Input 46 13" xfId="12875"/>
    <cellStyle name="Input 46 14" xfId="12876"/>
    <cellStyle name="Input 46 15" xfId="12877"/>
    <cellStyle name="Input 46 16" xfId="12878"/>
    <cellStyle name="Input 46 2" xfId="12879"/>
    <cellStyle name="Input 46 2 10" xfId="12880"/>
    <cellStyle name="Input 46 2 10 2" xfId="12881"/>
    <cellStyle name="Input 46 2 10 3" xfId="12882"/>
    <cellStyle name="Input 46 2 10 4" xfId="12883"/>
    <cellStyle name="Input 46 2 10 5" xfId="12884"/>
    <cellStyle name="Input 46 2 10 6" xfId="12885"/>
    <cellStyle name="Input 46 2 11" xfId="12886"/>
    <cellStyle name="Input 46 2 12" xfId="12887"/>
    <cellStyle name="Input 46 2 13" xfId="12888"/>
    <cellStyle name="Input 46 2 14" xfId="12889"/>
    <cellStyle name="Input 46 2 2" xfId="12890"/>
    <cellStyle name="Input 46 2 2 2" xfId="12891"/>
    <cellStyle name="Input 46 2 2 3" xfId="12892"/>
    <cellStyle name="Input 46 2 2 4" xfId="12893"/>
    <cellStyle name="Input 46 2 2 5" xfId="12894"/>
    <cellStyle name="Input 46 2 2 6" xfId="12895"/>
    <cellStyle name="Input 46 2 2 7" xfId="12896"/>
    <cellStyle name="Input 46 2 3" xfId="12897"/>
    <cellStyle name="Input 46 2 3 2" xfId="12898"/>
    <cellStyle name="Input 46 2 3 3" xfId="12899"/>
    <cellStyle name="Input 46 2 3 4" xfId="12900"/>
    <cellStyle name="Input 46 2 3 5" xfId="12901"/>
    <cellStyle name="Input 46 2 3 6" xfId="12902"/>
    <cellStyle name="Input 46 2 3 7" xfId="12903"/>
    <cellStyle name="Input 46 2 4" xfId="12904"/>
    <cellStyle name="Input 46 2 4 2" xfId="12905"/>
    <cellStyle name="Input 46 2 4 3" xfId="12906"/>
    <cellStyle name="Input 46 2 4 4" xfId="12907"/>
    <cellStyle name="Input 46 2 4 5" xfId="12908"/>
    <cellStyle name="Input 46 2 4 6" xfId="12909"/>
    <cellStyle name="Input 46 2 4 7" xfId="12910"/>
    <cellStyle name="Input 46 2 5" xfId="12911"/>
    <cellStyle name="Input 46 2 5 2" xfId="12912"/>
    <cellStyle name="Input 46 2 5 3" xfId="12913"/>
    <cellStyle name="Input 46 2 5 4" xfId="12914"/>
    <cellStyle name="Input 46 2 5 5" xfId="12915"/>
    <cellStyle name="Input 46 2 5 6" xfId="12916"/>
    <cellStyle name="Input 46 2 5 7" xfId="12917"/>
    <cellStyle name="Input 46 2 6" xfId="12918"/>
    <cellStyle name="Input 46 2 6 2" xfId="12919"/>
    <cellStyle name="Input 46 2 6 3" xfId="12920"/>
    <cellStyle name="Input 46 2 6 4" xfId="12921"/>
    <cellStyle name="Input 46 2 6 5" xfId="12922"/>
    <cellStyle name="Input 46 2 6 6" xfId="12923"/>
    <cellStyle name="Input 46 2 6 7" xfId="12924"/>
    <cellStyle name="Input 46 2 7" xfId="12925"/>
    <cellStyle name="Input 46 2 7 2" xfId="12926"/>
    <cellStyle name="Input 46 2 7 3" xfId="12927"/>
    <cellStyle name="Input 46 2 7 4" xfId="12928"/>
    <cellStyle name="Input 46 2 7 5" xfId="12929"/>
    <cellStyle name="Input 46 2 7 6" xfId="12930"/>
    <cellStyle name="Input 46 2 7 7" xfId="12931"/>
    <cellStyle name="Input 46 2 8" xfId="12932"/>
    <cellStyle name="Input 46 2 8 2" xfId="12933"/>
    <cellStyle name="Input 46 2 8 3" xfId="12934"/>
    <cellStyle name="Input 46 2 8 4" xfId="12935"/>
    <cellStyle name="Input 46 2 8 5" xfId="12936"/>
    <cellStyle name="Input 46 2 8 6" xfId="12937"/>
    <cellStyle name="Input 46 2 8 7" xfId="12938"/>
    <cellStyle name="Input 46 2 9" xfId="12939"/>
    <cellStyle name="Input 46 2 9 2" xfId="12940"/>
    <cellStyle name="Input 46 2 9 3" xfId="12941"/>
    <cellStyle name="Input 46 2 9 4" xfId="12942"/>
    <cellStyle name="Input 46 2 9 5" xfId="12943"/>
    <cellStyle name="Input 46 2 9 6" xfId="12944"/>
    <cellStyle name="Input 46 3" xfId="12945"/>
    <cellStyle name="Input 46 3 10" xfId="12946"/>
    <cellStyle name="Input 46 3 10 2" xfId="12947"/>
    <cellStyle name="Input 46 3 10 3" xfId="12948"/>
    <cellStyle name="Input 46 3 10 4" xfId="12949"/>
    <cellStyle name="Input 46 3 10 5" xfId="12950"/>
    <cellStyle name="Input 46 3 10 6" xfId="12951"/>
    <cellStyle name="Input 46 3 11" xfId="12952"/>
    <cellStyle name="Input 46 3 12" xfId="12953"/>
    <cellStyle name="Input 46 3 13" xfId="12954"/>
    <cellStyle name="Input 46 3 14" xfId="12955"/>
    <cellStyle name="Input 46 3 2" xfId="12956"/>
    <cellStyle name="Input 46 3 2 2" xfId="12957"/>
    <cellStyle name="Input 46 3 2 3" xfId="12958"/>
    <cellStyle name="Input 46 3 2 4" xfId="12959"/>
    <cellStyle name="Input 46 3 2 5" xfId="12960"/>
    <cellStyle name="Input 46 3 2 6" xfId="12961"/>
    <cellStyle name="Input 46 3 2 7" xfId="12962"/>
    <cellStyle name="Input 46 3 3" xfId="12963"/>
    <cellStyle name="Input 46 3 3 2" xfId="12964"/>
    <cellStyle name="Input 46 3 3 3" xfId="12965"/>
    <cellStyle name="Input 46 3 3 4" xfId="12966"/>
    <cellStyle name="Input 46 3 3 5" xfId="12967"/>
    <cellStyle name="Input 46 3 3 6" xfId="12968"/>
    <cellStyle name="Input 46 3 3 7" xfId="12969"/>
    <cellStyle name="Input 46 3 4" xfId="12970"/>
    <cellStyle name="Input 46 3 4 2" xfId="12971"/>
    <cellStyle name="Input 46 3 4 3" xfId="12972"/>
    <cellStyle name="Input 46 3 4 4" xfId="12973"/>
    <cellStyle name="Input 46 3 4 5" xfId="12974"/>
    <cellStyle name="Input 46 3 4 6" xfId="12975"/>
    <cellStyle name="Input 46 3 4 7" xfId="12976"/>
    <cellStyle name="Input 46 3 5" xfId="12977"/>
    <cellStyle name="Input 46 3 5 2" xfId="12978"/>
    <cellStyle name="Input 46 3 5 3" xfId="12979"/>
    <cellStyle name="Input 46 3 5 4" xfId="12980"/>
    <cellStyle name="Input 46 3 5 5" xfId="12981"/>
    <cellStyle name="Input 46 3 5 6" xfId="12982"/>
    <cellStyle name="Input 46 3 5 7" xfId="12983"/>
    <cellStyle name="Input 46 3 6" xfId="12984"/>
    <cellStyle name="Input 46 3 6 2" xfId="12985"/>
    <cellStyle name="Input 46 3 6 3" xfId="12986"/>
    <cellStyle name="Input 46 3 6 4" xfId="12987"/>
    <cellStyle name="Input 46 3 6 5" xfId="12988"/>
    <cellStyle name="Input 46 3 6 6" xfId="12989"/>
    <cellStyle name="Input 46 3 6 7" xfId="12990"/>
    <cellStyle name="Input 46 3 7" xfId="12991"/>
    <cellStyle name="Input 46 3 7 2" xfId="12992"/>
    <cellStyle name="Input 46 3 7 3" xfId="12993"/>
    <cellStyle name="Input 46 3 7 4" xfId="12994"/>
    <cellStyle name="Input 46 3 7 5" xfId="12995"/>
    <cellStyle name="Input 46 3 7 6" xfId="12996"/>
    <cellStyle name="Input 46 3 7 7" xfId="12997"/>
    <cellStyle name="Input 46 3 8" xfId="12998"/>
    <cellStyle name="Input 46 3 8 2" xfId="12999"/>
    <cellStyle name="Input 46 3 8 3" xfId="13000"/>
    <cellStyle name="Input 46 3 8 4" xfId="13001"/>
    <cellStyle name="Input 46 3 8 5" xfId="13002"/>
    <cellStyle name="Input 46 3 8 6" xfId="13003"/>
    <cellStyle name="Input 46 3 8 7" xfId="13004"/>
    <cellStyle name="Input 46 3 9" xfId="13005"/>
    <cellStyle name="Input 46 3 9 2" xfId="13006"/>
    <cellStyle name="Input 46 3 9 3" xfId="13007"/>
    <cellStyle name="Input 46 3 9 4" xfId="13008"/>
    <cellStyle name="Input 46 3 9 5" xfId="13009"/>
    <cellStyle name="Input 46 3 9 6" xfId="13010"/>
    <cellStyle name="Input 46 4" xfId="13011"/>
    <cellStyle name="Input 46 4 2" xfId="13012"/>
    <cellStyle name="Input 46 4 3" xfId="13013"/>
    <cellStyle name="Input 46 4 4" xfId="13014"/>
    <cellStyle name="Input 46 4 5" xfId="13015"/>
    <cellStyle name="Input 46 4 6" xfId="13016"/>
    <cellStyle name="Input 46 4 7" xfId="13017"/>
    <cellStyle name="Input 46 5" xfId="13018"/>
    <cellStyle name="Input 46 5 2" xfId="13019"/>
    <cellStyle name="Input 46 5 3" xfId="13020"/>
    <cellStyle name="Input 46 5 4" xfId="13021"/>
    <cellStyle name="Input 46 5 5" xfId="13022"/>
    <cellStyle name="Input 46 5 6" xfId="13023"/>
    <cellStyle name="Input 46 5 7" xfId="13024"/>
    <cellStyle name="Input 46 6" xfId="13025"/>
    <cellStyle name="Input 46 6 2" xfId="13026"/>
    <cellStyle name="Input 46 6 3" xfId="13027"/>
    <cellStyle name="Input 46 6 4" xfId="13028"/>
    <cellStyle name="Input 46 6 5" xfId="13029"/>
    <cellStyle name="Input 46 6 6" xfId="13030"/>
    <cellStyle name="Input 46 6 7" xfId="13031"/>
    <cellStyle name="Input 46 7" xfId="13032"/>
    <cellStyle name="Input 46 7 2" xfId="13033"/>
    <cellStyle name="Input 46 7 3" xfId="13034"/>
    <cellStyle name="Input 46 7 4" xfId="13035"/>
    <cellStyle name="Input 46 7 5" xfId="13036"/>
    <cellStyle name="Input 46 7 6" xfId="13037"/>
    <cellStyle name="Input 46 7 7" xfId="13038"/>
    <cellStyle name="Input 46 8" xfId="13039"/>
    <cellStyle name="Input 46 8 2" xfId="13040"/>
    <cellStyle name="Input 46 8 3" xfId="13041"/>
    <cellStyle name="Input 46 8 4" xfId="13042"/>
    <cellStyle name="Input 46 8 5" xfId="13043"/>
    <cellStyle name="Input 46 8 6" xfId="13044"/>
    <cellStyle name="Input 46 8 7" xfId="13045"/>
    <cellStyle name="Input 46 9" xfId="13046"/>
    <cellStyle name="Input 46 9 2" xfId="13047"/>
    <cellStyle name="Input 46 9 3" xfId="13048"/>
    <cellStyle name="Input 46 9 4" xfId="13049"/>
    <cellStyle name="Input 46 9 5" xfId="13050"/>
    <cellStyle name="Input 46 9 6" xfId="13051"/>
    <cellStyle name="Input 46 9 7" xfId="13052"/>
    <cellStyle name="Input 47" xfId="13053"/>
    <cellStyle name="Input 47 10" xfId="13054"/>
    <cellStyle name="Input 47 10 2" xfId="13055"/>
    <cellStyle name="Input 47 10 3" xfId="13056"/>
    <cellStyle name="Input 47 10 4" xfId="13057"/>
    <cellStyle name="Input 47 10 5" xfId="13058"/>
    <cellStyle name="Input 47 10 6" xfId="13059"/>
    <cellStyle name="Input 47 10 7" xfId="13060"/>
    <cellStyle name="Input 47 11" xfId="13061"/>
    <cellStyle name="Input 47 11 2" xfId="13062"/>
    <cellStyle name="Input 47 11 3" xfId="13063"/>
    <cellStyle name="Input 47 11 4" xfId="13064"/>
    <cellStyle name="Input 47 11 5" xfId="13065"/>
    <cellStyle name="Input 47 11 6" xfId="13066"/>
    <cellStyle name="Input 47 12" xfId="13067"/>
    <cellStyle name="Input 47 12 2" xfId="13068"/>
    <cellStyle name="Input 47 12 3" xfId="13069"/>
    <cellStyle name="Input 47 12 4" xfId="13070"/>
    <cellStyle name="Input 47 12 5" xfId="13071"/>
    <cellStyle name="Input 47 12 6" xfId="13072"/>
    <cellStyle name="Input 47 13" xfId="13073"/>
    <cellStyle name="Input 47 14" xfId="13074"/>
    <cellStyle name="Input 47 15" xfId="13075"/>
    <cellStyle name="Input 47 16" xfId="13076"/>
    <cellStyle name="Input 47 2" xfId="13077"/>
    <cellStyle name="Input 47 2 10" xfId="13078"/>
    <cellStyle name="Input 47 2 10 2" xfId="13079"/>
    <cellStyle name="Input 47 2 10 3" xfId="13080"/>
    <cellStyle name="Input 47 2 10 4" xfId="13081"/>
    <cellStyle name="Input 47 2 10 5" xfId="13082"/>
    <cellStyle name="Input 47 2 10 6" xfId="13083"/>
    <cellStyle name="Input 47 2 11" xfId="13084"/>
    <cellStyle name="Input 47 2 12" xfId="13085"/>
    <cellStyle name="Input 47 2 13" xfId="13086"/>
    <cellStyle name="Input 47 2 14" xfId="13087"/>
    <cellStyle name="Input 47 2 2" xfId="13088"/>
    <cellStyle name="Input 47 2 2 2" xfId="13089"/>
    <cellStyle name="Input 47 2 2 3" xfId="13090"/>
    <cellStyle name="Input 47 2 2 4" xfId="13091"/>
    <cellStyle name="Input 47 2 2 5" xfId="13092"/>
    <cellStyle name="Input 47 2 2 6" xfId="13093"/>
    <cellStyle name="Input 47 2 2 7" xfId="13094"/>
    <cellStyle name="Input 47 2 3" xfId="13095"/>
    <cellStyle name="Input 47 2 3 2" xfId="13096"/>
    <cellStyle name="Input 47 2 3 3" xfId="13097"/>
    <cellStyle name="Input 47 2 3 4" xfId="13098"/>
    <cellStyle name="Input 47 2 3 5" xfId="13099"/>
    <cellStyle name="Input 47 2 3 6" xfId="13100"/>
    <cellStyle name="Input 47 2 3 7" xfId="13101"/>
    <cellStyle name="Input 47 2 4" xfId="13102"/>
    <cellStyle name="Input 47 2 4 2" xfId="13103"/>
    <cellStyle name="Input 47 2 4 3" xfId="13104"/>
    <cellStyle name="Input 47 2 4 4" xfId="13105"/>
    <cellStyle name="Input 47 2 4 5" xfId="13106"/>
    <cellStyle name="Input 47 2 4 6" xfId="13107"/>
    <cellStyle name="Input 47 2 4 7" xfId="13108"/>
    <cellStyle name="Input 47 2 5" xfId="13109"/>
    <cellStyle name="Input 47 2 5 2" xfId="13110"/>
    <cellStyle name="Input 47 2 5 3" xfId="13111"/>
    <cellStyle name="Input 47 2 5 4" xfId="13112"/>
    <cellStyle name="Input 47 2 5 5" xfId="13113"/>
    <cellStyle name="Input 47 2 5 6" xfId="13114"/>
    <cellStyle name="Input 47 2 5 7" xfId="13115"/>
    <cellStyle name="Input 47 2 6" xfId="13116"/>
    <cellStyle name="Input 47 2 6 2" xfId="13117"/>
    <cellStyle name="Input 47 2 6 3" xfId="13118"/>
    <cellStyle name="Input 47 2 6 4" xfId="13119"/>
    <cellStyle name="Input 47 2 6 5" xfId="13120"/>
    <cellStyle name="Input 47 2 6 6" xfId="13121"/>
    <cellStyle name="Input 47 2 6 7" xfId="13122"/>
    <cellStyle name="Input 47 2 7" xfId="13123"/>
    <cellStyle name="Input 47 2 7 2" xfId="13124"/>
    <cellStyle name="Input 47 2 7 3" xfId="13125"/>
    <cellStyle name="Input 47 2 7 4" xfId="13126"/>
    <cellStyle name="Input 47 2 7 5" xfId="13127"/>
    <cellStyle name="Input 47 2 7 6" xfId="13128"/>
    <cellStyle name="Input 47 2 7 7" xfId="13129"/>
    <cellStyle name="Input 47 2 8" xfId="13130"/>
    <cellStyle name="Input 47 2 8 2" xfId="13131"/>
    <cellStyle name="Input 47 2 8 3" xfId="13132"/>
    <cellStyle name="Input 47 2 8 4" xfId="13133"/>
    <cellStyle name="Input 47 2 8 5" xfId="13134"/>
    <cellStyle name="Input 47 2 8 6" xfId="13135"/>
    <cellStyle name="Input 47 2 8 7" xfId="13136"/>
    <cellStyle name="Input 47 2 9" xfId="13137"/>
    <cellStyle name="Input 47 2 9 2" xfId="13138"/>
    <cellStyle name="Input 47 2 9 3" xfId="13139"/>
    <cellStyle name="Input 47 2 9 4" xfId="13140"/>
    <cellStyle name="Input 47 2 9 5" xfId="13141"/>
    <cellStyle name="Input 47 2 9 6" xfId="13142"/>
    <cellStyle name="Input 47 3" xfId="13143"/>
    <cellStyle name="Input 47 3 10" xfId="13144"/>
    <cellStyle name="Input 47 3 10 2" xfId="13145"/>
    <cellStyle name="Input 47 3 10 3" xfId="13146"/>
    <cellStyle name="Input 47 3 10 4" xfId="13147"/>
    <cellStyle name="Input 47 3 10 5" xfId="13148"/>
    <cellStyle name="Input 47 3 10 6" xfId="13149"/>
    <cellStyle name="Input 47 3 11" xfId="13150"/>
    <cellStyle name="Input 47 3 12" xfId="13151"/>
    <cellStyle name="Input 47 3 13" xfId="13152"/>
    <cellStyle name="Input 47 3 14" xfId="13153"/>
    <cellStyle name="Input 47 3 2" xfId="13154"/>
    <cellStyle name="Input 47 3 2 2" xfId="13155"/>
    <cellStyle name="Input 47 3 2 3" xfId="13156"/>
    <cellStyle name="Input 47 3 2 4" xfId="13157"/>
    <cellStyle name="Input 47 3 2 5" xfId="13158"/>
    <cellStyle name="Input 47 3 2 6" xfId="13159"/>
    <cellStyle name="Input 47 3 2 7" xfId="13160"/>
    <cellStyle name="Input 47 3 3" xfId="13161"/>
    <cellStyle name="Input 47 3 3 2" xfId="13162"/>
    <cellStyle name="Input 47 3 3 3" xfId="13163"/>
    <cellStyle name="Input 47 3 3 4" xfId="13164"/>
    <cellStyle name="Input 47 3 3 5" xfId="13165"/>
    <cellStyle name="Input 47 3 3 6" xfId="13166"/>
    <cellStyle name="Input 47 3 3 7" xfId="13167"/>
    <cellStyle name="Input 47 3 4" xfId="13168"/>
    <cellStyle name="Input 47 3 4 2" xfId="13169"/>
    <cellStyle name="Input 47 3 4 3" xfId="13170"/>
    <cellStyle name="Input 47 3 4 4" xfId="13171"/>
    <cellStyle name="Input 47 3 4 5" xfId="13172"/>
    <cellStyle name="Input 47 3 4 6" xfId="13173"/>
    <cellStyle name="Input 47 3 4 7" xfId="13174"/>
    <cellStyle name="Input 47 3 5" xfId="13175"/>
    <cellStyle name="Input 47 3 5 2" xfId="13176"/>
    <cellStyle name="Input 47 3 5 3" xfId="13177"/>
    <cellStyle name="Input 47 3 5 4" xfId="13178"/>
    <cellStyle name="Input 47 3 5 5" xfId="13179"/>
    <cellStyle name="Input 47 3 5 6" xfId="13180"/>
    <cellStyle name="Input 47 3 5 7" xfId="13181"/>
    <cellStyle name="Input 47 3 6" xfId="13182"/>
    <cellStyle name="Input 47 3 6 2" xfId="13183"/>
    <cellStyle name="Input 47 3 6 3" xfId="13184"/>
    <cellStyle name="Input 47 3 6 4" xfId="13185"/>
    <cellStyle name="Input 47 3 6 5" xfId="13186"/>
    <cellStyle name="Input 47 3 6 6" xfId="13187"/>
    <cellStyle name="Input 47 3 6 7" xfId="13188"/>
    <cellStyle name="Input 47 3 7" xfId="13189"/>
    <cellStyle name="Input 47 3 7 2" xfId="13190"/>
    <cellStyle name="Input 47 3 7 3" xfId="13191"/>
    <cellStyle name="Input 47 3 7 4" xfId="13192"/>
    <cellStyle name="Input 47 3 7 5" xfId="13193"/>
    <cellStyle name="Input 47 3 7 6" xfId="13194"/>
    <cellStyle name="Input 47 3 7 7" xfId="13195"/>
    <cellStyle name="Input 47 3 8" xfId="13196"/>
    <cellStyle name="Input 47 3 8 2" xfId="13197"/>
    <cellStyle name="Input 47 3 8 3" xfId="13198"/>
    <cellStyle name="Input 47 3 8 4" xfId="13199"/>
    <cellStyle name="Input 47 3 8 5" xfId="13200"/>
    <cellStyle name="Input 47 3 8 6" xfId="13201"/>
    <cellStyle name="Input 47 3 8 7" xfId="13202"/>
    <cellStyle name="Input 47 3 9" xfId="13203"/>
    <cellStyle name="Input 47 3 9 2" xfId="13204"/>
    <cellStyle name="Input 47 3 9 3" xfId="13205"/>
    <cellStyle name="Input 47 3 9 4" xfId="13206"/>
    <cellStyle name="Input 47 3 9 5" xfId="13207"/>
    <cellStyle name="Input 47 3 9 6" xfId="13208"/>
    <cellStyle name="Input 47 4" xfId="13209"/>
    <cellStyle name="Input 47 4 2" xfId="13210"/>
    <cellStyle name="Input 47 4 3" xfId="13211"/>
    <cellStyle name="Input 47 4 4" xfId="13212"/>
    <cellStyle name="Input 47 4 5" xfId="13213"/>
    <cellStyle name="Input 47 4 6" xfId="13214"/>
    <cellStyle name="Input 47 4 7" xfId="13215"/>
    <cellStyle name="Input 47 5" xfId="13216"/>
    <cellStyle name="Input 47 5 2" xfId="13217"/>
    <cellStyle name="Input 47 5 3" xfId="13218"/>
    <cellStyle name="Input 47 5 4" xfId="13219"/>
    <cellStyle name="Input 47 5 5" xfId="13220"/>
    <cellStyle name="Input 47 5 6" xfId="13221"/>
    <cellStyle name="Input 47 5 7" xfId="13222"/>
    <cellStyle name="Input 47 6" xfId="13223"/>
    <cellStyle name="Input 47 6 2" xfId="13224"/>
    <cellStyle name="Input 47 6 3" xfId="13225"/>
    <cellStyle name="Input 47 6 4" xfId="13226"/>
    <cellStyle name="Input 47 6 5" xfId="13227"/>
    <cellStyle name="Input 47 6 6" xfId="13228"/>
    <cellStyle name="Input 47 6 7" xfId="13229"/>
    <cellStyle name="Input 47 7" xfId="13230"/>
    <cellStyle name="Input 47 7 2" xfId="13231"/>
    <cellStyle name="Input 47 7 3" xfId="13232"/>
    <cellStyle name="Input 47 7 4" xfId="13233"/>
    <cellStyle name="Input 47 7 5" xfId="13234"/>
    <cellStyle name="Input 47 7 6" xfId="13235"/>
    <cellStyle name="Input 47 7 7" xfId="13236"/>
    <cellStyle name="Input 47 8" xfId="13237"/>
    <cellStyle name="Input 47 8 2" xfId="13238"/>
    <cellStyle name="Input 47 8 3" xfId="13239"/>
    <cellStyle name="Input 47 8 4" xfId="13240"/>
    <cellStyle name="Input 47 8 5" xfId="13241"/>
    <cellStyle name="Input 47 8 6" xfId="13242"/>
    <cellStyle name="Input 47 8 7" xfId="13243"/>
    <cellStyle name="Input 47 9" xfId="13244"/>
    <cellStyle name="Input 47 9 2" xfId="13245"/>
    <cellStyle name="Input 47 9 3" xfId="13246"/>
    <cellStyle name="Input 47 9 4" xfId="13247"/>
    <cellStyle name="Input 47 9 5" xfId="13248"/>
    <cellStyle name="Input 47 9 6" xfId="13249"/>
    <cellStyle name="Input 47 9 7" xfId="13250"/>
    <cellStyle name="Input 48" xfId="13251"/>
    <cellStyle name="Input 48 10" xfId="13252"/>
    <cellStyle name="Input 48 10 2" xfId="13253"/>
    <cellStyle name="Input 48 10 3" xfId="13254"/>
    <cellStyle name="Input 48 10 4" xfId="13255"/>
    <cellStyle name="Input 48 10 5" xfId="13256"/>
    <cellStyle name="Input 48 10 6" xfId="13257"/>
    <cellStyle name="Input 48 10 7" xfId="13258"/>
    <cellStyle name="Input 48 11" xfId="13259"/>
    <cellStyle name="Input 48 11 2" xfId="13260"/>
    <cellStyle name="Input 48 11 3" xfId="13261"/>
    <cellStyle name="Input 48 11 4" xfId="13262"/>
    <cellStyle name="Input 48 11 5" xfId="13263"/>
    <cellStyle name="Input 48 11 6" xfId="13264"/>
    <cellStyle name="Input 48 12" xfId="13265"/>
    <cellStyle name="Input 48 12 2" xfId="13266"/>
    <cellStyle name="Input 48 12 3" xfId="13267"/>
    <cellStyle name="Input 48 12 4" xfId="13268"/>
    <cellStyle name="Input 48 12 5" xfId="13269"/>
    <cellStyle name="Input 48 12 6" xfId="13270"/>
    <cellStyle name="Input 48 13" xfId="13271"/>
    <cellStyle name="Input 48 14" xfId="13272"/>
    <cellStyle name="Input 48 15" xfId="13273"/>
    <cellStyle name="Input 48 16" xfId="13274"/>
    <cellStyle name="Input 48 2" xfId="13275"/>
    <cellStyle name="Input 48 2 10" xfId="13276"/>
    <cellStyle name="Input 48 2 10 2" xfId="13277"/>
    <cellStyle name="Input 48 2 10 3" xfId="13278"/>
    <cellStyle name="Input 48 2 10 4" xfId="13279"/>
    <cellStyle name="Input 48 2 10 5" xfId="13280"/>
    <cellStyle name="Input 48 2 10 6" xfId="13281"/>
    <cellStyle name="Input 48 2 11" xfId="13282"/>
    <cellStyle name="Input 48 2 12" xfId="13283"/>
    <cellStyle name="Input 48 2 13" xfId="13284"/>
    <cellStyle name="Input 48 2 14" xfId="13285"/>
    <cellStyle name="Input 48 2 2" xfId="13286"/>
    <cellStyle name="Input 48 2 2 2" xfId="13287"/>
    <cellStyle name="Input 48 2 2 3" xfId="13288"/>
    <cellStyle name="Input 48 2 2 4" xfId="13289"/>
    <cellStyle name="Input 48 2 2 5" xfId="13290"/>
    <cellStyle name="Input 48 2 2 6" xfId="13291"/>
    <cellStyle name="Input 48 2 2 7" xfId="13292"/>
    <cellStyle name="Input 48 2 3" xfId="13293"/>
    <cellStyle name="Input 48 2 3 2" xfId="13294"/>
    <cellStyle name="Input 48 2 3 3" xfId="13295"/>
    <cellStyle name="Input 48 2 3 4" xfId="13296"/>
    <cellStyle name="Input 48 2 3 5" xfId="13297"/>
    <cellStyle name="Input 48 2 3 6" xfId="13298"/>
    <cellStyle name="Input 48 2 3 7" xfId="13299"/>
    <cellStyle name="Input 48 2 4" xfId="13300"/>
    <cellStyle name="Input 48 2 4 2" xfId="13301"/>
    <cellStyle name="Input 48 2 4 3" xfId="13302"/>
    <cellStyle name="Input 48 2 4 4" xfId="13303"/>
    <cellStyle name="Input 48 2 4 5" xfId="13304"/>
    <cellStyle name="Input 48 2 4 6" xfId="13305"/>
    <cellStyle name="Input 48 2 4 7" xfId="13306"/>
    <cellStyle name="Input 48 2 5" xfId="13307"/>
    <cellStyle name="Input 48 2 5 2" xfId="13308"/>
    <cellStyle name="Input 48 2 5 3" xfId="13309"/>
    <cellStyle name="Input 48 2 5 4" xfId="13310"/>
    <cellStyle name="Input 48 2 5 5" xfId="13311"/>
    <cellStyle name="Input 48 2 5 6" xfId="13312"/>
    <cellStyle name="Input 48 2 5 7" xfId="13313"/>
    <cellStyle name="Input 48 2 6" xfId="13314"/>
    <cellStyle name="Input 48 2 6 2" xfId="13315"/>
    <cellStyle name="Input 48 2 6 3" xfId="13316"/>
    <cellStyle name="Input 48 2 6 4" xfId="13317"/>
    <cellStyle name="Input 48 2 6 5" xfId="13318"/>
    <cellStyle name="Input 48 2 6 6" xfId="13319"/>
    <cellStyle name="Input 48 2 6 7" xfId="13320"/>
    <cellStyle name="Input 48 2 7" xfId="13321"/>
    <cellStyle name="Input 48 2 7 2" xfId="13322"/>
    <cellStyle name="Input 48 2 7 3" xfId="13323"/>
    <cellStyle name="Input 48 2 7 4" xfId="13324"/>
    <cellStyle name="Input 48 2 7 5" xfId="13325"/>
    <cellStyle name="Input 48 2 7 6" xfId="13326"/>
    <cellStyle name="Input 48 2 7 7" xfId="13327"/>
    <cellStyle name="Input 48 2 8" xfId="13328"/>
    <cellStyle name="Input 48 2 8 2" xfId="13329"/>
    <cellStyle name="Input 48 2 8 3" xfId="13330"/>
    <cellStyle name="Input 48 2 8 4" xfId="13331"/>
    <cellStyle name="Input 48 2 8 5" xfId="13332"/>
    <cellStyle name="Input 48 2 8 6" xfId="13333"/>
    <cellStyle name="Input 48 2 8 7" xfId="13334"/>
    <cellStyle name="Input 48 2 9" xfId="13335"/>
    <cellStyle name="Input 48 2 9 2" xfId="13336"/>
    <cellStyle name="Input 48 2 9 3" xfId="13337"/>
    <cellStyle name="Input 48 2 9 4" xfId="13338"/>
    <cellStyle name="Input 48 2 9 5" xfId="13339"/>
    <cellStyle name="Input 48 2 9 6" xfId="13340"/>
    <cellStyle name="Input 48 3" xfId="13341"/>
    <cellStyle name="Input 48 3 10" xfId="13342"/>
    <cellStyle name="Input 48 3 10 2" xfId="13343"/>
    <cellStyle name="Input 48 3 10 3" xfId="13344"/>
    <cellStyle name="Input 48 3 10 4" xfId="13345"/>
    <cellStyle name="Input 48 3 10 5" xfId="13346"/>
    <cellStyle name="Input 48 3 10 6" xfId="13347"/>
    <cellStyle name="Input 48 3 11" xfId="13348"/>
    <cellStyle name="Input 48 3 12" xfId="13349"/>
    <cellStyle name="Input 48 3 13" xfId="13350"/>
    <cellStyle name="Input 48 3 14" xfId="13351"/>
    <cellStyle name="Input 48 3 2" xfId="13352"/>
    <cellStyle name="Input 48 3 2 2" xfId="13353"/>
    <cellStyle name="Input 48 3 2 3" xfId="13354"/>
    <cellStyle name="Input 48 3 2 4" xfId="13355"/>
    <cellStyle name="Input 48 3 2 5" xfId="13356"/>
    <cellStyle name="Input 48 3 2 6" xfId="13357"/>
    <cellStyle name="Input 48 3 2 7" xfId="13358"/>
    <cellStyle name="Input 48 3 3" xfId="13359"/>
    <cellStyle name="Input 48 3 3 2" xfId="13360"/>
    <cellStyle name="Input 48 3 3 3" xfId="13361"/>
    <cellStyle name="Input 48 3 3 4" xfId="13362"/>
    <cellStyle name="Input 48 3 3 5" xfId="13363"/>
    <cellStyle name="Input 48 3 3 6" xfId="13364"/>
    <cellStyle name="Input 48 3 3 7" xfId="13365"/>
    <cellStyle name="Input 48 3 4" xfId="13366"/>
    <cellStyle name="Input 48 3 4 2" xfId="13367"/>
    <cellStyle name="Input 48 3 4 3" xfId="13368"/>
    <cellStyle name="Input 48 3 4 4" xfId="13369"/>
    <cellStyle name="Input 48 3 4 5" xfId="13370"/>
    <cellStyle name="Input 48 3 4 6" xfId="13371"/>
    <cellStyle name="Input 48 3 4 7" xfId="13372"/>
    <cellStyle name="Input 48 3 5" xfId="13373"/>
    <cellStyle name="Input 48 3 5 2" xfId="13374"/>
    <cellStyle name="Input 48 3 5 3" xfId="13375"/>
    <cellStyle name="Input 48 3 5 4" xfId="13376"/>
    <cellStyle name="Input 48 3 5 5" xfId="13377"/>
    <cellStyle name="Input 48 3 5 6" xfId="13378"/>
    <cellStyle name="Input 48 3 5 7" xfId="13379"/>
    <cellStyle name="Input 48 3 6" xfId="13380"/>
    <cellStyle name="Input 48 3 6 2" xfId="13381"/>
    <cellStyle name="Input 48 3 6 3" xfId="13382"/>
    <cellStyle name="Input 48 3 6 4" xfId="13383"/>
    <cellStyle name="Input 48 3 6 5" xfId="13384"/>
    <cellStyle name="Input 48 3 6 6" xfId="13385"/>
    <cellStyle name="Input 48 3 6 7" xfId="13386"/>
    <cellStyle name="Input 48 3 7" xfId="13387"/>
    <cellStyle name="Input 48 3 7 2" xfId="13388"/>
    <cellStyle name="Input 48 3 7 3" xfId="13389"/>
    <cellStyle name="Input 48 3 7 4" xfId="13390"/>
    <cellStyle name="Input 48 3 7 5" xfId="13391"/>
    <cellStyle name="Input 48 3 7 6" xfId="13392"/>
    <cellStyle name="Input 48 3 7 7" xfId="13393"/>
    <cellStyle name="Input 48 3 8" xfId="13394"/>
    <cellStyle name="Input 48 3 8 2" xfId="13395"/>
    <cellStyle name="Input 48 3 8 3" xfId="13396"/>
    <cellStyle name="Input 48 3 8 4" xfId="13397"/>
    <cellStyle name="Input 48 3 8 5" xfId="13398"/>
    <cellStyle name="Input 48 3 8 6" xfId="13399"/>
    <cellStyle name="Input 48 3 8 7" xfId="13400"/>
    <cellStyle name="Input 48 3 9" xfId="13401"/>
    <cellStyle name="Input 48 3 9 2" xfId="13402"/>
    <cellStyle name="Input 48 3 9 3" xfId="13403"/>
    <cellStyle name="Input 48 3 9 4" xfId="13404"/>
    <cellStyle name="Input 48 3 9 5" xfId="13405"/>
    <cellStyle name="Input 48 3 9 6" xfId="13406"/>
    <cellStyle name="Input 48 4" xfId="13407"/>
    <cellStyle name="Input 48 4 2" xfId="13408"/>
    <cellStyle name="Input 48 4 3" xfId="13409"/>
    <cellStyle name="Input 48 4 4" xfId="13410"/>
    <cellStyle name="Input 48 4 5" xfId="13411"/>
    <cellStyle name="Input 48 4 6" xfId="13412"/>
    <cellStyle name="Input 48 4 7" xfId="13413"/>
    <cellStyle name="Input 48 5" xfId="13414"/>
    <cellStyle name="Input 48 5 2" xfId="13415"/>
    <cellStyle name="Input 48 5 3" xfId="13416"/>
    <cellStyle name="Input 48 5 4" xfId="13417"/>
    <cellStyle name="Input 48 5 5" xfId="13418"/>
    <cellStyle name="Input 48 5 6" xfId="13419"/>
    <cellStyle name="Input 48 5 7" xfId="13420"/>
    <cellStyle name="Input 48 6" xfId="13421"/>
    <cellStyle name="Input 48 6 2" xfId="13422"/>
    <cellStyle name="Input 48 6 3" xfId="13423"/>
    <cellStyle name="Input 48 6 4" xfId="13424"/>
    <cellStyle name="Input 48 6 5" xfId="13425"/>
    <cellStyle name="Input 48 6 6" xfId="13426"/>
    <cellStyle name="Input 48 6 7" xfId="13427"/>
    <cellStyle name="Input 48 7" xfId="13428"/>
    <cellStyle name="Input 48 7 2" xfId="13429"/>
    <cellStyle name="Input 48 7 3" xfId="13430"/>
    <cellStyle name="Input 48 7 4" xfId="13431"/>
    <cellStyle name="Input 48 7 5" xfId="13432"/>
    <cellStyle name="Input 48 7 6" xfId="13433"/>
    <cellStyle name="Input 48 7 7" xfId="13434"/>
    <cellStyle name="Input 48 8" xfId="13435"/>
    <cellStyle name="Input 48 8 2" xfId="13436"/>
    <cellStyle name="Input 48 8 3" xfId="13437"/>
    <cellStyle name="Input 48 8 4" xfId="13438"/>
    <cellStyle name="Input 48 8 5" xfId="13439"/>
    <cellStyle name="Input 48 8 6" xfId="13440"/>
    <cellStyle name="Input 48 8 7" xfId="13441"/>
    <cellStyle name="Input 48 9" xfId="13442"/>
    <cellStyle name="Input 48 9 2" xfId="13443"/>
    <cellStyle name="Input 48 9 3" xfId="13444"/>
    <cellStyle name="Input 48 9 4" xfId="13445"/>
    <cellStyle name="Input 48 9 5" xfId="13446"/>
    <cellStyle name="Input 48 9 6" xfId="13447"/>
    <cellStyle name="Input 48 9 7" xfId="13448"/>
    <cellStyle name="Input 49" xfId="13449"/>
    <cellStyle name="Input 49 10" xfId="13450"/>
    <cellStyle name="Input 49 10 2" xfId="13451"/>
    <cellStyle name="Input 49 10 3" xfId="13452"/>
    <cellStyle name="Input 49 10 4" xfId="13453"/>
    <cellStyle name="Input 49 10 5" xfId="13454"/>
    <cellStyle name="Input 49 10 6" xfId="13455"/>
    <cellStyle name="Input 49 10 7" xfId="13456"/>
    <cellStyle name="Input 49 11" xfId="13457"/>
    <cellStyle name="Input 49 11 2" xfId="13458"/>
    <cellStyle name="Input 49 11 3" xfId="13459"/>
    <cellStyle name="Input 49 11 4" xfId="13460"/>
    <cellStyle name="Input 49 11 5" xfId="13461"/>
    <cellStyle name="Input 49 11 6" xfId="13462"/>
    <cellStyle name="Input 49 12" xfId="13463"/>
    <cellStyle name="Input 49 12 2" xfId="13464"/>
    <cellStyle name="Input 49 12 3" xfId="13465"/>
    <cellStyle name="Input 49 12 4" xfId="13466"/>
    <cellStyle name="Input 49 12 5" xfId="13467"/>
    <cellStyle name="Input 49 12 6" xfId="13468"/>
    <cellStyle name="Input 49 13" xfId="13469"/>
    <cellStyle name="Input 49 14" xfId="13470"/>
    <cellStyle name="Input 49 15" xfId="13471"/>
    <cellStyle name="Input 49 16" xfId="13472"/>
    <cellStyle name="Input 49 2" xfId="13473"/>
    <cellStyle name="Input 49 2 10" xfId="13474"/>
    <cellStyle name="Input 49 2 10 2" xfId="13475"/>
    <cellStyle name="Input 49 2 10 3" xfId="13476"/>
    <cellStyle name="Input 49 2 10 4" xfId="13477"/>
    <cellStyle name="Input 49 2 10 5" xfId="13478"/>
    <cellStyle name="Input 49 2 10 6" xfId="13479"/>
    <cellStyle name="Input 49 2 11" xfId="13480"/>
    <cellStyle name="Input 49 2 12" xfId="13481"/>
    <cellStyle name="Input 49 2 13" xfId="13482"/>
    <cellStyle name="Input 49 2 14" xfId="13483"/>
    <cellStyle name="Input 49 2 2" xfId="13484"/>
    <cellStyle name="Input 49 2 2 2" xfId="13485"/>
    <cellStyle name="Input 49 2 2 3" xfId="13486"/>
    <cellStyle name="Input 49 2 2 4" xfId="13487"/>
    <cellStyle name="Input 49 2 2 5" xfId="13488"/>
    <cellStyle name="Input 49 2 2 6" xfId="13489"/>
    <cellStyle name="Input 49 2 2 7" xfId="13490"/>
    <cellStyle name="Input 49 2 3" xfId="13491"/>
    <cellStyle name="Input 49 2 3 2" xfId="13492"/>
    <cellStyle name="Input 49 2 3 3" xfId="13493"/>
    <cellStyle name="Input 49 2 3 4" xfId="13494"/>
    <cellStyle name="Input 49 2 3 5" xfId="13495"/>
    <cellStyle name="Input 49 2 3 6" xfId="13496"/>
    <cellStyle name="Input 49 2 3 7" xfId="13497"/>
    <cellStyle name="Input 49 2 4" xfId="13498"/>
    <cellStyle name="Input 49 2 4 2" xfId="13499"/>
    <cellStyle name="Input 49 2 4 3" xfId="13500"/>
    <cellStyle name="Input 49 2 4 4" xfId="13501"/>
    <cellStyle name="Input 49 2 4 5" xfId="13502"/>
    <cellStyle name="Input 49 2 4 6" xfId="13503"/>
    <cellStyle name="Input 49 2 4 7" xfId="13504"/>
    <cellStyle name="Input 49 2 5" xfId="13505"/>
    <cellStyle name="Input 49 2 5 2" xfId="13506"/>
    <cellStyle name="Input 49 2 5 3" xfId="13507"/>
    <cellStyle name="Input 49 2 5 4" xfId="13508"/>
    <cellStyle name="Input 49 2 5 5" xfId="13509"/>
    <cellStyle name="Input 49 2 5 6" xfId="13510"/>
    <cellStyle name="Input 49 2 5 7" xfId="13511"/>
    <cellStyle name="Input 49 2 6" xfId="13512"/>
    <cellStyle name="Input 49 2 6 2" xfId="13513"/>
    <cellStyle name="Input 49 2 6 3" xfId="13514"/>
    <cellStyle name="Input 49 2 6 4" xfId="13515"/>
    <cellStyle name="Input 49 2 6 5" xfId="13516"/>
    <cellStyle name="Input 49 2 6 6" xfId="13517"/>
    <cellStyle name="Input 49 2 6 7" xfId="13518"/>
    <cellStyle name="Input 49 2 7" xfId="13519"/>
    <cellStyle name="Input 49 2 7 2" xfId="13520"/>
    <cellStyle name="Input 49 2 7 3" xfId="13521"/>
    <cellStyle name="Input 49 2 7 4" xfId="13522"/>
    <cellStyle name="Input 49 2 7 5" xfId="13523"/>
    <cellStyle name="Input 49 2 7 6" xfId="13524"/>
    <cellStyle name="Input 49 2 7 7" xfId="13525"/>
    <cellStyle name="Input 49 2 8" xfId="13526"/>
    <cellStyle name="Input 49 2 8 2" xfId="13527"/>
    <cellStyle name="Input 49 2 8 3" xfId="13528"/>
    <cellStyle name="Input 49 2 8 4" xfId="13529"/>
    <cellStyle name="Input 49 2 8 5" xfId="13530"/>
    <cellStyle name="Input 49 2 8 6" xfId="13531"/>
    <cellStyle name="Input 49 2 8 7" xfId="13532"/>
    <cellStyle name="Input 49 2 9" xfId="13533"/>
    <cellStyle name="Input 49 2 9 2" xfId="13534"/>
    <cellStyle name="Input 49 2 9 3" xfId="13535"/>
    <cellStyle name="Input 49 2 9 4" xfId="13536"/>
    <cellStyle name="Input 49 2 9 5" xfId="13537"/>
    <cellStyle name="Input 49 2 9 6" xfId="13538"/>
    <cellStyle name="Input 49 3" xfId="13539"/>
    <cellStyle name="Input 49 3 10" xfId="13540"/>
    <cellStyle name="Input 49 3 10 2" xfId="13541"/>
    <cellStyle name="Input 49 3 10 3" xfId="13542"/>
    <cellStyle name="Input 49 3 10 4" xfId="13543"/>
    <cellStyle name="Input 49 3 10 5" xfId="13544"/>
    <cellStyle name="Input 49 3 10 6" xfId="13545"/>
    <cellStyle name="Input 49 3 11" xfId="13546"/>
    <cellStyle name="Input 49 3 12" xfId="13547"/>
    <cellStyle name="Input 49 3 13" xfId="13548"/>
    <cellStyle name="Input 49 3 14" xfId="13549"/>
    <cellStyle name="Input 49 3 2" xfId="13550"/>
    <cellStyle name="Input 49 3 2 2" xfId="13551"/>
    <cellStyle name="Input 49 3 2 3" xfId="13552"/>
    <cellStyle name="Input 49 3 2 4" xfId="13553"/>
    <cellStyle name="Input 49 3 2 5" xfId="13554"/>
    <cellStyle name="Input 49 3 2 6" xfId="13555"/>
    <cellStyle name="Input 49 3 2 7" xfId="13556"/>
    <cellStyle name="Input 49 3 3" xfId="13557"/>
    <cellStyle name="Input 49 3 3 2" xfId="13558"/>
    <cellStyle name="Input 49 3 3 3" xfId="13559"/>
    <cellStyle name="Input 49 3 3 4" xfId="13560"/>
    <cellStyle name="Input 49 3 3 5" xfId="13561"/>
    <cellStyle name="Input 49 3 3 6" xfId="13562"/>
    <cellStyle name="Input 49 3 3 7" xfId="13563"/>
    <cellStyle name="Input 49 3 4" xfId="13564"/>
    <cellStyle name="Input 49 3 4 2" xfId="13565"/>
    <cellStyle name="Input 49 3 4 3" xfId="13566"/>
    <cellStyle name="Input 49 3 4 4" xfId="13567"/>
    <cellStyle name="Input 49 3 4 5" xfId="13568"/>
    <cellStyle name="Input 49 3 4 6" xfId="13569"/>
    <cellStyle name="Input 49 3 4 7" xfId="13570"/>
    <cellStyle name="Input 49 3 5" xfId="13571"/>
    <cellStyle name="Input 49 3 5 2" xfId="13572"/>
    <cellStyle name="Input 49 3 5 3" xfId="13573"/>
    <cellStyle name="Input 49 3 5 4" xfId="13574"/>
    <cellStyle name="Input 49 3 5 5" xfId="13575"/>
    <cellStyle name="Input 49 3 5 6" xfId="13576"/>
    <cellStyle name="Input 49 3 5 7" xfId="13577"/>
    <cellStyle name="Input 49 3 6" xfId="13578"/>
    <cellStyle name="Input 49 3 6 2" xfId="13579"/>
    <cellStyle name="Input 49 3 6 3" xfId="13580"/>
    <cellStyle name="Input 49 3 6 4" xfId="13581"/>
    <cellStyle name="Input 49 3 6 5" xfId="13582"/>
    <cellStyle name="Input 49 3 6 6" xfId="13583"/>
    <cellStyle name="Input 49 3 6 7" xfId="13584"/>
    <cellStyle name="Input 49 3 7" xfId="13585"/>
    <cellStyle name="Input 49 3 7 2" xfId="13586"/>
    <cellStyle name="Input 49 3 7 3" xfId="13587"/>
    <cellStyle name="Input 49 3 7 4" xfId="13588"/>
    <cellStyle name="Input 49 3 7 5" xfId="13589"/>
    <cellStyle name="Input 49 3 7 6" xfId="13590"/>
    <cellStyle name="Input 49 3 7 7" xfId="13591"/>
    <cellStyle name="Input 49 3 8" xfId="13592"/>
    <cellStyle name="Input 49 3 8 2" xfId="13593"/>
    <cellStyle name="Input 49 3 8 3" xfId="13594"/>
    <cellStyle name="Input 49 3 8 4" xfId="13595"/>
    <cellStyle name="Input 49 3 8 5" xfId="13596"/>
    <cellStyle name="Input 49 3 8 6" xfId="13597"/>
    <cellStyle name="Input 49 3 8 7" xfId="13598"/>
    <cellStyle name="Input 49 3 9" xfId="13599"/>
    <cellStyle name="Input 49 3 9 2" xfId="13600"/>
    <cellStyle name="Input 49 3 9 3" xfId="13601"/>
    <cellStyle name="Input 49 3 9 4" xfId="13602"/>
    <cellStyle name="Input 49 3 9 5" xfId="13603"/>
    <cellStyle name="Input 49 3 9 6" xfId="13604"/>
    <cellStyle name="Input 49 4" xfId="13605"/>
    <cellStyle name="Input 49 4 2" xfId="13606"/>
    <cellStyle name="Input 49 4 3" xfId="13607"/>
    <cellStyle name="Input 49 4 4" xfId="13608"/>
    <cellStyle name="Input 49 4 5" xfId="13609"/>
    <cellStyle name="Input 49 4 6" xfId="13610"/>
    <cellStyle name="Input 49 4 7" xfId="13611"/>
    <cellStyle name="Input 49 5" xfId="13612"/>
    <cellStyle name="Input 49 5 2" xfId="13613"/>
    <cellStyle name="Input 49 5 3" xfId="13614"/>
    <cellStyle name="Input 49 5 4" xfId="13615"/>
    <cellStyle name="Input 49 5 5" xfId="13616"/>
    <cellStyle name="Input 49 5 6" xfId="13617"/>
    <cellStyle name="Input 49 5 7" xfId="13618"/>
    <cellStyle name="Input 49 6" xfId="13619"/>
    <cellStyle name="Input 49 6 2" xfId="13620"/>
    <cellStyle name="Input 49 6 3" xfId="13621"/>
    <cellStyle name="Input 49 6 4" xfId="13622"/>
    <cellStyle name="Input 49 6 5" xfId="13623"/>
    <cellStyle name="Input 49 6 6" xfId="13624"/>
    <cellStyle name="Input 49 6 7" xfId="13625"/>
    <cellStyle name="Input 49 7" xfId="13626"/>
    <cellStyle name="Input 49 7 2" xfId="13627"/>
    <cellStyle name="Input 49 7 3" xfId="13628"/>
    <cellStyle name="Input 49 7 4" xfId="13629"/>
    <cellStyle name="Input 49 7 5" xfId="13630"/>
    <cellStyle name="Input 49 7 6" xfId="13631"/>
    <cellStyle name="Input 49 7 7" xfId="13632"/>
    <cellStyle name="Input 49 8" xfId="13633"/>
    <cellStyle name="Input 49 8 2" xfId="13634"/>
    <cellStyle name="Input 49 8 3" xfId="13635"/>
    <cellStyle name="Input 49 8 4" xfId="13636"/>
    <cellStyle name="Input 49 8 5" xfId="13637"/>
    <cellStyle name="Input 49 8 6" xfId="13638"/>
    <cellStyle name="Input 49 8 7" xfId="13639"/>
    <cellStyle name="Input 49 9" xfId="13640"/>
    <cellStyle name="Input 49 9 2" xfId="13641"/>
    <cellStyle name="Input 49 9 3" xfId="13642"/>
    <cellStyle name="Input 49 9 4" xfId="13643"/>
    <cellStyle name="Input 49 9 5" xfId="13644"/>
    <cellStyle name="Input 49 9 6" xfId="13645"/>
    <cellStyle name="Input 49 9 7" xfId="13646"/>
    <cellStyle name="Input 5" xfId="13647"/>
    <cellStyle name="Input 5 10" xfId="13648"/>
    <cellStyle name="Input 5 10 2" xfId="13649"/>
    <cellStyle name="Input 5 10 3" xfId="13650"/>
    <cellStyle name="Input 5 10 4" xfId="13651"/>
    <cellStyle name="Input 5 10 5" xfId="13652"/>
    <cellStyle name="Input 5 10 6" xfId="13653"/>
    <cellStyle name="Input 5 10 7" xfId="13654"/>
    <cellStyle name="Input 5 11" xfId="13655"/>
    <cellStyle name="Input 5 11 2" xfId="13656"/>
    <cellStyle name="Input 5 11 3" xfId="13657"/>
    <cellStyle name="Input 5 11 4" xfId="13658"/>
    <cellStyle name="Input 5 11 5" xfId="13659"/>
    <cellStyle name="Input 5 11 6" xfId="13660"/>
    <cellStyle name="Input 5 12" xfId="13661"/>
    <cellStyle name="Input 5 12 2" xfId="13662"/>
    <cellStyle name="Input 5 12 3" xfId="13663"/>
    <cellStyle name="Input 5 12 4" xfId="13664"/>
    <cellStyle name="Input 5 12 5" xfId="13665"/>
    <cellStyle name="Input 5 12 6" xfId="13666"/>
    <cellStyle name="Input 5 13" xfId="13667"/>
    <cellStyle name="Input 5 14" xfId="13668"/>
    <cellStyle name="Input 5 15" xfId="13669"/>
    <cellStyle name="Input 5 16" xfId="13670"/>
    <cellStyle name="Input 5 2" xfId="13671"/>
    <cellStyle name="Input 5 2 10" xfId="13672"/>
    <cellStyle name="Input 5 2 10 2" xfId="13673"/>
    <cellStyle name="Input 5 2 10 3" xfId="13674"/>
    <cellStyle name="Input 5 2 10 4" xfId="13675"/>
    <cellStyle name="Input 5 2 10 5" xfId="13676"/>
    <cellStyle name="Input 5 2 10 6" xfId="13677"/>
    <cellStyle name="Input 5 2 11" xfId="13678"/>
    <cellStyle name="Input 5 2 12" xfId="13679"/>
    <cellStyle name="Input 5 2 13" xfId="13680"/>
    <cellStyle name="Input 5 2 14" xfId="13681"/>
    <cellStyle name="Input 5 2 2" xfId="13682"/>
    <cellStyle name="Input 5 2 2 2" xfId="13683"/>
    <cellStyle name="Input 5 2 2 3" xfId="13684"/>
    <cellStyle name="Input 5 2 2 4" xfId="13685"/>
    <cellStyle name="Input 5 2 2 5" xfId="13686"/>
    <cellStyle name="Input 5 2 2 6" xfId="13687"/>
    <cellStyle name="Input 5 2 2 7" xfId="13688"/>
    <cellStyle name="Input 5 2 3" xfId="13689"/>
    <cellStyle name="Input 5 2 3 2" xfId="13690"/>
    <cellStyle name="Input 5 2 3 3" xfId="13691"/>
    <cellStyle name="Input 5 2 3 4" xfId="13692"/>
    <cellStyle name="Input 5 2 3 5" xfId="13693"/>
    <cellStyle name="Input 5 2 3 6" xfId="13694"/>
    <cellStyle name="Input 5 2 3 7" xfId="13695"/>
    <cellStyle name="Input 5 2 4" xfId="13696"/>
    <cellStyle name="Input 5 2 4 2" xfId="13697"/>
    <cellStyle name="Input 5 2 4 3" xfId="13698"/>
    <cellStyle name="Input 5 2 4 4" xfId="13699"/>
    <cellStyle name="Input 5 2 4 5" xfId="13700"/>
    <cellStyle name="Input 5 2 4 6" xfId="13701"/>
    <cellStyle name="Input 5 2 4 7" xfId="13702"/>
    <cellStyle name="Input 5 2 5" xfId="13703"/>
    <cellStyle name="Input 5 2 5 2" xfId="13704"/>
    <cellStyle name="Input 5 2 5 3" xfId="13705"/>
    <cellStyle name="Input 5 2 5 4" xfId="13706"/>
    <cellStyle name="Input 5 2 5 5" xfId="13707"/>
    <cellStyle name="Input 5 2 5 6" xfId="13708"/>
    <cellStyle name="Input 5 2 5 7" xfId="13709"/>
    <cellStyle name="Input 5 2 6" xfId="13710"/>
    <cellStyle name="Input 5 2 6 2" xfId="13711"/>
    <cellStyle name="Input 5 2 6 3" xfId="13712"/>
    <cellStyle name="Input 5 2 6 4" xfId="13713"/>
    <cellStyle name="Input 5 2 6 5" xfId="13714"/>
    <cellStyle name="Input 5 2 6 6" xfId="13715"/>
    <cellStyle name="Input 5 2 6 7" xfId="13716"/>
    <cellStyle name="Input 5 2 7" xfId="13717"/>
    <cellStyle name="Input 5 2 7 2" xfId="13718"/>
    <cellStyle name="Input 5 2 7 3" xfId="13719"/>
    <cellStyle name="Input 5 2 7 4" xfId="13720"/>
    <cellStyle name="Input 5 2 7 5" xfId="13721"/>
    <cellStyle name="Input 5 2 7 6" xfId="13722"/>
    <cellStyle name="Input 5 2 7 7" xfId="13723"/>
    <cellStyle name="Input 5 2 8" xfId="13724"/>
    <cellStyle name="Input 5 2 8 2" xfId="13725"/>
    <cellStyle name="Input 5 2 8 3" xfId="13726"/>
    <cellStyle name="Input 5 2 8 4" xfId="13727"/>
    <cellStyle name="Input 5 2 8 5" xfId="13728"/>
    <cellStyle name="Input 5 2 8 6" xfId="13729"/>
    <cellStyle name="Input 5 2 8 7" xfId="13730"/>
    <cellStyle name="Input 5 2 9" xfId="13731"/>
    <cellStyle name="Input 5 2 9 2" xfId="13732"/>
    <cellStyle name="Input 5 2 9 3" xfId="13733"/>
    <cellStyle name="Input 5 2 9 4" xfId="13734"/>
    <cellStyle name="Input 5 2 9 5" xfId="13735"/>
    <cellStyle name="Input 5 2 9 6" xfId="13736"/>
    <cellStyle name="Input 5 3" xfId="13737"/>
    <cellStyle name="Input 5 3 10" xfId="13738"/>
    <cellStyle name="Input 5 3 10 2" xfId="13739"/>
    <cellStyle name="Input 5 3 10 3" xfId="13740"/>
    <cellStyle name="Input 5 3 10 4" xfId="13741"/>
    <cellStyle name="Input 5 3 10 5" xfId="13742"/>
    <cellStyle name="Input 5 3 10 6" xfId="13743"/>
    <cellStyle name="Input 5 3 11" xfId="13744"/>
    <cellStyle name="Input 5 3 12" xfId="13745"/>
    <cellStyle name="Input 5 3 13" xfId="13746"/>
    <cellStyle name="Input 5 3 14" xfId="13747"/>
    <cellStyle name="Input 5 3 2" xfId="13748"/>
    <cellStyle name="Input 5 3 2 2" xfId="13749"/>
    <cellStyle name="Input 5 3 2 3" xfId="13750"/>
    <cellStyle name="Input 5 3 2 4" xfId="13751"/>
    <cellStyle name="Input 5 3 2 5" xfId="13752"/>
    <cellStyle name="Input 5 3 2 6" xfId="13753"/>
    <cellStyle name="Input 5 3 2 7" xfId="13754"/>
    <cellStyle name="Input 5 3 3" xfId="13755"/>
    <cellStyle name="Input 5 3 3 2" xfId="13756"/>
    <cellStyle name="Input 5 3 3 3" xfId="13757"/>
    <cellStyle name="Input 5 3 3 4" xfId="13758"/>
    <cellStyle name="Input 5 3 3 5" xfId="13759"/>
    <cellStyle name="Input 5 3 3 6" xfId="13760"/>
    <cellStyle name="Input 5 3 3 7" xfId="13761"/>
    <cellStyle name="Input 5 3 4" xfId="13762"/>
    <cellStyle name="Input 5 3 4 2" xfId="13763"/>
    <cellStyle name="Input 5 3 4 3" xfId="13764"/>
    <cellStyle name="Input 5 3 4 4" xfId="13765"/>
    <cellStyle name="Input 5 3 4 5" xfId="13766"/>
    <cellStyle name="Input 5 3 4 6" xfId="13767"/>
    <cellStyle name="Input 5 3 4 7" xfId="13768"/>
    <cellStyle name="Input 5 3 5" xfId="13769"/>
    <cellStyle name="Input 5 3 5 2" xfId="13770"/>
    <cellStyle name="Input 5 3 5 3" xfId="13771"/>
    <cellStyle name="Input 5 3 5 4" xfId="13772"/>
    <cellStyle name="Input 5 3 5 5" xfId="13773"/>
    <cellStyle name="Input 5 3 5 6" xfId="13774"/>
    <cellStyle name="Input 5 3 5 7" xfId="13775"/>
    <cellStyle name="Input 5 3 6" xfId="13776"/>
    <cellStyle name="Input 5 3 6 2" xfId="13777"/>
    <cellStyle name="Input 5 3 6 3" xfId="13778"/>
    <cellStyle name="Input 5 3 6 4" xfId="13779"/>
    <cellStyle name="Input 5 3 6 5" xfId="13780"/>
    <cellStyle name="Input 5 3 6 6" xfId="13781"/>
    <cellStyle name="Input 5 3 6 7" xfId="13782"/>
    <cellStyle name="Input 5 3 7" xfId="13783"/>
    <cellStyle name="Input 5 3 7 2" xfId="13784"/>
    <cellStyle name="Input 5 3 7 3" xfId="13785"/>
    <cellStyle name="Input 5 3 7 4" xfId="13786"/>
    <cellStyle name="Input 5 3 7 5" xfId="13787"/>
    <cellStyle name="Input 5 3 7 6" xfId="13788"/>
    <cellStyle name="Input 5 3 7 7" xfId="13789"/>
    <cellStyle name="Input 5 3 8" xfId="13790"/>
    <cellStyle name="Input 5 3 8 2" xfId="13791"/>
    <cellStyle name="Input 5 3 8 3" xfId="13792"/>
    <cellStyle name="Input 5 3 8 4" xfId="13793"/>
    <cellStyle name="Input 5 3 8 5" xfId="13794"/>
    <cellStyle name="Input 5 3 8 6" xfId="13795"/>
    <cellStyle name="Input 5 3 8 7" xfId="13796"/>
    <cellStyle name="Input 5 3 9" xfId="13797"/>
    <cellStyle name="Input 5 3 9 2" xfId="13798"/>
    <cellStyle name="Input 5 3 9 3" xfId="13799"/>
    <cellStyle name="Input 5 3 9 4" xfId="13800"/>
    <cellStyle name="Input 5 3 9 5" xfId="13801"/>
    <cellStyle name="Input 5 3 9 6" xfId="13802"/>
    <cellStyle name="Input 5 4" xfId="13803"/>
    <cellStyle name="Input 5 4 2" xfId="13804"/>
    <cellStyle name="Input 5 4 3" xfId="13805"/>
    <cellStyle name="Input 5 4 4" xfId="13806"/>
    <cellStyle name="Input 5 4 5" xfId="13807"/>
    <cellStyle name="Input 5 4 6" xfId="13808"/>
    <cellStyle name="Input 5 4 7" xfId="13809"/>
    <cellStyle name="Input 5 5" xfId="13810"/>
    <cellStyle name="Input 5 5 2" xfId="13811"/>
    <cellStyle name="Input 5 5 3" xfId="13812"/>
    <cellStyle name="Input 5 5 4" xfId="13813"/>
    <cellStyle name="Input 5 5 5" xfId="13814"/>
    <cellStyle name="Input 5 5 6" xfId="13815"/>
    <cellStyle name="Input 5 5 7" xfId="13816"/>
    <cellStyle name="Input 5 6" xfId="13817"/>
    <cellStyle name="Input 5 6 2" xfId="13818"/>
    <cellStyle name="Input 5 6 3" xfId="13819"/>
    <cellStyle name="Input 5 6 4" xfId="13820"/>
    <cellStyle name="Input 5 6 5" xfId="13821"/>
    <cellStyle name="Input 5 6 6" xfId="13822"/>
    <cellStyle name="Input 5 6 7" xfId="13823"/>
    <cellStyle name="Input 5 7" xfId="13824"/>
    <cellStyle name="Input 5 7 2" xfId="13825"/>
    <cellStyle name="Input 5 7 3" xfId="13826"/>
    <cellStyle name="Input 5 7 4" xfId="13827"/>
    <cellStyle name="Input 5 7 5" xfId="13828"/>
    <cellStyle name="Input 5 7 6" xfId="13829"/>
    <cellStyle name="Input 5 7 7" xfId="13830"/>
    <cellStyle name="Input 5 8" xfId="13831"/>
    <cellStyle name="Input 5 8 2" xfId="13832"/>
    <cellStyle name="Input 5 8 3" xfId="13833"/>
    <cellStyle name="Input 5 8 4" xfId="13834"/>
    <cellStyle name="Input 5 8 5" xfId="13835"/>
    <cellStyle name="Input 5 8 6" xfId="13836"/>
    <cellStyle name="Input 5 8 7" xfId="13837"/>
    <cellStyle name="Input 5 9" xfId="13838"/>
    <cellStyle name="Input 5 9 2" xfId="13839"/>
    <cellStyle name="Input 5 9 3" xfId="13840"/>
    <cellStyle name="Input 5 9 4" xfId="13841"/>
    <cellStyle name="Input 5 9 5" xfId="13842"/>
    <cellStyle name="Input 5 9 6" xfId="13843"/>
    <cellStyle name="Input 5 9 7" xfId="13844"/>
    <cellStyle name="Input 50" xfId="13845"/>
    <cellStyle name="Input 50 10" xfId="13846"/>
    <cellStyle name="Input 50 10 2" xfId="13847"/>
    <cellStyle name="Input 50 10 3" xfId="13848"/>
    <cellStyle name="Input 50 10 4" xfId="13849"/>
    <cellStyle name="Input 50 10 5" xfId="13850"/>
    <cellStyle name="Input 50 10 6" xfId="13851"/>
    <cellStyle name="Input 50 10 7" xfId="13852"/>
    <cellStyle name="Input 50 11" xfId="13853"/>
    <cellStyle name="Input 50 11 2" xfId="13854"/>
    <cellStyle name="Input 50 11 3" xfId="13855"/>
    <cellStyle name="Input 50 11 4" xfId="13856"/>
    <cellStyle name="Input 50 11 5" xfId="13857"/>
    <cellStyle name="Input 50 11 6" xfId="13858"/>
    <cellStyle name="Input 50 12" xfId="13859"/>
    <cellStyle name="Input 50 12 2" xfId="13860"/>
    <cellStyle name="Input 50 12 3" xfId="13861"/>
    <cellStyle name="Input 50 12 4" xfId="13862"/>
    <cellStyle name="Input 50 12 5" xfId="13863"/>
    <cellStyle name="Input 50 12 6" xfId="13864"/>
    <cellStyle name="Input 50 13" xfId="13865"/>
    <cellStyle name="Input 50 14" xfId="13866"/>
    <cellStyle name="Input 50 15" xfId="13867"/>
    <cellStyle name="Input 50 16" xfId="13868"/>
    <cellStyle name="Input 50 2" xfId="13869"/>
    <cellStyle name="Input 50 2 10" xfId="13870"/>
    <cellStyle name="Input 50 2 10 2" xfId="13871"/>
    <cellStyle name="Input 50 2 10 3" xfId="13872"/>
    <cellStyle name="Input 50 2 10 4" xfId="13873"/>
    <cellStyle name="Input 50 2 10 5" xfId="13874"/>
    <cellStyle name="Input 50 2 10 6" xfId="13875"/>
    <cellStyle name="Input 50 2 11" xfId="13876"/>
    <cellStyle name="Input 50 2 12" xfId="13877"/>
    <cellStyle name="Input 50 2 13" xfId="13878"/>
    <cellStyle name="Input 50 2 14" xfId="13879"/>
    <cellStyle name="Input 50 2 2" xfId="13880"/>
    <cellStyle name="Input 50 2 2 2" xfId="13881"/>
    <cellStyle name="Input 50 2 2 3" xfId="13882"/>
    <cellStyle name="Input 50 2 2 4" xfId="13883"/>
    <cellStyle name="Input 50 2 2 5" xfId="13884"/>
    <cellStyle name="Input 50 2 2 6" xfId="13885"/>
    <cellStyle name="Input 50 2 2 7" xfId="13886"/>
    <cellStyle name="Input 50 2 3" xfId="13887"/>
    <cellStyle name="Input 50 2 3 2" xfId="13888"/>
    <cellStyle name="Input 50 2 3 3" xfId="13889"/>
    <cellStyle name="Input 50 2 3 4" xfId="13890"/>
    <cellStyle name="Input 50 2 3 5" xfId="13891"/>
    <cellStyle name="Input 50 2 3 6" xfId="13892"/>
    <cellStyle name="Input 50 2 3 7" xfId="13893"/>
    <cellStyle name="Input 50 2 4" xfId="13894"/>
    <cellStyle name="Input 50 2 4 2" xfId="13895"/>
    <cellStyle name="Input 50 2 4 3" xfId="13896"/>
    <cellStyle name="Input 50 2 4 4" xfId="13897"/>
    <cellStyle name="Input 50 2 4 5" xfId="13898"/>
    <cellStyle name="Input 50 2 4 6" xfId="13899"/>
    <cellStyle name="Input 50 2 4 7" xfId="13900"/>
    <cellStyle name="Input 50 2 5" xfId="13901"/>
    <cellStyle name="Input 50 2 5 2" xfId="13902"/>
    <cellStyle name="Input 50 2 5 3" xfId="13903"/>
    <cellStyle name="Input 50 2 5 4" xfId="13904"/>
    <cellStyle name="Input 50 2 5 5" xfId="13905"/>
    <cellStyle name="Input 50 2 5 6" xfId="13906"/>
    <cellStyle name="Input 50 2 5 7" xfId="13907"/>
    <cellStyle name="Input 50 2 6" xfId="13908"/>
    <cellStyle name="Input 50 2 6 2" xfId="13909"/>
    <cellStyle name="Input 50 2 6 3" xfId="13910"/>
    <cellStyle name="Input 50 2 6 4" xfId="13911"/>
    <cellStyle name="Input 50 2 6 5" xfId="13912"/>
    <cellStyle name="Input 50 2 6 6" xfId="13913"/>
    <cellStyle name="Input 50 2 6 7" xfId="13914"/>
    <cellStyle name="Input 50 2 7" xfId="13915"/>
    <cellStyle name="Input 50 2 7 2" xfId="13916"/>
    <cellStyle name="Input 50 2 7 3" xfId="13917"/>
    <cellStyle name="Input 50 2 7 4" xfId="13918"/>
    <cellStyle name="Input 50 2 7 5" xfId="13919"/>
    <cellStyle name="Input 50 2 7 6" xfId="13920"/>
    <cellStyle name="Input 50 2 7 7" xfId="13921"/>
    <cellStyle name="Input 50 2 8" xfId="13922"/>
    <cellStyle name="Input 50 2 8 2" xfId="13923"/>
    <cellStyle name="Input 50 2 8 3" xfId="13924"/>
    <cellStyle name="Input 50 2 8 4" xfId="13925"/>
    <cellStyle name="Input 50 2 8 5" xfId="13926"/>
    <cellStyle name="Input 50 2 8 6" xfId="13927"/>
    <cellStyle name="Input 50 2 8 7" xfId="13928"/>
    <cellStyle name="Input 50 2 9" xfId="13929"/>
    <cellStyle name="Input 50 2 9 2" xfId="13930"/>
    <cellStyle name="Input 50 2 9 3" xfId="13931"/>
    <cellStyle name="Input 50 2 9 4" xfId="13932"/>
    <cellStyle name="Input 50 2 9 5" xfId="13933"/>
    <cellStyle name="Input 50 2 9 6" xfId="13934"/>
    <cellStyle name="Input 50 3" xfId="13935"/>
    <cellStyle name="Input 50 3 10" xfId="13936"/>
    <cellStyle name="Input 50 3 10 2" xfId="13937"/>
    <cellStyle name="Input 50 3 10 3" xfId="13938"/>
    <cellStyle name="Input 50 3 10 4" xfId="13939"/>
    <cellStyle name="Input 50 3 10 5" xfId="13940"/>
    <cellStyle name="Input 50 3 10 6" xfId="13941"/>
    <cellStyle name="Input 50 3 11" xfId="13942"/>
    <cellStyle name="Input 50 3 12" xfId="13943"/>
    <cellStyle name="Input 50 3 13" xfId="13944"/>
    <cellStyle name="Input 50 3 14" xfId="13945"/>
    <cellStyle name="Input 50 3 2" xfId="13946"/>
    <cellStyle name="Input 50 3 2 2" xfId="13947"/>
    <cellStyle name="Input 50 3 2 3" xfId="13948"/>
    <cellStyle name="Input 50 3 2 4" xfId="13949"/>
    <cellStyle name="Input 50 3 2 5" xfId="13950"/>
    <cellStyle name="Input 50 3 2 6" xfId="13951"/>
    <cellStyle name="Input 50 3 2 7" xfId="13952"/>
    <cellStyle name="Input 50 3 3" xfId="13953"/>
    <cellStyle name="Input 50 3 3 2" xfId="13954"/>
    <cellStyle name="Input 50 3 3 3" xfId="13955"/>
    <cellStyle name="Input 50 3 3 4" xfId="13956"/>
    <cellStyle name="Input 50 3 3 5" xfId="13957"/>
    <cellStyle name="Input 50 3 3 6" xfId="13958"/>
    <cellStyle name="Input 50 3 3 7" xfId="13959"/>
    <cellStyle name="Input 50 3 4" xfId="13960"/>
    <cellStyle name="Input 50 3 4 2" xfId="13961"/>
    <cellStyle name="Input 50 3 4 3" xfId="13962"/>
    <cellStyle name="Input 50 3 4 4" xfId="13963"/>
    <cellStyle name="Input 50 3 4 5" xfId="13964"/>
    <cellStyle name="Input 50 3 4 6" xfId="13965"/>
    <cellStyle name="Input 50 3 4 7" xfId="13966"/>
    <cellStyle name="Input 50 3 5" xfId="13967"/>
    <cellStyle name="Input 50 3 5 2" xfId="13968"/>
    <cellStyle name="Input 50 3 5 3" xfId="13969"/>
    <cellStyle name="Input 50 3 5 4" xfId="13970"/>
    <cellStyle name="Input 50 3 5 5" xfId="13971"/>
    <cellStyle name="Input 50 3 5 6" xfId="13972"/>
    <cellStyle name="Input 50 3 5 7" xfId="13973"/>
    <cellStyle name="Input 50 3 6" xfId="13974"/>
    <cellStyle name="Input 50 3 6 2" xfId="13975"/>
    <cellStyle name="Input 50 3 6 3" xfId="13976"/>
    <cellStyle name="Input 50 3 6 4" xfId="13977"/>
    <cellStyle name="Input 50 3 6 5" xfId="13978"/>
    <cellStyle name="Input 50 3 6 6" xfId="13979"/>
    <cellStyle name="Input 50 3 6 7" xfId="13980"/>
    <cellStyle name="Input 50 3 7" xfId="13981"/>
    <cellStyle name="Input 50 3 7 2" xfId="13982"/>
    <cellStyle name="Input 50 3 7 3" xfId="13983"/>
    <cellStyle name="Input 50 3 7 4" xfId="13984"/>
    <cellStyle name="Input 50 3 7 5" xfId="13985"/>
    <cellStyle name="Input 50 3 7 6" xfId="13986"/>
    <cellStyle name="Input 50 3 7 7" xfId="13987"/>
    <cellStyle name="Input 50 3 8" xfId="13988"/>
    <cellStyle name="Input 50 3 8 2" xfId="13989"/>
    <cellStyle name="Input 50 3 8 3" xfId="13990"/>
    <cellStyle name="Input 50 3 8 4" xfId="13991"/>
    <cellStyle name="Input 50 3 8 5" xfId="13992"/>
    <cellStyle name="Input 50 3 8 6" xfId="13993"/>
    <cellStyle name="Input 50 3 8 7" xfId="13994"/>
    <cellStyle name="Input 50 3 9" xfId="13995"/>
    <cellStyle name="Input 50 3 9 2" xfId="13996"/>
    <cellStyle name="Input 50 3 9 3" xfId="13997"/>
    <cellStyle name="Input 50 3 9 4" xfId="13998"/>
    <cellStyle name="Input 50 3 9 5" xfId="13999"/>
    <cellStyle name="Input 50 3 9 6" xfId="14000"/>
    <cellStyle name="Input 50 4" xfId="14001"/>
    <cellStyle name="Input 50 4 2" xfId="14002"/>
    <cellStyle name="Input 50 4 3" xfId="14003"/>
    <cellStyle name="Input 50 4 4" xfId="14004"/>
    <cellStyle name="Input 50 4 5" xfId="14005"/>
    <cellStyle name="Input 50 4 6" xfId="14006"/>
    <cellStyle name="Input 50 4 7" xfId="14007"/>
    <cellStyle name="Input 50 5" xfId="14008"/>
    <cellStyle name="Input 50 5 2" xfId="14009"/>
    <cellStyle name="Input 50 5 3" xfId="14010"/>
    <cellStyle name="Input 50 5 4" xfId="14011"/>
    <cellStyle name="Input 50 5 5" xfId="14012"/>
    <cellStyle name="Input 50 5 6" xfId="14013"/>
    <cellStyle name="Input 50 5 7" xfId="14014"/>
    <cellStyle name="Input 50 6" xfId="14015"/>
    <cellStyle name="Input 50 6 2" xfId="14016"/>
    <cellStyle name="Input 50 6 3" xfId="14017"/>
    <cellStyle name="Input 50 6 4" xfId="14018"/>
    <cellStyle name="Input 50 6 5" xfId="14019"/>
    <cellStyle name="Input 50 6 6" xfId="14020"/>
    <cellStyle name="Input 50 6 7" xfId="14021"/>
    <cellStyle name="Input 50 7" xfId="14022"/>
    <cellStyle name="Input 50 7 2" xfId="14023"/>
    <cellStyle name="Input 50 7 3" xfId="14024"/>
    <cellStyle name="Input 50 7 4" xfId="14025"/>
    <cellStyle name="Input 50 7 5" xfId="14026"/>
    <cellStyle name="Input 50 7 6" xfId="14027"/>
    <cellStyle name="Input 50 7 7" xfId="14028"/>
    <cellStyle name="Input 50 8" xfId="14029"/>
    <cellStyle name="Input 50 8 2" xfId="14030"/>
    <cellStyle name="Input 50 8 3" xfId="14031"/>
    <cellStyle name="Input 50 8 4" xfId="14032"/>
    <cellStyle name="Input 50 8 5" xfId="14033"/>
    <cellStyle name="Input 50 8 6" xfId="14034"/>
    <cellStyle name="Input 50 8 7" xfId="14035"/>
    <cellStyle name="Input 50 9" xfId="14036"/>
    <cellStyle name="Input 50 9 2" xfId="14037"/>
    <cellStyle name="Input 50 9 3" xfId="14038"/>
    <cellStyle name="Input 50 9 4" xfId="14039"/>
    <cellStyle name="Input 50 9 5" xfId="14040"/>
    <cellStyle name="Input 50 9 6" xfId="14041"/>
    <cellStyle name="Input 50 9 7" xfId="14042"/>
    <cellStyle name="Input 51" xfId="14043"/>
    <cellStyle name="Input 51 10" xfId="14044"/>
    <cellStyle name="Input 51 10 2" xfId="14045"/>
    <cellStyle name="Input 51 10 3" xfId="14046"/>
    <cellStyle name="Input 51 10 4" xfId="14047"/>
    <cellStyle name="Input 51 10 5" xfId="14048"/>
    <cellStyle name="Input 51 10 6" xfId="14049"/>
    <cellStyle name="Input 51 10 7" xfId="14050"/>
    <cellStyle name="Input 51 11" xfId="14051"/>
    <cellStyle name="Input 51 11 2" xfId="14052"/>
    <cellStyle name="Input 51 11 3" xfId="14053"/>
    <cellStyle name="Input 51 11 4" xfId="14054"/>
    <cellStyle name="Input 51 11 5" xfId="14055"/>
    <cellStyle name="Input 51 11 6" xfId="14056"/>
    <cellStyle name="Input 51 12" xfId="14057"/>
    <cellStyle name="Input 51 12 2" xfId="14058"/>
    <cellStyle name="Input 51 12 3" xfId="14059"/>
    <cellStyle name="Input 51 12 4" xfId="14060"/>
    <cellStyle name="Input 51 12 5" xfId="14061"/>
    <cellStyle name="Input 51 12 6" xfId="14062"/>
    <cellStyle name="Input 51 13" xfId="14063"/>
    <cellStyle name="Input 51 14" xfId="14064"/>
    <cellStyle name="Input 51 15" xfId="14065"/>
    <cellStyle name="Input 51 16" xfId="14066"/>
    <cellStyle name="Input 51 2" xfId="14067"/>
    <cellStyle name="Input 51 2 10" xfId="14068"/>
    <cellStyle name="Input 51 2 10 2" xfId="14069"/>
    <cellStyle name="Input 51 2 10 3" xfId="14070"/>
    <cellStyle name="Input 51 2 10 4" xfId="14071"/>
    <cellStyle name="Input 51 2 10 5" xfId="14072"/>
    <cellStyle name="Input 51 2 10 6" xfId="14073"/>
    <cellStyle name="Input 51 2 11" xfId="14074"/>
    <cellStyle name="Input 51 2 12" xfId="14075"/>
    <cellStyle name="Input 51 2 13" xfId="14076"/>
    <cellStyle name="Input 51 2 14" xfId="14077"/>
    <cellStyle name="Input 51 2 2" xfId="14078"/>
    <cellStyle name="Input 51 2 2 2" xfId="14079"/>
    <cellStyle name="Input 51 2 2 3" xfId="14080"/>
    <cellStyle name="Input 51 2 2 4" xfId="14081"/>
    <cellStyle name="Input 51 2 2 5" xfId="14082"/>
    <cellStyle name="Input 51 2 2 6" xfId="14083"/>
    <cellStyle name="Input 51 2 2 7" xfId="14084"/>
    <cellStyle name="Input 51 2 3" xfId="14085"/>
    <cellStyle name="Input 51 2 3 2" xfId="14086"/>
    <cellStyle name="Input 51 2 3 3" xfId="14087"/>
    <cellStyle name="Input 51 2 3 4" xfId="14088"/>
    <cellStyle name="Input 51 2 3 5" xfId="14089"/>
    <cellStyle name="Input 51 2 3 6" xfId="14090"/>
    <cellStyle name="Input 51 2 3 7" xfId="14091"/>
    <cellStyle name="Input 51 2 4" xfId="14092"/>
    <cellStyle name="Input 51 2 4 2" xfId="14093"/>
    <cellStyle name="Input 51 2 4 3" xfId="14094"/>
    <cellStyle name="Input 51 2 4 4" xfId="14095"/>
    <cellStyle name="Input 51 2 4 5" xfId="14096"/>
    <cellStyle name="Input 51 2 4 6" xfId="14097"/>
    <cellStyle name="Input 51 2 4 7" xfId="14098"/>
    <cellStyle name="Input 51 2 5" xfId="14099"/>
    <cellStyle name="Input 51 2 5 2" xfId="14100"/>
    <cellStyle name="Input 51 2 5 3" xfId="14101"/>
    <cellStyle name="Input 51 2 5 4" xfId="14102"/>
    <cellStyle name="Input 51 2 5 5" xfId="14103"/>
    <cellStyle name="Input 51 2 5 6" xfId="14104"/>
    <cellStyle name="Input 51 2 5 7" xfId="14105"/>
    <cellStyle name="Input 51 2 6" xfId="14106"/>
    <cellStyle name="Input 51 2 6 2" xfId="14107"/>
    <cellStyle name="Input 51 2 6 3" xfId="14108"/>
    <cellStyle name="Input 51 2 6 4" xfId="14109"/>
    <cellStyle name="Input 51 2 6 5" xfId="14110"/>
    <cellStyle name="Input 51 2 6 6" xfId="14111"/>
    <cellStyle name="Input 51 2 6 7" xfId="14112"/>
    <cellStyle name="Input 51 2 7" xfId="14113"/>
    <cellStyle name="Input 51 2 7 2" xfId="14114"/>
    <cellStyle name="Input 51 2 7 3" xfId="14115"/>
    <cellStyle name="Input 51 2 7 4" xfId="14116"/>
    <cellStyle name="Input 51 2 7 5" xfId="14117"/>
    <cellStyle name="Input 51 2 7 6" xfId="14118"/>
    <cellStyle name="Input 51 2 7 7" xfId="14119"/>
    <cellStyle name="Input 51 2 8" xfId="14120"/>
    <cellStyle name="Input 51 2 8 2" xfId="14121"/>
    <cellStyle name="Input 51 2 8 3" xfId="14122"/>
    <cellStyle name="Input 51 2 8 4" xfId="14123"/>
    <cellStyle name="Input 51 2 8 5" xfId="14124"/>
    <cellStyle name="Input 51 2 8 6" xfId="14125"/>
    <cellStyle name="Input 51 2 8 7" xfId="14126"/>
    <cellStyle name="Input 51 2 9" xfId="14127"/>
    <cellStyle name="Input 51 2 9 2" xfId="14128"/>
    <cellStyle name="Input 51 2 9 3" xfId="14129"/>
    <cellStyle name="Input 51 2 9 4" xfId="14130"/>
    <cellStyle name="Input 51 2 9 5" xfId="14131"/>
    <cellStyle name="Input 51 2 9 6" xfId="14132"/>
    <cellStyle name="Input 51 3" xfId="14133"/>
    <cellStyle name="Input 51 3 10" xfId="14134"/>
    <cellStyle name="Input 51 3 10 2" xfId="14135"/>
    <cellStyle name="Input 51 3 10 3" xfId="14136"/>
    <cellStyle name="Input 51 3 10 4" xfId="14137"/>
    <cellStyle name="Input 51 3 10 5" xfId="14138"/>
    <cellStyle name="Input 51 3 10 6" xfId="14139"/>
    <cellStyle name="Input 51 3 11" xfId="14140"/>
    <cellStyle name="Input 51 3 12" xfId="14141"/>
    <cellStyle name="Input 51 3 13" xfId="14142"/>
    <cellStyle name="Input 51 3 14" xfId="14143"/>
    <cellStyle name="Input 51 3 2" xfId="14144"/>
    <cellStyle name="Input 51 3 2 2" xfId="14145"/>
    <cellStyle name="Input 51 3 2 3" xfId="14146"/>
    <cellStyle name="Input 51 3 2 4" xfId="14147"/>
    <cellStyle name="Input 51 3 2 5" xfId="14148"/>
    <cellStyle name="Input 51 3 2 6" xfId="14149"/>
    <cellStyle name="Input 51 3 2 7" xfId="14150"/>
    <cellStyle name="Input 51 3 3" xfId="14151"/>
    <cellStyle name="Input 51 3 3 2" xfId="14152"/>
    <cellStyle name="Input 51 3 3 3" xfId="14153"/>
    <cellStyle name="Input 51 3 3 4" xfId="14154"/>
    <cellStyle name="Input 51 3 3 5" xfId="14155"/>
    <cellStyle name="Input 51 3 3 6" xfId="14156"/>
    <cellStyle name="Input 51 3 3 7" xfId="14157"/>
    <cellStyle name="Input 51 3 4" xfId="14158"/>
    <cellStyle name="Input 51 3 4 2" xfId="14159"/>
    <cellStyle name="Input 51 3 4 3" xfId="14160"/>
    <cellStyle name="Input 51 3 4 4" xfId="14161"/>
    <cellStyle name="Input 51 3 4 5" xfId="14162"/>
    <cellStyle name="Input 51 3 4 6" xfId="14163"/>
    <cellStyle name="Input 51 3 4 7" xfId="14164"/>
    <cellStyle name="Input 51 3 5" xfId="14165"/>
    <cellStyle name="Input 51 3 5 2" xfId="14166"/>
    <cellStyle name="Input 51 3 5 3" xfId="14167"/>
    <cellStyle name="Input 51 3 5 4" xfId="14168"/>
    <cellStyle name="Input 51 3 5 5" xfId="14169"/>
    <cellStyle name="Input 51 3 5 6" xfId="14170"/>
    <cellStyle name="Input 51 3 5 7" xfId="14171"/>
    <cellStyle name="Input 51 3 6" xfId="14172"/>
    <cellStyle name="Input 51 3 6 2" xfId="14173"/>
    <cellStyle name="Input 51 3 6 3" xfId="14174"/>
    <cellStyle name="Input 51 3 6 4" xfId="14175"/>
    <cellStyle name="Input 51 3 6 5" xfId="14176"/>
    <cellStyle name="Input 51 3 6 6" xfId="14177"/>
    <cellStyle name="Input 51 3 6 7" xfId="14178"/>
    <cellStyle name="Input 51 3 7" xfId="14179"/>
    <cellStyle name="Input 51 3 7 2" xfId="14180"/>
    <cellStyle name="Input 51 3 7 3" xfId="14181"/>
    <cellStyle name="Input 51 3 7 4" xfId="14182"/>
    <cellStyle name="Input 51 3 7 5" xfId="14183"/>
    <cellStyle name="Input 51 3 7 6" xfId="14184"/>
    <cellStyle name="Input 51 3 7 7" xfId="14185"/>
    <cellStyle name="Input 51 3 8" xfId="14186"/>
    <cellStyle name="Input 51 3 8 2" xfId="14187"/>
    <cellStyle name="Input 51 3 8 3" xfId="14188"/>
    <cellStyle name="Input 51 3 8 4" xfId="14189"/>
    <cellStyle name="Input 51 3 8 5" xfId="14190"/>
    <cellStyle name="Input 51 3 8 6" xfId="14191"/>
    <cellStyle name="Input 51 3 8 7" xfId="14192"/>
    <cellStyle name="Input 51 3 9" xfId="14193"/>
    <cellStyle name="Input 51 3 9 2" xfId="14194"/>
    <cellStyle name="Input 51 3 9 3" xfId="14195"/>
    <cellStyle name="Input 51 3 9 4" xfId="14196"/>
    <cellStyle name="Input 51 3 9 5" xfId="14197"/>
    <cellStyle name="Input 51 3 9 6" xfId="14198"/>
    <cellStyle name="Input 51 4" xfId="14199"/>
    <cellStyle name="Input 51 4 2" xfId="14200"/>
    <cellStyle name="Input 51 4 3" xfId="14201"/>
    <cellStyle name="Input 51 4 4" xfId="14202"/>
    <cellStyle name="Input 51 4 5" xfId="14203"/>
    <cellStyle name="Input 51 4 6" xfId="14204"/>
    <cellStyle name="Input 51 4 7" xfId="14205"/>
    <cellStyle name="Input 51 5" xfId="14206"/>
    <cellStyle name="Input 51 5 2" xfId="14207"/>
    <cellStyle name="Input 51 5 3" xfId="14208"/>
    <cellStyle name="Input 51 5 4" xfId="14209"/>
    <cellStyle name="Input 51 5 5" xfId="14210"/>
    <cellStyle name="Input 51 5 6" xfId="14211"/>
    <cellStyle name="Input 51 5 7" xfId="14212"/>
    <cellStyle name="Input 51 6" xfId="14213"/>
    <cellStyle name="Input 51 6 2" xfId="14214"/>
    <cellStyle name="Input 51 6 3" xfId="14215"/>
    <cellStyle name="Input 51 6 4" xfId="14216"/>
    <cellStyle name="Input 51 6 5" xfId="14217"/>
    <cellStyle name="Input 51 6 6" xfId="14218"/>
    <cellStyle name="Input 51 6 7" xfId="14219"/>
    <cellStyle name="Input 51 7" xfId="14220"/>
    <cellStyle name="Input 51 7 2" xfId="14221"/>
    <cellStyle name="Input 51 7 3" xfId="14222"/>
    <cellStyle name="Input 51 7 4" xfId="14223"/>
    <cellStyle name="Input 51 7 5" xfId="14224"/>
    <cellStyle name="Input 51 7 6" xfId="14225"/>
    <cellStyle name="Input 51 7 7" xfId="14226"/>
    <cellStyle name="Input 51 8" xfId="14227"/>
    <cellStyle name="Input 51 8 2" xfId="14228"/>
    <cellStyle name="Input 51 8 3" xfId="14229"/>
    <cellStyle name="Input 51 8 4" xfId="14230"/>
    <cellStyle name="Input 51 8 5" xfId="14231"/>
    <cellStyle name="Input 51 8 6" xfId="14232"/>
    <cellStyle name="Input 51 8 7" xfId="14233"/>
    <cellStyle name="Input 51 9" xfId="14234"/>
    <cellStyle name="Input 51 9 2" xfId="14235"/>
    <cellStyle name="Input 51 9 3" xfId="14236"/>
    <cellStyle name="Input 51 9 4" xfId="14237"/>
    <cellStyle name="Input 51 9 5" xfId="14238"/>
    <cellStyle name="Input 51 9 6" xfId="14239"/>
    <cellStyle name="Input 51 9 7" xfId="14240"/>
    <cellStyle name="Input 52" xfId="14241"/>
    <cellStyle name="Input 52 10" xfId="14242"/>
    <cellStyle name="Input 52 10 2" xfId="14243"/>
    <cellStyle name="Input 52 10 3" xfId="14244"/>
    <cellStyle name="Input 52 10 4" xfId="14245"/>
    <cellStyle name="Input 52 10 5" xfId="14246"/>
    <cellStyle name="Input 52 10 6" xfId="14247"/>
    <cellStyle name="Input 52 10 7" xfId="14248"/>
    <cellStyle name="Input 52 11" xfId="14249"/>
    <cellStyle name="Input 52 11 2" xfId="14250"/>
    <cellStyle name="Input 52 11 3" xfId="14251"/>
    <cellStyle name="Input 52 11 4" xfId="14252"/>
    <cellStyle name="Input 52 11 5" xfId="14253"/>
    <cellStyle name="Input 52 11 6" xfId="14254"/>
    <cellStyle name="Input 52 12" xfId="14255"/>
    <cellStyle name="Input 52 12 2" xfId="14256"/>
    <cellStyle name="Input 52 12 3" xfId="14257"/>
    <cellStyle name="Input 52 12 4" xfId="14258"/>
    <cellStyle name="Input 52 12 5" xfId="14259"/>
    <cellStyle name="Input 52 12 6" xfId="14260"/>
    <cellStyle name="Input 52 13" xfId="14261"/>
    <cellStyle name="Input 52 14" xfId="14262"/>
    <cellStyle name="Input 52 15" xfId="14263"/>
    <cellStyle name="Input 52 16" xfId="14264"/>
    <cellStyle name="Input 52 2" xfId="14265"/>
    <cellStyle name="Input 52 2 10" xfId="14266"/>
    <cellStyle name="Input 52 2 10 2" xfId="14267"/>
    <cellStyle name="Input 52 2 10 3" xfId="14268"/>
    <cellStyle name="Input 52 2 10 4" xfId="14269"/>
    <cellStyle name="Input 52 2 10 5" xfId="14270"/>
    <cellStyle name="Input 52 2 10 6" xfId="14271"/>
    <cellStyle name="Input 52 2 11" xfId="14272"/>
    <cellStyle name="Input 52 2 12" xfId="14273"/>
    <cellStyle name="Input 52 2 13" xfId="14274"/>
    <cellStyle name="Input 52 2 14" xfId="14275"/>
    <cellStyle name="Input 52 2 2" xfId="14276"/>
    <cellStyle name="Input 52 2 2 2" xfId="14277"/>
    <cellStyle name="Input 52 2 2 3" xfId="14278"/>
    <cellStyle name="Input 52 2 2 4" xfId="14279"/>
    <cellStyle name="Input 52 2 2 5" xfId="14280"/>
    <cellStyle name="Input 52 2 2 6" xfId="14281"/>
    <cellStyle name="Input 52 2 2 7" xfId="14282"/>
    <cellStyle name="Input 52 2 3" xfId="14283"/>
    <cellStyle name="Input 52 2 3 2" xfId="14284"/>
    <cellStyle name="Input 52 2 3 3" xfId="14285"/>
    <cellStyle name="Input 52 2 3 4" xfId="14286"/>
    <cellStyle name="Input 52 2 3 5" xfId="14287"/>
    <cellStyle name="Input 52 2 3 6" xfId="14288"/>
    <cellStyle name="Input 52 2 3 7" xfId="14289"/>
    <cellStyle name="Input 52 2 4" xfId="14290"/>
    <cellStyle name="Input 52 2 4 2" xfId="14291"/>
    <cellStyle name="Input 52 2 4 3" xfId="14292"/>
    <cellStyle name="Input 52 2 4 4" xfId="14293"/>
    <cellStyle name="Input 52 2 4 5" xfId="14294"/>
    <cellStyle name="Input 52 2 4 6" xfId="14295"/>
    <cellStyle name="Input 52 2 4 7" xfId="14296"/>
    <cellStyle name="Input 52 2 5" xfId="14297"/>
    <cellStyle name="Input 52 2 5 2" xfId="14298"/>
    <cellStyle name="Input 52 2 5 3" xfId="14299"/>
    <cellStyle name="Input 52 2 5 4" xfId="14300"/>
    <cellStyle name="Input 52 2 5 5" xfId="14301"/>
    <cellStyle name="Input 52 2 5 6" xfId="14302"/>
    <cellStyle name="Input 52 2 5 7" xfId="14303"/>
    <cellStyle name="Input 52 2 6" xfId="14304"/>
    <cellStyle name="Input 52 2 6 2" xfId="14305"/>
    <cellStyle name="Input 52 2 6 3" xfId="14306"/>
    <cellStyle name="Input 52 2 6 4" xfId="14307"/>
    <cellStyle name="Input 52 2 6 5" xfId="14308"/>
    <cellStyle name="Input 52 2 6 6" xfId="14309"/>
    <cellStyle name="Input 52 2 6 7" xfId="14310"/>
    <cellStyle name="Input 52 2 7" xfId="14311"/>
    <cellStyle name="Input 52 2 7 2" xfId="14312"/>
    <cellStyle name="Input 52 2 7 3" xfId="14313"/>
    <cellStyle name="Input 52 2 7 4" xfId="14314"/>
    <cellStyle name="Input 52 2 7 5" xfId="14315"/>
    <cellStyle name="Input 52 2 7 6" xfId="14316"/>
    <cellStyle name="Input 52 2 7 7" xfId="14317"/>
    <cellStyle name="Input 52 2 8" xfId="14318"/>
    <cellStyle name="Input 52 2 8 2" xfId="14319"/>
    <cellStyle name="Input 52 2 8 3" xfId="14320"/>
    <cellStyle name="Input 52 2 8 4" xfId="14321"/>
    <cellStyle name="Input 52 2 8 5" xfId="14322"/>
    <cellStyle name="Input 52 2 8 6" xfId="14323"/>
    <cellStyle name="Input 52 2 8 7" xfId="14324"/>
    <cellStyle name="Input 52 2 9" xfId="14325"/>
    <cellStyle name="Input 52 2 9 2" xfId="14326"/>
    <cellStyle name="Input 52 2 9 3" xfId="14327"/>
    <cellStyle name="Input 52 2 9 4" xfId="14328"/>
    <cellStyle name="Input 52 2 9 5" xfId="14329"/>
    <cellStyle name="Input 52 2 9 6" xfId="14330"/>
    <cellStyle name="Input 52 3" xfId="14331"/>
    <cellStyle name="Input 52 3 10" xfId="14332"/>
    <cellStyle name="Input 52 3 10 2" xfId="14333"/>
    <cellStyle name="Input 52 3 10 3" xfId="14334"/>
    <cellStyle name="Input 52 3 10 4" xfId="14335"/>
    <cellStyle name="Input 52 3 10 5" xfId="14336"/>
    <cellStyle name="Input 52 3 10 6" xfId="14337"/>
    <cellStyle name="Input 52 3 11" xfId="14338"/>
    <cellStyle name="Input 52 3 12" xfId="14339"/>
    <cellStyle name="Input 52 3 13" xfId="14340"/>
    <cellStyle name="Input 52 3 14" xfId="14341"/>
    <cellStyle name="Input 52 3 2" xfId="14342"/>
    <cellStyle name="Input 52 3 2 2" xfId="14343"/>
    <cellStyle name="Input 52 3 2 3" xfId="14344"/>
    <cellStyle name="Input 52 3 2 4" xfId="14345"/>
    <cellStyle name="Input 52 3 2 5" xfId="14346"/>
    <cellStyle name="Input 52 3 2 6" xfId="14347"/>
    <cellStyle name="Input 52 3 2 7" xfId="14348"/>
    <cellStyle name="Input 52 3 3" xfId="14349"/>
    <cellStyle name="Input 52 3 3 2" xfId="14350"/>
    <cellStyle name="Input 52 3 3 3" xfId="14351"/>
    <cellStyle name="Input 52 3 3 4" xfId="14352"/>
    <cellStyle name="Input 52 3 3 5" xfId="14353"/>
    <cellStyle name="Input 52 3 3 6" xfId="14354"/>
    <cellStyle name="Input 52 3 3 7" xfId="14355"/>
    <cellStyle name="Input 52 3 4" xfId="14356"/>
    <cellStyle name="Input 52 3 4 2" xfId="14357"/>
    <cellStyle name="Input 52 3 4 3" xfId="14358"/>
    <cellStyle name="Input 52 3 4 4" xfId="14359"/>
    <cellStyle name="Input 52 3 4 5" xfId="14360"/>
    <cellStyle name="Input 52 3 4 6" xfId="14361"/>
    <cellStyle name="Input 52 3 4 7" xfId="14362"/>
    <cellStyle name="Input 52 3 5" xfId="14363"/>
    <cellStyle name="Input 52 3 5 2" xfId="14364"/>
    <cellStyle name="Input 52 3 5 3" xfId="14365"/>
    <cellStyle name="Input 52 3 5 4" xfId="14366"/>
    <cellStyle name="Input 52 3 5 5" xfId="14367"/>
    <cellStyle name="Input 52 3 5 6" xfId="14368"/>
    <cellStyle name="Input 52 3 5 7" xfId="14369"/>
    <cellStyle name="Input 52 3 6" xfId="14370"/>
    <cellStyle name="Input 52 3 6 2" xfId="14371"/>
    <cellStyle name="Input 52 3 6 3" xfId="14372"/>
    <cellStyle name="Input 52 3 6 4" xfId="14373"/>
    <cellStyle name="Input 52 3 6 5" xfId="14374"/>
    <cellStyle name="Input 52 3 6 6" xfId="14375"/>
    <cellStyle name="Input 52 3 6 7" xfId="14376"/>
    <cellStyle name="Input 52 3 7" xfId="14377"/>
    <cellStyle name="Input 52 3 7 2" xfId="14378"/>
    <cellStyle name="Input 52 3 7 3" xfId="14379"/>
    <cellStyle name="Input 52 3 7 4" xfId="14380"/>
    <cellStyle name="Input 52 3 7 5" xfId="14381"/>
    <cellStyle name="Input 52 3 7 6" xfId="14382"/>
    <cellStyle name="Input 52 3 7 7" xfId="14383"/>
    <cellStyle name="Input 52 3 8" xfId="14384"/>
    <cellStyle name="Input 52 3 8 2" xfId="14385"/>
    <cellStyle name="Input 52 3 8 3" xfId="14386"/>
    <cellStyle name="Input 52 3 8 4" xfId="14387"/>
    <cellStyle name="Input 52 3 8 5" xfId="14388"/>
    <cellStyle name="Input 52 3 8 6" xfId="14389"/>
    <cellStyle name="Input 52 3 8 7" xfId="14390"/>
    <cellStyle name="Input 52 3 9" xfId="14391"/>
    <cellStyle name="Input 52 3 9 2" xfId="14392"/>
    <cellStyle name="Input 52 3 9 3" xfId="14393"/>
    <cellStyle name="Input 52 3 9 4" xfId="14394"/>
    <cellStyle name="Input 52 3 9 5" xfId="14395"/>
    <cellStyle name="Input 52 3 9 6" xfId="14396"/>
    <cellStyle name="Input 52 4" xfId="14397"/>
    <cellStyle name="Input 52 4 2" xfId="14398"/>
    <cellStyle name="Input 52 4 3" xfId="14399"/>
    <cellStyle name="Input 52 4 4" xfId="14400"/>
    <cellStyle name="Input 52 4 5" xfId="14401"/>
    <cellStyle name="Input 52 4 6" xfId="14402"/>
    <cellStyle name="Input 52 4 7" xfId="14403"/>
    <cellStyle name="Input 52 5" xfId="14404"/>
    <cellStyle name="Input 52 5 2" xfId="14405"/>
    <cellStyle name="Input 52 5 3" xfId="14406"/>
    <cellStyle name="Input 52 5 4" xfId="14407"/>
    <cellStyle name="Input 52 5 5" xfId="14408"/>
    <cellStyle name="Input 52 5 6" xfId="14409"/>
    <cellStyle name="Input 52 5 7" xfId="14410"/>
    <cellStyle name="Input 52 6" xfId="14411"/>
    <cellStyle name="Input 52 6 2" xfId="14412"/>
    <cellStyle name="Input 52 6 3" xfId="14413"/>
    <cellStyle name="Input 52 6 4" xfId="14414"/>
    <cellStyle name="Input 52 6 5" xfId="14415"/>
    <cellStyle name="Input 52 6 6" xfId="14416"/>
    <cellStyle name="Input 52 6 7" xfId="14417"/>
    <cellStyle name="Input 52 7" xfId="14418"/>
    <cellStyle name="Input 52 7 2" xfId="14419"/>
    <cellStyle name="Input 52 7 3" xfId="14420"/>
    <cellStyle name="Input 52 7 4" xfId="14421"/>
    <cellStyle name="Input 52 7 5" xfId="14422"/>
    <cellStyle name="Input 52 7 6" xfId="14423"/>
    <cellStyle name="Input 52 7 7" xfId="14424"/>
    <cellStyle name="Input 52 8" xfId="14425"/>
    <cellStyle name="Input 52 8 2" xfId="14426"/>
    <cellStyle name="Input 52 8 3" xfId="14427"/>
    <cellStyle name="Input 52 8 4" xfId="14428"/>
    <cellStyle name="Input 52 8 5" xfId="14429"/>
    <cellStyle name="Input 52 8 6" xfId="14430"/>
    <cellStyle name="Input 52 8 7" xfId="14431"/>
    <cellStyle name="Input 52 9" xfId="14432"/>
    <cellStyle name="Input 52 9 2" xfId="14433"/>
    <cellStyle name="Input 52 9 3" xfId="14434"/>
    <cellStyle name="Input 52 9 4" xfId="14435"/>
    <cellStyle name="Input 52 9 5" xfId="14436"/>
    <cellStyle name="Input 52 9 6" xfId="14437"/>
    <cellStyle name="Input 52 9 7" xfId="14438"/>
    <cellStyle name="Input 53" xfId="14439"/>
    <cellStyle name="Input 53 10" xfId="14440"/>
    <cellStyle name="Input 53 10 2" xfId="14441"/>
    <cellStyle name="Input 53 10 3" xfId="14442"/>
    <cellStyle name="Input 53 10 4" xfId="14443"/>
    <cellStyle name="Input 53 10 5" xfId="14444"/>
    <cellStyle name="Input 53 10 6" xfId="14445"/>
    <cellStyle name="Input 53 10 7" xfId="14446"/>
    <cellStyle name="Input 53 11" xfId="14447"/>
    <cellStyle name="Input 53 11 2" xfId="14448"/>
    <cellStyle name="Input 53 11 3" xfId="14449"/>
    <cellStyle name="Input 53 11 4" xfId="14450"/>
    <cellStyle name="Input 53 11 5" xfId="14451"/>
    <cellStyle name="Input 53 11 6" xfId="14452"/>
    <cellStyle name="Input 53 12" xfId="14453"/>
    <cellStyle name="Input 53 12 2" xfId="14454"/>
    <cellStyle name="Input 53 12 3" xfId="14455"/>
    <cellStyle name="Input 53 12 4" xfId="14456"/>
    <cellStyle name="Input 53 12 5" xfId="14457"/>
    <cellStyle name="Input 53 12 6" xfId="14458"/>
    <cellStyle name="Input 53 13" xfId="14459"/>
    <cellStyle name="Input 53 14" xfId="14460"/>
    <cellStyle name="Input 53 15" xfId="14461"/>
    <cellStyle name="Input 53 16" xfId="14462"/>
    <cellStyle name="Input 53 2" xfId="14463"/>
    <cellStyle name="Input 53 2 10" xfId="14464"/>
    <cellStyle name="Input 53 2 10 2" xfId="14465"/>
    <cellStyle name="Input 53 2 10 3" xfId="14466"/>
    <cellStyle name="Input 53 2 10 4" xfId="14467"/>
    <cellStyle name="Input 53 2 10 5" xfId="14468"/>
    <cellStyle name="Input 53 2 10 6" xfId="14469"/>
    <cellStyle name="Input 53 2 11" xfId="14470"/>
    <cellStyle name="Input 53 2 12" xfId="14471"/>
    <cellStyle name="Input 53 2 13" xfId="14472"/>
    <cellStyle name="Input 53 2 14" xfId="14473"/>
    <cellStyle name="Input 53 2 2" xfId="14474"/>
    <cellStyle name="Input 53 2 2 2" xfId="14475"/>
    <cellStyle name="Input 53 2 2 3" xfId="14476"/>
    <cellStyle name="Input 53 2 2 4" xfId="14477"/>
    <cellStyle name="Input 53 2 2 5" xfId="14478"/>
    <cellStyle name="Input 53 2 2 6" xfId="14479"/>
    <cellStyle name="Input 53 2 2 7" xfId="14480"/>
    <cellStyle name="Input 53 2 3" xfId="14481"/>
    <cellStyle name="Input 53 2 3 2" xfId="14482"/>
    <cellStyle name="Input 53 2 3 3" xfId="14483"/>
    <cellStyle name="Input 53 2 3 4" xfId="14484"/>
    <cellStyle name="Input 53 2 3 5" xfId="14485"/>
    <cellStyle name="Input 53 2 3 6" xfId="14486"/>
    <cellStyle name="Input 53 2 3 7" xfId="14487"/>
    <cellStyle name="Input 53 2 4" xfId="14488"/>
    <cellStyle name="Input 53 2 4 2" xfId="14489"/>
    <cellStyle name="Input 53 2 4 3" xfId="14490"/>
    <cellStyle name="Input 53 2 4 4" xfId="14491"/>
    <cellStyle name="Input 53 2 4 5" xfId="14492"/>
    <cellStyle name="Input 53 2 4 6" xfId="14493"/>
    <cellStyle name="Input 53 2 4 7" xfId="14494"/>
    <cellStyle name="Input 53 2 5" xfId="14495"/>
    <cellStyle name="Input 53 2 5 2" xfId="14496"/>
    <cellStyle name="Input 53 2 5 3" xfId="14497"/>
    <cellStyle name="Input 53 2 5 4" xfId="14498"/>
    <cellStyle name="Input 53 2 5 5" xfId="14499"/>
    <cellStyle name="Input 53 2 5 6" xfId="14500"/>
    <cellStyle name="Input 53 2 5 7" xfId="14501"/>
    <cellStyle name="Input 53 2 6" xfId="14502"/>
    <cellStyle name="Input 53 2 6 2" xfId="14503"/>
    <cellStyle name="Input 53 2 6 3" xfId="14504"/>
    <cellStyle name="Input 53 2 6 4" xfId="14505"/>
    <cellStyle name="Input 53 2 6 5" xfId="14506"/>
    <cellStyle name="Input 53 2 6 6" xfId="14507"/>
    <cellStyle name="Input 53 2 6 7" xfId="14508"/>
    <cellStyle name="Input 53 2 7" xfId="14509"/>
    <cellStyle name="Input 53 2 7 2" xfId="14510"/>
    <cellStyle name="Input 53 2 7 3" xfId="14511"/>
    <cellStyle name="Input 53 2 7 4" xfId="14512"/>
    <cellStyle name="Input 53 2 7 5" xfId="14513"/>
    <cellStyle name="Input 53 2 7 6" xfId="14514"/>
    <cellStyle name="Input 53 2 7 7" xfId="14515"/>
    <cellStyle name="Input 53 2 8" xfId="14516"/>
    <cellStyle name="Input 53 2 8 2" xfId="14517"/>
    <cellStyle name="Input 53 2 8 3" xfId="14518"/>
    <cellStyle name="Input 53 2 8 4" xfId="14519"/>
    <cellStyle name="Input 53 2 8 5" xfId="14520"/>
    <cellStyle name="Input 53 2 8 6" xfId="14521"/>
    <cellStyle name="Input 53 2 8 7" xfId="14522"/>
    <cellStyle name="Input 53 2 9" xfId="14523"/>
    <cellStyle name="Input 53 2 9 2" xfId="14524"/>
    <cellStyle name="Input 53 2 9 3" xfId="14525"/>
    <cellStyle name="Input 53 2 9 4" xfId="14526"/>
    <cellStyle name="Input 53 2 9 5" xfId="14527"/>
    <cellStyle name="Input 53 2 9 6" xfId="14528"/>
    <cellStyle name="Input 53 3" xfId="14529"/>
    <cellStyle name="Input 53 3 10" xfId="14530"/>
    <cellStyle name="Input 53 3 10 2" xfId="14531"/>
    <cellStyle name="Input 53 3 10 3" xfId="14532"/>
    <cellStyle name="Input 53 3 10 4" xfId="14533"/>
    <cellStyle name="Input 53 3 10 5" xfId="14534"/>
    <cellStyle name="Input 53 3 10 6" xfId="14535"/>
    <cellStyle name="Input 53 3 11" xfId="14536"/>
    <cellStyle name="Input 53 3 12" xfId="14537"/>
    <cellStyle name="Input 53 3 13" xfId="14538"/>
    <cellStyle name="Input 53 3 14" xfId="14539"/>
    <cellStyle name="Input 53 3 2" xfId="14540"/>
    <cellStyle name="Input 53 3 2 2" xfId="14541"/>
    <cellStyle name="Input 53 3 2 3" xfId="14542"/>
    <cellStyle name="Input 53 3 2 4" xfId="14543"/>
    <cellStyle name="Input 53 3 2 5" xfId="14544"/>
    <cellStyle name="Input 53 3 2 6" xfId="14545"/>
    <cellStyle name="Input 53 3 2 7" xfId="14546"/>
    <cellStyle name="Input 53 3 3" xfId="14547"/>
    <cellStyle name="Input 53 3 3 2" xfId="14548"/>
    <cellStyle name="Input 53 3 3 3" xfId="14549"/>
    <cellStyle name="Input 53 3 3 4" xfId="14550"/>
    <cellStyle name="Input 53 3 3 5" xfId="14551"/>
    <cellStyle name="Input 53 3 3 6" xfId="14552"/>
    <cellStyle name="Input 53 3 3 7" xfId="14553"/>
    <cellStyle name="Input 53 3 4" xfId="14554"/>
    <cellStyle name="Input 53 3 4 2" xfId="14555"/>
    <cellStyle name="Input 53 3 4 3" xfId="14556"/>
    <cellStyle name="Input 53 3 4 4" xfId="14557"/>
    <cellStyle name="Input 53 3 4 5" xfId="14558"/>
    <cellStyle name="Input 53 3 4 6" xfId="14559"/>
    <cellStyle name="Input 53 3 4 7" xfId="14560"/>
    <cellStyle name="Input 53 3 5" xfId="14561"/>
    <cellStyle name="Input 53 3 5 2" xfId="14562"/>
    <cellStyle name="Input 53 3 5 3" xfId="14563"/>
    <cellStyle name="Input 53 3 5 4" xfId="14564"/>
    <cellStyle name="Input 53 3 5 5" xfId="14565"/>
    <cellStyle name="Input 53 3 5 6" xfId="14566"/>
    <cellStyle name="Input 53 3 5 7" xfId="14567"/>
    <cellStyle name="Input 53 3 6" xfId="14568"/>
    <cellStyle name="Input 53 3 6 2" xfId="14569"/>
    <cellStyle name="Input 53 3 6 3" xfId="14570"/>
    <cellStyle name="Input 53 3 6 4" xfId="14571"/>
    <cellStyle name="Input 53 3 6 5" xfId="14572"/>
    <cellStyle name="Input 53 3 6 6" xfId="14573"/>
    <cellStyle name="Input 53 3 6 7" xfId="14574"/>
    <cellStyle name="Input 53 3 7" xfId="14575"/>
    <cellStyle name="Input 53 3 7 2" xfId="14576"/>
    <cellStyle name="Input 53 3 7 3" xfId="14577"/>
    <cellStyle name="Input 53 3 7 4" xfId="14578"/>
    <cellStyle name="Input 53 3 7 5" xfId="14579"/>
    <cellStyle name="Input 53 3 7 6" xfId="14580"/>
    <cellStyle name="Input 53 3 7 7" xfId="14581"/>
    <cellStyle name="Input 53 3 8" xfId="14582"/>
    <cellStyle name="Input 53 3 8 2" xfId="14583"/>
    <cellStyle name="Input 53 3 8 3" xfId="14584"/>
    <cellStyle name="Input 53 3 8 4" xfId="14585"/>
    <cellStyle name="Input 53 3 8 5" xfId="14586"/>
    <cellStyle name="Input 53 3 8 6" xfId="14587"/>
    <cellStyle name="Input 53 3 8 7" xfId="14588"/>
    <cellStyle name="Input 53 3 9" xfId="14589"/>
    <cellStyle name="Input 53 3 9 2" xfId="14590"/>
    <cellStyle name="Input 53 3 9 3" xfId="14591"/>
    <cellStyle name="Input 53 3 9 4" xfId="14592"/>
    <cellStyle name="Input 53 3 9 5" xfId="14593"/>
    <cellStyle name="Input 53 3 9 6" xfId="14594"/>
    <cellStyle name="Input 53 4" xfId="14595"/>
    <cellStyle name="Input 53 4 2" xfId="14596"/>
    <cellStyle name="Input 53 4 3" xfId="14597"/>
    <cellStyle name="Input 53 4 4" xfId="14598"/>
    <cellStyle name="Input 53 4 5" xfId="14599"/>
    <cellStyle name="Input 53 4 6" xfId="14600"/>
    <cellStyle name="Input 53 4 7" xfId="14601"/>
    <cellStyle name="Input 53 5" xfId="14602"/>
    <cellStyle name="Input 53 5 2" xfId="14603"/>
    <cellStyle name="Input 53 5 3" xfId="14604"/>
    <cellStyle name="Input 53 5 4" xfId="14605"/>
    <cellStyle name="Input 53 5 5" xfId="14606"/>
    <cellStyle name="Input 53 5 6" xfId="14607"/>
    <cellStyle name="Input 53 5 7" xfId="14608"/>
    <cellStyle name="Input 53 6" xfId="14609"/>
    <cellStyle name="Input 53 6 2" xfId="14610"/>
    <cellStyle name="Input 53 6 3" xfId="14611"/>
    <cellStyle name="Input 53 6 4" xfId="14612"/>
    <cellStyle name="Input 53 6 5" xfId="14613"/>
    <cellStyle name="Input 53 6 6" xfId="14614"/>
    <cellStyle name="Input 53 6 7" xfId="14615"/>
    <cellStyle name="Input 53 7" xfId="14616"/>
    <cellStyle name="Input 53 7 2" xfId="14617"/>
    <cellStyle name="Input 53 7 3" xfId="14618"/>
    <cellStyle name="Input 53 7 4" xfId="14619"/>
    <cellStyle name="Input 53 7 5" xfId="14620"/>
    <cellStyle name="Input 53 7 6" xfId="14621"/>
    <cellStyle name="Input 53 7 7" xfId="14622"/>
    <cellStyle name="Input 53 8" xfId="14623"/>
    <cellStyle name="Input 53 8 2" xfId="14624"/>
    <cellStyle name="Input 53 8 3" xfId="14625"/>
    <cellStyle name="Input 53 8 4" xfId="14626"/>
    <cellStyle name="Input 53 8 5" xfId="14627"/>
    <cellStyle name="Input 53 8 6" xfId="14628"/>
    <cellStyle name="Input 53 8 7" xfId="14629"/>
    <cellStyle name="Input 53 9" xfId="14630"/>
    <cellStyle name="Input 53 9 2" xfId="14631"/>
    <cellStyle name="Input 53 9 3" xfId="14632"/>
    <cellStyle name="Input 53 9 4" xfId="14633"/>
    <cellStyle name="Input 53 9 5" xfId="14634"/>
    <cellStyle name="Input 53 9 6" xfId="14635"/>
    <cellStyle name="Input 53 9 7" xfId="14636"/>
    <cellStyle name="Input 54" xfId="14637"/>
    <cellStyle name="Input 54 10" xfId="14638"/>
    <cellStyle name="Input 54 10 2" xfId="14639"/>
    <cellStyle name="Input 54 10 3" xfId="14640"/>
    <cellStyle name="Input 54 10 4" xfId="14641"/>
    <cellStyle name="Input 54 10 5" xfId="14642"/>
    <cellStyle name="Input 54 10 6" xfId="14643"/>
    <cellStyle name="Input 54 10 7" xfId="14644"/>
    <cellStyle name="Input 54 11" xfId="14645"/>
    <cellStyle name="Input 54 11 2" xfId="14646"/>
    <cellStyle name="Input 54 11 3" xfId="14647"/>
    <cellStyle name="Input 54 11 4" xfId="14648"/>
    <cellStyle name="Input 54 11 5" xfId="14649"/>
    <cellStyle name="Input 54 11 6" xfId="14650"/>
    <cellStyle name="Input 54 12" xfId="14651"/>
    <cellStyle name="Input 54 12 2" xfId="14652"/>
    <cellStyle name="Input 54 12 3" xfId="14653"/>
    <cellStyle name="Input 54 12 4" xfId="14654"/>
    <cellStyle name="Input 54 12 5" xfId="14655"/>
    <cellStyle name="Input 54 12 6" xfId="14656"/>
    <cellStyle name="Input 54 13" xfId="14657"/>
    <cellStyle name="Input 54 14" xfId="14658"/>
    <cellStyle name="Input 54 15" xfId="14659"/>
    <cellStyle name="Input 54 16" xfId="14660"/>
    <cellStyle name="Input 54 2" xfId="14661"/>
    <cellStyle name="Input 54 2 10" xfId="14662"/>
    <cellStyle name="Input 54 2 10 2" xfId="14663"/>
    <cellStyle name="Input 54 2 10 3" xfId="14664"/>
    <cellStyle name="Input 54 2 10 4" xfId="14665"/>
    <cellStyle name="Input 54 2 10 5" xfId="14666"/>
    <cellStyle name="Input 54 2 10 6" xfId="14667"/>
    <cellStyle name="Input 54 2 11" xfId="14668"/>
    <cellStyle name="Input 54 2 12" xfId="14669"/>
    <cellStyle name="Input 54 2 13" xfId="14670"/>
    <cellStyle name="Input 54 2 14" xfId="14671"/>
    <cellStyle name="Input 54 2 2" xfId="14672"/>
    <cellStyle name="Input 54 2 2 2" xfId="14673"/>
    <cellStyle name="Input 54 2 2 3" xfId="14674"/>
    <cellStyle name="Input 54 2 2 4" xfId="14675"/>
    <cellStyle name="Input 54 2 2 5" xfId="14676"/>
    <cellStyle name="Input 54 2 2 6" xfId="14677"/>
    <cellStyle name="Input 54 2 2 7" xfId="14678"/>
    <cellStyle name="Input 54 2 3" xfId="14679"/>
    <cellStyle name="Input 54 2 3 2" xfId="14680"/>
    <cellStyle name="Input 54 2 3 3" xfId="14681"/>
    <cellStyle name="Input 54 2 3 4" xfId="14682"/>
    <cellStyle name="Input 54 2 3 5" xfId="14683"/>
    <cellStyle name="Input 54 2 3 6" xfId="14684"/>
    <cellStyle name="Input 54 2 3 7" xfId="14685"/>
    <cellStyle name="Input 54 2 4" xfId="14686"/>
    <cellStyle name="Input 54 2 4 2" xfId="14687"/>
    <cellStyle name="Input 54 2 4 3" xfId="14688"/>
    <cellStyle name="Input 54 2 4 4" xfId="14689"/>
    <cellStyle name="Input 54 2 4 5" xfId="14690"/>
    <cellStyle name="Input 54 2 4 6" xfId="14691"/>
    <cellStyle name="Input 54 2 4 7" xfId="14692"/>
    <cellStyle name="Input 54 2 5" xfId="14693"/>
    <cellStyle name="Input 54 2 5 2" xfId="14694"/>
    <cellStyle name="Input 54 2 5 3" xfId="14695"/>
    <cellStyle name="Input 54 2 5 4" xfId="14696"/>
    <cellStyle name="Input 54 2 5 5" xfId="14697"/>
    <cellStyle name="Input 54 2 5 6" xfId="14698"/>
    <cellStyle name="Input 54 2 5 7" xfId="14699"/>
    <cellStyle name="Input 54 2 6" xfId="14700"/>
    <cellStyle name="Input 54 2 6 2" xfId="14701"/>
    <cellStyle name="Input 54 2 6 3" xfId="14702"/>
    <cellStyle name="Input 54 2 6 4" xfId="14703"/>
    <cellStyle name="Input 54 2 6 5" xfId="14704"/>
    <cellStyle name="Input 54 2 6 6" xfId="14705"/>
    <cellStyle name="Input 54 2 6 7" xfId="14706"/>
    <cellStyle name="Input 54 2 7" xfId="14707"/>
    <cellStyle name="Input 54 2 7 2" xfId="14708"/>
    <cellStyle name="Input 54 2 7 3" xfId="14709"/>
    <cellStyle name="Input 54 2 7 4" xfId="14710"/>
    <cellStyle name="Input 54 2 7 5" xfId="14711"/>
    <cellStyle name="Input 54 2 7 6" xfId="14712"/>
    <cellStyle name="Input 54 2 7 7" xfId="14713"/>
    <cellStyle name="Input 54 2 8" xfId="14714"/>
    <cellStyle name="Input 54 2 8 2" xfId="14715"/>
    <cellStyle name="Input 54 2 8 3" xfId="14716"/>
    <cellStyle name="Input 54 2 8 4" xfId="14717"/>
    <cellStyle name="Input 54 2 8 5" xfId="14718"/>
    <cellStyle name="Input 54 2 8 6" xfId="14719"/>
    <cellStyle name="Input 54 2 8 7" xfId="14720"/>
    <cellStyle name="Input 54 2 9" xfId="14721"/>
    <cellStyle name="Input 54 2 9 2" xfId="14722"/>
    <cellStyle name="Input 54 2 9 3" xfId="14723"/>
    <cellStyle name="Input 54 2 9 4" xfId="14724"/>
    <cellStyle name="Input 54 2 9 5" xfId="14725"/>
    <cellStyle name="Input 54 2 9 6" xfId="14726"/>
    <cellStyle name="Input 54 3" xfId="14727"/>
    <cellStyle name="Input 54 3 10" xfId="14728"/>
    <cellStyle name="Input 54 3 10 2" xfId="14729"/>
    <cellStyle name="Input 54 3 10 3" xfId="14730"/>
    <cellStyle name="Input 54 3 10 4" xfId="14731"/>
    <cellStyle name="Input 54 3 10 5" xfId="14732"/>
    <cellStyle name="Input 54 3 10 6" xfId="14733"/>
    <cellStyle name="Input 54 3 11" xfId="14734"/>
    <cellStyle name="Input 54 3 12" xfId="14735"/>
    <cellStyle name="Input 54 3 13" xfId="14736"/>
    <cellStyle name="Input 54 3 14" xfId="14737"/>
    <cellStyle name="Input 54 3 2" xfId="14738"/>
    <cellStyle name="Input 54 3 2 2" xfId="14739"/>
    <cellStyle name="Input 54 3 2 3" xfId="14740"/>
    <cellStyle name="Input 54 3 2 4" xfId="14741"/>
    <cellStyle name="Input 54 3 2 5" xfId="14742"/>
    <cellStyle name="Input 54 3 2 6" xfId="14743"/>
    <cellStyle name="Input 54 3 2 7" xfId="14744"/>
    <cellStyle name="Input 54 3 3" xfId="14745"/>
    <cellStyle name="Input 54 3 3 2" xfId="14746"/>
    <cellStyle name="Input 54 3 3 3" xfId="14747"/>
    <cellStyle name="Input 54 3 3 4" xfId="14748"/>
    <cellStyle name="Input 54 3 3 5" xfId="14749"/>
    <cellStyle name="Input 54 3 3 6" xfId="14750"/>
    <cellStyle name="Input 54 3 3 7" xfId="14751"/>
    <cellStyle name="Input 54 3 4" xfId="14752"/>
    <cellStyle name="Input 54 3 4 2" xfId="14753"/>
    <cellStyle name="Input 54 3 4 3" xfId="14754"/>
    <cellStyle name="Input 54 3 4 4" xfId="14755"/>
    <cellStyle name="Input 54 3 4 5" xfId="14756"/>
    <cellStyle name="Input 54 3 4 6" xfId="14757"/>
    <cellStyle name="Input 54 3 4 7" xfId="14758"/>
    <cellStyle name="Input 54 3 5" xfId="14759"/>
    <cellStyle name="Input 54 3 5 2" xfId="14760"/>
    <cellStyle name="Input 54 3 5 3" xfId="14761"/>
    <cellStyle name="Input 54 3 5 4" xfId="14762"/>
    <cellStyle name="Input 54 3 5 5" xfId="14763"/>
    <cellStyle name="Input 54 3 5 6" xfId="14764"/>
    <cellStyle name="Input 54 3 5 7" xfId="14765"/>
    <cellStyle name="Input 54 3 6" xfId="14766"/>
    <cellStyle name="Input 54 3 6 2" xfId="14767"/>
    <cellStyle name="Input 54 3 6 3" xfId="14768"/>
    <cellStyle name="Input 54 3 6 4" xfId="14769"/>
    <cellStyle name="Input 54 3 6 5" xfId="14770"/>
    <cellStyle name="Input 54 3 6 6" xfId="14771"/>
    <cellStyle name="Input 54 3 6 7" xfId="14772"/>
    <cellStyle name="Input 54 3 7" xfId="14773"/>
    <cellStyle name="Input 54 3 7 2" xfId="14774"/>
    <cellStyle name="Input 54 3 7 3" xfId="14775"/>
    <cellStyle name="Input 54 3 7 4" xfId="14776"/>
    <cellStyle name="Input 54 3 7 5" xfId="14777"/>
    <cellStyle name="Input 54 3 7 6" xfId="14778"/>
    <cellStyle name="Input 54 3 7 7" xfId="14779"/>
    <cellStyle name="Input 54 3 8" xfId="14780"/>
    <cellStyle name="Input 54 3 8 2" xfId="14781"/>
    <cellStyle name="Input 54 3 8 3" xfId="14782"/>
    <cellStyle name="Input 54 3 8 4" xfId="14783"/>
    <cellStyle name="Input 54 3 8 5" xfId="14784"/>
    <cellStyle name="Input 54 3 8 6" xfId="14785"/>
    <cellStyle name="Input 54 3 8 7" xfId="14786"/>
    <cellStyle name="Input 54 3 9" xfId="14787"/>
    <cellStyle name="Input 54 3 9 2" xfId="14788"/>
    <cellStyle name="Input 54 3 9 3" xfId="14789"/>
    <cellStyle name="Input 54 3 9 4" xfId="14790"/>
    <cellStyle name="Input 54 3 9 5" xfId="14791"/>
    <cellStyle name="Input 54 3 9 6" xfId="14792"/>
    <cellStyle name="Input 54 4" xfId="14793"/>
    <cellStyle name="Input 54 4 2" xfId="14794"/>
    <cellStyle name="Input 54 4 3" xfId="14795"/>
    <cellStyle name="Input 54 4 4" xfId="14796"/>
    <cellStyle name="Input 54 4 5" xfId="14797"/>
    <cellStyle name="Input 54 4 6" xfId="14798"/>
    <cellStyle name="Input 54 4 7" xfId="14799"/>
    <cellStyle name="Input 54 5" xfId="14800"/>
    <cellStyle name="Input 54 5 2" xfId="14801"/>
    <cellStyle name="Input 54 5 3" xfId="14802"/>
    <cellStyle name="Input 54 5 4" xfId="14803"/>
    <cellStyle name="Input 54 5 5" xfId="14804"/>
    <cellStyle name="Input 54 5 6" xfId="14805"/>
    <cellStyle name="Input 54 5 7" xfId="14806"/>
    <cellStyle name="Input 54 6" xfId="14807"/>
    <cellStyle name="Input 54 6 2" xfId="14808"/>
    <cellStyle name="Input 54 6 3" xfId="14809"/>
    <cellStyle name="Input 54 6 4" xfId="14810"/>
    <cellStyle name="Input 54 6 5" xfId="14811"/>
    <cellStyle name="Input 54 6 6" xfId="14812"/>
    <cellStyle name="Input 54 6 7" xfId="14813"/>
    <cellStyle name="Input 54 7" xfId="14814"/>
    <cellStyle name="Input 54 7 2" xfId="14815"/>
    <cellStyle name="Input 54 7 3" xfId="14816"/>
    <cellStyle name="Input 54 7 4" xfId="14817"/>
    <cellStyle name="Input 54 7 5" xfId="14818"/>
    <cellStyle name="Input 54 7 6" xfId="14819"/>
    <cellStyle name="Input 54 7 7" xfId="14820"/>
    <cellStyle name="Input 54 8" xfId="14821"/>
    <cellStyle name="Input 54 8 2" xfId="14822"/>
    <cellStyle name="Input 54 8 3" xfId="14823"/>
    <cellStyle name="Input 54 8 4" xfId="14824"/>
    <cellStyle name="Input 54 8 5" xfId="14825"/>
    <cellStyle name="Input 54 8 6" xfId="14826"/>
    <cellStyle name="Input 54 8 7" xfId="14827"/>
    <cellStyle name="Input 54 9" xfId="14828"/>
    <cellStyle name="Input 54 9 2" xfId="14829"/>
    <cellStyle name="Input 54 9 3" xfId="14830"/>
    <cellStyle name="Input 54 9 4" xfId="14831"/>
    <cellStyle name="Input 54 9 5" xfId="14832"/>
    <cellStyle name="Input 54 9 6" xfId="14833"/>
    <cellStyle name="Input 54 9 7" xfId="14834"/>
    <cellStyle name="Input 55" xfId="14835"/>
    <cellStyle name="Input 55 10" xfId="14836"/>
    <cellStyle name="Input 55 10 2" xfId="14837"/>
    <cellStyle name="Input 55 10 3" xfId="14838"/>
    <cellStyle name="Input 55 10 4" xfId="14839"/>
    <cellStyle name="Input 55 10 5" xfId="14840"/>
    <cellStyle name="Input 55 10 6" xfId="14841"/>
    <cellStyle name="Input 55 10 7" xfId="14842"/>
    <cellStyle name="Input 55 11" xfId="14843"/>
    <cellStyle name="Input 55 11 2" xfId="14844"/>
    <cellStyle name="Input 55 11 3" xfId="14845"/>
    <cellStyle name="Input 55 11 4" xfId="14846"/>
    <cellStyle name="Input 55 11 5" xfId="14847"/>
    <cellStyle name="Input 55 11 6" xfId="14848"/>
    <cellStyle name="Input 55 12" xfId="14849"/>
    <cellStyle name="Input 55 12 2" xfId="14850"/>
    <cellStyle name="Input 55 12 3" xfId="14851"/>
    <cellStyle name="Input 55 12 4" xfId="14852"/>
    <cellStyle name="Input 55 12 5" xfId="14853"/>
    <cellStyle name="Input 55 12 6" xfId="14854"/>
    <cellStyle name="Input 55 13" xfId="14855"/>
    <cellStyle name="Input 55 14" xfId="14856"/>
    <cellStyle name="Input 55 15" xfId="14857"/>
    <cellStyle name="Input 55 16" xfId="14858"/>
    <cellStyle name="Input 55 2" xfId="14859"/>
    <cellStyle name="Input 55 2 10" xfId="14860"/>
    <cellStyle name="Input 55 2 10 2" xfId="14861"/>
    <cellStyle name="Input 55 2 10 3" xfId="14862"/>
    <cellStyle name="Input 55 2 10 4" xfId="14863"/>
    <cellStyle name="Input 55 2 10 5" xfId="14864"/>
    <cellStyle name="Input 55 2 10 6" xfId="14865"/>
    <cellStyle name="Input 55 2 11" xfId="14866"/>
    <cellStyle name="Input 55 2 12" xfId="14867"/>
    <cellStyle name="Input 55 2 13" xfId="14868"/>
    <cellStyle name="Input 55 2 14" xfId="14869"/>
    <cellStyle name="Input 55 2 2" xfId="14870"/>
    <cellStyle name="Input 55 2 2 2" xfId="14871"/>
    <cellStyle name="Input 55 2 2 3" xfId="14872"/>
    <cellStyle name="Input 55 2 2 4" xfId="14873"/>
    <cellStyle name="Input 55 2 2 5" xfId="14874"/>
    <cellStyle name="Input 55 2 2 6" xfId="14875"/>
    <cellStyle name="Input 55 2 2 7" xfId="14876"/>
    <cellStyle name="Input 55 2 3" xfId="14877"/>
    <cellStyle name="Input 55 2 3 2" xfId="14878"/>
    <cellStyle name="Input 55 2 3 3" xfId="14879"/>
    <cellStyle name="Input 55 2 3 4" xfId="14880"/>
    <cellStyle name="Input 55 2 3 5" xfId="14881"/>
    <cellStyle name="Input 55 2 3 6" xfId="14882"/>
    <cellStyle name="Input 55 2 3 7" xfId="14883"/>
    <cellStyle name="Input 55 2 4" xfId="14884"/>
    <cellStyle name="Input 55 2 4 2" xfId="14885"/>
    <cellStyle name="Input 55 2 4 3" xfId="14886"/>
    <cellStyle name="Input 55 2 4 4" xfId="14887"/>
    <cellStyle name="Input 55 2 4 5" xfId="14888"/>
    <cellStyle name="Input 55 2 4 6" xfId="14889"/>
    <cellStyle name="Input 55 2 4 7" xfId="14890"/>
    <cellStyle name="Input 55 2 5" xfId="14891"/>
    <cellStyle name="Input 55 2 5 2" xfId="14892"/>
    <cellStyle name="Input 55 2 5 3" xfId="14893"/>
    <cellStyle name="Input 55 2 5 4" xfId="14894"/>
    <cellStyle name="Input 55 2 5 5" xfId="14895"/>
    <cellStyle name="Input 55 2 5 6" xfId="14896"/>
    <cellStyle name="Input 55 2 5 7" xfId="14897"/>
    <cellStyle name="Input 55 2 6" xfId="14898"/>
    <cellStyle name="Input 55 2 6 2" xfId="14899"/>
    <cellStyle name="Input 55 2 6 3" xfId="14900"/>
    <cellStyle name="Input 55 2 6 4" xfId="14901"/>
    <cellStyle name="Input 55 2 6 5" xfId="14902"/>
    <cellStyle name="Input 55 2 6 6" xfId="14903"/>
    <cellStyle name="Input 55 2 6 7" xfId="14904"/>
    <cellStyle name="Input 55 2 7" xfId="14905"/>
    <cellStyle name="Input 55 2 7 2" xfId="14906"/>
    <cellStyle name="Input 55 2 7 3" xfId="14907"/>
    <cellStyle name="Input 55 2 7 4" xfId="14908"/>
    <cellStyle name="Input 55 2 7 5" xfId="14909"/>
    <cellStyle name="Input 55 2 7 6" xfId="14910"/>
    <cellStyle name="Input 55 2 7 7" xfId="14911"/>
    <cellStyle name="Input 55 2 8" xfId="14912"/>
    <cellStyle name="Input 55 2 8 2" xfId="14913"/>
    <cellStyle name="Input 55 2 8 3" xfId="14914"/>
    <cellStyle name="Input 55 2 8 4" xfId="14915"/>
    <cellStyle name="Input 55 2 8 5" xfId="14916"/>
    <cellStyle name="Input 55 2 8 6" xfId="14917"/>
    <cellStyle name="Input 55 2 8 7" xfId="14918"/>
    <cellStyle name="Input 55 2 9" xfId="14919"/>
    <cellStyle name="Input 55 2 9 2" xfId="14920"/>
    <cellStyle name="Input 55 2 9 3" xfId="14921"/>
    <cellStyle name="Input 55 2 9 4" xfId="14922"/>
    <cellStyle name="Input 55 2 9 5" xfId="14923"/>
    <cellStyle name="Input 55 2 9 6" xfId="14924"/>
    <cellStyle name="Input 55 3" xfId="14925"/>
    <cellStyle name="Input 55 3 10" xfId="14926"/>
    <cellStyle name="Input 55 3 10 2" xfId="14927"/>
    <cellStyle name="Input 55 3 10 3" xfId="14928"/>
    <cellStyle name="Input 55 3 10 4" xfId="14929"/>
    <cellStyle name="Input 55 3 10 5" xfId="14930"/>
    <cellStyle name="Input 55 3 10 6" xfId="14931"/>
    <cellStyle name="Input 55 3 11" xfId="14932"/>
    <cellStyle name="Input 55 3 12" xfId="14933"/>
    <cellStyle name="Input 55 3 13" xfId="14934"/>
    <cellStyle name="Input 55 3 14" xfId="14935"/>
    <cellStyle name="Input 55 3 2" xfId="14936"/>
    <cellStyle name="Input 55 3 2 2" xfId="14937"/>
    <cellStyle name="Input 55 3 2 3" xfId="14938"/>
    <cellStyle name="Input 55 3 2 4" xfId="14939"/>
    <cellStyle name="Input 55 3 2 5" xfId="14940"/>
    <cellStyle name="Input 55 3 2 6" xfId="14941"/>
    <cellStyle name="Input 55 3 2 7" xfId="14942"/>
    <cellStyle name="Input 55 3 3" xfId="14943"/>
    <cellStyle name="Input 55 3 3 2" xfId="14944"/>
    <cellStyle name="Input 55 3 3 3" xfId="14945"/>
    <cellStyle name="Input 55 3 3 4" xfId="14946"/>
    <cellStyle name="Input 55 3 3 5" xfId="14947"/>
    <cellStyle name="Input 55 3 3 6" xfId="14948"/>
    <cellStyle name="Input 55 3 3 7" xfId="14949"/>
    <cellStyle name="Input 55 3 4" xfId="14950"/>
    <cellStyle name="Input 55 3 4 2" xfId="14951"/>
    <cellStyle name="Input 55 3 4 3" xfId="14952"/>
    <cellStyle name="Input 55 3 4 4" xfId="14953"/>
    <cellStyle name="Input 55 3 4 5" xfId="14954"/>
    <cellStyle name="Input 55 3 4 6" xfId="14955"/>
    <cellStyle name="Input 55 3 4 7" xfId="14956"/>
    <cellStyle name="Input 55 3 5" xfId="14957"/>
    <cellStyle name="Input 55 3 5 2" xfId="14958"/>
    <cellStyle name="Input 55 3 5 3" xfId="14959"/>
    <cellStyle name="Input 55 3 5 4" xfId="14960"/>
    <cellStyle name="Input 55 3 5 5" xfId="14961"/>
    <cellStyle name="Input 55 3 5 6" xfId="14962"/>
    <cellStyle name="Input 55 3 5 7" xfId="14963"/>
    <cellStyle name="Input 55 3 6" xfId="14964"/>
    <cellStyle name="Input 55 3 6 2" xfId="14965"/>
    <cellStyle name="Input 55 3 6 3" xfId="14966"/>
    <cellStyle name="Input 55 3 6 4" xfId="14967"/>
    <cellStyle name="Input 55 3 6 5" xfId="14968"/>
    <cellStyle name="Input 55 3 6 6" xfId="14969"/>
    <cellStyle name="Input 55 3 6 7" xfId="14970"/>
    <cellStyle name="Input 55 3 7" xfId="14971"/>
    <cellStyle name="Input 55 3 7 2" xfId="14972"/>
    <cellStyle name="Input 55 3 7 3" xfId="14973"/>
    <cellStyle name="Input 55 3 7 4" xfId="14974"/>
    <cellStyle name="Input 55 3 7 5" xfId="14975"/>
    <cellStyle name="Input 55 3 7 6" xfId="14976"/>
    <cellStyle name="Input 55 3 7 7" xfId="14977"/>
    <cellStyle name="Input 55 3 8" xfId="14978"/>
    <cellStyle name="Input 55 3 8 2" xfId="14979"/>
    <cellStyle name="Input 55 3 8 3" xfId="14980"/>
    <cellStyle name="Input 55 3 8 4" xfId="14981"/>
    <cellStyle name="Input 55 3 8 5" xfId="14982"/>
    <cellStyle name="Input 55 3 8 6" xfId="14983"/>
    <cellStyle name="Input 55 3 8 7" xfId="14984"/>
    <cellStyle name="Input 55 3 9" xfId="14985"/>
    <cellStyle name="Input 55 3 9 2" xfId="14986"/>
    <cellStyle name="Input 55 3 9 3" xfId="14987"/>
    <cellStyle name="Input 55 3 9 4" xfId="14988"/>
    <cellStyle name="Input 55 3 9 5" xfId="14989"/>
    <cellStyle name="Input 55 3 9 6" xfId="14990"/>
    <cellStyle name="Input 55 4" xfId="14991"/>
    <cellStyle name="Input 55 4 2" xfId="14992"/>
    <cellStyle name="Input 55 4 3" xfId="14993"/>
    <cellStyle name="Input 55 4 4" xfId="14994"/>
    <cellStyle name="Input 55 4 5" xfId="14995"/>
    <cellStyle name="Input 55 4 6" xfId="14996"/>
    <cellStyle name="Input 55 4 7" xfId="14997"/>
    <cellStyle name="Input 55 5" xfId="14998"/>
    <cellStyle name="Input 55 5 2" xfId="14999"/>
    <cellStyle name="Input 55 5 3" xfId="15000"/>
    <cellStyle name="Input 55 5 4" xfId="15001"/>
    <cellStyle name="Input 55 5 5" xfId="15002"/>
    <cellStyle name="Input 55 5 6" xfId="15003"/>
    <cellStyle name="Input 55 5 7" xfId="15004"/>
    <cellStyle name="Input 55 6" xfId="15005"/>
    <cellStyle name="Input 55 6 2" xfId="15006"/>
    <cellStyle name="Input 55 6 3" xfId="15007"/>
    <cellStyle name="Input 55 6 4" xfId="15008"/>
    <cellStyle name="Input 55 6 5" xfId="15009"/>
    <cellStyle name="Input 55 6 6" xfId="15010"/>
    <cellStyle name="Input 55 6 7" xfId="15011"/>
    <cellStyle name="Input 55 7" xfId="15012"/>
    <cellStyle name="Input 55 7 2" xfId="15013"/>
    <cellStyle name="Input 55 7 3" xfId="15014"/>
    <cellStyle name="Input 55 7 4" xfId="15015"/>
    <cellStyle name="Input 55 7 5" xfId="15016"/>
    <cellStyle name="Input 55 7 6" xfId="15017"/>
    <cellStyle name="Input 55 7 7" xfId="15018"/>
    <cellStyle name="Input 55 8" xfId="15019"/>
    <cellStyle name="Input 55 8 2" xfId="15020"/>
    <cellStyle name="Input 55 8 3" xfId="15021"/>
    <cellStyle name="Input 55 8 4" xfId="15022"/>
    <cellStyle name="Input 55 8 5" xfId="15023"/>
    <cellStyle name="Input 55 8 6" xfId="15024"/>
    <cellStyle name="Input 55 8 7" xfId="15025"/>
    <cellStyle name="Input 55 9" xfId="15026"/>
    <cellStyle name="Input 55 9 2" xfId="15027"/>
    <cellStyle name="Input 55 9 3" xfId="15028"/>
    <cellStyle name="Input 55 9 4" xfId="15029"/>
    <cellStyle name="Input 55 9 5" xfId="15030"/>
    <cellStyle name="Input 55 9 6" xfId="15031"/>
    <cellStyle name="Input 55 9 7" xfId="15032"/>
    <cellStyle name="Input 56" xfId="15033"/>
    <cellStyle name="Input 56 10" xfId="15034"/>
    <cellStyle name="Input 56 10 2" xfId="15035"/>
    <cellStyle name="Input 56 10 3" xfId="15036"/>
    <cellStyle name="Input 56 10 4" xfId="15037"/>
    <cellStyle name="Input 56 10 5" xfId="15038"/>
    <cellStyle name="Input 56 10 6" xfId="15039"/>
    <cellStyle name="Input 56 10 7" xfId="15040"/>
    <cellStyle name="Input 56 11" xfId="15041"/>
    <cellStyle name="Input 56 11 2" xfId="15042"/>
    <cellStyle name="Input 56 11 3" xfId="15043"/>
    <cellStyle name="Input 56 11 4" xfId="15044"/>
    <cellStyle name="Input 56 11 5" xfId="15045"/>
    <cellStyle name="Input 56 11 6" xfId="15046"/>
    <cellStyle name="Input 56 12" xfId="15047"/>
    <cellStyle name="Input 56 12 2" xfId="15048"/>
    <cellStyle name="Input 56 12 3" xfId="15049"/>
    <cellStyle name="Input 56 12 4" xfId="15050"/>
    <cellStyle name="Input 56 12 5" xfId="15051"/>
    <cellStyle name="Input 56 12 6" xfId="15052"/>
    <cellStyle name="Input 56 13" xfId="15053"/>
    <cellStyle name="Input 56 14" xfId="15054"/>
    <cellStyle name="Input 56 15" xfId="15055"/>
    <cellStyle name="Input 56 16" xfId="15056"/>
    <cellStyle name="Input 56 2" xfId="15057"/>
    <cellStyle name="Input 56 2 10" xfId="15058"/>
    <cellStyle name="Input 56 2 10 2" xfId="15059"/>
    <cellStyle name="Input 56 2 10 3" xfId="15060"/>
    <cellStyle name="Input 56 2 10 4" xfId="15061"/>
    <cellStyle name="Input 56 2 10 5" xfId="15062"/>
    <cellStyle name="Input 56 2 10 6" xfId="15063"/>
    <cellStyle name="Input 56 2 11" xfId="15064"/>
    <cellStyle name="Input 56 2 12" xfId="15065"/>
    <cellStyle name="Input 56 2 13" xfId="15066"/>
    <cellStyle name="Input 56 2 14" xfId="15067"/>
    <cellStyle name="Input 56 2 2" xfId="15068"/>
    <cellStyle name="Input 56 2 2 2" xfId="15069"/>
    <cellStyle name="Input 56 2 2 3" xfId="15070"/>
    <cellStyle name="Input 56 2 2 4" xfId="15071"/>
    <cellStyle name="Input 56 2 2 5" xfId="15072"/>
    <cellStyle name="Input 56 2 2 6" xfId="15073"/>
    <cellStyle name="Input 56 2 2 7" xfId="15074"/>
    <cellStyle name="Input 56 2 3" xfId="15075"/>
    <cellStyle name="Input 56 2 3 2" xfId="15076"/>
    <cellStyle name="Input 56 2 3 3" xfId="15077"/>
    <cellStyle name="Input 56 2 3 4" xfId="15078"/>
    <cellStyle name="Input 56 2 3 5" xfId="15079"/>
    <cellStyle name="Input 56 2 3 6" xfId="15080"/>
    <cellStyle name="Input 56 2 3 7" xfId="15081"/>
    <cellStyle name="Input 56 2 4" xfId="15082"/>
    <cellStyle name="Input 56 2 4 2" xfId="15083"/>
    <cellStyle name="Input 56 2 4 3" xfId="15084"/>
    <cellStyle name="Input 56 2 4 4" xfId="15085"/>
    <cellStyle name="Input 56 2 4 5" xfId="15086"/>
    <cellStyle name="Input 56 2 4 6" xfId="15087"/>
    <cellStyle name="Input 56 2 4 7" xfId="15088"/>
    <cellStyle name="Input 56 2 5" xfId="15089"/>
    <cellStyle name="Input 56 2 5 2" xfId="15090"/>
    <cellStyle name="Input 56 2 5 3" xfId="15091"/>
    <cellStyle name="Input 56 2 5 4" xfId="15092"/>
    <cellStyle name="Input 56 2 5 5" xfId="15093"/>
    <cellStyle name="Input 56 2 5 6" xfId="15094"/>
    <cellStyle name="Input 56 2 5 7" xfId="15095"/>
    <cellStyle name="Input 56 2 6" xfId="15096"/>
    <cellStyle name="Input 56 2 6 2" xfId="15097"/>
    <cellStyle name="Input 56 2 6 3" xfId="15098"/>
    <cellStyle name="Input 56 2 6 4" xfId="15099"/>
    <cellStyle name="Input 56 2 6 5" xfId="15100"/>
    <cellStyle name="Input 56 2 6 6" xfId="15101"/>
    <cellStyle name="Input 56 2 6 7" xfId="15102"/>
    <cellStyle name="Input 56 2 7" xfId="15103"/>
    <cellStyle name="Input 56 2 7 2" xfId="15104"/>
    <cellStyle name="Input 56 2 7 3" xfId="15105"/>
    <cellStyle name="Input 56 2 7 4" xfId="15106"/>
    <cellStyle name="Input 56 2 7 5" xfId="15107"/>
    <cellStyle name="Input 56 2 7 6" xfId="15108"/>
    <cellStyle name="Input 56 2 7 7" xfId="15109"/>
    <cellStyle name="Input 56 2 8" xfId="15110"/>
    <cellStyle name="Input 56 2 8 2" xfId="15111"/>
    <cellStyle name="Input 56 2 8 3" xfId="15112"/>
    <cellStyle name="Input 56 2 8 4" xfId="15113"/>
    <cellStyle name="Input 56 2 8 5" xfId="15114"/>
    <cellStyle name="Input 56 2 8 6" xfId="15115"/>
    <cellStyle name="Input 56 2 8 7" xfId="15116"/>
    <cellStyle name="Input 56 2 9" xfId="15117"/>
    <cellStyle name="Input 56 2 9 2" xfId="15118"/>
    <cellStyle name="Input 56 2 9 3" xfId="15119"/>
    <cellStyle name="Input 56 2 9 4" xfId="15120"/>
    <cellStyle name="Input 56 2 9 5" xfId="15121"/>
    <cellStyle name="Input 56 2 9 6" xfId="15122"/>
    <cellStyle name="Input 56 3" xfId="15123"/>
    <cellStyle name="Input 56 3 10" xfId="15124"/>
    <cellStyle name="Input 56 3 10 2" xfId="15125"/>
    <cellStyle name="Input 56 3 10 3" xfId="15126"/>
    <cellStyle name="Input 56 3 10 4" xfId="15127"/>
    <cellStyle name="Input 56 3 10 5" xfId="15128"/>
    <cellStyle name="Input 56 3 10 6" xfId="15129"/>
    <cellStyle name="Input 56 3 11" xfId="15130"/>
    <cellStyle name="Input 56 3 12" xfId="15131"/>
    <cellStyle name="Input 56 3 13" xfId="15132"/>
    <cellStyle name="Input 56 3 14" xfId="15133"/>
    <cellStyle name="Input 56 3 2" xfId="15134"/>
    <cellStyle name="Input 56 3 2 2" xfId="15135"/>
    <cellStyle name="Input 56 3 2 3" xfId="15136"/>
    <cellStyle name="Input 56 3 2 4" xfId="15137"/>
    <cellStyle name="Input 56 3 2 5" xfId="15138"/>
    <cellStyle name="Input 56 3 2 6" xfId="15139"/>
    <cellStyle name="Input 56 3 2 7" xfId="15140"/>
    <cellStyle name="Input 56 3 3" xfId="15141"/>
    <cellStyle name="Input 56 3 3 2" xfId="15142"/>
    <cellStyle name="Input 56 3 3 3" xfId="15143"/>
    <cellStyle name="Input 56 3 3 4" xfId="15144"/>
    <cellStyle name="Input 56 3 3 5" xfId="15145"/>
    <cellStyle name="Input 56 3 3 6" xfId="15146"/>
    <cellStyle name="Input 56 3 3 7" xfId="15147"/>
    <cellStyle name="Input 56 3 4" xfId="15148"/>
    <cellStyle name="Input 56 3 4 2" xfId="15149"/>
    <cellStyle name="Input 56 3 4 3" xfId="15150"/>
    <cellStyle name="Input 56 3 4 4" xfId="15151"/>
    <cellStyle name="Input 56 3 4 5" xfId="15152"/>
    <cellStyle name="Input 56 3 4 6" xfId="15153"/>
    <cellStyle name="Input 56 3 4 7" xfId="15154"/>
    <cellStyle name="Input 56 3 5" xfId="15155"/>
    <cellStyle name="Input 56 3 5 2" xfId="15156"/>
    <cellStyle name="Input 56 3 5 3" xfId="15157"/>
    <cellStyle name="Input 56 3 5 4" xfId="15158"/>
    <cellStyle name="Input 56 3 5 5" xfId="15159"/>
    <cellStyle name="Input 56 3 5 6" xfId="15160"/>
    <cellStyle name="Input 56 3 5 7" xfId="15161"/>
    <cellStyle name="Input 56 3 6" xfId="15162"/>
    <cellStyle name="Input 56 3 6 2" xfId="15163"/>
    <cellStyle name="Input 56 3 6 3" xfId="15164"/>
    <cellStyle name="Input 56 3 6 4" xfId="15165"/>
    <cellStyle name="Input 56 3 6 5" xfId="15166"/>
    <cellStyle name="Input 56 3 6 6" xfId="15167"/>
    <cellStyle name="Input 56 3 6 7" xfId="15168"/>
    <cellStyle name="Input 56 3 7" xfId="15169"/>
    <cellStyle name="Input 56 3 7 2" xfId="15170"/>
    <cellStyle name="Input 56 3 7 3" xfId="15171"/>
    <cellStyle name="Input 56 3 7 4" xfId="15172"/>
    <cellStyle name="Input 56 3 7 5" xfId="15173"/>
    <cellStyle name="Input 56 3 7 6" xfId="15174"/>
    <cellStyle name="Input 56 3 7 7" xfId="15175"/>
    <cellStyle name="Input 56 3 8" xfId="15176"/>
    <cellStyle name="Input 56 3 8 2" xfId="15177"/>
    <cellStyle name="Input 56 3 8 3" xfId="15178"/>
    <cellStyle name="Input 56 3 8 4" xfId="15179"/>
    <cellStyle name="Input 56 3 8 5" xfId="15180"/>
    <cellStyle name="Input 56 3 8 6" xfId="15181"/>
    <cellStyle name="Input 56 3 8 7" xfId="15182"/>
    <cellStyle name="Input 56 3 9" xfId="15183"/>
    <cellStyle name="Input 56 3 9 2" xfId="15184"/>
    <cellStyle name="Input 56 3 9 3" xfId="15185"/>
    <cellStyle name="Input 56 3 9 4" xfId="15186"/>
    <cellStyle name="Input 56 3 9 5" xfId="15187"/>
    <cellStyle name="Input 56 3 9 6" xfId="15188"/>
    <cellStyle name="Input 56 4" xfId="15189"/>
    <cellStyle name="Input 56 4 2" xfId="15190"/>
    <cellStyle name="Input 56 4 3" xfId="15191"/>
    <cellStyle name="Input 56 4 4" xfId="15192"/>
    <cellStyle name="Input 56 4 5" xfId="15193"/>
    <cellStyle name="Input 56 4 6" xfId="15194"/>
    <cellStyle name="Input 56 4 7" xfId="15195"/>
    <cellStyle name="Input 56 5" xfId="15196"/>
    <cellStyle name="Input 56 5 2" xfId="15197"/>
    <cellStyle name="Input 56 5 3" xfId="15198"/>
    <cellStyle name="Input 56 5 4" xfId="15199"/>
    <cellStyle name="Input 56 5 5" xfId="15200"/>
    <cellStyle name="Input 56 5 6" xfId="15201"/>
    <cellStyle name="Input 56 5 7" xfId="15202"/>
    <cellStyle name="Input 56 6" xfId="15203"/>
    <cellStyle name="Input 56 6 2" xfId="15204"/>
    <cellStyle name="Input 56 6 3" xfId="15205"/>
    <cellStyle name="Input 56 6 4" xfId="15206"/>
    <cellStyle name="Input 56 6 5" xfId="15207"/>
    <cellStyle name="Input 56 6 6" xfId="15208"/>
    <cellStyle name="Input 56 6 7" xfId="15209"/>
    <cellStyle name="Input 56 7" xfId="15210"/>
    <cellStyle name="Input 56 7 2" xfId="15211"/>
    <cellStyle name="Input 56 7 3" xfId="15212"/>
    <cellStyle name="Input 56 7 4" xfId="15213"/>
    <cellStyle name="Input 56 7 5" xfId="15214"/>
    <cellStyle name="Input 56 7 6" xfId="15215"/>
    <cellStyle name="Input 56 7 7" xfId="15216"/>
    <cellStyle name="Input 56 8" xfId="15217"/>
    <cellStyle name="Input 56 8 2" xfId="15218"/>
    <cellStyle name="Input 56 8 3" xfId="15219"/>
    <cellStyle name="Input 56 8 4" xfId="15220"/>
    <cellStyle name="Input 56 8 5" xfId="15221"/>
    <cellStyle name="Input 56 8 6" xfId="15222"/>
    <cellStyle name="Input 56 8 7" xfId="15223"/>
    <cellStyle name="Input 56 9" xfId="15224"/>
    <cellStyle name="Input 56 9 2" xfId="15225"/>
    <cellStyle name="Input 56 9 3" xfId="15226"/>
    <cellStyle name="Input 56 9 4" xfId="15227"/>
    <cellStyle name="Input 56 9 5" xfId="15228"/>
    <cellStyle name="Input 56 9 6" xfId="15229"/>
    <cellStyle name="Input 56 9 7" xfId="15230"/>
    <cellStyle name="Input 57" xfId="15231"/>
    <cellStyle name="Input 57 10" xfId="15232"/>
    <cellStyle name="Input 57 10 2" xfId="15233"/>
    <cellStyle name="Input 57 10 3" xfId="15234"/>
    <cellStyle name="Input 57 10 4" xfId="15235"/>
    <cellStyle name="Input 57 10 5" xfId="15236"/>
    <cellStyle name="Input 57 10 6" xfId="15237"/>
    <cellStyle name="Input 57 10 7" xfId="15238"/>
    <cellStyle name="Input 57 11" xfId="15239"/>
    <cellStyle name="Input 57 11 2" xfId="15240"/>
    <cellStyle name="Input 57 11 3" xfId="15241"/>
    <cellStyle name="Input 57 11 4" xfId="15242"/>
    <cellStyle name="Input 57 11 5" xfId="15243"/>
    <cellStyle name="Input 57 11 6" xfId="15244"/>
    <cellStyle name="Input 57 12" xfId="15245"/>
    <cellStyle name="Input 57 12 2" xfId="15246"/>
    <cellStyle name="Input 57 12 3" xfId="15247"/>
    <cellStyle name="Input 57 12 4" xfId="15248"/>
    <cellStyle name="Input 57 12 5" xfId="15249"/>
    <cellStyle name="Input 57 12 6" xfId="15250"/>
    <cellStyle name="Input 57 13" xfId="15251"/>
    <cellStyle name="Input 57 14" xfId="15252"/>
    <cellStyle name="Input 57 15" xfId="15253"/>
    <cellStyle name="Input 57 16" xfId="15254"/>
    <cellStyle name="Input 57 2" xfId="15255"/>
    <cellStyle name="Input 57 2 10" xfId="15256"/>
    <cellStyle name="Input 57 2 10 2" xfId="15257"/>
    <cellStyle name="Input 57 2 10 3" xfId="15258"/>
    <cellStyle name="Input 57 2 10 4" xfId="15259"/>
    <cellStyle name="Input 57 2 10 5" xfId="15260"/>
    <cellStyle name="Input 57 2 10 6" xfId="15261"/>
    <cellStyle name="Input 57 2 11" xfId="15262"/>
    <cellStyle name="Input 57 2 12" xfId="15263"/>
    <cellStyle name="Input 57 2 13" xfId="15264"/>
    <cellStyle name="Input 57 2 14" xfId="15265"/>
    <cellStyle name="Input 57 2 2" xfId="15266"/>
    <cellStyle name="Input 57 2 2 2" xfId="15267"/>
    <cellStyle name="Input 57 2 2 3" xfId="15268"/>
    <cellStyle name="Input 57 2 2 4" xfId="15269"/>
    <cellStyle name="Input 57 2 2 5" xfId="15270"/>
    <cellStyle name="Input 57 2 2 6" xfId="15271"/>
    <cellStyle name="Input 57 2 2 7" xfId="15272"/>
    <cellStyle name="Input 57 2 3" xfId="15273"/>
    <cellStyle name="Input 57 2 3 2" xfId="15274"/>
    <cellStyle name="Input 57 2 3 3" xfId="15275"/>
    <cellStyle name="Input 57 2 3 4" xfId="15276"/>
    <cellStyle name="Input 57 2 3 5" xfId="15277"/>
    <cellStyle name="Input 57 2 3 6" xfId="15278"/>
    <cellStyle name="Input 57 2 3 7" xfId="15279"/>
    <cellStyle name="Input 57 2 4" xfId="15280"/>
    <cellStyle name="Input 57 2 4 2" xfId="15281"/>
    <cellStyle name="Input 57 2 4 3" xfId="15282"/>
    <cellStyle name="Input 57 2 4 4" xfId="15283"/>
    <cellStyle name="Input 57 2 4 5" xfId="15284"/>
    <cellStyle name="Input 57 2 4 6" xfId="15285"/>
    <cellStyle name="Input 57 2 4 7" xfId="15286"/>
    <cellStyle name="Input 57 2 5" xfId="15287"/>
    <cellStyle name="Input 57 2 5 2" xfId="15288"/>
    <cellStyle name="Input 57 2 5 3" xfId="15289"/>
    <cellStyle name="Input 57 2 5 4" xfId="15290"/>
    <cellStyle name="Input 57 2 5 5" xfId="15291"/>
    <cellStyle name="Input 57 2 5 6" xfId="15292"/>
    <cellStyle name="Input 57 2 5 7" xfId="15293"/>
    <cellStyle name="Input 57 2 6" xfId="15294"/>
    <cellStyle name="Input 57 2 6 2" xfId="15295"/>
    <cellStyle name="Input 57 2 6 3" xfId="15296"/>
    <cellStyle name="Input 57 2 6 4" xfId="15297"/>
    <cellStyle name="Input 57 2 6 5" xfId="15298"/>
    <cellStyle name="Input 57 2 6 6" xfId="15299"/>
    <cellStyle name="Input 57 2 6 7" xfId="15300"/>
    <cellStyle name="Input 57 2 7" xfId="15301"/>
    <cellStyle name="Input 57 2 7 2" xfId="15302"/>
    <cellStyle name="Input 57 2 7 3" xfId="15303"/>
    <cellStyle name="Input 57 2 7 4" xfId="15304"/>
    <cellStyle name="Input 57 2 7 5" xfId="15305"/>
    <cellStyle name="Input 57 2 7 6" xfId="15306"/>
    <cellStyle name="Input 57 2 7 7" xfId="15307"/>
    <cellStyle name="Input 57 2 8" xfId="15308"/>
    <cellStyle name="Input 57 2 8 2" xfId="15309"/>
    <cellStyle name="Input 57 2 8 3" xfId="15310"/>
    <cellStyle name="Input 57 2 8 4" xfId="15311"/>
    <cellStyle name="Input 57 2 8 5" xfId="15312"/>
    <cellStyle name="Input 57 2 8 6" xfId="15313"/>
    <cellStyle name="Input 57 2 8 7" xfId="15314"/>
    <cellStyle name="Input 57 2 9" xfId="15315"/>
    <cellStyle name="Input 57 2 9 2" xfId="15316"/>
    <cellStyle name="Input 57 2 9 3" xfId="15317"/>
    <cellStyle name="Input 57 2 9 4" xfId="15318"/>
    <cellStyle name="Input 57 2 9 5" xfId="15319"/>
    <cellStyle name="Input 57 2 9 6" xfId="15320"/>
    <cellStyle name="Input 57 3" xfId="15321"/>
    <cellStyle name="Input 57 3 10" xfId="15322"/>
    <cellStyle name="Input 57 3 10 2" xfId="15323"/>
    <cellStyle name="Input 57 3 10 3" xfId="15324"/>
    <cellStyle name="Input 57 3 10 4" xfId="15325"/>
    <cellStyle name="Input 57 3 10 5" xfId="15326"/>
    <cellStyle name="Input 57 3 10 6" xfId="15327"/>
    <cellStyle name="Input 57 3 11" xfId="15328"/>
    <cellStyle name="Input 57 3 12" xfId="15329"/>
    <cellStyle name="Input 57 3 13" xfId="15330"/>
    <cellStyle name="Input 57 3 14" xfId="15331"/>
    <cellStyle name="Input 57 3 2" xfId="15332"/>
    <cellStyle name="Input 57 3 2 2" xfId="15333"/>
    <cellStyle name="Input 57 3 2 3" xfId="15334"/>
    <cellStyle name="Input 57 3 2 4" xfId="15335"/>
    <cellStyle name="Input 57 3 2 5" xfId="15336"/>
    <cellStyle name="Input 57 3 2 6" xfId="15337"/>
    <cellStyle name="Input 57 3 2 7" xfId="15338"/>
    <cellStyle name="Input 57 3 3" xfId="15339"/>
    <cellStyle name="Input 57 3 3 2" xfId="15340"/>
    <cellStyle name="Input 57 3 3 3" xfId="15341"/>
    <cellStyle name="Input 57 3 3 4" xfId="15342"/>
    <cellStyle name="Input 57 3 3 5" xfId="15343"/>
    <cellStyle name="Input 57 3 3 6" xfId="15344"/>
    <cellStyle name="Input 57 3 3 7" xfId="15345"/>
    <cellStyle name="Input 57 3 4" xfId="15346"/>
    <cellStyle name="Input 57 3 4 2" xfId="15347"/>
    <cellStyle name="Input 57 3 4 3" xfId="15348"/>
    <cellStyle name="Input 57 3 4 4" xfId="15349"/>
    <cellStyle name="Input 57 3 4 5" xfId="15350"/>
    <cellStyle name="Input 57 3 4 6" xfId="15351"/>
    <cellStyle name="Input 57 3 4 7" xfId="15352"/>
    <cellStyle name="Input 57 3 5" xfId="15353"/>
    <cellStyle name="Input 57 3 5 2" xfId="15354"/>
    <cellStyle name="Input 57 3 5 3" xfId="15355"/>
    <cellStyle name="Input 57 3 5 4" xfId="15356"/>
    <cellStyle name="Input 57 3 5 5" xfId="15357"/>
    <cellStyle name="Input 57 3 5 6" xfId="15358"/>
    <cellStyle name="Input 57 3 5 7" xfId="15359"/>
    <cellStyle name="Input 57 3 6" xfId="15360"/>
    <cellStyle name="Input 57 3 6 2" xfId="15361"/>
    <cellStyle name="Input 57 3 6 3" xfId="15362"/>
    <cellStyle name="Input 57 3 6 4" xfId="15363"/>
    <cellStyle name="Input 57 3 6 5" xfId="15364"/>
    <cellStyle name="Input 57 3 6 6" xfId="15365"/>
    <cellStyle name="Input 57 3 6 7" xfId="15366"/>
    <cellStyle name="Input 57 3 7" xfId="15367"/>
    <cellStyle name="Input 57 3 7 2" xfId="15368"/>
    <cellStyle name="Input 57 3 7 3" xfId="15369"/>
    <cellStyle name="Input 57 3 7 4" xfId="15370"/>
    <cellStyle name="Input 57 3 7 5" xfId="15371"/>
    <cellStyle name="Input 57 3 7 6" xfId="15372"/>
    <cellStyle name="Input 57 3 7 7" xfId="15373"/>
    <cellStyle name="Input 57 3 8" xfId="15374"/>
    <cellStyle name="Input 57 3 8 2" xfId="15375"/>
    <cellStyle name="Input 57 3 8 3" xfId="15376"/>
    <cellStyle name="Input 57 3 8 4" xfId="15377"/>
    <cellStyle name="Input 57 3 8 5" xfId="15378"/>
    <cellStyle name="Input 57 3 8 6" xfId="15379"/>
    <cellStyle name="Input 57 3 8 7" xfId="15380"/>
    <cellStyle name="Input 57 3 9" xfId="15381"/>
    <cellStyle name="Input 57 3 9 2" xfId="15382"/>
    <cellStyle name="Input 57 3 9 3" xfId="15383"/>
    <cellStyle name="Input 57 3 9 4" xfId="15384"/>
    <cellStyle name="Input 57 3 9 5" xfId="15385"/>
    <cellStyle name="Input 57 3 9 6" xfId="15386"/>
    <cellStyle name="Input 57 4" xfId="15387"/>
    <cellStyle name="Input 57 4 2" xfId="15388"/>
    <cellStyle name="Input 57 4 3" xfId="15389"/>
    <cellStyle name="Input 57 4 4" xfId="15390"/>
    <cellStyle name="Input 57 4 5" xfId="15391"/>
    <cellStyle name="Input 57 4 6" xfId="15392"/>
    <cellStyle name="Input 57 4 7" xfId="15393"/>
    <cellStyle name="Input 57 5" xfId="15394"/>
    <cellStyle name="Input 57 5 2" xfId="15395"/>
    <cellStyle name="Input 57 5 3" xfId="15396"/>
    <cellStyle name="Input 57 5 4" xfId="15397"/>
    <cellStyle name="Input 57 5 5" xfId="15398"/>
    <cellStyle name="Input 57 5 6" xfId="15399"/>
    <cellStyle name="Input 57 5 7" xfId="15400"/>
    <cellStyle name="Input 57 6" xfId="15401"/>
    <cellStyle name="Input 57 6 2" xfId="15402"/>
    <cellStyle name="Input 57 6 3" xfId="15403"/>
    <cellStyle name="Input 57 6 4" xfId="15404"/>
    <cellStyle name="Input 57 6 5" xfId="15405"/>
    <cellStyle name="Input 57 6 6" xfId="15406"/>
    <cellStyle name="Input 57 6 7" xfId="15407"/>
    <cellStyle name="Input 57 7" xfId="15408"/>
    <cellStyle name="Input 57 7 2" xfId="15409"/>
    <cellStyle name="Input 57 7 3" xfId="15410"/>
    <cellStyle name="Input 57 7 4" xfId="15411"/>
    <cellStyle name="Input 57 7 5" xfId="15412"/>
    <cellStyle name="Input 57 7 6" xfId="15413"/>
    <cellStyle name="Input 57 7 7" xfId="15414"/>
    <cellStyle name="Input 57 8" xfId="15415"/>
    <cellStyle name="Input 57 8 2" xfId="15416"/>
    <cellStyle name="Input 57 8 3" xfId="15417"/>
    <cellStyle name="Input 57 8 4" xfId="15418"/>
    <cellStyle name="Input 57 8 5" xfId="15419"/>
    <cellStyle name="Input 57 8 6" xfId="15420"/>
    <cellStyle name="Input 57 8 7" xfId="15421"/>
    <cellStyle name="Input 57 9" xfId="15422"/>
    <cellStyle name="Input 57 9 2" xfId="15423"/>
    <cellStyle name="Input 57 9 3" xfId="15424"/>
    <cellStyle name="Input 57 9 4" xfId="15425"/>
    <cellStyle name="Input 57 9 5" xfId="15426"/>
    <cellStyle name="Input 57 9 6" xfId="15427"/>
    <cellStyle name="Input 57 9 7" xfId="15428"/>
    <cellStyle name="Input 58" xfId="15429"/>
    <cellStyle name="Input 58 10" xfId="15430"/>
    <cellStyle name="Input 58 10 2" xfId="15431"/>
    <cellStyle name="Input 58 10 3" xfId="15432"/>
    <cellStyle name="Input 58 10 4" xfId="15433"/>
    <cellStyle name="Input 58 10 5" xfId="15434"/>
    <cellStyle name="Input 58 10 6" xfId="15435"/>
    <cellStyle name="Input 58 10 7" xfId="15436"/>
    <cellStyle name="Input 58 11" xfId="15437"/>
    <cellStyle name="Input 58 11 2" xfId="15438"/>
    <cellStyle name="Input 58 11 3" xfId="15439"/>
    <cellStyle name="Input 58 11 4" xfId="15440"/>
    <cellStyle name="Input 58 11 5" xfId="15441"/>
    <cellStyle name="Input 58 11 6" xfId="15442"/>
    <cellStyle name="Input 58 12" xfId="15443"/>
    <cellStyle name="Input 58 12 2" xfId="15444"/>
    <cellStyle name="Input 58 12 3" xfId="15445"/>
    <cellStyle name="Input 58 12 4" xfId="15446"/>
    <cellStyle name="Input 58 12 5" xfId="15447"/>
    <cellStyle name="Input 58 12 6" xfId="15448"/>
    <cellStyle name="Input 58 13" xfId="15449"/>
    <cellStyle name="Input 58 14" xfId="15450"/>
    <cellStyle name="Input 58 15" xfId="15451"/>
    <cellStyle name="Input 58 16" xfId="15452"/>
    <cellStyle name="Input 58 2" xfId="15453"/>
    <cellStyle name="Input 58 2 10" xfId="15454"/>
    <cellStyle name="Input 58 2 10 2" xfId="15455"/>
    <cellStyle name="Input 58 2 10 3" xfId="15456"/>
    <cellStyle name="Input 58 2 10 4" xfId="15457"/>
    <cellStyle name="Input 58 2 10 5" xfId="15458"/>
    <cellStyle name="Input 58 2 10 6" xfId="15459"/>
    <cellStyle name="Input 58 2 11" xfId="15460"/>
    <cellStyle name="Input 58 2 12" xfId="15461"/>
    <cellStyle name="Input 58 2 13" xfId="15462"/>
    <cellStyle name="Input 58 2 14" xfId="15463"/>
    <cellStyle name="Input 58 2 2" xfId="15464"/>
    <cellStyle name="Input 58 2 2 2" xfId="15465"/>
    <cellStyle name="Input 58 2 2 3" xfId="15466"/>
    <cellStyle name="Input 58 2 2 4" xfId="15467"/>
    <cellStyle name="Input 58 2 2 5" xfId="15468"/>
    <cellStyle name="Input 58 2 2 6" xfId="15469"/>
    <cellStyle name="Input 58 2 2 7" xfId="15470"/>
    <cellStyle name="Input 58 2 3" xfId="15471"/>
    <cellStyle name="Input 58 2 3 2" xfId="15472"/>
    <cellStyle name="Input 58 2 3 3" xfId="15473"/>
    <cellStyle name="Input 58 2 3 4" xfId="15474"/>
    <cellStyle name="Input 58 2 3 5" xfId="15475"/>
    <cellStyle name="Input 58 2 3 6" xfId="15476"/>
    <cellStyle name="Input 58 2 3 7" xfId="15477"/>
    <cellStyle name="Input 58 2 4" xfId="15478"/>
    <cellStyle name="Input 58 2 4 2" xfId="15479"/>
    <cellStyle name="Input 58 2 4 3" xfId="15480"/>
    <cellStyle name="Input 58 2 4 4" xfId="15481"/>
    <cellStyle name="Input 58 2 4 5" xfId="15482"/>
    <cellStyle name="Input 58 2 4 6" xfId="15483"/>
    <cellStyle name="Input 58 2 4 7" xfId="15484"/>
    <cellStyle name="Input 58 2 5" xfId="15485"/>
    <cellStyle name="Input 58 2 5 2" xfId="15486"/>
    <cellStyle name="Input 58 2 5 3" xfId="15487"/>
    <cellStyle name="Input 58 2 5 4" xfId="15488"/>
    <cellStyle name="Input 58 2 5 5" xfId="15489"/>
    <cellStyle name="Input 58 2 5 6" xfId="15490"/>
    <cellStyle name="Input 58 2 5 7" xfId="15491"/>
    <cellStyle name="Input 58 2 6" xfId="15492"/>
    <cellStyle name="Input 58 2 6 2" xfId="15493"/>
    <cellStyle name="Input 58 2 6 3" xfId="15494"/>
    <cellStyle name="Input 58 2 6 4" xfId="15495"/>
    <cellStyle name="Input 58 2 6 5" xfId="15496"/>
    <cellStyle name="Input 58 2 6 6" xfId="15497"/>
    <cellStyle name="Input 58 2 6 7" xfId="15498"/>
    <cellStyle name="Input 58 2 7" xfId="15499"/>
    <cellStyle name="Input 58 2 7 2" xfId="15500"/>
    <cellStyle name="Input 58 2 7 3" xfId="15501"/>
    <cellStyle name="Input 58 2 7 4" xfId="15502"/>
    <cellStyle name="Input 58 2 7 5" xfId="15503"/>
    <cellStyle name="Input 58 2 7 6" xfId="15504"/>
    <cellStyle name="Input 58 2 7 7" xfId="15505"/>
    <cellStyle name="Input 58 2 8" xfId="15506"/>
    <cellStyle name="Input 58 2 8 2" xfId="15507"/>
    <cellStyle name="Input 58 2 8 3" xfId="15508"/>
    <cellStyle name="Input 58 2 8 4" xfId="15509"/>
    <cellStyle name="Input 58 2 8 5" xfId="15510"/>
    <cellStyle name="Input 58 2 8 6" xfId="15511"/>
    <cellStyle name="Input 58 2 8 7" xfId="15512"/>
    <cellStyle name="Input 58 2 9" xfId="15513"/>
    <cellStyle name="Input 58 2 9 2" xfId="15514"/>
    <cellStyle name="Input 58 2 9 3" xfId="15515"/>
    <cellStyle name="Input 58 2 9 4" xfId="15516"/>
    <cellStyle name="Input 58 2 9 5" xfId="15517"/>
    <cellStyle name="Input 58 2 9 6" xfId="15518"/>
    <cellStyle name="Input 58 3" xfId="15519"/>
    <cellStyle name="Input 58 3 10" xfId="15520"/>
    <cellStyle name="Input 58 3 10 2" xfId="15521"/>
    <cellStyle name="Input 58 3 10 3" xfId="15522"/>
    <cellStyle name="Input 58 3 10 4" xfId="15523"/>
    <cellStyle name="Input 58 3 10 5" xfId="15524"/>
    <cellStyle name="Input 58 3 10 6" xfId="15525"/>
    <cellStyle name="Input 58 3 11" xfId="15526"/>
    <cellStyle name="Input 58 3 12" xfId="15527"/>
    <cellStyle name="Input 58 3 13" xfId="15528"/>
    <cellStyle name="Input 58 3 14" xfId="15529"/>
    <cellStyle name="Input 58 3 2" xfId="15530"/>
    <cellStyle name="Input 58 3 2 2" xfId="15531"/>
    <cellStyle name="Input 58 3 2 3" xfId="15532"/>
    <cellStyle name="Input 58 3 2 4" xfId="15533"/>
    <cellStyle name="Input 58 3 2 5" xfId="15534"/>
    <cellStyle name="Input 58 3 2 6" xfId="15535"/>
    <cellStyle name="Input 58 3 2 7" xfId="15536"/>
    <cellStyle name="Input 58 3 3" xfId="15537"/>
    <cellStyle name="Input 58 3 3 2" xfId="15538"/>
    <cellStyle name="Input 58 3 3 3" xfId="15539"/>
    <cellStyle name="Input 58 3 3 4" xfId="15540"/>
    <cellStyle name="Input 58 3 3 5" xfId="15541"/>
    <cellStyle name="Input 58 3 3 6" xfId="15542"/>
    <cellStyle name="Input 58 3 3 7" xfId="15543"/>
    <cellStyle name="Input 58 3 4" xfId="15544"/>
    <cellStyle name="Input 58 3 4 2" xfId="15545"/>
    <cellStyle name="Input 58 3 4 3" xfId="15546"/>
    <cellStyle name="Input 58 3 4 4" xfId="15547"/>
    <cellStyle name="Input 58 3 4 5" xfId="15548"/>
    <cellStyle name="Input 58 3 4 6" xfId="15549"/>
    <cellStyle name="Input 58 3 4 7" xfId="15550"/>
    <cellStyle name="Input 58 3 5" xfId="15551"/>
    <cellStyle name="Input 58 3 5 2" xfId="15552"/>
    <cellStyle name="Input 58 3 5 3" xfId="15553"/>
    <cellStyle name="Input 58 3 5 4" xfId="15554"/>
    <cellStyle name="Input 58 3 5 5" xfId="15555"/>
    <cellStyle name="Input 58 3 5 6" xfId="15556"/>
    <cellStyle name="Input 58 3 5 7" xfId="15557"/>
    <cellStyle name="Input 58 3 6" xfId="15558"/>
    <cellStyle name="Input 58 3 6 2" xfId="15559"/>
    <cellStyle name="Input 58 3 6 3" xfId="15560"/>
    <cellStyle name="Input 58 3 6 4" xfId="15561"/>
    <cellStyle name="Input 58 3 6 5" xfId="15562"/>
    <cellStyle name="Input 58 3 6 6" xfId="15563"/>
    <cellStyle name="Input 58 3 6 7" xfId="15564"/>
    <cellStyle name="Input 58 3 7" xfId="15565"/>
    <cellStyle name="Input 58 3 7 2" xfId="15566"/>
    <cellStyle name="Input 58 3 7 3" xfId="15567"/>
    <cellStyle name="Input 58 3 7 4" xfId="15568"/>
    <cellStyle name="Input 58 3 7 5" xfId="15569"/>
    <cellStyle name="Input 58 3 7 6" xfId="15570"/>
    <cellStyle name="Input 58 3 7 7" xfId="15571"/>
    <cellStyle name="Input 58 3 8" xfId="15572"/>
    <cellStyle name="Input 58 3 8 2" xfId="15573"/>
    <cellStyle name="Input 58 3 8 3" xfId="15574"/>
    <cellStyle name="Input 58 3 8 4" xfId="15575"/>
    <cellStyle name="Input 58 3 8 5" xfId="15576"/>
    <cellStyle name="Input 58 3 8 6" xfId="15577"/>
    <cellStyle name="Input 58 3 8 7" xfId="15578"/>
    <cellStyle name="Input 58 3 9" xfId="15579"/>
    <cellStyle name="Input 58 3 9 2" xfId="15580"/>
    <cellStyle name="Input 58 3 9 3" xfId="15581"/>
    <cellStyle name="Input 58 3 9 4" xfId="15582"/>
    <cellStyle name="Input 58 3 9 5" xfId="15583"/>
    <cellStyle name="Input 58 3 9 6" xfId="15584"/>
    <cellStyle name="Input 58 4" xfId="15585"/>
    <cellStyle name="Input 58 4 2" xfId="15586"/>
    <cellStyle name="Input 58 4 3" xfId="15587"/>
    <cellStyle name="Input 58 4 4" xfId="15588"/>
    <cellStyle name="Input 58 4 5" xfId="15589"/>
    <cellStyle name="Input 58 4 6" xfId="15590"/>
    <cellStyle name="Input 58 4 7" xfId="15591"/>
    <cellStyle name="Input 58 5" xfId="15592"/>
    <cellStyle name="Input 58 5 2" xfId="15593"/>
    <cellStyle name="Input 58 5 3" xfId="15594"/>
    <cellStyle name="Input 58 5 4" xfId="15595"/>
    <cellStyle name="Input 58 5 5" xfId="15596"/>
    <cellStyle name="Input 58 5 6" xfId="15597"/>
    <cellStyle name="Input 58 5 7" xfId="15598"/>
    <cellStyle name="Input 58 6" xfId="15599"/>
    <cellStyle name="Input 58 6 2" xfId="15600"/>
    <cellStyle name="Input 58 6 3" xfId="15601"/>
    <cellStyle name="Input 58 6 4" xfId="15602"/>
    <cellStyle name="Input 58 6 5" xfId="15603"/>
    <cellStyle name="Input 58 6 6" xfId="15604"/>
    <cellStyle name="Input 58 6 7" xfId="15605"/>
    <cellStyle name="Input 58 7" xfId="15606"/>
    <cellStyle name="Input 58 7 2" xfId="15607"/>
    <cellStyle name="Input 58 7 3" xfId="15608"/>
    <cellStyle name="Input 58 7 4" xfId="15609"/>
    <cellStyle name="Input 58 7 5" xfId="15610"/>
    <cellStyle name="Input 58 7 6" xfId="15611"/>
    <cellStyle name="Input 58 7 7" xfId="15612"/>
    <cellStyle name="Input 58 8" xfId="15613"/>
    <cellStyle name="Input 58 8 2" xfId="15614"/>
    <cellStyle name="Input 58 8 3" xfId="15615"/>
    <cellStyle name="Input 58 8 4" xfId="15616"/>
    <cellStyle name="Input 58 8 5" xfId="15617"/>
    <cellStyle name="Input 58 8 6" xfId="15618"/>
    <cellStyle name="Input 58 8 7" xfId="15619"/>
    <cellStyle name="Input 58 9" xfId="15620"/>
    <cellStyle name="Input 58 9 2" xfId="15621"/>
    <cellStyle name="Input 58 9 3" xfId="15622"/>
    <cellStyle name="Input 58 9 4" xfId="15623"/>
    <cellStyle name="Input 58 9 5" xfId="15624"/>
    <cellStyle name="Input 58 9 6" xfId="15625"/>
    <cellStyle name="Input 58 9 7" xfId="15626"/>
    <cellStyle name="Input 59" xfId="15627"/>
    <cellStyle name="Input 59 10" xfId="15628"/>
    <cellStyle name="Input 59 10 2" xfId="15629"/>
    <cellStyle name="Input 59 10 3" xfId="15630"/>
    <cellStyle name="Input 59 10 4" xfId="15631"/>
    <cellStyle name="Input 59 10 5" xfId="15632"/>
    <cellStyle name="Input 59 10 6" xfId="15633"/>
    <cellStyle name="Input 59 10 7" xfId="15634"/>
    <cellStyle name="Input 59 11" xfId="15635"/>
    <cellStyle name="Input 59 11 2" xfId="15636"/>
    <cellStyle name="Input 59 11 3" xfId="15637"/>
    <cellStyle name="Input 59 11 4" xfId="15638"/>
    <cellStyle name="Input 59 11 5" xfId="15639"/>
    <cellStyle name="Input 59 11 6" xfId="15640"/>
    <cellStyle name="Input 59 12" xfId="15641"/>
    <cellStyle name="Input 59 12 2" xfId="15642"/>
    <cellStyle name="Input 59 12 3" xfId="15643"/>
    <cellStyle name="Input 59 12 4" xfId="15644"/>
    <cellStyle name="Input 59 12 5" xfId="15645"/>
    <cellStyle name="Input 59 12 6" xfId="15646"/>
    <cellStyle name="Input 59 13" xfId="15647"/>
    <cellStyle name="Input 59 14" xfId="15648"/>
    <cellStyle name="Input 59 15" xfId="15649"/>
    <cellStyle name="Input 59 16" xfId="15650"/>
    <cellStyle name="Input 59 2" xfId="15651"/>
    <cellStyle name="Input 59 2 10" xfId="15652"/>
    <cellStyle name="Input 59 2 10 2" xfId="15653"/>
    <cellStyle name="Input 59 2 10 3" xfId="15654"/>
    <cellStyle name="Input 59 2 10 4" xfId="15655"/>
    <cellStyle name="Input 59 2 10 5" xfId="15656"/>
    <cellStyle name="Input 59 2 10 6" xfId="15657"/>
    <cellStyle name="Input 59 2 11" xfId="15658"/>
    <cellStyle name="Input 59 2 12" xfId="15659"/>
    <cellStyle name="Input 59 2 13" xfId="15660"/>
    <cellStyle name="Input 59 2 14" xfId="15661"/>
    <cellStyle name="Input 59 2 2" xfId="15662"/>
    <cellStyle name="Input 59 2 2 2" xfId="15663"/>
    <cellStyle name="Input 59 2 2 3" xfId="15664"/>
    <cellStyle name="Input 59 2 2 4" xfId="15665"/>
    <cellStyle name="Input 59 2 2 5" xfId="15666"/>
    <cellStyle name="Input 59 2 2 6" xfId="15667"/>
    <cellStyle name="Input 59 2 2 7" xfId="15668"/>
    <cellStyle name="Input 59 2 3" xfId="15669"/>
    <cellStyle name="Input 59 2 3 2" xfId="15670"/>
    <cellStyle name="Input 59 2 3 3" xfId="15671"/>
    <cellStyle name="Input 59 2 3 4" xfId="15672"/>
    <cellStyle name="Input 59 2 3 5" xfId="15673"/>
    <cellStyle name="Input 59 2 3 6" xfId="15674"/>
    <cellStyle name="Input 59 2 3 7" xfId="15675"/>
    <cellStyle name="Input 59 2 4" xfId="15676"/>
    <cellStyle name="Input 59 2 4 2" xfId="15677"/>
    <cellStyle name="Input 59 2 4 3" xfId="15678"/>
    <cellStyle name="Input 59 2 4 4" xfId="15679"/>
    <cellStyle name="Input 59 2 4 5" xfId="15680"/>
    <cellStyle name="Input 59 2 4 6" xfId="15681"/>
    <cellStyle name="Input 59 2 4 7" xfId="15682"/>
    <cellStyle name="Input 59 2 5" xfId="15683"/>
    <cellStyle name="Input 59 2 5 2" xfId="15684"/>
    <cellStyle name="Input 59 2 5 3" xfId="15685"/>
    <cellStyle name="Input 59 2 5 4" xfId="15686"/>
    <cellStyle name="Input 59 2 5 5" xfId="15687"/>
    <cellStyle name="Input 59 2 5 6" xfId="15688"/>
    <cellStyle name="Input 59 2 5 7" xfId="15689"/>
    <cellStyle name="Input 59 2 6" xfId="15690"/>
    <cellStyle name="Input 59 2 6 2" xfId="15691"/>
    <cellStyle name="Input 59 2 6 3" xfId="15692"/>
    <cellStyle name="Input 59 2 6 4" xfId="15693"/>
    <cellStyle name="Input 59 2 6 5" xfId="15694"/>
    <cellStyle name="Input 59 2 6 6" xfId="15695"/>
    <cellStyle name="Input 59 2 6 7" xfId="15696"/>
    <cellStyle name="Input 59 2 7" xfId="15697"/>
    <cellStyle name="Input 59 2 7 2" xfId="15698"/>
    <cellStyle name="Input 59 2 7 3" xfId="15699"/>
    <cellStyle name="Input 59 2 7 4" xfId="15700"/>
    <cellStyle name="Input 59 2 7 5" xfId="15701"/>
    <cellStyle name="Input 59 2 7 6" xfId="15702"/>
    <cellStyle name="Input 59 2 7 7" xfId="15703"/>
    <cellStyle name="Input 59 2 8" xfId="15704"/>
    <cellStyle name="Input 59 2 8 2" xfId="15705"/>
    <cellStyle name="Input 59 2 8 3" xfId="15706"/>
    <cellStyle name="Input 59 2 8 4" xfId="15707"/>
    <cellStyle name="Input 59 2 8 5" xfId="15708"/>
    <cellStyle name="Input 59 2 8 6" xfId="15709"/>
    <cellStyle name="Input 59 2 8 7" xfId="15710"/>
    <cellStyle name="Input 59 2 9" xfId="15711"/>
    <cellStyle name="Input 59 2 9 2" xfId="15712"/>
    <cellStyle name="Input 59 2 9 3" xfId="15713"/>
    <cellStyle name="Input 59 2 9 4" xfId="15714"/>
    <cellStyle name="Input 59 2 9 5" xfId="15715"/>
    <cellStyle name="Input 59 2 9 6" xfId="15716"/>
    <cellStyle name="Input 59 3" xfId="15717"/>
    <cellStyle name="Input 59 3 10" xfId="15718"/>
    <cellStyle name="Input 59 3 10 2" xfId="15719"/>
    <cellStyle name="Input 59 3 10 3" xfId="15720"/>
    <cellStyle name="Input 59 3 10 4" xfId="15721"/>
    <cellStyle name="Input 59 3 10 5" xfId="15722"/>
    <cellStyle name="Input 59 3 10 6" xfId="15723"/>
    <cellStyle name="Input 59 3 11" xfId="15724"/>
    <cellStyle name="Input 59 3 12" xfId="15725"/>
    <cellStyle name="Input 59 3 13" xfId="15726"/>
    <cellStyle name="Input 59 3 14" xfId="15727"/>
    <cellStyle name="Input 59 3 2" xfId="15728"/>
    <cellStyle name="Input 59 3 2 2" xfId="15729"/>
    <cellStyle name="Input 59 3 2 3" xfId="15730"/>
    <cellStyle name="Input 59 3 2 4" xfId="15731"/>
    <cellStyle name="Input 59 3 2 5" xfId="15732"/>
    <cellStyle name="Input 59 3 2 6" xfId="15733"/>
    <cellStyle name="Input 59 3 2 7" xfId="15734"/>
    <cellStyle name="Input 59 3 3" xfId="15735"/>
    <cellStyle name="Input 59 3 3 2" xfId="15736"/>
    <cellStyle name="Input 59 3 3 3" xfId="15737"/>
    <cellStyle name="Input 59 3 3 4" xfId="15738"/>
    <cellStyle name="Input 59 3 3 5" xfId="15739"/>
    <cellStyle name="Input 59 3 3 6" xfId="15740"/>
    <cellStyle name="Input 59 3 3 7" xfId="15741"/>
    <cellStyle name="Input 59 3 4" xfId="15742"/>
    <cellStyle name="Input 59 3 4 2" xfId="15743"/>
    <cellStyle name="Input 59 3 4 3" xfId="15744"/>
    <cellStyle name="Input 59 3 4 4" xfId="15745"/>
    <cellStyle name="Input 59 3 4 5" xfId="15746"/>
    <cellStyle name="Input 59 3 4 6" xfId="15747"/>
    <cellStyle name="Input 59 3 4 7" xfId="15748"/>
    <cellStyle name="Input 59 3 5" xfId="15749"/>
    <cellStyle name="Input 59 3 5 2" xfId="15750"/>
    <cellStyle name="Input 59 3 5 3" xfId="15751"/>
    <cellStyle name="Input 59 3 5 4" xfId="15752"/>
    <cellStyle name="Input 59 3 5 5" xfId="15753"/>
    <cellStyle name="Input 59 3 5 6" xfId="15754"/>
    <cellStyle name="Input 59 3 5 7" xfId="15755"/>
    <cellStyle name="Input 59 3 6" xfId="15756"/>
    <cellStyle name="Input 59 3 6 2" xfId="15757"/>
    <cellStyle name="Input 59 3 6 3" xfId="15758"/>
    <cellStyle name="Input 59 3 6 4" xfId="15759"/>
    <cellStyle name="Input 59 3 6 5" xfId="15760"/>
    <cellStyle name="Input 59 3 6 6" xfId="15761"/>
    <cellStyle name="Input 59 3 6 7" xfId="15762"/>
    <cellStyle name="Input 59 3 7" xfId="15763"/>
    <cellStyle name="Input 59 3 7 2" xfId="15764"/>
    <cellStyle name="Input 59 3 7 3" xfId="15765"/>
    <cellStyle name="Input 59 3 7 4" xfId="15766"/>
    <cellStyle name="Input 59 3 7 5" xfId="15767"/>
    <cellStyle name="Input 59 3 7 6" xfId="15768"/>
    <cellStyle name="Input 59 3 7 7" xfId="15769"/>
    <cellStyle name="Input 59 3 8" xfId="15770"/>
    <cellStyle name="Input 59 3 8 2" xfId="15771"/>
    <cellStyle name="Input 59 3 8 3" xfId="15772"/>
    <cellStyle name="Input 59 3 8 4" xfId="15773"/>
    <cellStyle name="Input 59 3 8 5" xfId="15774"/>
    <cellStyle name="Input 59 3 8 6" xfId="15775"/>
    <cellStyle name="Input 59 3 8 7" xfId="15776"/>
    <cellStyle name="Input 59 3 9" xfId="15777"/>
    <cellStyle name="Input 59 3 9 2" xfId="15778"/>
    <cellStyle name="Input 59 3 9 3" xfId="15779"/>
    <cellStyle name="Input 59 3 9 4" xfId="15780"/>
    <cellStyle name="Input 59 3 9 5" xfId="15781"/>
    <cellStyle name="Input 59 3 9 6" xfId="15782"/>
    <cellStyle name="Input 59 4" xfId="15783"/>
    <cellStyle name="Input 59 4 2" xfId="15784"/>
    <cellStyle name="Input 59 4 3" xfId="15785"/>
    <cellStyle name="Input 59 4 4" xfId="15786"/>
    <cellStyle name="Input 59 4 5" xfId="15787"/>
    <cellStyle name="Input 59 4 6" xfId="15788"/>
    <cellStyle name="Input 59 4 7" xfId="15789"/>
    <cellStyle name="Input 59 5" xfId="15790"/>
    <cellStyle name="Input 59 5 2" xfId="15791"/>
    <cellStyle name="Input 59 5 3" xfId="15792"/>
    <cellStyle name="Input 59 5 4" xfId="15793"/>
    <cellStyle name="Input 59 5 5" xfId="15794"/>
    <cellStyle name="Input 59 5 6" xfId="15795"/>
    <cellStyle name="Input 59 5 7" xfId="15796"/>
    <cellStyle name="Input 59 6" xfId="15797"/>
    <cellStyle name="Input 59 6 2" xfId="15798"/>
    <cellStyle name="Input 59 6 3" xfId="15799"/>
    <cellStyle name="Input 59 6 4" xfId="15800"/>
    <cellStyle name="Input 59 6 5" xfId="15801"/>
    <cellStyle name="Input 59 6 6" xfId="15802"/>
    <cellStyle name="Input 59 6 7" xfId="15803"/>
    <cellStyle name="Input 59 7" xfId="15804"/>
    <cellStyle name="Input 59 7 2" xfId="15805"/>
    <cellStyle name="Input 59 7 3" xfId="15806"/>
    <cellStyle name="Input 59 7 4" xfId="15807"/>
    <cellStyle name="Input 59 7 5" xfId="15808"/>
    <cellStyle name="Input 59 7 6" xfId="15809"/>
    <cellStyle name="Input 59 7 7" xfId="15810"/>
    <cellStyle name="Input 59 8" xfId="15811"/>
    <cellStyle name="Input 59 8 2" xfId="15812"/>
    <cellStyle name="Input 59 8 3" xfId="15813"/>
    <cellStyle name="Input 59 8 4" xfId="15814"/>
    <cellStyle name="Input 59 8 5" xfId="15815"/>
    <cellStyle name="Input 59 8 6" xfId="15816"/>
    <cellStyle name="Input 59 8 7" xfId="15817"/>
    <cellStyle name="Input 59 9" xfId="15818"/>
    <cellStyle name="Input 59 9 2" xfId="15819"/>
    <cellStyle name="Input 59 9 3" xfId="15820"/>
    <cellStyle name="Input 59 9 4" xfId="15821"/>
    <cellStyle name="Input 59 9 5" xfId="15822"/>
    <cellStyle name="Input 59 9 6" xfId="15823"/>
    <cellStyle name="Input 59 9 7" xfId="15824"/>
    <cellStyle name="Input 6" xfId="15825"/>
    <cellStyle name="Input 6 10" xfId="15826"/>
    <cellStyle name="Input 6 10 2" xfId="15827"/>
    <cellStyle name="Input 6 10 3" xfId="15828"/>
    <cellStyle name="Input 6 10 4" xfId="15829"/>
    <cellStyle name="Input 6 10 5" xfId="15830"/>
    <cellStyle name="Input 6 10 6" xfId="15831"/>
    <cellStyle name="Input 6 10 7" xfId="15832"/>
    <cellStyle name="Input 6 11" xfId="15833"/>
    <cellStyle name="Input 6 11 2" xfId="15834"/>
    <cellStyle name="Input 6 11 3" xfId="15835"/>
    <cellStyle name="Input 6 11 4" xfId="15836"/>
    <cellStyle name="Input 6 11 5" xfId="15837"/>
    <cellStyle name="Input 6 11 6" xfId="15838"/>
    <cellStyle name="Input 6 12" xfId="15839"/>
    <cellStyle name="Input 6 12 2" xfId="15840"/>
    <cellStyle name="Input 6 12 3" xfId="15841"/>
    <cellStyle name="Input 6 12 4" xfId="15842"/>
    <cellStyle name="Input 6 12 5" xfId="15843"/>
    <cellStyle name="Input 6 12 6" xfId="15844"/>
    <cellStyle name="Input 6 13" xfId="15845"/>
    <cellStyle name="Input 6 14" xfId="15846"/>
    <cellStyle name="Input 6 15" xfId="15847"/>
    <cellStyle name="Input 6 16" xfId="15848"/>
    <cellStyle name="Input 6 2" xfId="15849"/>
    <cellStyle name="Input 6 2 10" xfId="15850"/>
    <cellStyle name="Input 6 2 10 2" xfId="15851"/>
    <cellStyle name="Input 6 2 10 3" xfId="15852"/>
    <cellStyle name="Input 6 2 10 4" xfId="15853"/>
    <cellStyle name="Input 6 2 10 5" xfId="15854"/>
    <cellStyle name="Input 6 2 10 6" xfId="15855"/>
    <cellStyle name="Input 6 2 11" xfId="15856"/>
    <cellStyle name="Input 6 2 12" xfId="15857"/>
    <cellStyle name="Input 6 2 13" xfId="15858"/>
    <cellStyle name="Input 6 2 14" xfId="15859"/>
    <cellStyle name="Input 6 2 2" xfId="15860"/>
    <cellStyle name="Input 6 2 2 2" xfId="15861"/>
    <cellStyle name="Input 6 2 2 3" xfId="15862"/>
    <cellStyle name="Input 6 2 2 4" xfId="15863"/>
    <cellStyle name="Input 6 2 2 5" xfId="15864"/>
    <cellStyle name="Input 6 2 2 6" xfId="15865"/>
    <cellStyle name="Input 6 2 2 7" xfId="15866"/>
    <cellStyle name="Input 6 2 3" xfId="15867"/>
    <cellStyle name="Input 6 2 3 2" xfId="15868"/>
    <cellStyle name="Input 6 2 3 3" xfId="15869"/>
    <cellStyle name="Input 6 2 3 4" xfId="15870"/>
    <cellStyle name="Input 6 2 3 5" xfId="15871"/>
    <cellStyle name="Input 6 2 3 6" xfId="15872"/>
    <cellStyle name="Input 6 2 3 7" xfId="15873"/>
    <cellStyle name="Input 6 2 4" xfId="15874"/>
    <cellStyle name="Input 6 2 4 2" xfId="15875"/>
    <cellStyle name="Input 6 2 4 3" xfId="15876"/>
    <cellStyle name="Input 6 2 4 4" xfId="15877"/>
    <cellStyle name="Input 6 2 4 5" xfId="15878"/>
    <cellStyle name="Input 6 2 4 6" xfId="15879"/>
    <cellStyle name="Input 6 2 4 7" xfId="15880"/>
    <cellStyle name="Input 6 2 5" xfId="15881"/>
    <cellStyle name="Input 6 2 5 2" xfId="15882"/>
    <cellStyle name="Input 6 2 5 3" xfId="15883"/>
    <cellStyle name="Input 6 2 5 4" xfId="15884"/>
    <cellStyle name="Input 6 2 5 5" xfId="15885"/>
    <cellStyle name="Input 6 2 5 6" xfId="15886"/>
    <cellStyle name="Input 6 2 5 7" xfId="15887"/>
    <cellStyle name="Input 6 2 6" xfId="15888"/>
    <cellStyle name="Input 6 2 6 2" xfId="15889"/>
    <cellStyle name="Input 6 2 6 3" xfId="15890"/>
    <cellStyle name="Input 6 2 6 4" xfId="15891"/>
    <cellStyle name="Input 6 2 6 5" xfId="15892"/>
    <cellStyle name="Input 6 2 6 6" xfId="15893"/>
    <cellStyle name="Input 6 2 6 7" xfId="15894"/>
    <cellStyle name="Input 6 2 7" xfId="15895"/>
    <cellStyle name="Input 6 2 7 2" xfId="15896"/>
    <cellStyle name="Input 6 2 7 3" xfId="15897"/>
    <cellStyle name="Input 6 2 7 4" xfId="15898"/>
    <cellStyle name="Input 6 2 7 5" xfId="15899"/>
    <cellStyle name="Input 6 2 7 6" xfId="15900"/>
    <cellStyle name="Input 6 2 7 7" xfId="15901"/>
    <cellStyle name="Input 6 2 8" xfId="15902"/>
    <cellStyle name="Input 6 2 8 2" xfId="15903"/>
    <cellStyle name="Input 6 2 8 3" xfId="15904"/>
    <cellStyle name="Input 6 2 8 4" xfId="15905"/>
    <cellStyle name="Input 6 2 8 5" xfId="15906"/>
    <cellStyle name="Input 6 2 8 6" xfId="15907"/>
    <cellStyle name="Input 6 2 8 7" xfId="15908"/>
    <cellStyle name="Input 6 2 9" xfId="15909"/>
    <cellStyle name="Input 6 2 9 2" xfId="15910"/>
    <cellStyle name="Input 6 2 9 3" xfId="15911"/>
    <cellStyle name="Input 6 2 9 4" xfId="15912"/>
    <cellStyle name="Input 6 2 9 5" xfId="15913"/>
    <cellStyle name="Input 6 2 9 6" xfId="15914"/>
    <cellStyle name="Input 6 3" xfId="15915"/>
    <cellStyle name="Input 6 3 10" xfId="15916"/>
    <cellStyle name="Input 6 3 10 2" xfId="15917"/>
    <cellStyle name="Input 6 3 10 3" xfId="15918"/>
    <cellStyle name="Input 6 3 10 4" xfId="15919"/>
    <cellStyle name="Input 6 3 10 5" xfId="15920"/>
    <cellStyle name="Input 6 3 10 6" xfId="15921"/>
    <cellStyle name="Input 6 3 11" xfId="15922"/>
    <cellStyle name="Input 6 3 12" xfId="15923"/>
    <cellStyle name="Input 6 3 13" xfId="15924"/>
    <cellStyle name="Input 6 3 14" xfId="15925"/>
    <cellStyle name="Input 6 3 2" xfId="15926"/>
    <cellStyle name="Input 6 3 2 2" xfId="15927"/>
    <cellStyle name="Input 6 3 2 3" xfId="15928"/>
    <cellStyle name="Input 6 3 2 4" xfId="15929"/>
    <cellStyle name="Input 6 3 2 5" xfId="15930"/>
    <cellStyle name="Input 6 3 2 6" xfId="15931"/>
    <cellStyle name="Input 6 3 2 7" xfId="15932"/>
    <cellStyle name="Input 6 3 3" xfId="15933"/>
    <cellStyle name="Input 6 3 3 2" xfId="15934"/>
    <cellStyle name="Input 6 3 3 3" xfId="15935"/>
    <cellStyle name="Input 6 3 3 4" xfId="15936"/>
    <cellStyle name="Input 6 3 3 5" xfId="15937"/>
    <cellStyle name="Input 6 3 3 6" xfId="15938"/>
    <cellStyle name="Input 6 3 3 7" xfId="15939"/>
    <cellStyle name="Input 6 3 4" xfId="15940"/>
    <cellStyle name="Input 6 3 4 2" xfId="15941"/>
    <cellStyle name="Input 6 3 4 3" xfId="15942"/>
    <cellStyle name="Input 6 3 4 4" xfId="15943"/>
    <cellStyle name="Input 6 3 4 5" xfId="15944"/>
    <cellStyle name="Input 6 3 4 6" xfId="15945"/>
    <cellStyle name="Input 6 3 4 7" xfId="15946"/>
    <cellStyle name="Input 6 3 5" xfId="15947"/>
    <cellStyle name="Input 6 3 5 2" xfId="15948"/>
    <cellStyle name="Input 6 3 5 3" xfId="15949"/>
    <cellStyle name="Input 6 3 5 4" xfId="15950"/>
    <cellStyle name="Input 6 3 5 5" xfId="15951"/>
    <cellStyle name="Input 6 3 5 6" xfId="15952"/>
    <cellStyle name="Input 6 3 5 7" xfId="15953"/>
    <cellStyle name="Input 6 3 6" xfId="15954"/>
    <cellStyle name="Input 6 3 6 2" xfId="15955"/>
    <cellStyle name="Input 6 3 6 3" xfId="15956"/>
    <cellStyle name="Input 6 3 6 4" xfId="15957"/>
    <cellStyle name="Input 6 3 6 5" xfId="15958"/>
    <cellStyle name="Input 6 3 6 6" xfId="15959"/>
    <cellStyle name="Input 6 3 6 7" xfId="15960"/>
    <cellStyle name="Input 6 3 7" xfId="15961"/>
    <cellStyle name="Input 6 3 7 2" xfId="15962"/>
    <cellStyle name="Input 6 3 7 3" xfId="15963"/>
    <cellStyle name="Input 6 3 7 4" xfId="15964"/>
    <cellStyle name="Input 6 3 7 5" xfId="15965"/>
    <cellStyle name="Input 6 3 7 6" xfId="15966"/>
    <cellStyle name="Input 6 3 7 7" xfId="15967"/>
    <cellStyle name="Input 6 3 8" xfId="15968"/>
    <cellStyle name="Input 6 3 8 2" xfId="15969"/>
    <cellStyle name="Input 6 3 8 3" xfId="15970"/>
    <cellStyle name="Input 6 3 8 4" xfId="15971"/>
    <cellStyle name="Input 6 3 8 5" xfId="15972"/>
    <cellStyle name="Input 6 3 8 6" xfId="15973"/>
    <cellStyle name="Input 6 3 8 7" xfId="15974"/>
    <cellStyle name="Input 6 3 9" xfId="15975"/>
    <cellStyle name="Input 6 3 9 2" xfId="15976"/>
    <cellStyle name="Input 6 3 9 3" xfId="15977"/>
    <cellStyle name="Input 6 3 9 4" xfId="15978"/>
    <cellStyle name="Input 6 3 9 5" xfId="15979"/>
    <cellStyle name="Input 6 3 9 6" xfId="15980"/>
    <cellStyle name="Input 6 4" xfId="15981"/>
    <cellStyle name="Input 6 4 2" xfId="15982"/>
    <cellStyle name="Input 6 4 3" xfId="15983"/>
    <cellStyle name="Input 6 4 4" xfId="15984"/>
    <cellStyle name="Input 6 4 5" xfId="15985"/>
    <cellStyle name="Input 6 4 6" xfId="15986"/>
    <cellStyle name="Input 6 4 7" xfId="15987"/>
    <cellStyle name="Input 6 5" xfId="15988"/>
    <cellStyle name="Input 6 5 2" xfId="15989"/>
    <cellStyle name="Input 6 5 3" xfId="15990"/>
    <cellStyle name="Input 6 5 4" xfId="15991"/>
    <cellStyle name="Input 6 5 5" xfId="15992"/>
    <cellStyle name="Input 6 5 6" xfId="15993"/>
    <cellStyle name="Input 6 5 7" xfId="15994"/>
    <cellStyle name="Input 6 6" xfId="15995"/>
    <cellStyle name="Input 6 6 2" xfId="15996"/>
    <cellStyle name="Input 6 6 3" xfId="15997"/>
    <cellStyle name="Input 6 6 4" xfId="15998"/>
    <cellStyle name="Input 6 6 5" xfId="15999"/>
    <cellStyle name="Input 6 6 6" xfId="16000"/>
    <cellStyle name="Input 6 6 7" xfId="16001"/>
    <cellStyle name="Input 6 7" xfId="16002"/>
    <cellStyle name="Input 6 7 2" xfId="16003"/>
    <cellStyle name="Input 6 7 3" xfId="16004"/>
    <cellStyle name="Input 6 7 4" xfId="16005"/>
    <cellStyle name="Input 6 7 5" xfId="16006"/>
    <cellStyle name="Input 6 7 6" xfId="16007"/>
    <cellStyle name="Input 6 7 7" xfId="16008"/>
    <cellStyle name="Input 6 8" xfId="16009"/>
    <cellStyle name="Input 6 8 2" xfId="16010"/>
    <cellStyle name="Input 6 8 3" xfId="16011"/>
    <cellStyle name="Input 6 8 4" xfId="16012"/>
    <cellStyle name="Input 6 8 5" xfId="16013"/>
    <cellStyle name="Input 6 8 6" xfId="16014"/>
    <cellStyle name="Input 6 8 7" xfId="16015"/>
    <cellStyle name="Input 6 9" xfId="16016"/>
    <cellStyle name="Input 6 9 2" xfId="16017"/>
    <cellStyle name="Input 6 9 3" xfId="16018"/>
    <cellStyle name="Input 6 9 4" xfId="16019"/>
    <cellStyle name="Input 6 9 5" xfId="16020"/>
    <cellStyle name="Input 6 9 6" xfId="16021"/>
    <cellStyle name="Input 6 9 7" xfId="16022"/>
    <cellStyle name="Input 60" xfId="16023"/>
    <cellStyle name="Input 60 10" xfId="16024"/>
    <cellStyle name="Input 60 10 2" xfId="16025"/>
    <cellStyle name="Input 60 10 3" xfId="16026"/>
    <cellStyle name="Input 60 10 4" xfId="16027"/>
    <cellStyle name="Input 60 10 5" xfId="16028"/>
    <cellStyle name="Input 60 10 6" xfId="16029"/>
    <cellStyle name="Input 60 10 7" xfId="16030"/>
    <cellStyle name="Input 60 11" xfId="16031"/>
    <cellStyle name="Input 60 11 2" xfId="16032"/>
    <cellStyle name="Input 60 11 3" xfId="16033"/>
    <cellStyle name="Input 60 11 4" xfId="16034"/>
    <cellStyle name="Input 60 11 5" xfId="16035"/>
    <cellStyle name="Input 60 11 6" xfId="16036"/>
    <cellStyle name="Input 60 12" xfId="16037"/>
    <cellStyle name="Input 60 12 2" xfId="16038"/>
    <cellStyle name="Input 60 12 3" xfId="16039"/>
    <cellStyle name="Input 60 12 4" xfId="16040"/>
    <cellStyle name="Input 60 12 5" xfId="16041"/>
    <cellStyle name="Input 60 12 6" xfId="16042"/>
    <cellStyle name="Input 60 13" xfId="16043"/>
    <cellStyle name="Input 60 14" xfId="16044"/>
    <cellStyle name="Input 60 15" xfId="16045"/>
    <cellStyle name="Input 60 16" xfId="16046"/>
    <cellStyle name="Input 60 2" xfId="16047"/>
    <cellStyle name="Input 60 2 10" xfId="16048"/>
    <cellStyle name="Input 60 2 10 2" xfId="16049"/>
    <cellStyle name="Input 60 2 10 3" xfId="16050"/>
    <cellStyle name="Input 60 2 10 4" xfId="16051"/>
    <cellStyle name="Input 60 2 10 5" xfId="16052"/>
    <cellStyle name="Input 60 2 10 6" xfId="16053"/>
    <cellStyle name="Input 60 2 11" xfId="16054"/>
    <cellStyle name="Input 60 2 12" xfId="16055"/>
    <cellStyle name="Input 60 2 13" xfId="16056"/>
    <cellStyle name="Input 60 2 14" xfId="16057"/>
    <cellStyle name="Input 60 2 2" xfId="16058"/>
    <cellStyle name="Input 60 2 2 2" xfId="16059"/>
    <cellStyle name="Input 60 2 2 3" xfId="16060"/>
    <cellStyle name="Input 60 2 2 4" xfId="16061"/>
    <cellStyle name="Input 60 2 2 5" xfId="16062"/>
    <cellStyle name="Input 60 2 2 6" xfId="16063"/>
    <cellStyle name="Input 60 2 2 7" xfId="16064"/>
    <cellStyle name="Input 60 2 3" xfId="16065"/>
    <cellStyle name="Input 60 2 3 2" xfId="16066"/>
    <cellStyle name="Input 60 2 3 3" xfId="16067"/>
    <cellStyle name="Input 60 2 3 4" xfId="16068"/>
    <cellStyle name="Input 60 2 3 5" xfId="16069"/>
    <cellStyle name="Input 60 2 3 6" xfId="16070"/>
    <cellStyle name="Input 60 2 3 7" xfId="16071"/>
    <cellStyle name="Input 60 2 4" xfId="16072"/>
    <cellStyle name="Input 60 2 4 2" xfId="16073"/>
    <cellStyle name="Input 60 2 4 3" xfId="16074"/>
    <cellStyle name="Input 60 2 4 4" xfId="16075"/>
    <cellStyle name="Input 60 2 4 5" xfId="16076"/>
    <cellStyle name="Input 60 2 4 6" xfId="16077"/>
    <cellStyle name="Input 60 2 4 7" xfId="16078"/>
    <cellStyle name="Input 60 2 5" xfId="16079"/>
    <cellStyle name="Input 60 2 5 2" xfId="16080"/>
    <cellStyle name="Input 60 2 5 3" xfId="16081"/>
    <cellStyle name="Input 60 2 5 4" xfId="16082"/>
    <cellStyle name="Input 60 2 5 5" xfId="16083"/>
    <cellStyle name="Input 60 2 5 6" xfId="16084"/>
    <cellStyle name="Input 60 2 5 7" xfId="16085"/>
    <cellStyle name="Input 60 2 6" xfId="16086"/>
    <cellStyle name="Input 60 2 6 2" xfId="16087"/>
    <cellStyle name="Input 60 2 6 3" xfId="16088"/>
    <cellStyle name="Input 60 2 6 4" xfId="16089"/>
    <cellStyle name="Input 60 2 6 5" xfId="16090"/>
    <cellStyle name="Input 60 2 6 6" xfId="16091"/>
    <cellStyle name="Input 60 2 6 7" xfId="16092"/>
    <cellStyle name="Input 60 2 7" xfId="16093"/>
    <cellStyle name="Input 60 2 7 2" xfId="16094"/>
    <cellStyle name="Input 60 2 7 3" xfId="16095"/>
    <cellStyle name="Input 60 2 7 4" xfId="16096"/>
    <cellStyle name="Input 60 2 7 5" xfId="16097"/>
    <cellStyle name="Input 60 2 7 6" xfId="16098"/>
    <cellStyle name="Input 60 2 7 7" xfId="16099"/>
    <cellStyle name="Input 60 2 8" xfId="16100"/>
    <cellStyle name="Input 60 2 8 2" xfId="16101"/>
    <cellStyle name="Input 60 2 8 3" xfId="16102"/>
    <cellStyle name="Input 60 2 8 4" xfId="16103"/>
    <cellStyle name="Input 60 2 8 5" xfId="16104"/>
    <cellStyle name="Input 60 2 8 6" xfId="16105"/>
    <cellStyle name="Input 60 2 8 7" xfId="16106"/>
    <cellStyle name="Input 60 2 9" xfId="16107"/>
    <cellStyle name="Input 60 2 9 2" xfId="16108"/>
    <cellStyle name="Input 60 2 9 3" xfId="16109"/>
    <cellStyle name="Input 60 2 9 4" xfId="16110"/>
    <cellStyle name="Input 60 2 9 5" xfId="16111"/>
    <cellStyle name="Input 60 2 9 6" xfId="16112"/>
    <cellStyle name="Input 60 3" xfId="16113"/>
    <cellStyle name="Input 60 3 10" xfId="16114"/>
    <cellStyle name="Input 60 3 10 2" xfId="16115"/>
    <cellStyle name="Input 60 3 10 3" xfId="16116"/>
    <cellStyle name="Input 60 3 10 4" xfId="16117"/>
    <cellStyle name="Input 60 3 10 5" xfId="16118"/>
    <cellStyle name="Input 60 3 10 6" xfId="16119"/>
    <cellStyle name="Input 60 3 11" xfId="16120"/>
    <cellStyle name="Input 60 3 12" xfId="16121"/>
    <cellStyle name="Input 60 3 13" xfId="16122"/>
    <cellStyle name="Input 60 3 14" xfId="16123"/>
    <cellStyle name="Input 60 3 2" xfId="16124"/>
    <cellStyle name="Input 60 3 2 2" xfId="16125"/>
    <cellStyle name="Input 60 3 2 3" xfId="16126"/>
    <cellStyle name="Input 60 3 2 4" xfId="16127"/>
    <cellStyle name="Input 60 3 2 5" xfId="16128"/>
    <cellStyle name="Input 60 3 2 6" xfId="16129"/>
    <cellStyle name="Input 60 3 2 7" xfId="16130"/>
    <cellStyle name="Input 60 3 3" xfId="16131"/>
    <cellStyle name="Input 60 3 3 2" xfId="16132"/>
    <cellStyle name="Input 60 3 3 3" xfId="16133"/>
    <cellStyle name="Input 60 3 3 4" xfId="16134"/>
    <cellStyle name="Input 60 3 3 5" xfId="16135"/>
    <cellStyle name="Input 60 3 3 6" xfId="16136"/>
    <cellStyle name="Input 60 3 3 7" xfId="16137"/>
    <cellStyle name="Input 60 3 4" xfId="16138"/>
    <cellStyle name="Input 60 3 4 2" xfId="16139"/>
    <cellStyle name="Input 60 3 4 3" xfId="16140"/>
    <cellStyle name="Input 60 3 4 4" xfId="16141"/>
    <cellStyle name="Input 60 3 4 5" xfId="16142"/>
    <cellStyle name="Input 60 3 4 6" xfId="16143"/>
    <cellStyle name="Input 60 3 4 7" xfId="16144"/>
    <cellStyle name="Input 60 3 5" xfId="16145"/>
    <cellStyle name="Input 60 3 5 2" xfId="16146"/>
    <cellStyle name="Input 60 3 5 3" xfId="16147"/>
    <cellStyle name="Input 60 3 5 4" xfId="16148"/>
    <cellStyle name="Input 60 3 5 5" xfId="16149"/>
    <cellStyle name="Input 60 3 5 6" xfId="16150"/>
    <cellStyle name="Input 60 3 5 7" xfId="16151"/>
    <cellStyle name="Input 60 3 6" xfId="16152"/>
    <cellStyle name="Input 60 3 6 2" xfId="16153"/>
    <cellStyle name="Input 60 3 6 3" xfId="16154"/>
    <cellStyle name="Input 60 3 6 4" xfId="16155"/>
    <cellStyle name="Input 60 3 6 5" xfId="16156"/>
    <cellStyle name="Input 60 3 6 6" xfId="16157"/>
    <cellStyle name="Input 60 3 6 7" xfId="16158"/>
    <cellStyle name="Input 60 3 7" xfId="16159"/>
    <cellStyle name="Input 60 3 7 2" xfId="16160"/>
    <cellStyle name="Input 60 3 7 3" xfId="16161"/>
    <cellStyle name="Input 60 3 7 4" xfId="16162"/>
    <cellStyle name="Input 60 3 7 5" xfId="16163"/>
    <cellStyle name="Input 60 3 7 6" xfId="16164"/>
    <cellStyle name="Input 60 3 7 7" xfId="16165"/>
    <cellStyle name="Input 60 3 8" xfId="16166"/>
    <cellStyle name="Input 60 3 8 2" xfId="16167"/>
    <cellStyle name="Input 60 3 8 3" xfId="16168"/>
    <cellStyle name="Input 60 3 8 4" xfId="16169"/>
    <cellStyle name="Input 60 3 8 5" xfId="16170"/>
    <cellStyle name="Input 60 3 8 6" xfId="16171"/>
    <cellStyle name="Input 60 3 8 7" xfId="16172"/>
    <cellStyle name="Input 60 3 9" xfId="16173"/>
    <cellStyle name="Input 60 3 9 2" xfId="16174"/>
    <cellStyle name="Input 60 3 9 3" xfId="16175"/>
    <cellStyle name="Input 60 3 9 4" xfId="16176"/>
    <cellStyle name="Input 60 3 9 5" xfId="16177"/>
    <cellStyle name="Input 60 3 9 6" xfId="16178"/>
    <cellStyle name="Input 60 4" xfId="16179"/>
    <cellStyle name="Input 60 4 2" xfId="16180"/>
    <cellStyle name="Input 60 4 3" xfId="16181"/>
    <cellStyle name="Input 60 4 4" xfId="16182"/>
    <cellStyle name="Input 60 4 5" xfId="16183"/>
    <cellStyle name="Input 60 4 6" xfId="16184"/>
    <cellStyle name="Input 60 4 7" xfId="16185"/>
    <cellStyle name="Input 60 5" xfId="16186"/>
    <cellStyle name="Input 60 5 2" xfId="16187"/>
    <cellStyle name="Input 60 5 3" xfId="16188"/>
    <cellStyle name="Input 60 5 4" xfId="16189"/>
    <cellStyle name="Input 60 5 5" xfId="16190"/>
    <cellStyle name="Input 60 5 6" xfId="16191"/>
    <cellStyle name="Input 60 5 7" xfId="16192"/>
    <cellStyle name="Input 60 6" xfId="16193"/>
    <cellStyle name="Input 60 6 2" xfId="16194"/>
    <cellStyle name="Input 60 6 3" xfId="16195"/>
    <cellStyle name="Input 60 6 4" xfId="16196"/>
    <cellStyle name="Input 60 6 5" xfId="16197"/>
    <cellStyle name="Input 60 6 6" xfId="16198"/>
    <cellStyle name="Input 60 6 7" xfId="16199"/>
    <cellStyle name="Input 60 7" xfId="16200"/>
    <cellStyle name="Input 60 7 2" xfId="16201"/>
    <cellStyle name="Input 60 7 3" xfId="16202"/>
    <cellStyle name="Input 60 7 4" xfId="16203"/>
    <cellStyle name="Input 60 7 5" xfId="16204"/>
    <cellStyle name="Input 60 7 6" xfId="16205"/>
    <cellStyle name="Input 60 7 7" xfId="16206"/>
    <cellStyle name="Input 60 8" xfId="16207"/>
    <cellStyle name="Input 60 8 2" xfId="16208"/>
    <cellStyle name="Input 60 8 3" xfId="16209"/>
    <cellStyle name="Input 60 8 4" xfId="16210"/>
    <cellStyle name="Input 60 8 5" xfId="16211"/>
    <cellStyle name="Input 60 8 6" xfId="16212"/>
    <cellStyle name="Input 60 8 7" xfId="16213"/>
    <cellStyle name="Input 60 9" xfId="16214"/>
    <cellStyle name="Input 60 9 2" xfId="16215"/>
    <cellStyle name="Input 60 9 3" xfId="16216"/>
    <cellStyle name="Input 60 9 4" xfId="16217"/>
    <cellStyle name="Input 60 9 5" xfId="16218"/>
    <cellStyle name="Input 60 9 6" xfId="16219"/>
    <cellStyle name="Input 60 9 7" xfId="16220"/>
    <cellStyle name="Input 7" xfId="16221"/>
    <cellStyle name="Input 7 10" xfId="16222"/>
    <cellStyle name="Input 7 10 2" xfId="16223"/>
    <cellStyle name="Input 7 10 3" xfId="16224"/>
    <cellStyle name="Input 7 10 4" xfId="16225"/>
    <cellStyle name="Input 7 10 5" xfId="16226"/>
    <cellStyle name="Input 7 10 6" xfId="16227"/>
    <cellStyle name="Input 7 10 7" xfId="16228"/>
    <cellStyle name="Input 7 11" xfId="16229"/>
    <cellStyle name="Input 7 11 2" xfId="16230"/>
    <cellStyle name="Input 7 11 3" xfId="16231"/>
    <cellStyle name="Input 7 11 4" xfId="16232"/>
    <cellStyle name="Input 7 11 5" xfId="16233"/>
    <cellStyle name="Input 7 11 6" xfId="16234"/>
    <cellStyle name="Input 7 12" xfId="16235"/>
    <cellStyle name="Input 7 12 2" xfId="16236"/>
    <cellStyle name="Input 7 12 3" xfId="16237"/>
    <cellStyle name="Input 7 12 4" xfId="16238"/>
    <cellStyle name="Input 7 12 5" xfId="16239"/>
    <cellStyle name="Input 7 12 6" xfId="16240"/>
    <cellStyle name="Input 7 13" xfId="16241"/>
    <cellStyle name="Input 7 14" xfId="16242"/>
    <cellStyle name="Input 7 15" xfId="16243"/>
    <cellStyle name="Input 7 16" xfId="16244"/>
    <cellStyle name="Input 7 2" xfId="16245"/>
    <cellStyle name="Input 7 2 10" xfId="16246"/>
    <cellStyle name="Input 7 2 10 2" xfId="16247"/>
    <cellStyle name="Input 7 2 10 3" xfId="16248"/>
    <cellStyle name="Input 7 2 10 4" xfId="16249"/>
    <cellStyle name="Input 7 2 10 5" xfId="16250"/>
    <cellStyle name="Input 7 2 10 6" xfId="16251"/>
    <cellStyle name="Input 7 2 11" xfId="16252"/>
    <cellStyle name="Input 7 2 12" xfId="16253"/>
    <cellStyle name="Input 7 2 13" xfId="16254"/>
    <cellStyle name="Input 7 2 14" xfId="16255"/>
    <cellStyle name="Input 7 2 2" xfId="16256"/>
    <cellStyle name="Input 7 2 2 2" xfId="16257"/>
    <cellStyle name="Input 7 2 2 3" xfId="16258"/>
    <cellStyle name="Input 7 2 2 4" xfId="16259"/>
    <cellStyle name="Input 7 2 2 5" xfId="16260"/>
    <cellStyle name="Input 7 2 2 6" xfId="16261"/>
    <cellStyle name="Input 7 2 2 7" xfId="16262"/>
    <cellStyle name="Input 7 2 3" xfId="16263"/>
    <cellStyle name="Input 7 2 3 2" xfId="16264"/>
    <cellStyle name="Input 7 2 3 3" xfId="16265"/>
    <cellStyle name="Input 7 2 3 4" xfId="16266"/>
    <cellStyle name="Input 7 2 3 5" xfId="16267"/>
    <cellStyle name="Input 7 2 3 6" xfId="16268"/>
    <cellStyle name="Input 7 2 3 7" xfId="16269"/>
    <cellStyle name="Input 7 2 4" xfId="16270"/>
    <cellStyle name="Input 7 2 4 2" xfId="16271"/>
    <cellStyle name="Input 7 2 4 3" xfId="16272"/>
    <cellStyle name="Input 7 2 4 4" xfId="16273"/>
    <cellStyle name="Input 7 2 4 5" xfId="16274"/>
    <cellStyle name="Input 7 2 4 6" xfId="16275"/>
    <cellStyle name="Input 7 2 4 7" xfId="16276"/>
    <cellStyle name="Input 7 2 5" xfId="16277"/>
    <cellStyle name="Input 7 2 5 2" xfId="16278"/>
    <cellStyle name="Input 7 2 5 3" xfId="16279"/>
    <cellStyle name="Input 7 2 5 4" xfId="16280"/>
    <cellStyle name="Input 7 2 5 5" xfId="16281"/>
    <cellStyle name="Input 7 2 5 6" xfId="16282"/>
    <cellStyle name="Input 7 2 5 7" xfId="16283"/>
    <cellStyle name="Input 7 2 6" xfId="16284"/>
    <cellStyle name="Input 7 2 6 2" xfId="16285"/>
    <cellStyle name="Input 7 2 6 3" xfId="16286"/>
    <cellStyle name="Input 7 2 6 4" xfId="16287"/>
    <cellStyle name="Input 7 2 6 5" xfId="16288"/>
    <cellStyle name="Input 7 2 6 6" xfId="16289"/>
    <cellStyle name="Input 7 2 6 7" xfId="16290"/>
    <cellStyle name="Input 7 2 7" xfId="16291"/>
    <cellStyle name="Input 7 2 7 2" xfId="16292"/>
    <cellStyle name="Input 7 2 7 3" xfId="16293"/>
    <cellStyle name="Input 7 2 7 4" xfId="16294"/>
    <cellStyle name="Input 7 2 7 5" xfId="16295"/>
    <cellStyle name="Input 7 2 7 6" xfId="16296"/>
    <cellStyle name="Input 7 2 7 7" xfId="16297"/>
    <cellStyle name="Input 7 2 8" xfId="16298"/>
    <cellStyle name="Input 7 2 8 2" xfId="16299"/>
    <cellStyle name="Input 7 2 8 3" xfId="16300"/>
    <cellStyle name="Input 7 2 8 4" xfId="16301"/>
    <cellStyle name="Input 7 2 8 5" xfId="16302"/>
    <cellStyle name="Input 7 2 8 6" xfId="16303"/>
    <cellStyle name="Input 7 2 8 7" xfId="16304"/>
    <cellStyle name="Input 7 2 9" xfId="16305"/>
    <cellStyle name="Input 7 2 9 2" xfId="16306"/>
    <cellStyle name="Input 7 2 9 3" xfId="16307"/>
    <cellStyle name="Input 7 2 9 4" xfId="16308"/>
    <cellStyle name="Input 7 2 9 5" xfId="16309"/>
    <cellStyle name="Input 7 2 9 6" xfId="16310"/>
    <cellStyle name="Input 7 3" xfId="16311"/>
    <cellStyle name="Input 7 3 10" xfId="16312"/>
    <cellStyle name="Input 7 3 10 2" xfId="16313"/>
    <cellStyle name="Input 7 3 10 3" xfId="16314"/>
    <cellStyle name="Input 7 3 10 4" xfId="16315"/>
    <cellStyle name="Input 7 3 10 5" xfId="16316"/>
    <cellStyle name="Input 7 3 10 6" xfId="16317"/>
    <cellStyle name="Input 7 3 11" xfId="16318"/>
    <cellStyle name="Input 7 3 12" xfId="16319"/>
    <cellStyle name="Input 7 3 13" xfId="16320"/>
    <cellStyle name="Input 7 3 14" xfId="16321"/>
    <cellStyle name="Input 7 3 2" xfId="16322"/>
    <cellStyle name="Input 7 3 2 2" xfId="16323"/>
    <cellStyle name="Input 7 3 2 3" xfId="16324"/>
    <cellStyle name="Input 7 3 2 4" xfId="16325"/>
    <cellStyle name="Input 7 3 2 5" xfId="16326"/>
    <cellStyle name="Input 7 3 2 6" xfId="16327"/>
    <cellStyle name="Input 7 3 2 7" xfId="16328"/>
    <cellStyle name="Input 7 3 3" xfId="16329"/>
    <cellStyle name="Input 7 3 3 2" xfId="16330"/>
    <cellStyle name="Input 7 3 3 3" xfId="16331"/>
    <cellStyle name="Input 7 3 3 4" xfId="16332"/>
    <cellStyle name="Input 7 3 3 5" xfId="16333"/>
    <cellStyle name="Input 7 3 3 6" xfId="16334"/>
    <cellStyle name="Input 7 3 3 7" xfId="16335"/>
    <cellStyle name="Input 7 3 4" xfId="16336"/>
    <cellStyle name="Input 7 3 4 2" xfId="16337"/>
    <cellStyle name="Input 7 3 4 3" xfId="16338"/>
    <cellStyle name="Input 7 3 4 4" xfId="16339"/>
    <cellStyle name="Input 7 3 4 5" xfId="16340"/>
    <cellStyle name="Input 7 3 4 6" xfId="16341"/>
    <cellStyle name="Input 7 3 4 7" xfId="16342"/>
    <cellStyle name="Input 7 3 5" xfId="16343"/>
    <cellStyle name="Input 7 3 5 2" xfId="16344"/>
    <cellStyle name="Input 7 3 5 3" xfId="16345"/>
    <cellStyle name="Input 7 3 5 4" xfId="16346"/>
    <cellStyle name="Input 7 3 5 5" xfId="16347"/>
    <cellStyle name="Input 7 3 5 6" xfId="16348"/>
    <cellStyle name="Input 7 3 5 7" xfId="16349"/>
    <cellStyle name="Input 7 3 6" xfId="16350"/>
    <cellStyle name="Input 7 3 6 2" xfId="16351"/>
    <cellStyle name="Input 7 3 6 3" xfId="16352"/>
    <cellStyle name="Input 7 3 6 4" xfId="16353"/>
    <cellStyle name="Input 7 3 6 5" xfId="16354"/>
    <cellStyle name="Input 7 3 6 6" xfId="16355"/>
    <cellStyle name="Input 7 3 6 7" xfId="16356"/>
    <cellStyle name="Input 7 3 7" xfId="16357"/>
    <cellStyle name="Input 7 3 7 2" xfId="16358"/>
    <cellStyle name="Input 7 3 7 3" xfId="16359"/>
    <cellStyle name="Input 7 3 7 4" xfId="16360"/>
    <cellStyle name="Input 7 3 7 5" xfId="16361"/>
    <cellStyle name="Input 7 3 7 6" xfId="16362"/>
    <cellStyle name="Input 7 3 7 7" xfId="16363"/>
    <cellStyle name="Input 7 3 8" xfId="16364"/>
    <cellStyle name="Input 7 3 8 2" xfId="16365"/>
    <cellStyle name="Input 7 3 8 3" xfId="16366"/>
    <cellStyle name="Input 7 3 8 4" xfId="16367"/>
    <cellStyle name="Input 7 3 8 5" xfId="16368"/>
    <cellStyle name="Input 7 3 8 6" xfId="16369"/>
    <cellStyle name="Input 7 3 8 7" xfId="16370"/>
    <cellStyle name="Input 7 3 9" xfId="16371"/>
    <cellStyle name="Input 7 3 9 2" xfId="16372"/>
    <cellStyle name="Input 7 3 9 3" xfId="16373"/>
    <cellStyle name="Input 7 3 9 4" xfId="16374"/>
    <cellStyle name="Input 7 3 9 5" xfId="16375"/>
    <cellStyle name="Input 7 3 9 6" xfId="16376"/>
    <cellStyle name="Input 7 4" xfId="16377"/>
    <cellStyle name="Input 7 4 2" xfId="16378"/>
    <cellStyle name="Input 7 4 3" xfId="16379"/>
    <cellStyle name="Input 7 4 4" xfId="16380"/>
    <cellStyle name="Input 7 4 5" xfId="16381"/>
    <cellStyle name="Input 7 4 6" xfId="16382"/>
    <cellStyle name="Input 7 4 7" xfId="16383"/>
    <cellStyle name="Input 7 5" xfId="16384"/>
    <cellStyle name="Input 7 5 2" xfId="16385"/>
    <cellStyle name="Input 7 5 3" xfId="16386"/>
    <cellStyle name="Input 7 5 4" xfId="16387"/>
    <cellStyle name="Input 7 5 5" xfId="16388"/>
    <cellStyle name="Input 7 5 6" xfId="16389"/>
    <cellStyle name="Input 7 5 7" xfId="16390"/>
    <cellStyle name="Input 7 6" xfId="16391"/>
    <cellStyle name="Input 7 6 2" xfId="16392"/>
    <cellStyle name="Input 7 6 3" xfId="16393"/>
    <cellStyle name="Input 7 6 4" xfId="16394"/>
    <cellStyle name="Input 7 6 5" xfId="16395"/>
    <cellStyle name="Input 7 6 6" xfId="16396"/>
    <cellStyle name="Input 7 6 7" xfId="16397"/>
    <cellStyle name="Input 7 7" xfId="16398"/>
    <cellStyle name="Input 7 7 2" xfId="16399"/>
    <cellStyle name="Input 7 7 3" xfId="16400"/>
    <cellStyle name="Input 7 7 4" xfId="16401"/>
    <cellStyle name="Input 7 7 5" xfId="16402"/>
    <cellStyle name="Input 7 7 6" xfId="16403"/>
    <cellStyle name="Input 7 7 7" xfId="16404"/>
    <cellStyle name="Input 7 8" xfId="16405"/>
    <cellStyle name="Input 7 8 2" xfId="16406"/>
    <cellStyle name="Input 7 8 3" xfId="16407"/>
    <cellStyle name="Input 7 8 4" xfId="16408"/>
    <cellStyle name="Input 7 8 5" xfId="16409"/>
    <cellStyle name="Input 7 8 6" xfId="16410"/>
    <cellStyle name="Input 7 8 7" xfId="16411"/>
    <cellStyle name="Input 7 9" xfId="16412"/>
    <cellStyle name="Input 7 9 2" xfId="16413"/>
    <cellStyle name="Input 7 9 3" xfId="16414"/>
    <cellStyle name="Input 7 9 4" xfId="16415"/>
    <cellStyle name="Input 7 9 5" xfId="16416"/>
    <cellStyle name="Input 7 9 6" xfId="16417"/>
    <cellStyle name="Input 7 9 7" xfId="16418"/>
    <cellStyle name="Input 8" xfId="16419"/>
    <cellStyle name="Input 8 10" xfId="16420"/>
    <cellStyle name="Input 8 10 2" xfId="16421"/>
    <cellStyle name="Input 8 10 3" xfId="16422"/>
    <cellStyle name="Input 8 10 4" xfId="16423"/>
    <cellStyle name="Input 8 10 5" xfId="16424"/>
    <cellStyle name="Input 8 10 6" xfId="16425"/>
    <cellStyle name="Input 8 10 7" xfId="16426"/>
    <cellStyle name="Input 8 11" xfId="16427"/>
    <cellStyle name="Input 8 11 2" xfId="16428"/>
    <cellStyle name="Input 8 11 3" xfId="16429"/>
    <cellStyle name="Input 8 11 4" xfId="16430"/>
    <cellStyle name="Input 8 11 5" xfId="16431"/>
    <cellStyle name="Input 8 11 6" xfId="16432"/>
    <cellStyle name="Input 8 12" xfId="16433"/>
    <cellStyle name="Input 8 12 2" xfId="16434"/>
    <cellStyle name="Input 8 12 3" xfId="16435"/>
    <cellStyle name="Input 8 12 4" xfId="16436"/>
    <cellStyle name="Input 8 12 5" xfId="16437"/>
    <cellStyle name="Input 8 12 6" xfId="16438"/>
    <cellStyle name="Input 8 13" xfId="16439"/>
    <cellStyle name="Input 8 14" xfId="16440"/>
    <cellStyle name="Input 8 15" xfId="16441"/>
    <cellStyle name="Input 8 16" xfId="16442"/>
    <cellStyle name="Input 8 2" xfId="16443"/>
    <cellStyle name="Input 8 2 10" xfId="16444"/>
    <cellStyle name="Input 8 2 10 2" xfId="16445"/>
    <cellStyle name="Input 8 2 10 3" xfId="16446"/>
    <cellStyle name="Input 8 2 10 4" xfId="16447"/>
    <cellStyle name="Input 8 2 10 5" xfId="16448"/>
    <cellStyle name="Input 8 2 10 6" xfId="16449"/>
    <cellStyle name="Input 8 2 11" xfId="16450"/>
    <cellStyle name="Input 8 2 12" xfId="16451"/>
    <cellStyle name="Input 8 2 13" xfId="16452"/>
    <cellStyle name="Input 8 2 14" xfId="16453"/>
    <cellStyle name="Input 8 2 2" xfId="16454"/>
    <cellStyle name="Input 8 2 2 2" xfId="16455"/>
    <cellStyle name="Input 8 2 2 3" xfId="16456"/>
    <cellStyle name="Input 8 2 2 4" xfId="16457"/>
    <cellStyle name="Input 8 2 2 5" xfId="16458"/>
    <cellStyle name="Input 8 2 2 6" xfId="16459"/>
    <cellStyle name="Input 8 2 2 7" xfId="16460"/>
    <cellStyle name="Input 8 2 3" xfId="16461"/>
    <cellStyle name="Input 8 2 3 2" xfId="16462"/>
    <cellStyle name="Input 8 2 3 3" xfId="16463"/>
    <cellStyle name="Input 8 2 3 4" xfId="16464"/>
    <cellStyle name="Input 8 2 3 5" xfId="16465"/>
    <cellStyle name="Input 8 2 3 6" xfId="16466"/>
    <cellStyle name="Input 8 2 3 7" xfId="16467"/>
    <cellStyle name="Input 8 2 4" xfId="16468"/>
    <cellStyle name="Input 8 2 4 2" xfId="16469"/>
    <cellStyle name="Input 8 2 4 3" xfId="16470"/>
    <cellStyle name="Input 8 2 4 4" xfId="16471"/>
    <cellStyle name="Input 8 2 4 5" xfId="16472"/>
    <cellStyle name="Input 8 2 4 6" xfId="16473"/>
    <cellStyle name="Input 8 2 4 7" xfId="16474"/>
    <cellStyle name="Input 8 2 5" xfId="16475"/>
    <cellStyle name="Input 8 2 5 2" xfId="16476"/>
    <cellStyle name="Input 8 2 5 3" xfId="16477"/>
    <cellStyle name="Input 8 2 5 4" xfId="16478"/>
    <cellStyle name="Input 8 2 5 5" xfId="16479"/>
    <cellStyle name="Input 8 2 5 6" xfId="16480"/>
    <cellStyle name="Input 8 2 5 7" xfId="16481"/>
    <cellStyle name="Input 8 2 6" xfId="16482"/>
    <cellStyle name="Input 8 2 6 2" xfId="16483"/>
    <cellStyle name="Input 8 2 6 3" xfId="16484"/>
    <cellStyle name="Input 8 2 6 4" xfId="16485"/>
    <cellStyle name="Input 8 2 6 5" xfId="16486"/>
    <cellStyle name="Input 8 2 6 6" xfId="16487"/>
    <cellStyle name="Input 8 2 6 7" xfId="16488"/>
    <cellStyle name="Input 8 2 7" xfId="16489"/>
    <cellStyle name="Input 8 2 7 2" xfId="16490"/>
    <cellStyle name="Input 8 2 7 3" xfId="16491"/>
    <cellStyle name="Input 8 2 7 4" xfId="16492"/>
    <cellStyle name="Input 8 2 7 5" xfId="16493"/>
    <cellStyle name="Input 8 2 7 6" xfId="16494"/>
    <cellStyle name="Input 8 2 7 7" xfId="16495"/>
    <cellStyle name="Input 8 2 8" xfId="16496"/>
    <cellStyle name="Input 8 2 8 2" xfId="16497"/>
    <cellStyle name="Input 8 2 8 3" xfId="16498"/>
    <cellStyle name="Input 8 2 8 4" xfId="16499"/>
    <cellStyle name="Input 8 2 8 5" xfId="16500"/>
    <cellStyle name="Input 8 2 8 6" xfId="16501"/>
    <cellStyle name="Input 8 2 8 7" xfId="16502"/>
    <cellStyle name="Input 8 2 9" xfId="16503"/>
    <cellStyle name="Input 8 2 9 2" xfId="16504"/>
    <cellStyle name="Input 8 2 9 3" xfId="16505"/>
    <cellStyle name="Input 8 2 9 4" xfId="16506"/>
    <cellStyle name="Input 8 2 9 5" xfId="16507"/>
    <cellStyle name="Input 8 2 9 6" xfId="16508"/>
    <cellStyle name="Input 8 3" xfId="16509"/>
    <cellStyle name="Input 8 3 10" xfId="16510"/>
    <cellStyle name="Input 8 3 10 2" xfId="16511"/>
    <cellStyle name="Input 8 3 10 3" xfId="16512"/>
    <cellStyle name="Input 8 3 10 4" xfId="16513"/>
    <cellStyle name="Input 8 3 10 5" xfId="16514"/>
    <cellStyle name="Input 8 3 10 6" xfId="16515"/>
    <cellStyle name="Input 8 3 11" xfId="16516"/>
    <cellStyle name="Input 8 3 12" xfId="16517"/>
    <cellStyle name="Input 8 3 13" xfId="16518"/>
    <cellStyle name="Input 8 3 14" xfId="16519"/>
    <cellStyle name="Input 8 3 2" xfId="16520"/>
    <cellStyle name="Input 8 3 2 2" xfId="16521"/>
    <cellStyle name="Input 8 3 2 3" xfId="16522"/>
    <cellStyle name="Input 8 3 2 4" xfId="16523"/>
    <cellStyle name="Input 8 3 2 5" xfId="16524"/>
    <cellStyle name="Input 8 3 2 6" xfId="16525"/>
    <cellStyle name="Input 8 3 2 7" xfId="16526"/>
    <cellStyle name="Input 8 3 3" xfId="16527"/>
    <cellStyle name="Input 8 3 3 2" xfId="16528"/>
    <cellStyle name="Input 8 3 3 3" xfId="16529"/>
    <cellStyle name="Input 8 3 3 4" xfId="16530"/>
    <cellStyle name="Input 8 3 3 5" xfId="16531"/>
    <cellStyle name="Input 8 3 3 6" xfId="16532"/>
    <cellStyle name="Input 8 3 3 7" xfId="16533"/>
    <cellStyle name="Input 8 3 4" xfId="16534"/>
    <cellStyle name="Input 8 3 4 2" xfId="16535"/>
    <cellStyle name="Input 8 3 4 3" xfId="16536"/>
    <cellStyle name="Input 8 3 4 4" xfId="16537"/>
    <cellStyle name="Input 8 3 4 5" xfId="16538"/>
    <cellStyle name="Input 8 3 4 6" xfId="16539"/>
    <cellStyle name="Input 8 3 4 7" xfId="16540"/>
    <cellStyle name="Input 8 3 5" xfId="16541"/>
    <cellStyle name="Input 8 3 5 2" xfId="16542"/>
    <cellStyle name="Input 8 3 5 3" xfId="16543"/>
    <cellStyle name="Input 8 3 5 4" xfId="16544"/>
    <cellStyle name="Input 8 3 5 5" xfId="16545"/>
    <cellStyle name="Input 8 3 5 6" xfId="16546"/>
    <cellStyle name="Input 8 3 5 7" xfId="16547"/>
    <cellStyle name="Input 8 3 6" xfId="16548"/>
    <cellStyle name="Input 8 3 6 2" xfId="16549"/>
    <cellStyle name="Input 8 3 6 3" xfId="16550"/>
    <cellStyle name="Input 8 3 6 4" xfId="16551"/>
    <cellStyle name="Input 8 3 6 5" xfId="16552"/>
    <cellStyle name="Input 8 3 6 6" xfId="16553"/>
    <cellStyle name="Input 8 3 6 7" xfId="16554"/>
    <cellStyle name="Input 8 3 7" xfId="16555"/>
    <cellStyle name="Input 8 3 7 2" xfId="16556"/>
    <cellStyle name="Input 8 3 7 3" xfId="16557"/>
    <cellStyle name="Input 8 3 7 4" xfId="16558"/>
    <cellStyle name="Input 8 3 7 5" xfId="16559"/>
    <cellStyle name="Input 8 3 7 6" xfId="16560"/>
    <cellStyle name="Input 8 3 7 7" xfId="16561"/>
    <cellStyle name="Input 8 3 8" xfId="16562"/>
    <cellStyle name="Input 8 3 8 2" xfId="16563"/>
    <cellStyle name="Input 8 3 8 3" xfId="16564"/>
    <cellStyle name="Input 8 3 8 4" xfId="16565"/>
    <cellStyle name="Input 8 3 8 5" xfId="16566"/>
    <cellStyle name="Input 8 3 8 6" xfId="16567"/>
    <cellStyle name="Input 8 3 8 7" xfId="16568"/>
    <cellStyle name="Input 8 3 9" xfId="16569"/>
    <cellStyle name="Input 8 3 9 2" xfId="16570"/>
    <cellStyle name="Input 8 3 9 3" xfId="16571"/>
    <cellStyle name="Input 8 3 9 4" xfId="16572"/>
    <cellStyle name="Input 8 3 9 5" xfId="16573"/>
    <cellStyle name="Input 8 3 9 6" xfId="16574"/>
    <cellStyle name="Input 8 4" xfId="16575"/>
    <cellStyle name="Input 8 4 2" xfId="16576"/>
    <cellStyle name="Input 8 4 3" xfId="16577"/>
    <cellStyle name="Input 8 4 4" xfId="16578"/>
    <cellStyle name="Input 8 4 5" xfId="16579"/>
    <cellStyle name="Input 8 4 6" xfId="16580"/>
    <cellStyle name="Input 8 4 7" xfId="16581"/>
    <cellStyle name="Input 8 5" xfId="16582"/>
    <cellStyle name="Input 8 5 2" xfId="16583"/>
    <cellStyle name="Input 8 5 3" xfId="16584"/>
    <cellStyle name="Input 8 5 4" xfId="16585"/>
    <cellStyle name="Input 8 5 5" xfId="16586"/>
    <cellStyle name="Input 8 5 6" xfId="16587"/>
    <cellStyle name="Input 8 5 7" xfId="16588"/>
    <cellStyle name="Input 8 6" xfId="16589"/>
    <cellStyle name="Input 8 6 2" xfId="16590"/>
    <cellStyle name="Input 8 6 3" xfId="16591"/>
    <cellStyle name="Input 8 6 4" xfId="16592"/>
    <cellStyle name="Input 8 6 5" xfId="16593"/>
    <cellStyle name="Input 8 6 6" xfId="16594"/>
    <cellStyle name="Input 8 6 7" xfId="16595"/>
    <cellStyle name="Input 8 7" xfId="16596"/>
    <cellStyle name="Input 8 7 2" xfId="16597"/>
    <cellStyle name="Input 8 7 3" xfId="16598"/>
    <cellStyle name="Input 8 7 4" xfId="16599"/>
    <cellStyle name="Input 8 7 5" xfId="16600"/>
    <cellStyle name="Input 8 7 6" xfId="16601"/>
    <cellStyle name="Input 8 7 7" xfId="16602"/>
    <cellStyle name="Input 8 8" xfId="16603"/>
    <cellStyle name="Input 8 8 2" xfId="16604"/>
    <cellStyle name="Input 8 8 3" xfId="16605"/>
    <cellStyle name="Input 8 8 4" xfId="16606"/>
    <cellStyle name="Input 8 8 5" xfId="16607"/>
    <cellStyle name="Input 8 8 6" xfId="16608"/>
    <cellStyle name="Input 8 8 7" xfId="16609"/>
    <cellStyle name="Input 8 9" xfId="16610"/>
    <cellStyle name="Input 8 9 2" xfId="16611"/>
    <cellStyle name="Input 8 9 3" xfId="16612"/>
    <cellStyle name="Input 8 9 4" xfId="16613"/>
    <cellStyle name="Input 8 9 5" xfId="16614"/>
    <cellStyle name="Input 8 9 6" xfId="16615"/>
    <cellStyle name="Input 8 9 7" xfId="16616"/>
    <cellStyle name="Input 9" xfId="16617"/>
    <cellStyle name="Input 9 10" xfId="16618"/>
    <cellStyle name="Input 9 10 2" xfId="16619"/>
    <cellStyle name="Input 9 10 3" xfId="16620"/>
    <cellStyle name="Input 9 10 4" xfId="16621"/>
    <cellStyle name="Input 9 10 5" xfId="16622"/>
    <cellStyle name="Input 9 10 6" xfId="16623"/>
    <cellStyle name="Input 9 10 7" xfId="16624"/>
    <cellStyle name="Input 9 11" xfId="16625"/>
    <cellStyle name="Input 9 11 2" xfId="16626"/>
    <cellStyle name="Input 9 11 3" xfId="16627"/>
    <cellStyle name="Input 9 11 4" xfId="16628"/>
    <cellStyle name="Input 9 11 5" xfId="16629"/>
    <cellStyle name="Input 9 11 6" xfId="16630"/>
    <cellStyle name="Input 9 12" xfId="16631"/>
    <cellStyle name="Input 9 12 2" xfId="16632"/>
    <cellStyle name="Input 9 12 3" xfId="16633"/>
    <cellStyle name="Input 9 12 4" xfId="16634"/>
    <cellStyle name="Input 9 12 5" xfId="16635"/>
    <cellStyle name="Input 9 12 6" xfId="16636"/>
    <cellStyle name="Input 9 13" xfId="16637"/>
    <cellStyle name="Input 9 14" xfId="16638"/>
    <cellStyle name="Input 9 15" xfId="16639"/>
    <cellStyle name="Input 9 16" xfId="16640"/>
    <cellStyle name="Input 9 2" xfId="16641"/>
    <cellStyle name="Input 9 2 10" xfId="16642"/>
    <cellStyle name="Input 9 2 10 2" xfId="16643"/>
    <cellStyle name="Input 9 2 10 3" xfId="16644"/>
    <cellStyle name="Input 9 2 10 4" xfId="16645"/>
    <cellStyle name="Input 9 2 10 5" xfId="16646"/>
    <cellStyle name="Input 9 2 10 6" xfId="16647"/>
    <cellStyle name="Input 9 2 11" xfId="16648"/>
    <cellStyle name="Input 9 2 12" xfId="16649"/>
    <cellStyle name="Input 9 2 13" xfId="16650"/>
    <cellStyle name="Input 9 2 14" xfId="16651"/>
    <cellStyle name="Input 9 2 2" xfId="16652"/>
    <cellStyle name="Input 9 2 2 2" xfId="16653"/>
    <cellStyle name="Input 9 2 2 3" xfId="16654"/>
    <cellStyle name="Input 9 2 2 4" xfId="16655"/>
    <cellStyle name="Input 9 2 2 5" xfId="16656"/>
    <cellStyle name="Input 9 2 2 6" xfId="16657"/>
    <cellStyle name="Input 9 2 2 7" xfId="16658"/>
    <cellStyle name="Input 9 2 3" xfId="16659"/>
    <cellStyle name="Input 9 2 3 2" xfId="16660"/>
    <cellStyle name="Input 9 2 3 3" xfId="16661"/>
    <cellStyle name="Input 9 2 3 4" xfId="16662"/>
    <cellStyle name="Input 9 2 3 5" xfId="16663"/>
    <cellStyle name="Input 9 2 3 6" xfId="16664"/>
    <cellStyle name="Input 9 2 3 7" xfId="16665"/>
    <cellStyle name="Input 9 2 4" xfId="16666"/>
    <cellStyle name="Input 9 2 4 2" xfId="16667"/>
    <cellStyle name="Input 9 2 4 3" xfId="16668"/>
    <cellStyle name="Input 9 2 4 4" xfId="16669"/>
    <cellStyle name="Input 9 2 4 5" xfId="16670"/>
    <cellStyle name="Input 9 2 4 6" xfId="16671"/>
    <cellStyle name="Input 9 2 4 7" xfId="16672"/>
    <cellStyle name="Input 9 2 5" xfId="16673"/>
    <cellStyle name="Input 9 2 5 2" xfId="16674"/>
    <cellStyle name="Input 9 2 5 3" xfId="16675"/>
    <cellStyle name="Input 9 2 5 4" xfId="16676"/>
    <cellStyle name="Input 9 2 5 5" xfId="16677"/>
    <cellStyle name="Input 9 2 5 6" xfId="16678"/>
    <cellStyle name="Input 9 2 5 7" xfId="16679"/>
    <cellStyle name="Input 9 2 6" xfId="16680"/>
    <cellStyle name="Input 9 2 6 2" xfId="16681"/>
    <cellStyle name="Input 9 2 6 3" xfId="16682"/>
    <cellStyle name="Input 9 2 6 4" xfId="16683"/>
    <cellStyle name="Input 9 2 6 5" xfId="16684"/>
    <cellStyle name="Input 9 2 6 6" xfId="16685"/>
    <cellStyle name="Input 9 2 6 7" xfId="16686"/>
    <cellStyle name="Input 9 2 7" xfId="16687"/>
    <cellStyle name="Input 9 2 7 2" xfId="16688"/>
    <cellStyle name="Input 9 2 7 3" xfId="16689"/>
    <cellStyle name="Input 9 2 7 4" xfId="16690"/>
    <cellStyle name="Input 9 2 7 5" xfId="16691"/>
    <cellStyle name="Input 9 2 7 6" xfId="16692"/>
    <cellStyle name="Input 9 2 7 7" xfId="16693"/>
    <cellStyle name="Input 9 2 8" xfId="16694"/>
    <cellStyle name="Input 9 2 8 2" xfId="16695"/>
    <cellStyle name="Input 9 2 8 3" xfId="16696"/>
    <cellStyle name="Input 9 2 8 4" xfId="16697"/>
    <cellStyle name="Input 9 2 8 5" xfId="16698"/>
    <cellStyle name="Input 9 2 8 6" xfId="16699"/>
    <cellStyle name="Input 9 2 8 7" xfId="16700"/>
    <cellStyle name="Input 9 2 9" xfId="16701"/>
    <cellStyle name="Input 9 2 9 2" xfId="16702"/>
    <cellStyle name="Input 9 2 9 3" xfId="16703"/>
    <cellStyle name="Input 9 2 9 4" xfId="16704"/>
    <cellStyle name="Input 9 2 9 5" xfId="16705"/>
    <cellStyle name="Input 9 2 9 6" xfId="16706"/>
    <cellStyle name="Input 9 3" xfId="16707"/>
    <cellStyle name="Input 9 3 10" xfId="16708"/>
    <cellStyle name="Input 9 3 10 2" xfId="16709"/>
    <cellStyle name="Input 9 3 10 3" xfId="16710"/>
    <cellStyle name="Input 9 3 10 4" xfId="16711"/>
    <cellStyle name="Input 9 3 10 5" xfId="16712"/>
    <cellStyle name="Input 9 3 10 6" xfId="16713"/>
    <cellStyle name="Input 9 3 11" xfId="16714"/>
    <cellStyle name="Input 9 3 12" xfId="16715"/>
    <cellStyle name="Input 9 3 13" xfId="16716"/>
    <cellStyle name="Input 9 3 14" xfId="16717"/>
    <cellStyle name="Input 9 3 2" xfId="16718"/>
    <cellStyle name="Input 9 3 2 2" xfId="16719"/>
    <cellStyle name="Input 9 3 2 3" xfId="16720"/>
    <cellStyle name="Input 9 3 2 4" xfId="16721"/>
    <cellStyle name="Input 9 3 2 5" xfId="16722"/>
    <cellStyle name="Input 9 3 2 6" xfId="16723"/>
    <cellStyle name="Input 9 3 2 7" xfId="16724"/>
    <cellStyle name="Input 9 3 3" xfId="16725"/>
    <cellStyle name="Input 9 3 3 2" xfId="16726"/>
    <cellStyle name="Input 9 3 3 3" xfId="16727"/>
    <cellStyle name="Input 9 3 3 4" xfId="16728"/>
    <cellStyle name="Input 9 3 3 5" xfId="16729"/>
    <cellStyle name="Input 9 3 3 6" xfId="16730"/>
    <cellStyle name="Input 9 3 3 7" xfId="16731"/>
    <cellStyle name="Input 9 3 4" xfId="16732"/>
    <cellStyle name="Input 9 3 4 2" xfId="16733"/>
    <cellStyle name="Input 9 3 4 3" xfId="16734"/>
    <cellStyle name="Input 9 3 4 4" xfId="16735"/>
    <cellStyle name="Input 9 3 4 5" xfId="16736"/>
    <cellStyle name="Input 9 3 4 6" xfId="16737"/>
    <cellStyle name="Input 9 3 4 7" xfId="16738"/>
    <cellStyle name="Input 9 3 5" xfId="16739"/>
    <cellStyle name="Input 9 3 5 2" xfId="16740"/>
    <cellStyle name="Input 9 3 5 3" xfId="16741"/>
    <cellStyle name="Input 9 3 5 4" xfId="16742"/>
    <cellStyle name="Input 9 3 5 5" xfId="16743"/>
    <cellStyle name="Input 9 3 5 6" xfId="16744"/>
    <cellStyle name="Input 9 3 5 7" xfId="16745"/>
    <cellStyle name="Input 9 3 6" xfId="16746"/>
    <cellStyle name="Input 9 3 6 2" xfId="16747"/>
    <cellStyle name="Input 9 3 6 3" xfId="16748"/>
    <cellStyle name="Input 9 3 6 4" xfId="16749"/>
    <cellStyle name="Input 9 3 6 5" xfId="16750"/>
    <cellStyle name="Input 9 3 6 6" xfId="16751"/>
    <cellStyle name="Input 9 3 6 7" xfId="16752"/>
    <cellStyle name="Input 9 3 7" xfId="16753"/>
    <cellStyle name="Input 9 3 7 2" xfId="16754"/>
    <cellStyle name="Input 9 3 7 3" xfId="16755"/>
    <cellStyle name="Input 9 3 7 4" xfId="16756"/>
    <cellStyle name="Input 9 3 7 5" xfId="16757"/>
    <cellStyle name="Input 9 3 7 6" xfId="16758"/>
    <cellStyle name="Input 9 3 7 7" xfId="16759"/>
    <cellStyle name="Input 9 3 8" xfId="16760"/>
    <cellStyle name="Input 9 3 8 2" xfId="16761"/>
    <cellStyle name="Input 9 3 8 3" xfId="16762"/>
    <cellStyle name="Input 9 3 8 4" xfId="16763"/>
    <cellStyle name="Input 9 3 8 5" xfId="16764"/>
    <cellStyle name="Input 9 3 8 6" xfId="16765"/>
    <cellStyle name="Input 9 3 8 7" xfId="16766"/>
    <cellStyle name="Input 9 3 9" xfId="16767"/>
    <cellStyle name="Input 9 3 9 2" xfId="16768"/>
    <cellStyle name="Input 9 3 9 3" xfId="16769"/>
    <cellStyle name="Input 9 3 9 4" xfId="16770"/>
    <cellStyle name="Input 9 3 9 5" xfId="16771"/>
    <cellStyle name="Input 9 3 9 6" xfId="16772"/>
    <cellStyle name="Input 9 4" xfId="16773"/>
    <cellStyle name="Input 9 4 2" xfId="16774"/>
    <cellStyle name="Input 9 4 3" xfId="16775"/>
    <cellStyle name="Input 9 4 4" xfId="16776"/>
    <cellStyle name="Input 9 4 5" xfId="16777"/>
    <cellStyle name="Input 9 4 6" xfId="16778"/>
    <cellStyle name="Input 9 4 7" xfId="16779"/>
    <cellStyle name="Input 9 5" xfId="16780"/>
    <cellStyle name="Input 9 5 2" xfId="16781"/>
    <cellStyle name="Input 9 5 3" xfId="16782"/>
    <cellStyle name="Input 9 5 4" xfId="16783"/>
    <cellStyle name="Input 9 5 5" xfId="16784"/>
    <cellStyle name="Input 9 5 6" xfId="16785"/>
    <cellStyle name="Input 9 5 7" xfId="16786"/>
    <cellStyle name="Input 9 6" xfId="16787"/>
    <cellStyle name="Input 9 6 2" xfId="16788"/>
    <cellStyle name="Input 9 6 3" xfId="16789"/>
    <cellStyle name="Input 9 6 4" xfId="16790"/>
    <cellStyle name="Input 9 6 5" xfId="16791"/>
    <cellStyle name="Input 9 6 6" xfId="16792"/>
    <cellStyle name="Input 9 6 7" xfId="16793"/>
    <cellStyle name="Input 9 7" xfId="16794"/>
    <cellStyle name="Input 9 7 2" xfId="16795"/>
    <cellStyle name="Input 9 7 3" xfId="16796"/>
    <cellStyle name="Input 9 7 4" xfId="16797"/>
    <cellStyle name="Input 9 7 5" xfId="16798"/>
    <cellStyle name="Input 9 7 6" xfId="16799"/>
    <cellStyle name="Input 9 7 7" xfId="16800"/>
    <cellStyle name="Input 9 8" xfId="16801"/>
    <cellStyle name="Input 9 8 2" xfId="16802"/>
    <cellStyle name="Input 9 8 3" xfId="16803"/>
    <cellStyle name="Input 9 8 4" xfId="16804"/>
    <cellStyle name="Input 9 8 5" xfId="16805"/>
    <cellStyle name="Input 9 8 6" xfId="16806"/>
    <cellStyle name="Input 9 8 7" xfId="16807"/>
    <cellStyle name="Input 9 9" xfId="16808"/>
    <cellStyle name="Input 9 9 2" xfId="16809"/>
    <cellStyle name="Input 9 9 3" xfId="16810"/>
    <cellStyle name="Input 9 9 4" xfId="16811"/>
    <cellStyle name="Input 9 9 5" xfId="16812"/>
    <cellStyle name="Input 9 9 6" xfId="16813"/>
    <cellStyle name="Input 9 9 7" xfId="16814"/>
    <cellStyle name="Input Cells" xfId="16815"/>
    <cellStyle name="Input Cells 2" xfId="16816"/>
    <cellStyle name="InputBlueFont" xfId="16817"/>
    <cellStyle name="InputData" xfId="16818"/>
    <cellStyle name="InputDate" xfId="16819"/>
    <cellStyle name="InputInfo" xfId="16820"/>
    <cellStyle name="InputPercent" xfId="16821"/>
    <cellStyle name="Inputs" xfId="16822"/>
    <cellStyle name="Inputs 2" xfId="16823"/>
    <cellStyle name="Integer" xfId="16824"/>
    <cellStyle name="it FactSet contentn˨ight-click to audit FactSet contentL_x0014__139__FDSAUDITLINK__s_x001c_1_x0008__x000a__x0014_ⴐ_x0010_4_x0008__x000a_a⢈ÿ" xfId="16825"/>
    <cellStyle name="Italic" xfId="16826"/>
    <cellStyle name="Italic 2" xfId="16827"/>
    <cellStyle name="italics" xfId="16828"/>
    <cellStyle name="KP_Normal" xfId="16829"/>
    <cellStyle name="KPMG Heading 1" xfId="16830"/>
    <cellStyle name="KPMG Heading 2" xfId="16831"/>
    <cellStyle name="KPMG Heading 3" xfId="16832"/>
    <cellStyle name="KPMG Heading 4" xfId="16833"/>
    <cellStyle name="KPMG Normal" xfId="16834"/>
    <cellStyle name="KPMG Normal Text" xfId="16835"/>
    <cellStyle name="l]_x000d__x000a_Path=M:\RIOCEN01_x000d__x000a_Name=Carlos Emilio Brousse_x000d__x000a_DDEApps=nsf,nsg,nsh,ntf,ns2,ors,org_x000d__x000a_SmartIcons=Todos_x000d__x000a_" xfId="16836"/>
    <cellStyle name="l]_x000d__x000a_Path=M:\RIOCEN01_x000d__x000a_Name=Carlos Emilio Brousse_x000d__x000a_DDEApps=nsf,nsg,nsh,ntf,ns2,ors,org_x000d__x000a_SmartIcons=Todos_x000d__x000a_ 2" xfId="16837"/>
    <cellStyle name="Label_Manual" xfId="16838"/>
    <cellStyle name="Länkinm" xfId="16839"/>
    <cellStyle name="les" xfId="16840"/>
    <cellStyle name="Linked Cell 2" xfId="16841"/>
    <cellStyle name="Linked Cell 2 2" xfId="16842"/>
    <cellStyle name="Linked Cell 3" xfId="16843"/>
    <cellStyle name="Locked" xfId="16844"/>
    <cellStyle name="m_AA - BenefitsBonus " xfId="16845"/>
    <cellStyle name="m_AA - BenefitsBonus  2" xfId="16846"/>
    <cellStyle name="m_Macros (2)_IBM18_Margaux Final Annexe Debt 131101 " xfId="16847"/>
    <cellStyle name="m_Macros (2)_Margaux Final Annexe Debt 131101 " xfId="16848"/>
    <cellStyle name="m_Macros (2)_SPAD4_Margaux Final Annexe Debt 131101 " xfId="16849"/>
    <cellStyle name="m_Macros (3)_Ibm21_Margaux Final Annexe Debt 131101 " xfId="16850"/>
    <cellStyle name="m_Macros (3)_Margaux Final Annexe Debt 131101 " xfId="16851"/>
    <cellStyle name="m_Macros (3)_perry13_Margaux Final Annexe Debt 131101 " xfId="16852"/>
    <cellStyle name="m_Macros (3)_SPAD4_Margaux Final Annexe Debt 131101 " xfId="16853"/>
    <cellStyle name="m_Macros (3)_ZeusCF1_Margaux Final Annexe Debt 131101 " xfId="16854"/>
    <cellStyle name="m_Macros_IBM18_Margaux Final Annexe Debt 131101 " xfId="16855"/>
    <cellStyle name="m_Macros_Margaux Final Annexe Debt 131101 " xfId="16856"/>
    <cellStyle name="m_Macros_SPAD4_Margaux Final Annexe Debt 131101 " xfId="16857"/>
    <cellStyle name="m_Manager (2)_1_Ibm21_Margaux Final Annexe Debt 131101 " xfId="16858"/>
    <cellStyle name="m_Manager (2)_1_Margaux Final Annexe Debt 131101 " xfId="16859"/>
    <cellStyle name="m_Manager (2)_1_perry13_Margaux Final Annexe Debt 131101 " xfId="16860"/>
    <cellStyle name="m_Manager (2)_1_SPAD4_Margaux Final Annexe Debt 131101 " xfId="16861"/>
    <cellStyle name="m_Manager (2)_1_ZeusCF1_Margaux Final Annexe Debt 131101 " xfId="16862"/>
    <cellStyle name="m_Manager (2)_IBM18_Margaux Final Annexe Debt 131101 " xfId="16863"/>
    <cellStyle name="m_Manager (2)_Margaux Final Annexe Debt 131101 " xfId="16864"/>
    <cellStyle name="m_Manager (2)_SPAD4_Margaux Final Annexe Debt 131101 " xfId="16865"/>
    <cellStyle name="m_Manager_Margaux Final Annexe Debt 131101 " xfId="16866"/>
    <cellStyle name="m_Margaux Final Annexe Debt 131101 " xfId="16867"/>
    <cellStyle name="Mainhead" xfId="16868"/>
    <cellStyle name="Margins" xfId="16869"/>
    <cellStyle name="Margins 2" xfId="16870"/>
    <cellStyle name="MetricLabel" xfId="16871"/>
    <cellStyle name="MetricLabelBlue" xfId="16872"/>
    <cellStyle name="MetricValue" xfId="16873"/>
    <cellStyle name="middle" xfId="16874"/>
    <cellStyle name="middle-title" xfId="16875"/>
    <cellStyle name="Millares [0]_ " xfId="16876"/>
    <cellStyle name="Millares_ " xfId="16877"/>
    <cellStyle name="MLComma0" xfId="16878"/>
    <cellStyle name="MLComma0 2" xfId="16879"/>
    <cellStyle name="MLCP Normal" xfId="16880"/>
    <cellStyle name="MLMultiple0" xfId="16881"/>
    <cellStyle name="MLMultiple0 2" xfId="16882"/>
    <cellStyle name="mm/dd/yy" xfId="16883"/>
    <cellStyle name="mmm" xfId="16884"/>
    <cellStyle name="mmm-yy" xfId="16885"/>
    <cellStyle name="Moneda [0]_ " xfId="16886"/>
    <cellStyle name="Moneda_ " xfId="16887"/>
    <cellStyle name="MonthYears" xfId="16888"/>
    <cellStyle name="MonthYears 2" xfId="16889"/>
    <cellStyle name="MthBrief" xfId="16890"/>
    <cellStyle name="MthBrief 2" xfId="16891"/>
    <cellStyle name="Mult No x" xfId="16892"/>
    <cellStyle name="Mult No x 2" xfId="16893"/>
    <cellStyle name="Mult No x 2 2" xfId="16894"/>
    <cellStyle name="Mult With x" xfId="16895"/>
    <cellStyle name="Mult With x 2" xfId="16896"/>
    <cellStyle name="Mult With x 2 2" xfId="16897"/>
    <cellStyle name="Multiple" xfId="16898"/>
    <cellStyle name="Multiple (no x)" xfId="16899"/>
    <cellStyle name="Multiple (x)" xfId="16900"/>
    <cellStyle name="Multiple 2" xfId="16901"/>
    <cellStyle name="Multiple 3" xfId="16902"/>
    <cellStyle name="Multiple 4" xfId="16903"/>
    <cellStyle name="Multiple 5" xfId="16904"/>
    <cellStyle name="N/Y" xfId="16905"/>
    <cellStyle name="n_Ibm21_Margaux Final Annexe Debt 131101 " xfId="16906"/>
    <cellStyle name="n_Macros (3)_BPPerry2_Margaux Final Annexe Debt 131101 " xfId="16907"/>
    <cellStyle name="n_Macros (3)_IBM18_Margaux Final Annexe Debt 131101 " xfId="16908"/>
    <cellStyle name="n_Macros (3)_SPAD4_Margaux Final Annexe Debt 131101 " xfId="16909"/>
    <cellStyle name="n_Manager (2)_BPPerry2_Margaux Final Annexe Debt 131101 " xfId="16910"/>
    <cellStyle name="n_Manager (2)_IBM18_Margaux Final Annexe Debt 131101 " xfId="16911"/>
    <cellStyle name="n_Manager (2)_SPAD4_Margaux Final Annexe Debt 131101 " xfId="16912"/>
    <cellStyle name="n_Manager_Ibm21_Margaux Final Annexe Debt 131101 " xfId="16913"/>
    <cellStyle name="n_Manager_Margaux Final Annexe Debt 131101 " xfId="16914"/>
    <cellStyle name="n_Manager_SPAD4_Margaux Final Annexe Debt 131101 " xfId="16915"/>
    <cellStyle name="n_Manager_ZeusCF1_Margaux Final Annexe Debt 131101 " xfId="16916"/>
    <cellStyle name="n_Margaux Final Annexe Debt 131101 " xfId="16917"/>
    <cellStyle name="n_perry13_Margaux Final Annexe Debt 131101 " xfId="16918"/>
    <cellStyle name="n_SPAD4_Margaux Final Annexe Debt 131101 " xfId="16919"/>
    <cellStyle name="n_ZeusCF1_Margaux Final Annexe Debt 131101 " xfId="16920"/>
    <cellStyle name="Name" xfId="16921"/>
    <cellStyle name="Name 2" xfId="16922"/>
    <cellStyle name="NanStyle" xfId="16923"/>
    <cellStyle name="Neutral 2" xfId="16924"/>
    <cellStyle name="Neutral 2 2" xfId="16925"/>
    <cellStyle name="Neutral 3" xfId="16926"/>
    <cellStyle name="NewAcct" xfId="16927"/>
    <cellStyle name="NewAcct 2" xfId="16928"/>
    <cellStyle name="No Commas" xfId="16929"/>
    <cellStyle name="no dec" xfId="16930"/>
    <cellStyle name="No Decimal" xfId="16931"/>
    <cellStyle name="No Decimal 2" xfId="16932"/>
    <cellStyle name="NODEC" xfId="16933"/>
    <cellStyle name="Normal" xfId="0" builtinId="0"/>
    <cellStyle name="Normal - Style1" xfId="16934"/>
    <cellStyle name="Normal 10" xfId="16935"/>
    <cellStyle name="Normal 10 2" xfId="16936"/>
    <cellStyle name="Normal 10 2 2" xfId="16937"/>
    <cellStyle name="Normal 10 3" xfId="16938"/>
    <cellStyle name="Normal 10 4" xfId="16939"/>
    <cellStyle name="Normal 100" xfId="16940"/>
    <cellStyle name="Normal 101" xfId="16941"/>
    <cellStyle name="Normal 102" xfId="16942"/>
    <cellStyle name="Normal 103" xfId="16943"/>
    <cellStyle name="Normal 104" xfId="16944"/>
    <cellStyle name="Normal 105" xfId="16945"/>
    <cellStyle name="Normal 106" xfId="16946"/>
    <cellStyle name="Normal 107" xfId="16947"/>
    <cellStyle name="Normal 108" xfId="16948"/>
    <cellStyle name="Normal 109" xfId="16949"/>
    <cellStyle name="Normal 11" xfId="16950"/>
    <cellStyle name="Normal 11 2" xfId="16951"/>
    <cellStyle name="Normal 11 3" xfId="16952"/>
    <cellStyle name="Normal 110" xfId="16953"/>
    <cellStyle name="Normal 111" xfId="16954"/>
    <cellStyle name="Normal 112" xfId="16955"/>
    <cellStyle name="Normal 113" xfId="16956"/>
    <cellStyle name="Normal 114" xfId="16957"/>
    <cellStyle name="Normal 115" xfId="16958"/>
    <cellStyle name="Normal 116" xfId="16959"/>
    <cellStyle name="Normal 117" xfId="16960"/>
    <cellStyle name="Normal 118" xfId="16961"/>
    <cellStyle name="Normal 119" xfId="16962"/>
    <cellStyle name="Normal 12" xfId="16963"/>
    <cellStyle name="Normal 12 2" xfId="16964"/>
    <cellStyle name="Normal 12 2 2" xfId="16965"/>
    <cellStyle name="Normal 12 3" xfId="16966"/>
    <cellStyle name="Normal 12 3 2" xfId="16967"/>
    <cellStyle name="Normal 12 4" xfId="16968"/>
    <cellStyle name="Normal 12 5" xfId="16969"/>
    <cellStyle name="Normal 12 6" xfId="16970"/>
    <cellStyle name="Normal 120" xfId="16971"/>
    <cellStyle name="Normal 121" xfId="16972"/>
    <cellStyle name="Normal 122" xfId="16973"/>
    <cellStyle name="Normal 123" xfId="16974"/>
    <cellStyle name="Normal 124" xfId="16975"/>
    <cellStyle name="Normal 125" xfId="16976"/>
    <cellStyle name="Normal 126" xfId="16977"/>
    <cellStyle name="Normal 127" xfId="16978"/>
    <cellStyle name="Normal 128" xfId="16979"/>
    <cellStyle name="Normal 129" xfId="16980"/>
    <cellStyle name="Normal 129 2" xfId="16981"/>
    <cellStyle name="Normal 129 3" xfId="16982"/>
    <cellStyle name="Normal 13" xfId="16983"/>
    <cellStyle name="Normal 13 2" xfId="16984"/>
    <cellStyle name="Normal 13 3" xfId="16985"/>
    <cellStyle name="Normal 13 4" xfId="16986"/>
    <cellStyle name="Normal 130" xfId="16987"/>
    <cellStyle name="Normal 131" xfId="16988"/>
    <cellStyle name="Normal 132" xfId="16989"/>
    <cellStyle name="Normal 133" xfId="16990"/>
    <cellStyle name="Normal 134" xfId="16991"/>
    <cellStyle name="Normal 135" xfId="16992"/>
    <cellStyle name="Normal 136" xfId="16993"/>
    <cellStyle name="Normal 137" xfId="16994"/>
    <cellStyle name="Normal 138" xfId="16995"/>
    <cellStyle name="Normal 139" xfId="16996"/>
    <cellStyle name="Normal 14" xfId="16997"/>
    <cellStyle name="Normal 14 2" xfId="16998"/>
    <cellStyle name="Normal 14 3" xfId="16999"/>
    <cellStyle name="Normal 140" xfId="17000"/>
    <cellStyle name="Normal 141" xfId="17001"/>
    <cellStyle name="Normal 142" xfId="17002"/>
    <cellStyle name="Normal 143" xfId="17003"/>
    <cellStyle name="Normal 144" xfId="17004"/>
    <cellStyle name="Normal 145" xfId="17005"/>
    <cellStyle name="Normal 146" xfId="17006"/>
    <cellStyle name="Normal 147" xfId="17007"/>
    <cellStyle name="Normal 148" xfId="17008"/>
    <cellStyle name="Normal 149" xfId="17009"/>
    <cellStyle name="Normal 15" xfId="17010"/>
    <cellStyle name="Normal 15 2" xfId="17011"/>
    <cellStyle name="Normal 15 3" xfId="17012"/>
    <cellStyle name="Normal 150" xfId="17013"/>
    <cellStyle name="Normal 151" xfId="17014"/>
    <cellStyle name="Normal 152" xfId="17015"/>
    <cellStyle name="Normal 153" xfId="17016"/>
    <cellStyle name="Normal 154" xfId="17017"/>
    <cellStyle name="Normal 155" xfId="17018"/>
    <cellStyle name="Normal 156" xfId="17019"/>
    <cellStyle name="Normal 157" xfId="17020"/>
    <cellStyle name="Normal 158" xfId="17021"/>
    <cellStyle name="Normal 159" xfId="17022"/>
    <cellStyle name="Normal 16" xfId="17023"/>
    <cellStyle name="Normal 16 2" xfId="17024"/>
    <cellStyle name="Normal 160" xfId="17025"/>
    <cellStyle name="Normal 161" xfId="17026"/>
    <cellStyle name="Normal 162" xfId="17027"/>
    <cellStyle name="Normal 163" xfId="17028"/>
    <cellStyle name="Normal 164" xfId="17029"/>
    <cellStyle name="Normal 165" xfId="17030"/>
    <cellStyle name="Normal 166" xfId="17031"/>
    <cellStyle name="Normal 167" xfId="17032"/>
    <cellStyle name="Normal 168" xfId="17033"/>
    <cellStyle name="Normal 169" xfId="17034"/>
    <cellStyle name="Normal 17" xfId="17035"/>
    <cellStyle name="Normal 17 2" xfId="17036"/>
    <cellStyle name="Normal 17 3" xfId="17037"/>
    <cellStyle name="Normal 170" xfId="17038"/>
    <cellStyle name="Normal 171" xfId="17039"/>
    <cellStyle name="Normal 172" xfId="17040"/>
    <cellStyle name="Normal 173" xfId="17041"/>
    <cellStyle name="Normal 174" xfId="17042"/>
    <cellStyle name="Normal 175" xfId="17043"/>
    <cellStyle name="Normal 176" xfId="17044"/>
    <cellStyle name="Normal 177" xfId="17045"/>
    <cellStyle name="Normal 178" xfId="17046"/>
    <cellStyle name="Normal 179" xfId="12"/>
    <cellStyle name="Normal 18" xfId="17047"/>
    <cellStyle name="Normal 18 2" xfId="17048"/>
    <cellStyle name="Normal 18 2 2" xfId="17049"/>
    <cellStyle name="Normal 18 2 3" xfId="17050"/>
    <cellStyle name="Normal 18 3" xfId="17051"/>
    <cellStyle name="Normal 18 4" xfId="17052"/>
    <cellStyle name="Normal 19" xfId="17053"/>
    <cellStyle name="Normal 19 2" xfId="17054"/>
    <cellStyle name="Normal 19 3" xfId="17055"/>
    <cellStyle name="Normal 2" xfId="13"/>
    <cellStyle name="Normal 2 2" xfId="17056"/>
    <cellStyle name="Normal 2 2 2" xfId="17057"/>
    <cellStyle name="Normal 2 2 3" xfId="17058"/>
    <cellStyle name="Normal 2 2 4" xfId="17059"/>
    <cellStyle name="Normal 2 2 5" xfId="17060"/>
    <cellStyle name="Normal 2 2 6" xfId="17061"/>
    <cellStyle name="Normal 2 2 7" xfId="17062"/>
    <cellStyle name="Normal 2 3" xfId="17063"/>
    <cellStyle name="Normal 2 3 2" xfId="17064"/>
    <cellStyle name="Normal 2 3 2 2" xfId="17065"/>
    <cellStyle name="Normal 2 3 2 3" xfId="17066"/>
    <cellStyle name="Normal 2 3 3" xfId="17067"/>
    <cellStyle name="Normal 2 3 4" xfId="17068"/>
    <cellStyle name="Normal 2 3 5" xfId="17069"/>
    <cellStyle name="Normal 2 4" xfId="14"/>
    <cellStyle name="Normal 2 4 2" xfId="17070"/>
    <cellStyle name="Normal 2 4 2 2" xfId="17071"/>
    <cellStyle name="Normal 2 4 2 3" xfId="17072"/>
    <cellStyle name="Normal 2 4 3" xfId="17073"/>
    <cellStyle name="Normal 2 4 4" xfId="17074"/>
    <cellStyle name="Normal 2 5" xfId="17075"/>
    <cellStyle name="Normal 2 6" xfId="17076"/>
    <cellStyle name="Normal 2 7" xfId="17077"/>
    <cellStyle name="Normal 2 8" xfId="17078"/>
    <cellStyle name="Normal 2_Copy of GRUB_Draft_010215" xfId="17079"/>
    <cellStyle name="Normal 20" xfId="17080"/>
    <cellStyle name="Normal 20 2" xfId="17081"/>
    <cellStyle name="Normal 21" xfId="17082"/>
    <cellStyle name="Normal 21 2" xfId="17083"/>
    <cellStyle name="Normal 21 3" xfId="17084"/>
    <cellStyle name="Normal 22" xfId="17085"/>
    <cellStyle name="Normal 22 2" xfId="17086"/>
    <cellStyle name="Normal 23" xfId="17087"/>
    <cellStyle name="Normal 23 2" xfId="17088"/>
    <cellStyle name="Normal 24" xfId="17089"/>
    <cellStyle name="Normal 24 2" xfId="17090"/>
    <cellStyle name="Normal 25" xfId="17091"/>
    <cellStyle name="Normal 25 2" xfId="17092"/>
    <cellStyle name="Normal 26" xfId="17093"/>
    <cellStyle name="Normal 26 2" xfId="17094"/>
    <cellStyle name="Normal 27" xfId="17095"/>
    <cellStyle name="Normal 27 2" xfId="17096"/>
    <cellStyle name="Normal 27 3" xfId="17097"/>
    <cellStyle name="Normal 28" xfId="17098"/>
    <cellStyle name="Normal 28 2" xfId="17099"/>
    <cellStyle name="Normal 28 3" xfId="17100"/>
    <cellStyle name="Normal 29" xfId="17101"/>
    <cellStyle name="Normal 29 2" xfId="17102"/>
    <cellStyle name="Normal 29 3" xfId="17103"/>
    <cellStyle name="Normal 3" xfId="15"/>
    <cellStyle name="Normal 3 2" xfId="16"/>
    <cellStyle name="Normal 3 2 2" xfId="17104"/>
    <cellStyle name="Normal 3 2 3" xfId="17105"/>
    <cellStyle name="Normal 3 2 3 2" xfId="17106"/>
    <cellStyle name="Normal 3 2 3 2 2" xfId="17107"/>
    <cellStyle name="Normal 3 2 3 3" xfId="17108"/>
    <cellStyle name="Normal 3 2 3 3 2" xfId="17109"/>
    <cellStyle name="Normal 3 2 3 4" xfId="17110"/>
    <cellStyle name="Normal 3 2 3 4 2" xfId="17111"/>
    <cellStyle name="Normal 3 2 3 5" xfId="17112"/>
    <cellStyle name="Normal 3 2 4" xfId="17113"/>
    <cellStyle name="Normal 3 3" xfId="17114"/>
    <cellStyle name="Normal 3 3 2" xfId="17115"/>
    <cellStyle name="Normal 3 3 3" xfId="17116"/>
    <cellStyle name="Normal 3 3 4" xfId="17117"/>
    <cellStyle name="Normal 3 3 5" xfId="17118"/>
    <cellStyle name="Normal 3 4" xfId="17119"/>
    <cellStyle name="Normal 3 4 2" xfId="17120"/>
    <cellStyle name="Normal 3 4 3" xfId="17121"/>
    <cellStyle name="Normal 3 4 4" xfId="17122"/>
    <cellStyle name="Normal 3 5" xfId="17123"/>
    <cellStyle name="Normal 3 5 2" xfId="17124"/>
    <cellStyle name="Normal 3 6" xfId="17"/>
    <cellStyle name="Normal 3 7" xfId="17125"/>
    <cellStyle name="Normal 3 8" xfId="17126"/>
    <cellStyle name="Normal 3_US_BOL_HR_Occupations" xfId="17127"/>
    <cellStyle name="Normal 30" xfId="17128"/>
    <cellStyle name="Normal 30 2" xfId="17129"/>
    <cellStyle name="Normal 31" xfId="17130"/>
    <cellStyle name="Normal 31 2" xfId="17131"/>
    <cellStyle name="Normal 31 3" xfId="17132"/>
    <cellStyle name="Normal 32" xfId="17133"/>
    <cellStyle name="Normal 32 2" xfId="17134"/>
    <cellStyle name="Normal 33" xfId="17135"/>
    <cellStyle name="Normal 33 2" xfId="17136"/>
    <cellStyle name="Normal 34" xfId="17137"/>
    <cellStyle name="Normal 34 2" xfId="17138"/>
    <cellStyle name="Normal 35" xfId="17139"/>
    <cellStyle name="Normal 35 2" xfId="17140"/>
    <cellStyle name="Normal 36" xfId="17141"/>
    <cellStyle name="Normal 36 2" xfId="17142"/>
    <cellStyle name="Normal 37" xfId="17143"/>
    <cellStyle name="Normal 37 2" xfId="17144"/>
    <cellStyle name="Normal 38" xfId="17145"/>
    <cellStyle name="Normal 38 2" xfId="17146"/>
    <cellStyle name="Normal 39" xfId="17147"/>
    <cellStyle name="Normal 39 2" xfId="17148"/>
    <cellStyle name="Normal 4" xfId="18"/>
    <cellStyle name="Normal 4 2" xfId="19"/>
    <cellStyle name="Normal 4 2 2" xfId="17149"/>
    <cellStyle name="Normal 4 2 2 2" xfId="17150"/>
    <cellStyle name="Normal 4 2 3" xfId="17151"/>
    <cellStyle name="Normal 4 2 4" xfId="17152"/>
    <cellStyle name="Normal 4 2 5" xfId="17153"/>
    <cellStyle name="Normal 4 2 6" xfId="17154"/>
    <cellStyle name="Normal 4 2 7" xfId="17155"/>
    <cellStyle name="Normal 4 3" xfId="17156"/>
    <cellStyle name="Normal 4 3 2" xfId="17157"/>
    <cellStyle name="Normal 4 3 3" xfId="17158"/>
    <cellStyle name="Normal 4 3 4" xfId="17159"/>
    <cellStyle name="Normal 4 3 5" xfId="17160"/>
    <cellStyle name="Normal 4 4" xfId="17161"/>
    <cellStyle name="Normal 4 4 2" xfId="17162"/>
    <cellStyle name="Normal 4 4 3" xfId="17163"/>
    <cellStyle name="Normal 4 5" xfId="17164"/>
    <cellStyle name="Normal 4 5 2" xfId="17165"/>
    <cellStyle name="Normal 4 6" xfId="17166"/>
    <cellStyle name="Normal 4 6 2" xfId="17167"/>
    <cellStyle name="Normal 4 7" xfId="17168"/>
    <cellStyle name="Normal 4 8" xfId="17169"/>
    <cellStyle name="Normal 4 9" xfId="17170"/>
    <cellStyle name="Normal 40" xfId="17171"/>
    <cellStyle name="Normal 40 2" xfId="17172"/>
    <cellStyle name="Normal 41" xfId="17173"/>
    <cellStyle name="Normal 41 2" xfId="17174"/>
    <cellStyle name="Normal 42" xfId="17175"/>
    <cellStyle name="Normal 42 2" xfId="17176"/>
    <cellStyle name="Normal 43" xfId="17177"/>
    <cellStyle name="Normal 43 2" xfId="17178"/>
    <cellStyle name="Normal 44" xfId="17179"/>
    <cellStyle name="Normal 44 2" xfId="17180"/>
    <cellStyle name="Normal 45" xfId="17181"/>
    <cellStyle name="Normal 45 2" xfId="17182"/>
    <cellStyle name="Normal 46" xfId="17183"/>
    <cellStyle name="Normal 46 2" xfId="17184"/>
    <cellStyle name="Normal 47" xfId="17185"/>
    <cellStyle name="Normal 47 2" xfId="17186"/>
    <cellStyle name="Normal 48" xfId="17187"/>
    <cellStyle name="Normal 48 2" xfId="17188"/>
    <cellStyle name="Normal 49" xfId="17189"/>
    <cellStyle name="Normal 49 2" xfId="17190"/>
    <cellStyle name="Normal 5" xfId="20"/>
    <cellStyle name="Normal 5 2" xfId="17191"/>
    <cellStyle name="Normal 5 2 2" xfId="17192"/>
    <cellStyle name="Normal 5 2 3" xfId="17193"/>
    <cellStyle name="Normal 5 2 4" xfId="17194"/>
    <cellStyle name="Normal 5 3" xfId="17195"/>
    <cellStyle name="Normal 5 3 2" xfId="17196"/>
    <cellStyle name="Normal 5 3 2 2" xfId="17197"/>
    <cellStyle name="Normal 5 3 2 3" xfId="17198"/>
    <cellStyle name="Normal 5 3 3" xfId="17199"/>
    <cellStyle name="Normal 5 3 4" xfId="17200"/>
    <cellStyle name="Normal 5 4" xfId="17201"/>
    <cellStyle name="Normal 5 5" xfId="17202"/>
    <cellStyle name="Normal 5 6" xfId="17203"/>
    <cellStyle name="Normal 5 7" xfId="17204"/>
    <cellStyle name="Normal 5 8" xfId="17205"/>
    <cellStyle name="Normal 5 9" xfId="17206"/>
    <cellStyle name="Normal 50" xfId="17207"/>
    <cellStyle name="Normal 50 2" xfId="17208"/>
    <cellStyle name="Normal 51" xfId="17209"/>
    <cellStyle name="Normal 51 2" xfId="17210"/>
    <cellStyle name="Normal 52" xfId="17211"/>
    <cellStyle name="Normal 52 2" xfId="17212"/>
    <cellStyle name="Normal 53" xfId="17213"/>
    <cellStyle name="Normal 53 2" xfId="17214"/>
    <cellStyle name="Normal 54" xfId="17215"/>
    <cellStyle name="Normal 54 2" xfId="17216"/>
    <cellStyle name="Normal 55" xfId="17217"/>
    <cellStyle name="Normal 55 2" xfId="17218"/>
    <cellStyle name="Normal 56" xfId="17219"/>
    <cellStyle name="Normal 56 2" xfId="17220"/>
    <cellStyle name="Normal 57" xfId="17221"/>
    <cellStyle name="Normal 57 2" xfId="17222"/>
    <cellStyle name="Normal 58" xfId="17223"/>
    <cellStyle name="Normal 58 2" xfId="17224"/>
    <cellStyle name="Normal 59" xfId="17225"/>
    <cellStyle name="Normal 59 2" xfId="17226"/>
    <cellStyle name="Normal 6" xfId="21"/>
    <cellStyle name="Normal 6 2" xfId="17227"/>
    <cellStyle name="Normal 6 2 2" xfId="17228"/>
    <cellStyle name="Normal 6 2 3" xfId="17229"/>
    <cellStyle name="Normal 6 3" xfId="17230"/>
    <cellStyle name="Normal 6 4" xfId="17231"/>
    <cellStyle name="Normal 6 5" xfId="17232"/>
    <cellStyle name="Normal 6 6" xfId="17233"/>
    <cellStyle name="Normal 6 7" xfId="17234"/>
    <cellStyle name="Normal 6 8" xfId="17235"/>
    <cellStyle name="Normal 6 9" xfId="17236"/>
    <cellStyle name="Normal 60" xfId="17237"/>
    <cellStyle name="Normal 60 2" xfId="17238"/>
    <cellStyle name="Normal 61" xfId="17239"/>
    <cellStyle name="Normal 61 2" xfId="17240"/>
    <cellStyle name="Normal 62" xfId="17241"/>
    <cellStyle name="Normal 62 2" xfId="17242"/>
    <cellStyle name="Normal 63" xfId="17243"/>
    <cellStyle name="Normal 63 2" xfId="17244"/>
    <cellStyle name="Normal 64" xfId="17245"/>
    <cellStyle name="Normal 64 2" xfId="17246"/>
    <cellStyle name="Normal 65" xfId="17247"/>
    <cellStyle name="Normal 65 2" xfId="17248"/>
    <cellStyle name="Normal 66" xfId="17249"/>
    <cellStyle name="Normal 66 2" xfId="17250"/>
    <cellStyle name="Normal 67" xfId="17251"/>
    <cellStyle name="Normal 68" xfId="17252"/>
    <cellStyle name="Normal 69" xfId="17253"/>
    <cellStyle name="Normal 7" xfId="22"/>
    <cellStyle name="Normal 7 2" xfId="17254"/>
    <cellStyle name="Normal 7 2 2" xfId="17255"/>
    <cellStyle name="Normal 7 2 3" xfId="17256"/>
    <cellStyle name="Normal 7 3" xfId="17257"/>
    <cellStyle name="Normal 7 4" xfId="17258"/>
    <cellStyle name="Normal 7 5" xfId="17259"/>
    <cellStyle name="Normal 7 6" xfId="17260"/>
    <cellStyle name="Normal 7 7" xfId="17261"/>
    <cellStyle name="Normal 7 8" xfId="17262"/>
    <cellStyle name="Normal 70" xfId="17263"/>
    <cellStyle name="Normal 71" xfId="17264"/>
    <cellStyle name="Normal 72" xfId="17265"/>
    <cellStyle name="Normal 73" xfId="17266"/>
    <cellStyle name="Normal 74" xfId="17267"/>
    <cellStyle name="Normal 74 2" xfId="17268"/>
    <cellStyle name="Normal 74 3" xfId="17269"/>
    <cellStyle name="Normal 75" xfId="17270"/>
    <cellStyle name="Normal 76" xfId="17271"/>
    <cellStyle name="Normal 77" xfId="17272"/>
    <cellStyle name="Normal 78" xfId="17273"/>
    <cellStyle name="Normal 79" xfId="17274"/>
    <cellStyle name="Normal 8" xfId="23"/>
    <cellStyle name="Normal 8 10" xfId="17275"/>
    <cellStyle name="Normal 8 2" xfId="17276"/>
    <cellStyle name="Normal 8 2 2" xfId="17277"/>
    <cellStyle name="Normal 8 2 3" xfId="17278"/>
    <cellStyle name="Normal 8 2 4" xfId="17279"/>
    <cellStyle name="Normal 8 3" xfId="17280"/>
    <cellStyle name="Normal 8 3 2" xfId="17281"/>
    <cellStyle name="Normal 8 4" xfId="17282"/>
    <cellStyle name="Normal 8 4 2" xfId="17283"/>
    <cellStyle name="Normal 8 5" xfId="17284"/>
    <cellStyle name="Normal 8 6" xfId="17285"/>
    <cellStyle name="Normal 8 7" xfId="17286"/>
    <cellStyle name="Normal 8 8" xfId="17287"/>
    <cellStyle name="Normal 8 9" xfId="17288"/>
    <cellStyle name="Normal 80" xfId="17289"/>
    <cellStyle name="Normal 81" xfId="17290"/>
    <cellStyle name="Normal 82" xfId="17291"/>
    <cellStyle name="Normal 83" xfId="17292"/>
    <cellStyle name="Normal 84" xfId="17293"/>
    <cellStyle name="Normal 85" xfId="17294"/>
    <cellStyle name="Normal 86" xfId="17295"/>
    <cellStyle name="Normal 87" xfId="17296"/>
    <cellStyle name="Normal 88" xfId="17297"/>
    <cellStyle name="Normal 89" xfId="17298"/>
    <cellStyle name="Normal 9" xfId="24"/>
    <cellStyle name="Normal 9 2" xfId="17299"/>
    <cellStyle name="Normal 9 3" xfId="17300"/>
    <cellStyle name="Normal 9 4" xfId="17301"/>
    <cellStyle name="Normal 9 5" xfId="17302"/>
    <cellStyle name="Normal 9 6" xfId="17303"/>
    <cellStyle name="Normal 90" xfId="17304"/>
    <cellStyle name="Normal 91" xfId="17305"/>
    <cellStyle name="Normal 92" xfId="17306"/>
    <cellStyle name="Normal 93" xfId="17307"/>
    <cellStyle name="Normal 94" xfId="17308"/>
    <cellStyle name="Normal 95" xfId="17309"/>
    <cellStyle name="Normal 96" xfId="17310"/>
    <cellStyle name="Normal 97" xfId="17311"/>
    <cellStyle name="Normal 98" xfId="17312"/>
    <cellStyle name="Normal 99" xfId="17313"/>
    <cellStyle name="Normal Bold" xfId="17314"/>
    <cellStyle name="Normal Cells" xfId="17315"/>
    <cellStyle name="Normal Cells 2" xfId="17316"/>
    <cellStyle name="Normal Indent 1 sp" xfId="17317"/>
    <cellStyle name="Normal Indent 1 sp bold und" xfId="17318"/>
    <cellStyle name="Normal Total" xfId="17319"/>
    <cellStyle name="Normal Total 10" xfId="17320"/>
    <cellStyle name="Normal Total 10 2" xfId="17321"/>
    <cellStyle name="Normal Total 10 3" xfId="17322"/>
    <cellStyle name="Normal Total 10 4" xfId="17323"/>
    <cellStyle name="Normal Total 10 5" xfId="17324"/>
    <cellStyle name="Normal Total 10 6" xfId="17325"/>
    <cellStyle name="Normal Total 11" xfId="17326"/>
    <cellStyle name="Normal Total 12" xfId="17327"/>
    <cellStyle name="Normal Total 13" xfId="17328"/>
    <cellStyle name="Normal Total 14" xfId="17329"/>
    <cellStyle name="Normal Total 15" xfId="17330"/>
    <cellStyle name="Normal Total 2" xfId="17331"/>
    <cellStyle name="Normal Total 2 10" xfId="17332"/>
    <cellStyle name="Normal Total 2 11" xfId="17333"/>
    <cellStyle name="Normal Total 2 12" xfId="17334"/>
    <cellStyle name="Normal Total 2 13" xfId="17335"/>
    <cellStyle name="Normal Total 2 14" xfId="17336"/>
    <cellStyle name="Normal Total 2 2" xfId="17337"/>
    <cellStyle name="Normal Total 2 2 2" xfId="17338"/>
    <cellStyle name="Normal Total 2 2 3" xfId="17339"/>
    <cellStyle name="Normal Total 2 2 4" xfId="17340"/>
    <cellStyle name="Normal Total 2 2 5" xfId="17341"/>
    <cellStyle name="Normal Total 2 2 6" xfId="17342"/>
    <cellStyle name="Normal Total 2 2 7" xfId="17343"/>
    <cellStyle name="Normal Total 2 3" xfId="17344"/>
    <cellStyle name="Normal Total 2 3 2" xfId="17345"/>
    <cellStyle name="Normal Total 2 3 3" xfId="17346"/>
    <cellStyle name="Normal Total 2 3 4" xfId="17347"/>
    <cellStyle name="Normal Total 2 3 5" xfId="17348"/>
    <cellStyle name="Normal Total 2 3 6" xfId="17349"/>
    <cellStyle name="Normal Total 2 3 7" xfId="17350"/>
    <cellStyle name="Normal Total 2 4" xfId="17351"/>
    <cellStyle name="Normal Total 2 4 2" xfId="17352"/>
    <cellStyle name="Normal Total 2 4 3" xfId="17353"/>
    <cellStyle name="Normal Total 2 4 4" xfId="17354"/>
    <cellStyle name="Normal Total 2 4 5" xfId="17355"/>
    <cellStyle name="Normal Total 2 4 6" xfId="17356"/>
    <cellStyle name="Normal Total 2 4 7" xfId="17357"/>
    <cellStyle name="Normal Total 2 5" xfId="17358"/>
    <cellStyle name="Normal Total 2 5 2" xfId="17359"/>
    <cellStyle name="Normal Total 2 5 3" xfId="17360"/>
    <cellStyle name="Normal Total 2 5 4" xfId="17361"/>
    <cellStyle name="Normal Total 2 5 5" xfId="17362"/>
    <cellStyle name="Normal Total 2 5 6" xfId="17363"/>
    <cellStyle name="Normal Total 2 5 7" xfId="17364"/>
    <cellStyle name="Normal Total 2 6" xfId="17365"/>
    <cellStyle name="Normal Total 2 6 2" xfId="17366"/>
    <cellStyle name="Normal Total 2 6 3" xfId="17367"/>
    <cellStyle name="Normal Total 2 6 4" xfId="17368"/>
    <cellStyle name="Normal Total 2 6 5" xfId="17369"/>
    <cellStyle name="Normal Total 2 6 6" xfId="17370"/>
    <cellStyle name="Normal Total 2 6 7" xfId="17371"/>
    <cellStyle name="Normal Total 2 7" xfId="17372"/>
    <cellStyle name="Normal Total 2 7 2" xfId="17373"/>
    <cellStyle name="Normal Total 2 7 3" xfId="17374"/>
    <cellStyle name="Normal Total 2 7 4" xfId="17375"/>
    <cellStyle name="Normal Total 2 7 5" xfId="17376"/>
    <cellStyle name="Normal Total 2 7 6" xfId="17377"/>
    <cellStyle name="Normal Total 2 7 7" xfId="17378"/>
    <cellStyle name="Normal Total 2 8" xfId="17379"/>
    <cellStyle name="Normal Total 2 8 2" xfId="17380"/>
    <cellStyle name="Normal Total 2 8 3" xfId="17381"/>
    <cellStyle name="Normal Total 2 8 4" xfId="17382"/>
    <cellStyle name="Normal Total 2 8 5" xfId="17383"/>
    <cellStyle name="Normal Total 2 8 6" xfId="17384"/>
    <cellStyle name="Normal Total 2 8 7" xfId="17385"/>
    <cellStyle name="Normal Total 2 9" xfId="17386"/>
    <cellStyle name="Normal Total 2 9 2" xfId="17387"/>
    <cellStyle name="Normal Total 2 9 3" xfId="17388"/>
    <cellStyle name="Normal Total 2 9 4" xfId="17389"/>
    <cellStyle name="Normal Total 2 9 5" xfId="17390"/>
    <cellStyle name="Normal Total 2 9 6" xfId="17391"/>
    <cellStyle name="Normal Total 3" xfId="17392"/>
    <cellStyle name="Normal Total 3 2" xfId="17393"/>
    <cellStyle name="Normal Total 3 3" xfId="17394"/>
    <cellStyle name="Normal Total 3 4" xfId="17395"/>
    <cellStyle name="Normal Total 3 5" xfId="17396"/>
    <cellStyle name="Normal Total 3 6" xfId="17397"/>
    <cellStyle name="Normal Total 3 7" xfId="17398"/>
    <cellStyle name="Normal Total 4" xfId="17399"/>
    <cellStyle name="Normal Total 4 2" xfId="17400"/>
    <cellStyle name="Normal Total 4 3" xfId="17401"/>
    <cellStyle name="Normal Total 4 4" xfId="17402"/>
    <cellStyle name="Normal Total 4 5" xfId="17403"/>
    <cellStyle name="Normal Total 4 6" xfId="17404"/>
    <cellStyle name="Normal Total 4 7" xfId="17405"/>
    <cellStyle name="Normal Total 5" xfId="17406"/>
    <cellStyle name="Normal Total 5 2" xfId="17407"/>
    <cellStyle name="Normal Total 5 3" xfId="17408"/>
    <cellStyle name="Normal Total 5 4" xfId="17409"/>
    <cellStyle name="Normal Total 5 5" xfId="17410"/>
    <cellStyle name="Normal Total 5 6" xfId="17411"/>
    <cellStyle name="Normal Total 5 7" xfId="17412"/>
    <cellStyle name="Normal Total 6" xfId="17413"/>
    <cellStyle name="Normal Total 6 2" xfId="17414"/>
    <cellStyle name="Normal Total 6 3" xfId="17415"/>
    <cellStyle name="Normal Total 6 4" xfId="17416"/>
    <cellStyle name="Normal Total 6 5" xfId="17417"/>
    <cellStyle name="Normal Total 6 6" xfId="17418"/>
    <cellStyle name="Normal Total 6 7" xfId="17419"/>
    <cellStyle name="Normal Total 7" xfId="17420"/>
    <cellStyle name="Normal Total 7 2" xfId="17421"/>
    <cellStyle name="Normal Total 7 3" xfId="17422"/>
    <cellStyle name="Normal Total 7 4" xfId="17423"/>
    <cellStyle name="Normal Total 7 5" xfId="17424"/>
    <cellStyle name="Normal Total 7 6" xfId="17425"/>
    <cellStyle name="Normal Total 7 7" xfId="17426"/>
    <cellStyle name="Normal Total 8" xfId="17427"/>
    <cellStyle name="Normal Total 8 2" xfId="17428"/>
    <cellStyle name="Normal Total 8 3" xfId="17429"/>
    <cellStyle name="Normal Total 8 4" xfId="17430"/>
    <cellStyle name="Normal Total 8 5" xfId="17431"/>
    <cellStyle name="Normal Total 8 6" xfId="17432"/>
    <cellStyle name="Normal Total 8 7" xfId="17433"/>
    <cellStyle name="Normal Total 9" xfId="17434"/>
    <cellStyle name="Normal Total 9 2" xfId="17435"/>
    <cellStyle name="Normal Total 9 3" xfId="17436"/>
    <cellStyle name="Normal Total 9 4" xfId="17437"/>
    <cellStyle name="Normal Total 9 5" xfId="17438"/>
    <cellStyle name="Normal Total 9 6" xfId="17439"/>
    <cellStyle name="Normal Total 9 7" xfId="17440"/>
    <cellStyle name="Normal_DisclaimerSheet Samples" xfId="29652"/>
    <cellStyle name="Normal1dec" xfId="17441"/>
    <cellStyle name="Normal1dec 2" xfId="17442"/>
    <cellStyle name="Normale_Pipeline Summary" xfId="17443"/>
    <cellStyle name="NormalItalic" xfId="17444"/>
    <cellStyle name="NormalItalic 2" xfId="17445"/>
    <cellStyle name="Normalny_Ferrum . Valuation . CA IB . 8" xfId="17446"/>
    <cellStyle name="Note 2" xfId="17447"/>
    <cellStyle name="Note 2 2" xfId="17448"/>
    <cellStyle name="Note 2 2 2" xfId="17449"/>
    <cellStyle name="Note 2 2 2 10" xfId="17450"/>
    <cellStyle name="Note 2 2 2 10 2" xfId="17451"/>
    <cellStyle name="Note 2 2 2 10 3" xfId="17452"/>
    <cellStyle name="Note 2 2 2 10 4" xfId="17453"/>
    <cellStyle name="Note 2 2 2 10 5" xfId="17454"/>
    <cellStyle name="Note 2 2 2 10 6" xfId="17455"/>
    <cellStyle name="Note 2 2 2 10 7" xfId="17456"/>
    <cellStyle name="Note 2 2 2 11" xfId="17457"/>
    <cellStyle name="Note 2 2 2 11 2" xfId="17458"/>
    <cellStyle name="Note 2 2 2 11 3" xfId="17459"/>
    <cellStyle name="Note 2 2 2 11 4" xfId="17460"/>
    <cellStyle name="Note 2 2 2 11 5" xfId="17461"/>
    <cellStyle name="Note 2 2 2 11 6" xfId="17462"/>
    <cellStyle name="Note 2 2 2 12" xfId="17463"/>
    <cellStyle name="Note 2 2 2 13" xfId="17464"/>
    <cellStyle name="Note 2 2 2 14" xfId="17465"/>
    <cellStyle name="Note 2 2 2 15" xfId="17466"/>
    <cellStyle name="Note 2 2 2 16" xfId="17467"/>
    <cellStyle name="Note 2 2 2 2" xfId="17468"/>
    <cellStyle name="Note 2 2 2 2 10" xfId="17469"/>
    <cellStyle name="Note 2 2 2 2 10 2" xfId="17470"/>
    <cellStyle name="Note 2 2 2 2 10 3" xfId="17471"/>
    <cellStyle name="Note 2 2 2 2 10 4" xfId="17472"/>
    <cellStyle name="Note 2 2 2 2 10 5" xfId="17473"/>
    <cellStyle name="Note 2 2 2 2 10 6" xfId="17474"/>
    <cellStyle name="Note 2 2 2 2 11" xfId="17475"/>
    <cellStyle name="Note 2 2 2 2 12" xfId="17476"/>
    <cellStyle name="Note 2 2 2 2 13" xfId="17477"/>
    <cellStyle name="Note 2 2 2 2 14" xfId="17478"/>
    <cellStyle name="Note 2 2 2 2 15" xfId="17479"/>
    <cellStyle name="Note 2 2 2 2 2" xfId="17480"/>
    <cellStyle name="Note 2 2 2 2 2 2" xfId="17481"/>
    <cellStyle name="Note 2 2 2 2 2 3" xfId="17482"/>
    <cellStyle name="Note 2 2 2 2 2 4" xfId="17483"/>
    <cellStyle name="Note 2 2 2 2 2 5" xfId="17484"/>
    <cellStyle name="Note 2 2 2 2 2 6" xfId="17485"/>
    <cellStyle name="Note 2 2 2 2 2 7" xfId="17486"/>
    <cellStyle name="Note 2 2 2 2 3" xfId="17487"/>
    <cellStyle name="Note 2 2 2 2 3 2" xfId="17488"/>
    <cellStyle name="Note 2 2 2 2 3 3" xfId="17489"/>
    <cellStyle name="Note 2 2 2 2 3 4" xfId="17490"/>
    <cellStyle name="Note 2 2 2 2 3 5" xfId="17491"/>
    <cellStyle name="Note 2 2 2 2 3 6" xfId="17492"/>
    <cellStyle name="Note 2 2 2 2 3 7" xfId="17493"/>
    <cellStyle name="Note 2 2 2 2 4" xfId="17494"/>
    <cellStyle name="Note 2 2 2 2 4 2" xfId="17495"/>
    <cellStyle name="Note 2 2 2 2 4 3" xfId="17496"/>
    <cellStyle name="Note 2 2 2 2 4 4" xfId="17497"/>
    <cellStyle name="Note 2 2 2 2 4 5" xfId="17498"/>
    <cellStyle name="Note 2 2 2 2 4 6" xfId="17499"/>
    <cellStyle name="Note 2 2 2 2 4 7" xfId="17500"/>
    <cellStyle name="Note 2 2 2 2 5" xfId="17501"/>
    <cellStyle name="Note 2 2 2 2 5 2" xfId="17502"/>
    <cellStyle name="Note 2 2 2 2 5 3" xfId="17503"/>
    <cellStyle name="Note 2 2 2 2 5 4" xfId="17504"/>
    <cellStyle name="Note 2 2 2 2 5 5" xfId="17505"/>
    <cellStyle name="Note 2 2 2 2 5 6" xfId="17506"/>
    <cellStyle name="Note 2 2 2 2 5 7" xfId="17507"/>
    <cellStyle name="Note 2 2 2 2 6" xfId="17508"/>
    <cellStyle name="Note 2 2 2 2 6 2" xfId="17509"/>
    <cellStyle name="Note 2 2 2 2 6 3" xfId="17510"/>
    <cellStyle name="Note 2 2 2 2 6 4" xfId="17511"/>
    <cellStyle name="Note 2 2 2 2 6 5" xfId="17512"/>
    <cellStyle name="Note 2 2 2 2 6 6" xfId="17513"/>
    <cellStyle name="Note 2 2 2 2 6 7" xfId="17514"/>
    <cellStyle name="Note 2 2 2 2 7" xfId="17515"/>
    <cellStyle name="Note 2 2 2 2 7 2" xfId="17516"/>
    <cellStyle name="Note 2 2 2 2 7 3" xfId="17517"/>
    <cellStyle name="Note 2 2 2 2 7 4" xfId="17518"/>
    <cellStyle name="Note 2 2 2 2 7 5" xfId="17519"/>
    <cellStyle name="Note 2 2 2 2 7 6" xfId="17520"/>
    <cellStyle name="Note 2 2 2 2 7 7" xfId="17521"/>
    <cellStyle name="Note 2 2 2 2 8" xfId="17522"/>
    <cellStyle name="Note 2 2 2 2 8 2" xfId="17523"/>
    <cellStyle name="Note 2 2 2 2 8 3" xfId="17524"/>
    <cellStyle name="Note 2 2 2 2 8 4" xfId="17525"/>
    <cellStyle name="Note 2 2 2 2 8 5" xfId="17526"/>
    <cellStyle name="Note 2 2 2 2 8 6" xfId="17527"/>
    <cellStyle name="Note 2 2 2 2 8 7" xfId="17528"/>
    <cellStyle name="Note 2 2 2 2 9" xfId="17529"/>
    <cellStyle name="Note 2 2 2 2 9 2" xfId="17530"/>
    <cellStyle name="Note 2 2 2 2 9 3" xfId="17531"/>
    <cellStyle name="Note 2 2 2 2 9 4" xfId="17532"/>
    <cellStyle name="Note 2 2 2 2 9 5" xfId="17533"/>
    <cellStyle name="Note 2 2 2 2 9 6" xfId="17534"/>
    <cellStyle name="Note 2 2 2 2 9 7" xfId="17535"/>
    <cellStyle name="Note 2 2 2 3" xfId="17536"/>
    <cellStyle name="Note 2 2 2 3 2" xfId="17537"/>
    <cellStyle name="Note 2 2 2 3 3" xfId="17538"/>
    <cellStyle name="Note 2 2 2 3 4" xfId="17539"/>
    <cellStyle name="Note 2 2 2 3 5" xfId="17540"/>
    <cellStyle name="Note 2 2 2 3 6" xfId="17541"/>
    <cellStyle name="Note 2 2 2 3 7" xfId="17542"/>
    <cellStyle name="Note 2 2 2 4" xfId="17543"/>
    <cellStyle name="Note 2 2 2 4 2" xfId="17544"/>
    <cellStyle name="Note 2 2 2 4 3" xfId="17545"/>
    <cellStyle name="Note 2 2 2 4 4" xfId="17546"/>
    <cellStyle name="Note 2 2 2 4 5" xfId="17547"/>
    <cellStyle name="Note 2 2 2 4 6" xfId="17548"/>
    <cellStyle name="Note 2 2 2 4 7" xfId="17549"/>
    <cellStyle name="Note 2 2 2 5" xfId="17550"/>
    <cellStyle name="Note 2 2 2 5 2" xfId="17551"/>
    <cellStyle name="Note 2 2 2 5 3" xfId="17552"/>
    <cellStyle name="Note 2 2 2 5 4" xfId="17553"/>
    <cellStyle name="Note 2 2 2 5 5" xfId="17554"/>
    <cellStyle name="Note 2 2 2 5 6" xfId="17555"/>
    <cellStyle name="Note 2 2 2 5 7" xfId="17556"/>
    <cellStyle name="Note 2 2 2 6" xfId="17557"/>
    <cellStyle name="Note 2 2 2 6 2" xfId="17558"/>
    <cellStyle name="Note 2 2 2 6 3" xfId="17559"/>
    <cellStyle name="Note 2 2 2 6 4" xfId="17560"/>
    <cellStyle name="Note 2 2 2 6 5" xfId="17561"/>
    <cellStyle name="Note 2 2 2 6 6" xfId="17562"/>
    <cellStyle name="Note 2 2 2 6 7" xfId="17563"/>
    <cellStyle name="Note 2 2 2 7" xfId="17564"/>
    <cellStyle name="Note 2 2 2 7 2" xfId="17565"/>
    <cellStyle name="Note 2 2 2 7 3" xfId="17566"/>
    <cellStyle name="Note 2 2 2 7 4" xfId="17567"/>
    <cellStyle name="Note 2 2 2 7 5" xfId="17568"/>
    <cellStyle name="Note 2 2 2 7 6" xfId="17569"/>
    <cellStyle name="Note 2 2 2 7 7" xfId="17570"/>
    <cellStyle name="Note 2 2 2 8" xfId="17571"/>
    <cellStyle name="Note 2 2 2 8 2" xfId="17572"/>
    <cellStyle name="Note 2 2 2 8 3" xfId="17573"/>
    <cellStyle name="Note 2 2 2 8 4" xfId="17574"/>
    <cellStyle name="Note 2 2 2 8 5" xfId="17575"/>
    <cellStyle name="Note 2 2 2 8 6" xfId="17576"/>
    <cellStyle name="Note 2 2 2 8 7" xfId="17577"/>
    <cellStyle name="Note 2 2 2 9" xfId="17578"/>
    <cellStyle name="Note 2 2 2 9 2" xfId="17579"/>
    <cellStyle name="Note 2 2 2 9 3" xfId="17580"/>
    <cellStyle name="Note 2 2 2 9 4" xfId="17581"/>
    <cellStyle name="Note 2 2 2 9 5" xfId="17582"/>
    <cellStyle name="Note 2 2 2 9 6" xfId="17583"/>
    <cellStyle name="Note 2 2 2 9 7" xfId="17584"/>
    <cellStyle name="Note 2 3" xfId="17585"/>
    <cellStyle name="Note 2 3 10" xfId="17586"/>
    <cellStyle name="Note 2 3 10 2" xfId="17587"/>
    <cellStyle name="Note 2 3 10 3" xfId="17588"/>
    <cellStyle name="Note 2 3 10 4" xfId="17589"/>
    <cellStyle name="Note 2 3 10 5" xfId="17590"/>
    <cellStyle name="Note 2 3 10 6" xfId="17591"/>
    <cellStyle name="Note 2 3 10 7" xfId="17592"/>
    <cellStyle name="Note 2 3 11" xfId="17593"/>
    <cellStyle name="Note 2 3 11 2" xfId="17594"/>
    <cellStyle name="Note 2 3 11 3" xfId="17595"/>
    <cellStyle name="Note 2 3 11 4" xfId="17596"/>
    <cellStyle name="Note 2 3 11 5" xfId="17597"/>
    <cellStyle name="Note 2 3 11 6" xfId="17598"/>
    <cellStyle name="Note 2 3 11 7" xfId="17599"/>
    <cellStyle name="Note 2 3 12" xfId="17600"/>
    <cellStyle name="Note 2 3 12 2" xfId="17601"/>
    <cellStyle name="Note 2 3 12 3" xfId="17602"/>
    <cellStyle name="Note 2 3 12 4" xfId="17603"/>
    <cellStyle name="Note 2 3 12 5" xfId="17604"/>
    <cellStyle name="Note 2 3 12 6" xfId="17605"/>
    <cellStyle name="Note 2 3 13" xfId="17606"/>
    <cellStyle name="Note 2 3 14" xfId="17607"/>
    <cellStyle name="Note 2 3 15" xfId="17608"/>
    <cellStyle name="Note 2 3 16" xfId="17609"/>
    <cellStyle name="Note 2 3 17" xfId="17610"/>
    <cellStyle name="Note 2 3 2" xfId="17611"/>
    <cellStyle name="Note 2 3 2 10" xfId="17612"/>
    <cellStyle name="Note 2 3 2 10 2" xfId="17613"/>
    <cellStyle name="Note 2 3 2 10 3" xfId="17614"/>
    <cellStyle name="Note 2 3 2 10 4" xfId="17615"/>
    <cellStyle name="Note 2 3 2 10 5" xfId="17616"/>
    <cellStyle name="Note 2 3 2 10 6" xfId="17617"/>
    <cellStyle name="Note 2 3 2 10 7" xfId="17618"/>
    <cellStyle name="Note 2 3 2 11" xfId="17619"/>
    <cellStyle name="Note 2 3 2 11 2" xfId="17620"/>
    <cellStyle name="Note 2 3 2 11 3" xfId="17621"/>
    <cellStyle name="Note 2 3 2 11 4" xfId="17622"/>
    <cellStyle name="Note 2 3 2 11 5" xfId="17623"/>
    <cellStyle name="Note 2 3 2 11 6" xfId="17624"/>
    <cellStyle name="Note 2 3 2 12" xfId="17625"/>
    <cellStyle name="Note 2 3 2 13" xfId="17626"/>
    <cellStyle name="Note 2 3 2 14" xfId="17627"/>
    <cellStyle name="Note 2 3 2 15" xfId="17628"/>
    <cellStyle name="Note 2 3 2 16" xfId="17629"/>
    <cellStyle name="Note 2 3 2 2" xfId="17630"/>
    <cellStyle name="Note 2 3 2 2 10" xfId="17631"/>
    <cellStyle name="Note 2 3 2 2 10 2" xfId="17632"/>
    <cellStyle name="Note 2 3 2 2 10 3" xfId="17633"/>
    <cellStyle name="Note 2 3 2 2 10 4" xfId="17634"/>
    <cellStyle name="Note 2 3 2 2 10 5" xfId="17635"/>
    <cellStyle name="Note 2 3 2 2 10 6" xfId="17636"/>
    <cellStyle name="Note 2 3 2 2 11" xfId="17637"/>
    <cellStyle name="Note 2 3 2 2 12" xfId="17638"/>
    <cellStyle name="Note 2 3 2 2 13" xfId="17639"/>
    <cellStyle name="Note 2 3 2 2 14" xfId="17640"/>
    <cellStyle name="Note 2 3 2 2 15" xfId="17641"/>
    <cellStyle name="Note 2 3 2 2 2" xfId="17642"/>
    <cellStyle name="Note 2 3 2 2 2 2" xfId="17643"/>
    <cellStyle name="Note 2 3 2 2 2 3" xfId="17644"/>
    <cellStyle name="Note 2 3 2 2 2 4" xfId="17645"/>
    <cellStyle name="Note 2 3 2 2 2 5" xfId="17646"/>
    <cellStyle name="Note 2 3 2 2 2 6" xfId="17647"/>
    <cellStyle name="Note 2 3 2 2 2 7" xfId="17648"/>
    <cellStyle name="Note 2 3 2 2 3" xfId="17649"/>
    <cellStyle name="Note 2 3 2 2 3 2" xfId="17650"/>
    <cellStyle name="Note 2 3 2 2 3 3" xfId="17651"/>
    <cellStyle name="Note 2 3 2 2 3 4" xfId="17652"/>
    <cellStyle name="Note 2 3 2 2 3 5" xfId="17653"/>
    <cellStyle name="Note 2 3 2 2 3 6" xfId="17654"/>
    <cellStyle name="Note 2 3 2 2 3 7" xfId="17655"/>
    <cellStyle name="Note 2 3 2 2 4" xfId="17656"/>
    <cellStyle name="Note 2 3 2 2 4 2" xfId="17657"/>
    <cellStyle name="Note 2 3 2 2 4 3" xfId="17658"/>
    <cellStyle name="Note 2 3 2 2 4 4" xfId="17659"/>
    <cellStyle name="Note 2 3 2 2 4 5" xfId="17660"/>
    <cellStyle name="Note 2 3 2 2 4 6" xfId="17661"/>
    <cellStyle name="Note 2 3 2 2 4 7" xfId="17662"/>
    <cellStyle name="Note 2 3 2 2 5" xfId="17663"/>
    <cellStyle name="Note 2 3 2 2 5 2" xfId="17664"/>
    <cellStyle name="Note 2 3 2 2 5 3" xfId="17665"/>
    <cellStyle name="Note 2 3 2 2 5 4" xfId="17666"/>
    <cellStyle name="Note 2 3 2 2 5 5" xfId="17667"/>
    <cellStyle name="Note 2 3 2 2 5 6" xfId="17668"/>
    <cellStyle name="Note 2 3 2 2 5 7" xfId="17669"/>
    <cellStyle name="Note 2 3 2 2 6" xfId="17670"/>
    <cellStyle name="Note 2 3 2 2 6 2" xfId="17671"/>
    <cellStyle name="Note 2 3 2 2 6 3" xfId="17672"/>
    <cellStyle name="Note 2 3 2 2 6 4" xfId="17673"/>
    <cellStyle name="Note 2 3 2 2 6 5" xfId="17674"/>
    <cellStyle name="Note 2 3 2 2 6 6" xfId="17675"/>
    <cellStyle name="Note 2 3 2 2 6 7" xfId="17676"/>
    <cellStyle name="Note 2 3 2 2 7" xfId="17677"/>
    <cellStyle name="Note 2 3 2 2 7 2" xfId="17678"/>
    <cellStyle name="Note 2 3 2 2 7 3" xfId="17679"/>
    <cellStyle name="Note 2 3 2 2 7 4" xfId="17680"/>
    <cellStyle name="Note 2 3 2 2 7 5" xfId="17681"/>
    <cellStyle name="Note 2 3 2 2 7 6" xfId="17682"/>
    <cellStyle name="Note 2 3 2 2 7 7" xfId="17683"/>
    <cellStyle name="Note 2 3 2 2 8" xfId="17684"/>
    <cellStyle name="Note 2 3 2 2 8 2" xfId="17685"/>
    <cellStyle name="Note 2 3 2 2 8 3" xfId="17686"/>
    <cellStyle name="Note 2 3 2 2 8 4" xfId="17687"/>
    <cellStyle name="Note 2 3 2 2 8 5" xfId="17688"/>
    <cellStyle name="Note 2 3 2 2 8 6" xfId="17689"/>
    <cellStyle name="Note 2 3 2 2 8 7" xfId="17690"/>
    <cellStyle name="Note 2 3 2 2 9" xfId="17691"/>
    <cellStyle name="Note 2 3 2 2 9 2" xfId="17692"/>
    <cellStyle name="Note 2 3 2 2 9 3" xfId="17693"/>
    <cellStyle name="Note 2 3 2 2 9 4" xfId="17694"/>
    <cellStyle name="Note 2 3 2 2 9 5" xfId="17695"/>
    <cellStyle name="Note 2 3 2 2 9 6" xfId="17696"/>
    <cellStyle name="Note 2 3 2 2 9 7" xfId="17697"/>
    <cellStyle name="Note 2 3 2 3" xfId="17698"/>
    <cellStyle name="Note 2 3 2 3 2" xfId="17699"/>
    <cellStyle name="Note 2 3 2 3 3" xfId="17700"/>
    <cellStyle name="Note 2 3 2 3 4" xfId="17701"/>
    <cellStyle name="Note 2 3 2 3 5" xfId="17702"/>
    <cellStyle name="Note 2 3 2 3 6" xfId="17703"/>
    <cellStyle name="Note 2 3 2 3 7" xfId="17704"/>
    <cellStyle name="Note 2 3 2 4" xfId="17705"/>
    <cellStyle name="Note 2 3 2 4 2" xfId="17706"/>
    <cellStyle name="Note 2 3 2 4 3" xfId="17707"/>
    <cellStyle name="Note 2 3 2 4 4" xfId="17708"/>
    <cellStyle name="Note 2 3 2 4 5" xfId="17709"/>
    <cellStyle name="Note 2 3 2 4 6" xfId="17710"/>
    <cellStyle name="Note 2 3 2 4 7" xfId="17711"/>
    <cellStyle name="Note 2 3 2 5" xfId="17712"/>
    <cellStyle name="Note 2 3 2 5 2" xfId="17713"/>
    <cellStyle name="Note 2 3 2 5 3" xfId="17714"/>
    <cellStyle name="Note 2 3 2 5 4" xfId="17715"/>
    <cellStyle name="Note 2 3 2 5 5" xfId="17716"/>
    <cellStyle name="Note 2 3 2 5 6" xfId="17717"/>
    <cellStyle name="Note 2 3 2 5 7" xfId="17718"/>
    <cellStyle name="Note 2 3 2 6" xfId="17719"/>
    <cellStyle name="Note 2 3 2 6 2" xfId="17720"/>
    <cellStyle name="Note 2 3 2 6 3" xfId="17721"/>
    <cellStyle name="Note 2 3 2 6 4" xfId="17722"/>
    <cellStyle name="Note 2 3 2 6 5" xfId="17723"/>
    <cellStyle name="Note 2 3 2 6 6" xfId="17724"/>
    <cellStyle name="Note 2 3 2 6 7" xfId="17725"/>
    <cellStyle name="Note 2 3 2 7" xfId="17726"/>
    <cellStyle name="Note 2 3 2 7 2" xfId="17727"/>
    <cellStyle name="Note 2 3 2 7 3" xfId="17728"/>
    <cellStyle name="Note 2 3 2 7 4" xfId="17729"/>
    <cellStyle name="Note 2 3 2 7 5" xfId="17730"/>
    <cellStyle name="Note 2 3 2 7 6" xfId="17731"/>
    <cellStyle name="Note 2 3 2 7 7" xfId="17732"/>
    <cellStyle name="Note 2 3 2 8" xfId="17733"/>
    <cellStyle name="Note 2 3 2 8 2" xfId="17734"/>
    <cellStyle name="Note 2 3 2 8 3" xfId="17735"/>
    <cellStyle name="Note 2 3 2 8 4" xfId="17736"/>
    <cellStyle name="Note 2 3 2 8 5" xfId="17737"/>
    <cellStyle name="Note 2 3 2 8 6" xfId="17738"/>
    <cellStyle name="Note 2 3 2 8 7" xfId="17739"/>
    <cellStyle name="Note 2 3 2 9" xfId="17740"/>
    <cellStyle name="Note 2 3 2 9 2" xfId="17741"/>
    <cellStyle name="Note 2 3 2 9 3" xfId="17742"/>
    <cellStyle name="Note 2 3 2 9 4" xfId="17743"/>
    <cellStyle name="Note 2 3 2 9 5" xfId="17744"/>
    <cellStyle name="Note 2 3 2 9 6" xfId="17745"/>
    <cellStyle name="Note 2 3 2 9 7" xfId="17746"/>
    <cellStyle name="Note 2 3 3" xfId="17747"/>
    <cellStyle name="Note 2 3 3 10" xfId="17748"/>
    <cellStyle name="Note 2 3 3 10 2" xfId="17749"/>
    <cellStyle name="Note 2 3 3 10 3" xfId="17750"/>
    <cellStyle name="Note 2 3 3 10 4" xfId="17751"/>
    <cellStyle name="Note 2 3 3 10 5" xfId="17752"/>
    <cellStyle name="Note 2 3 3 10 6" xfId="17753"/>
    <cellStyle name="Note 2 3 3 11" xfId="17754"/>
    <cellStyle name="Note 2 3 3 12" xfId="17755"/>
    <cellStyle name="Note 2 3 3 13" xfId="17756"/>
    <cellStyle name="Note 2 3 3 14" xfId="17757"/>
    <cellStyle name="Note 2 3 3 15" xfId="17758"/>
    <cellStyle name="Note 2 3 3 2" xfId="17759"/>
    <cellStyle name="Note 2 3 3 2 2" xfId="17760"/>
    <cellStyle name="Note 2 3 3 2 3" xfId="17761"/>
    <cellStyle name="Note 2 3 3 2 4" xfId="17762"/>
    <cellStyle name="Note 2 3 3 2 5" xfId="17763"/>
    <cellStyle name="Note 2 3 3 2 6" xfId="17764"/>
    <cellStyle name="Note 2 3 3 2 7" xfId="17765"/>
    <cellStyle name="Note 2 3 3 3" xfId="17766"/>
    <cellStyle name="Note 2 3 3 3 2" xfId="17767"/>
    <cellStyle name="Note 2 3 3 3 3" xfId="17768"/>
    <cellStyle name="Note 2 3 3 3 4" xfId="17769"/>
    <cellStyle name="Note 2 3 3 3 5" xfId="17770"/>
    <cellStyle name="Note 2 3 3 3 6" xfId="17771"/>
    <cellStyle name="Note 2 3 3 3 7" xfId="17772"/>
    <cellStyle name="Note 2 3 3 4" xfId="17773"/>
    <cellStyle name="Note 2 3 3 4 2" xfId="17774"/>
    <cellStyle name="Note 2 3 3 4 3" xfId="17775"/>
    <cellStyle name="Note 2 3 3 4 4" xfId="17776"/>
    <cellStyle name="Note 2 3 3 4 5" xfId="17777"/>
    <cellStyle name="Note 2 3 3 4 6" xfId="17778"/>
    <cellStyle name="Note 2 3 3 4 7" xfId="17779"/>
    <cellStyle name="Note 2 3 3 5" xfId="17780"/>
    <cellStyle name="Note 2 3 3 5 2" xfId="17781"/>
    <cellStyle name="Note 2 3 3 5 3" xfId="17782"/>
    <cellStyle name="Note 2 3 3 5 4" xfId="17783"/>
    <cellStyle name="Note 2 3 3 5 5" xfId="17784"/>
    <cellStyle name="Note 2 3 3 5 6" xfId="17785"/>
    <cellStyle name="Note 2 3 3 5 7" xfId="17786"/>
    <cellStyle name="Note 2 3 3 6" xfId="17787"/>
    <cellStyle name="Note 2 3 3 6 2" xfId="17788"/>
    <cellStyle name="Note 2 3 3 6 3" xfId="17789"/>
    <cellStyle name="Note 2 3 3 6 4" xfId="17790"/>
    <cellStyle name="Note 2 3 3 6 5" xfId="17791"/>
    <cellStyle name="Note 2 3 3 6 6" xfId="17792"/>
    <cellStyle name="Note 2 3 3 6 7" xfId="17793"/>
    <cellStyle name="Note 2 3 3 7" xfId="17794"/>
    <cellStyle name="Note 2 3 3 7 2" xfId="17795"/>
    <cellStyle name="Note 2 3 3 7 3" xfId="17796"/>
    <cellStyle name="Note 2 3 3 7 4" xfId="17797"/>
    <cellStyle name="Note 2 3 3 7 5" xfId="17798"/>
    <cellStyle name="Note 2 3 3 7 6" xfId="17799"/>
    <cellStyle name="Note 2 3 3 7 7" xfId="17800"/>
    <cellStyle name="Note 2 3 3 8" xfId="17801"/>
    <cellStyle name="Note 2 3 3 8 2" xfId="17802"/>
    <cellStyle name="Note 2 3 3 8 3" xfId="17803"/>
    <cellStyle name="Note 2 3 3 8 4" xfId="17804"/>
    <cellStyle name="Note 2 3 3 8 5" xfId="17805"/>
    <cellStyle name="Note 2 3 3 8 6" xfId="17806"/>
    <cellStyle name="Note 2 3 3 8 7" xfId="17807"/>
    <cellStyle name="Note 2 3 3 9" xfId="17808"/>
    <cellStyle name="Note 2 3 3 9 2" xfId="17809"/>
    <cellStyle name="Note 2 3 3 9 3" xfId="17810"/>
    <cellStyle name="Note 2 3 3 9 4" xfId="17811"/>
    <cellStyle name="Note 2 3 3 9 5" xfId="17812"/>
    <cellStyle name="Note 2 3 3 9 6" xfId="17813"/>
    <cellStyle name="Note 2 3 3 9 7" xfId="17814"/>
    <cellStyle name="Note 2 3 4" xfId="17815"/>
    <cellStyle name="Note 2 3 4 2" xfId="17816"/>
    <cellStyle name="Note 2 3 4 3" xfId="17817"/>
    <cellStyle name="Note 2 3 4 4" xfId="17818"/>
    <cellStyle name="Note 2 3 4 5" xfId="17819"/>
    <cellStyle name="Note 2 3 4 6" xfId="17820"/>
    <cellStyle name="Note 2 3 4 7" xfId="17821"/>
    <cellStyle name="Note 2 3 5" xfId="17822"/>
    <cellStyle name="Note 2 3 5 2" xfId="17823"/>
    <cellStyle name="Note 2 3 5 3" xfId="17824"/>
    <cellStyle name="Note 2 3 5 4" xfId="17825"/>
    <cellStyle name="Note 2 3 5 5" xfId="17826"/>
    <cellStyle name="Note 2 3 5 6" xfId="17827"/>
    <cellStyle name="Note 2 3 5 7" xfId="17828"/>
    <cellStyle name="Note 2 3 6" xfId="17829"/>
    <cellStyle name="Note 2 3 6 2" xfId="17830"/>
    <cellStyle name="Note 2 3 6 3" xfId="17831"/>
    <cellStyle name="Note 2 3 6 4" xfId="17832"/>
    <cellStyle name="Note 2 3 6 5" xfId="17833"/>
    <cellStyle name="Note 2 3 6 6" xfId="17834"/>
    <cellStyle name="Note 2 3 6 7" xfId="17835"/>
    <cellStyle name="Note 2 3 7" xfId="17836"/>
    <cellStyle name="Note 2 3 7 2" xfId="17837"/>
    <cellStyle name="Note 2 3 7 3" xfId="17838"/>
    <cellStyle name="Note 2 3 7 4" xfId="17839"/>
    <cellStyle name="Note 2 3 7 5" xfId="17840"/>
    <cellStyle name="Note 2 3 7 6" xfId="17841"/>
    <cellStyle name="Note 2 3 7 7" xfId="17842"/>
    <cellStyle name="Note 2 3 8" xfId="17843"/>
    <cellStyle name="Note 2 3 8 2" xfId="17844"/>
    <cellStyle name="Note 2 3 8 3" xfId="17845"/>
    <cellStyle name="Note 2 3 8 4" xfId="17846"/>
    <cellStyle name="Note 2 3 8 5" xfId="17847"/>
    <cellStyle name="Note 2 3 8 6" xfId="17848"/>
    <cellStyle name="Note 2 3 8 7" xfId="17849"/>
    <cellStyle name="Note 2 3 9" xfId="17850"/>
    <cellStyle name="Note 2 3 9 2" xfId="17851"/>
    <cellStyle name="Note 2 3 9 3" xfId="17852"/>
    <cellStyle name="Note 2 3 9 4" xfId="17853"/>
    <cellStyle name="Note 2 3 9 5" xfId="17854"/>
    <cellStyle name="Note 2 3 9 6" xfId="17855"/>
    <cellStyle name="Note 2 3 9 7" xfId="17856"/>
    <cellStyle name="Note 3" xfId="17857"/>
    <cellStyle name="Note 3 10" xfId="17858"/>
    <cellStyle name="Note 3 10 2" xfId="17859"/>
    <cellStyle name="Note 3 10 3" xfId="17860"/>
    <cellStyle name="Note 3 10 4" xfId="17861"/>
    <cellStyle name="Note 3 10 5" xfId="17862"/>
    <cellStyle name="Note 3 10 6" xfId="17863"/>
    <cellStyle name="Note 3 10 7" xfId="17864"/>
    <cellStyle name="Note 3 11" xfId="17865"/>
    <cellStyle name="Note 3 11 2" xfId="17866"/>
    <cellStyle name="Note 3 11 3" xfId="17867"/>
    <cellStyle name="Note 3 11 4" xfId="17868"/>
    <cellStyle name="Note 3 11 5" xfId="17869"/>
    <cellStyle name="Note 3 11 6" xfId="17870"/>
    <cellStyle name="Note 3 11 7" xfId="17871"/>
    <cellStyle name="Note 3 12" xfId="17872"/>
    <cellStyle name="Note 3 12 2" xfId="17873"/>
    <cellStyle name="Note 3 12 3" xfId="17874"/>
    <cellStyle name="Note 3 12 4" xfId="17875"/>
    <cellStyle name="Note 3 12 5" xfId="17876"/>
    <cellStyle name="Note 3 12 6" xfId="17877"/>
    <cellStyle name="Note 3 12 7" xfId="17878"/>
    <cellStyle name="Note 3 13" xfId="17879"/>
    <cellStyle name="Note 3 13 2" xfId="17880"/>
    <cellStyle name="Note 3 13 3" xfId="17881"/>
    <cellStyle name="Note 3 13 4" xfId="17882"/>
    <cellStyle name="Note 3 13 5" xfId="17883"/>
    <cellStyle name="Note 3 13 6" xfId="17884"/>
    <cellStyle name="Note 3 14" xfId="17885"/>
    <cellStyle name="Note 3 15" xfId="17886"/>
    <cellStyle name="Note 3 16" xfId="17887"/>
    <cellStyle name="Note 3 17" xfId="17888"/>
    <cellStyle name="Note 3 18" xfId="17889"/>
    <cellStyle name="Note 3 2" xfId="17890"/>
    <cellStyle name="Note 3 2 10" xfId="17891"/>
    <cellStyle name="Note 3 2 10 2" xfId="17892"/>
    <cellStyle name="Note 3 2 10 3" xfId="17893"/>
    <cellStyle name="Note 3 2 10 4" xfId="17894"/>
    <cellStyle name="Note 3 2 10 5" xfId="17895"/>
    <cellStyle name="Note 3 2 10 6" xfId="17896"/>
    <cellStyle name="Note 3 2 10 7" xfId="17897"/>
    <cellStyle name="Note 3 2 11" xfId="17898"/>
    <cellStyle name="Note 3 2 11 2" xfId="17899"/>
    <cellStyle name="Note 3 2 11 3" xfId="17900"/>
    <cellStyle name="Note 3 2 11 4" xfId="17901"/>
    <cellStyle name="Note 3 2 11 5" xfId="17902"/>
    <cellStyle name="Note 3 2 11 6" xfId="17903"/>
    <cellStyle name="Note 3 2 11 7" xfId="17904"/>
    <cellStyle name="Note 3 2 12" xfId="17905"/>
    <cellStyle name="Note 3 2 12 2" xfId="17906"/>
    <cellStyle name="Note 3 2 12 3" xfId="17907"/>
    <cellStyle name="Note 3 2 12 4" xfId="17908"/>
    <cellStyle name="Note 3 2 12 5" xfId="17909"/>
    <cellStyle name="Note 3 2 12 6" xfId="17910"/>
    <cellStyle name="Note 3 2 13" xfId="17911"/>
    <cellStyle name="Note 3 2 14" xfId="17912"/>
    <cellStyle name="Note 3 2 15" xfId="17913"/>
    <cellStyle name="Note 3 2 16" xfId="17914"/>
    <cellStyle name="Note 3 2 17" xfId="17915"/>
    <cellStyle name="Note 3 2 2" xfId="17916"/>
    <cellStyle name="Note 3 2 2 10" xfId="17917"/>
    <cellStyle name="Note 3 2 2 10 2" xfId="17918"/>
    <cellStyle name="Note 3 2 2 10 3" xfId="17919"/>
    <cellStyle name="Note 3 2 2 10 4" xfId="17920"/>
    <cellStyle name="Note 3 2 2 10 5" xfId="17921"/>
    <cellStyle name="Note 3 2 2 10 6" xfId="17922"/>
    <cellStyle name="Note 3 2 2 10 7" xfId="17923"/>
    <cellStyle name="Note 3 2 2 11" xfId="17924"/>
    <cellStyle name="Note 3 2 2 11 2" xfId="17925"/>
    <cellStyle name="Note 3 2 2 11 3" xfId="17926"/>
    <cellStyle name="Note 3 2 2 11 4" xfId="17927"/>
    <cellStyle name="Note 3 2 2 11 5" xfId="17928"/>
    <cellStyle name="Note 3 2 2 11 6" xfId="17929"/>
    <cellStyle name="Note 3 2 2 12" xfId="17930"/>
    <cellStyle name="Note 3 2 2 13" xfId="17931"/>
    <cellStyle name="Note 3 2 2 14" xfId="17932"/>
    <cellStyle name="Note 3 2 2 15" xfId="17933"/>
    <cellStyle name="Note 3 2 2 16" xfId="17934"/>
    <cellStyle name="Note 3 2 2 2" xfId="17935"/>
    <cellStyle name="Note 3 2 2 2 10" xfId="17936"/>
    <cellStyle name="Note 3 2 2 2 10 2" xfId="17937"/>
    <cellStyle name="Note 3 2 2 2 10 3" xfId="17938"/>
    <cellStyle name="Note 3 2 2 2 10 4" xfId="17939"/>
    <cellStyle name="Note 3 2 2 2 10 5" xfId="17940"/>
    <cellStyle name="Note 3 2 2 2 10 6" xfId="17941"/>
    <cellStyle name="Note 3 2 2 2 11" xfId="17942"/>
    <cellStyle name="Note 3 2 2 2 12" xfId="17943"/>
    <cellStyle name="Note 3 2 2 2 13" xfId="17944"/>
    <cellStyle name="Note 3 2 2 2 14" xfId="17945"/>
    <cellStyle name="Note 3 2 2 2 15" xfId="17946"/>
    <cellStyle name="Note 3 2 2 2 2" xfId="17947"/>
    <cellStyle name="Note 3 2 2 2 2 2" xfId="17948"/>
    <cellStyle name="Note 3 2 2 2 2 3" xfId="17949"/>
    <cellStyle name="Note 3 2 2 2 2 4" xfId="17950"/>
    <cellStyle name="Note 3 2 2 2 2 5" xfId="17951"/>
    <cellStyle name="Note 3 2 2 2 2 6" xfId="17952"/>
    <cellStyle name="Note 3 2 2 2 2 7" xfId="17953"/>
    <cellStyle name="Note 3 2 2 2 3" xfId="17954"/>
    <cellStyle name="Note 3 2 2 2 3 2" xfId="17955"/>
    <cellStyle name="Note 3 2 2 2 3 3" xfId="17956"/>
    <cellStyle name="Note 3 2 2 2 3 4" xfId="17957"/>
    <cellStyle name="Note 3 2 2 2 3 5" xfId="17958"/>
    <cellStyle name="Note 3 2 2 2 3 6" xfId="17959"/>
    <cellStyle name="Note 3 2 2 2 3 7" xfId="17960"/>
    <cellStyle name="Note 3 2 2 2 4" xfId="17961"/>
    <cellStyle name="Note 3 2 2 2 4 2" xfId="17962"/>
    <cellStyle name="Note 3 2 2 2 4 3" xfId="17963"/>
    <cellStyle name="Note 3 2 2 2 4 4" xfId="17964"/>
    <cellStyle name="Note 3 2 2 2 4 5" xfId="17965"/>
    <cellStyle name="Note 3 2 2 2 4 6" xfId="17966"/>
    <cellStyle name="Note 3 2 2 2 4 7" xfId="17967"/>
    <cellStyle name="Note 3 2 2 2 5" xfId="17968"/>
    <cellStyle name="Note 3 2 2 2 5 2" xfId="17969"/>
    <cellStyle name="Note 3 2 2 2 5 3" xfId="17970"/>
    <cellStyle name="Note 3 2 2 2 5 4" xfId="17971"/>
    <cellStyle name="Note 3 2 2 2 5 5" xfId="17972"/>
    <cellStyle name="Note 3 2 2 2 5 6" xfId="17973"/>
    <cellStyle name="Note 3 2 2 2 5 7" xfId="17974"/>
    <cellStyle name="Note 3 2 2 2 6" xfId="17975"/>
    <cellStyle name="Note 3 2 2 2 6 2" xfId="17976"/>
    <cellStyle name="Note 3 2 2 2 6 3" xfId="17977"/>
    <cellStyle name="Note 3 2 2 2 6 4" xfId="17978"/>
    <cellStyle name="Note 3 2 2 2 6 5" xfId="17979"/>
    <cellStyle name="Note 3 2 2 2 6 6" xfId="17980"/>
    <cellStyle name="Note 3 2 2 2 6 7" xfId="17981"/>
    <cellStyle name="Note 3 2 2 2 7" xfId="17982"/>
    <cellStyle name="Note 3 2 2 2 7 2" xfId="17983"/>
    <cellStyle name="Note 3 2 2 2 7 3" xfId="17984"/>
    <cellStyle name="Note 3 2 2 2 7 4" xfId="17985"/>
    <cellStyle name="Note 3 2 2 2 7 5" xfId="17986"/>
    <cellStyle name="Note 3 2 2 2 7 6" xfId="17987"/>
    <cellStyle name="Note 3 2 2 2 7 7" xfId="17988"/>
    <cellStyle name="Note 3 2 2 2 8" xfId="17989"/>
    <cellStyle name="Note 3 2 2 2 8 2" xfId="17990"/>
    <cellStyle name="Note 3 2 2 2 8 3" xfId="17991"/>
    <cellStyle name="Note 3 2 2 2 8 4" xfId="17992"/>
    <cellStyle name="Note 3 2 2 2 8 5" xfId="17993"/>
    <cellStyle name="Note 3 2 2 2 8 6" xfId="17994"/>
    <cellStyle name="Note 3 2 2 2 8 7" xfId="17995"/>
    <cellStyle name="Note 3 2 2 2 9" xfId="17996"/>
    <cellStyle name="Note 3 2 2 2 9 2" xfId="17997"/>
    <cellStyle name="Note 3 2 2 2 9 3" xfId="17998"/>
    <cellStyle name="Note 3 2 2 2 9 4" xfId="17999"/>
    <cellStyle name="Note 3 2 2 2 9 5" xfId="18000"/>
    <cellStyle name="Note 3 2 2 2 9 6" xfId="18001"/>
    <cellStyle name="Note 3 2 2 2 9 7" xfId="18002"/>
    <cellStyle name="Note 3 2 2 3" xfId="18003"/>
    <cellStyle name="Note 3 2 2 3 2" xfId="18004"/>
    <cellStyle name="Note 3 2 2 3 3" xfId="18005"/>
    <cellStyle name="Note 3 2 2 3 4" xfId="18006"/>
    <cellStyle name="Note 3 2 2 3 5" xfId="18007"/>
    <cellStyle name="Note 3 2 2 3 6" xfId="18008"/>
    <cellStyle name="Note 3 2 2 3 7" xfId="18009"/>
    <cellStyle name="Note 3 2 2 4" xfId="18010"/>
    <cellStyle name="Note 3 2 2 4 2" xfId="18011"/>
    <cellStyle name="Note 3 2 2 4 3" xfId="18012"/>
    <cellStyle name="Note 3 2 2 4 4" xfId="18013"/>
    <cellStyle name="Note 3 2 2 4 5" xfId="18014"/>
    <cellStyle name="Note 3 2 2 4 6" xfId="18015"/>
    <cellStyle name="Note 3 2 2 4 7" xfId="18016"/>
    <cellStyle name="Note 3 2 2 5" xfId="18017"/>
    <cellStyle name="Note 3 2 2 5 2" xfId="18018"/>
    <cellStyle name="Note 3 2 2 5 3" xfId="18019"/>
    <cellStyle name="Note 3 2 2 5 4" xfId="18020"/>
    <cellStyle name="Note 3 2 2 5 5" xfId="18021"/>
    <cellStyle name="Note 3 2 2 5 6" xfId="18022"/>
    <cellStyle name="Note 3 2 2 5 7" xfId="18023"/>
    <cellStyle name="Note 3 2 2 6" xfId="18024"/>
    <cellStyle name="Note 3 2 2 6 2" xfId="18025"/>
    <cellStyle name="Note 3 2 2 6 3" xfId="18026"/>
    <cellStyle name="Note 3 2 2 6 4" xfId="18027"/>
    <cellStyle name="Note 3 2 2 6 5" xfId="18028"/>
    <cellStyle name="Note 3 2 2 6 6" xfId="18029"/>
    <cellStyle name="Note 3 2 2 6 7" xfId="18030"/>
    <cellStyle name="Note 3 2 2 7" xfId="18031"/>
    <cellStyle name="Note 3 2 2 7 2" xfId="18032"/>
    <cellStyle name="Note 3 2 2 7 3" xfId="18033"/>
    <cellStyle name="Note 3 2 2 7 4" xfId="18034"/>
    <cellStyle name="Note 3 2 2 7 5" xfId="18035"/>
    <cellStyle name="Note 3 2 2 7 6" xfId="18036"/>
    <cellStyle name="Note 3 2 2 7 7" xfId="18037"/>
    <cellStyle name="Note 3 2 2 8" xfId="18038"/>
    <cellStyle name="Note 3 2 2 8 2" xfId="18039"/>
    <cellStyle name="Note 3 2 2 8 3" xfId="18040"/>
    <cellStyle name="Note 3 2 2 8 4" xfId="18041"/>
    <cellStyle name="Note 3 2 2 8 5" xfId="18042"/>
    <cellStyle name="Note 3 2 2 8 6" xfId="18043"/>
    <cellStyle name="Note 3 2 2 8 7" xfId="18044"/>
    <cellStyle name="Note 3 2 2 9" xfId="18045"/>
    <cellStyle name="Note 3 2 2 9 2" xfId="18046"/>
    <cellStyle name="Note 3 2 2 9 3" xfId="18047"/>
    <cellStyle name="Note 3 2 2 9 4" xfId="18048"/>
    <cellStyle name="Note 3 2 2 9 5" xfId="18049"/>
    <cellStyle name="Note 3 2 2 9 6" xfId="18050"/>
    <cellStyle name="Note 3 2 2 9 7" xfId="18051"/>
    <cellStyle name="Note 3 2 3" xfId="18052"/>
    <cellStyle name="Note 3 2 3 10" xfId="18053"/>
    <cellStyle name="Note 3 2 3 10 2" xfId="18054"/>
    <cellStyle name="Note 3 2 3 10 3" xfId="18055"/>
    <cellStyle name="Note 3 2 3 10 4" xfId="18056"/>
    <cellStyle name="Note 3 2 3 10 5" xfId="18057"/>
    <cellStyle name="Note 3 2 3 10 6" xfId="18058"/>
    <cellStyle name="Note 3 2 3 11" xfId="18059"/>
    <cellStyle name="Note 3 2 3 12" xfId="18060"/>
    <cellStyle name="Note 3 2 3 13" xfId="18061"/>
    <cellStyle name="Note 3 2 3 14" xfId="18062"/>
    <cellStyle name="Note 3 2 3 15" xfId="18063"/>
    <cellStyle name="Note 3 2 3 2" xfId="18064"/>
    <cellStyle name="Note 3 2 3 2 2" xfId="18065"/>
    <cellStyle name="Note 3 2 3 2 3" xfId="18066"/>
    <cellStyle name="Note 3 2 3 2 4" xfId="18067"/>
    <cellStyle name="Note 3 2 3 2 5" xfId="18068"/>
    <cellStyle name="Note 3 2 3 2 6" xfId="18069"/>
    <cellStyle name="Note 3 2 3 2 7" xfId="18070"/>
    <cellStyle name="Note 3 2 3 3" xfId="18071"/>
    <cellStyle name="Note 3 2 3 3 2" xfId="18072"/>
    <cellStyle name="Note 3 2 3 3 3" xfId="18073"/>
    <cellStyle name="Note 3 2 3 3 4" xfId="18074"/>
    <cellStyle name="Note 3 2 3 3 5" xfId="18075"/>
    <cellStyle name="Note 3 2 3 3 6" xfId="18076"/>
    <cellStyle name="Note 3 2 3 3 7" xfId="18077"/>
    <cellStyle name="Note 3 2 3 4" xfId="18078"/>
    <cellStyle name="Note 3 2 3 4 2" xfId="18079"/>
    <cellStyle name="Note 3 2 3 4 3" xfId="18080"/>
    <cellStyle name="Note 3 2 3 4 4" xfId="18081"/>
    <cellStyle name="Note 3 2 3 4 5" xfId="18082"/>
    <cellStyle name="Note 3 2 3 4 6" xfId="18083"/>
    <cellStyle name="Note 3 2 3 4 7" xfId="18084"/>
    <cellStyle name="Note 3 2 3 5" xfId="18085"/>
    <cellStyle name="Note 3 2 3 5 2" xfId="18086"/>
    <cellStyle name="Note 3 2 3 5 3" xfId="18087"/>
    <cellStyle name="Note 3 2 3 5 4" xfId="18088"/>
    <cellStyle name="Note 3 2 3 5 5" xfId="18089"/>
    <cellStyle name="Note 3 2 3 5 6" xfId="18090"/>
    <cellStyle name="Note 3 2 3 5 7" xfId="18091"/>
    <cellStyle name="Note 3 2 3 6" xfId="18092"/>
    <cellStyle name="Note 3 2 3 6 2" xfId="18093"/>
    <cellStyle name="Note 3 2 3 6 3" xfId="18094"/>
    <cellStyle name="Note 3 2 3 6 4" xfId="18095"/>
    <cellStyle name="Note 3 2 3 6 5" xfId="18096"/>
    <cellStyle name="Note 3 2 3 6 6" xfId="18097"/>
    <cellStyle name="Note 3 2 3 6 7" xfId="18098"/>
    <cellStyle name="Note 3 2 3 7" xfId="18099"/>
    <cellStyle name="Note 3 2 3 7 2" xfId="18100"/>
    <cellStyle name="Note 3 2 3 7 3" xfId="18101"/>
    <cellStyle name="Note 3 2 3 7 4" xfId="18102"/>
    <cellStyle name="Note 3 2 3 7 5" xfId="18103"/>
    <cellStyle name="Note 3 2 3 7 6" xfId="18104"/>
    <cellStyle name="Note 3 2 3 7 7" xfId="18105"/>
    <cellStyle name="Note 3 2 3 8" xfId="18106"/>
    <cellStyle name="Note 3 2 3 8 2" xfId="18107"/>
    <cellStyle name="Note 3 2 3 8 3" xfId="18108"/>
    <cellStyle name="Note 3 2 3 8 4" xfId="18109"/>
    <cellStyle name="Note 3 2 3 8 5" xfId="18110"/>
    <cellStyle name="Note 3 2 3 8 6" xfId="18111"/>
    <cellStyle name="Note 3 2 3 8 7" xfId="18112"/>
    <cellStyle name="Note 3 2 3 9" xfId="18113"/>
    <cellStyle name="Note 3 2 3 9 2" xfId="18114"/>
    <cellStyle name="Note 3 2 3 9 3" xfId="18115"/>
    <cellStyle name="Note 3 2 3 9 4" xfId="18116"/>
    <cellStyle name="Note 3 2 3 9 5" xfId="18117"/>
    <cellStyle name="Note 3 2 3 9 6" xfId="18118"/>
    <cellStyle name="Note 3 2 3 9 7" xfId="18119"/>
    <cellStyle name="Note 3 2 4" xfId="18120"/>
    <cellStyle name="Note 3 2 4 2" xfId="18121"/>
    <cellStyle name="Note 3 2 4 3" xfId="18122"/>
    <cellStyle name="Note 3 2 4 4" xfId="18123"/>
    <cellStyle name="Note 3 2 4 5" xfId="18124"/>
    <cellStyle name="Note 3 2 4 6" xfId="18125"/>
    <cellStyle name="Note 3 2 4 7" xfId="18126"/>
    <cellStyle name="Note 3 2 5" xfId="18127"/>
    <cellStyle name="Note 3 2 5 2" xfId="18128"/>
    <cellStyle name="Note 3 2 5 3" xfId="18129"/>
    <cellStyle name="Note 3 2 5 4" xfId="18130"/>
    <cellStyle name="Note 3 2 5 5" xfId="18131"/>
    <cellStyle name="Note 3 2 5 6" xfId="18132"/>
    <cellStyle name="Note 3 2 5 7" xfId="18133"/>
    <cellStyle name="Note 3 2 6" xfId="18134"/>
    <cellStyle name="Note 3 2 6 2" xfId="18135"/>
    <cellStyle name="Note 3 2 6 3" xfId="18136"/>
    <cellStyle name="Note 3 2 6 4" xfId="18137"/>
    <cellStyle name="Note 3 2 6 5" xfId="18138"/>
    <cellStyle name="Note 3 2 6 6" xfId="18139"/>
    <cellStyle name="Note 3 2 6 7" xfId="18140"/>
    <cellStyle name="Note 3 2 7" xfId="18141"/>
    <cellStyle name="Note 3 2 7 2" xfId="18142"/>
    <cellStyle name="Note 3 2 7 3" xfId="18143"/>
    <cellStyle name="Note 3 2 7 4" xfId="18144"/>
    <cellStyle name="Note 3 2 7 5" xfId="18145"/>
    <cellStyle name="Note 3 2 7 6" xfId="18146"/>
    <cellStyle name="Note 3 2 7 7" xfId="18147"/>
    <cellStyle name="Note 3 2 8" xfId="18148"/>
    <cellStyle name="Note 3 2 8 2" xfId="18149"/>
    <cellStyle name="Note 3 2 8 3" xfId="18150"/>
    <cellStyle name="Note 3 2 8 4" xfId="18151"/>
    <cellStyle name="Note 3 2 8 5" xfId="18152"/>
    <cellStyle name="Note 3 2 8 6" xfId="18153"/>
    <cellStyle name="Note 3 2 8 7" xfId="18154"/>
    <cellStyle name="Note 3 2 9" xfId="18155"/>
    <cellStyle name="Note 3 2 9 2" xfId="18156"/>
    <cellStyle name="Note 3 2 9 3" xfId="18157"/>
    <cellStyle name="Note 3 2 9 4" xfId="18158"/>
    <cellStyle name="Note 3 2 9 5" xfId="18159"/>
    <cellStyle name="Note 3 2 9 6" xfId="18160"/>
    <cellStyle name="Note 3 2 9 7" xfId="18161"/>
    <cellStyle name="Note 3 3" xfId="18162"/>
    <cellStyle name="Note 3 3 10" xfId="18163"/>
    <cellStyle name="Note 3 3 10 2" xfId="18164"/>
    <cellStyle name="Note 3 3 10 3" xfId="18165"/>
    <cellStyle name="Note 3 3 10 4" xfId="18166"/>
    <cellStyle name="Note 3 3 10 5" xfId="18167"/>
    <cellStyle name="Note 3 3 10 6" xfId="18168"/>
    <cellStyle name="Note 3 3 10 7" xfId="18169"/>
    <cellStyle name="Note 3 3 11" xfId="18170"/>
    <cellStyle name="Note 3 3 11 2" xfId="18171"/>
    <cellStyle name="Note 3 3 11 3" xfId="18172"/>
    <cellStyle name="Note 3 3 11 4" xfId="18173"/>
    <cellStyle name="Note 3 3 11 5" xfId="18174"/>
    <cellStyle name="Note 3 3 11 6" xfId="18175"/>
    <cellStyle name="Note 3 3 12" xfId="18176"/>
    <cellStyle name="Note 3 3 13" xfId="18177"/>
    <cellStyle name="Note 3 3 14" xfId="18178"/>
    <cellStyle name="Note 3 3 15" xfId="18179"/>
    <cellStyle name="Note 3 3 16" xfId="18180"/>
    <cellStyle name="Note 3 3 2" xfId="18181"/>
    <cellStyle name="Note 3 3 2 10" xfId="18182"/>
    <cellStyle name="Note 3 3 2 10 2" xfId="18183"/>
    <cellStyle name="Note 3 3 2 10 3" xfId="18184"/>
    <cellStyle name="Note 3 3 2 10 4" xfId="18185"/>
    <cellStyle name="Note 3 3 2 10 5" xfId="18186"/>
    <cellStyle name="Note 3 3 2 10 6" xfId="18187"/>
    <cellStyle name="Note 3 3 2 11" xfId="18188"/>
    <cellStyle name="Note 3 3 2 12" xfId="18189"/>
    <cellStyle name="Note 3 3 2 13" xfId="18190"/>
    <cellStyle name="Note 3 3 2 14" xfId="18191"/>
    <cellStyle name="Note 3 3 2 15" xfId="18192"/>
    <cellStyle name="Note 3 3 2 2" xfId="18193"/>
    <cellStyle name="Note 3 3 2 2 2" xfId="18194"/>
    <cellStyle name="Note 3 3 2 2 3" xfId="18195"/>
    <cellStyle name="Note 3 3 2 2 4" xfId="18196"/>
    <cellStyle name="Note 3 3 2 2 5" xfId="18197"/>
    <cellStyle name="Note 3 3 2 2 6" xfId="18198"/>
    <cellStyle name="Note 3 3 2 2 7" xfId="18199"/>
    <cellStyle name="Note 3 3 2 3" xfId="18200"/>
    <cellStyle name="Note 3 3 2 3 2" xfId="18201"/>
    <cellStyle name="Note 3 3 2 3 3" xfId="18202"/>
    <cellStyle name="Note 3 3 2 3 4" xfId="18203"/>
    <cellStyle name="Note 3 3 2 3 5" xfId="18204"/>
    <cellStyle name="Note 3 3 2 3 6" xfId="18205"/>
    <cellStyle name="Note 3 3 2 3 7" xfId="18206"/>
    <cellStyle name="Note 3 3 2 4" xfId="18207"/>
    <cellStyle name="Note 3 3 2 4 2" xfId="18208"/>
    <cellStyle name="Note 3 3 2 4 3" xfId="18209"/>
    <cellStyle name="Note 3 3 2 4 4" xfId="18210"/>
    <cellStyle name="Note 3 3 2 4 5" xfId="18211"/>
    <cellStyle name="Note 3 3 2 4 6" xfId="18212"/>
    <cellStyle name="Note 3 3 2 4 7" xfId="18213"/>
    <cellStyle name="Note 3 3 2 5" xfId="18214"/>
    <cellStyle name="Note 3 3 2 5 2" xfId="18215"/>
    <cellStyle name="Note 3 3 2 5 3" xfId="18216"/>
    <cellStyle name="Note 3 3 2 5 4" xfId="18217"/>
    <cellStyle name="Note 3 3 2 5 5" xfId="18218"/>
    <cellStyle name="Note 3 3 2 5 6" xfId="18219"/>
    <cellStyle name="Note 3 3 2 5 7" xfId="18220"/>
    <cellStyle name="Note 3 3 2 6" xfId="18221"/>
    <cellStyle name="Note 3 3 2 6 2" xfId="18222"/>
    <cellStyle name="Note 3 3 2 6 3" xfId="18223"/>
    <cellStyle name="Note 3 3 2 6 4" xfId="18224"/>
    <cellStyle name="Note 3 3 2 6 5" xfId="18225"/>
    <cellStyle name="Note 3 3 2 6 6" xfId="18226"/>
    <cellStyle name="Note 3 3 2 6 7" xfId="18227"/>
    <cellStyle name="Note 3 3 2 7" xfId="18228"/>
    <cellStyle name="Note 3 3 2 7 2" xfId="18229"/>
    <cellStyle name="Note 3 3 2 7 3" xfId="18230"/>
    <cellStyle name="Note 3 3 2 7 4" xfId="18231"/>
    <cellStyle name="Note 3 3 2 7 5" xfId="18232"/>
    <cellStyle name="Note 3 3 2 7 6" xfId="18233"/>
    <cellStyle name="Note 3 3 2 7 7" xfId="18234"/>
    <cellStyle name="Note 3 3 2 8" xfId="18235"/>
    <cellStyle name="Note 3 3 2 8 2" xfId="18236"/>
    <cellStyle name="Note 3 3 2 8 3" xfId="18237"/>
    <cellStyle name="Note 3 3 2 8 4" xfId="18238"/>
    <cellStyle name="Note 3 3 2 8 5" xfId="18239"/>
    <cellStyle name="Note 3 3 2 8 6" xfId="18240"/>
    <cellStyle name="Note 3 3 2 8 7" xfId="18241"/>
    <cellStyle name="Note 3 3 2 9" xfId="18242"/>
    <cellStyle name="Note 3 3 2 9 2" xfId="18243"/>
    <cellStyle name="Note 3 3 2 9 3" xfId="18244"/>
    <cellStyle name="Note 3 3 2 9 4" xfId="18245"/>
    <cellStyle name="Note 3 3 2 9 5" xfId="18246"/>
    <cellStyle name="Note 3 3 2 9 6" xfId="18247"/>
    <cellStyle name="Note 3 3 2 9 7" xfId="18248"/>
    <cellStyle name="Note 3 3 3" xfId="18249"/>
    <cellStyle name="Note 3 3 3 2" xfId="18250"/>
    <cellStyle name="Note 3 3 3 3" xfId="18251"/>
    <cellStyle name="Note 3 3 3 4" xfId="18252"/>
    <cellStyle name="Note 3 3 3 5" xfId="18253"/>
    <cellStyle name="Note 3 3 3 6" xfId="18254"/>
    <cellStyle name="Note 3 3 3 7" xfId="18255"/>
    <cellStyle name="Note 3 3 4" xfId="18256"/>
    <cellStyle name="Note 3 3 4 2" xfId="18257"/>
    <cellStyle name="Note 3 3 4 3" xfId="18258"/>
    <cellStyle name="Note 3 3 4 4" xfId="18259"/>
    <cellStyle name="Note 3 3 4 5" xfId="18260"/>
    <cellStyle name="Note 3 3 4 6" xfId="18261"/>
    <cellStyle name="Note 3 3 4 7" xfId="18262"/>
    <cellStyle name="Note 3 3 5" xfId="18263"/>
    <cellStyle name="Note 3 3 5 2" xfId="18264"/>
    <cellStyle name="Note 3 3 5 3" xfId="18265"/>
    <cellStyle name="Note 3 3 5 4" xfId="18266"/>
    <cellStyle name="Note 3 3 5 5" xfId="18267"/>
    <cellStyle name="Note 3 3 5 6" xfId="18268"/>
    <cellStyle name="Note 3 3 5 7" xfId="18269"/>
    <cellStyle name="Note 3 3 6" xfId="18270"/>
    <cellStyle name="Note 3 3 6 2" xfId="18271"/>
    <cellStyle name="Note 3 3 6 3" xfId="18272"/>
    <cellStyle name="Note 3 3 6 4" xfId="18273"/>
    <cellStyle name="Note 3 3 6 5" xfId="18274"/>
    <cellStyle name="Note 3 3 6 6" xfId="18275"/>
    <cellStyle name="Note 3 3 6 7" xfId="18276"/>
    <cellStyle name="Note 3 3 7" xfId="18277"/>
    <cellStyle name="Note 3 3 7 2" xfId="18278"/>
    <cellStyle name="Note 3 3 7 3" xfId="18279"/>
    <cellStyle name="Note 3 3 7 4" xfId="18280"/>
    <cellStyle name="Note 3 3 7 5" xfId="18281"/>
    <cellStyle name="Note 3 3 7 6" xfId="18282"/>
    <cellStyle name="Note 3 3 7 7" xfId="18283"/>
    <cellStyle name="Note 3 3 8" xfId="18284"/>
    <cellStyle name="Note 3 3 8 2" xfId="18285"/>
    <cellStyle name="Note 3 3 8 3" xfId="18286"/>
    <cellStyle name="Note 3 3 8 4" xfId="18287"/>
    <cellStyle name="Note 3 3 8 5" xfId="18288"/>
    <cellStyle name="Note 3 3 8 6" xfId="18289"/>
    <cellStyle name="Note 3 3 8 7" xfId="18290"/>
    <cellStyle name="Note 3 3 9" xfId="18291"/>
    <cellStyle name="Note 3 3 9 2" xfId="18292"/>
    <cellStyle name="Note 3 3 9 3" xfId="18293"/>
    <cellStyle name="Note 3 3 9 4" xfId="18294"/>
    <cellStyle name="Note 3 3 9 5" xfId="18295"/>
    <cellStyle name="Note 3 3 9 6" xfId="18296"/>
    <cellStyle name="Note 3 3 9 7" xfId="18297"/>
    <cellStyle name="Note 3 4" xfId="18298"/>
    <cellStyle name="Note 3 4 10" xfId="18299"/>
    <cellStyle name="Note 3 4 10 2" xfId="18300"/>
    <cellStyle name="Note 3 4 10 3" xfId="18301"/>
    <cellStyle name="Note 3 4 10 4" xfId="18302"/>
    <cellStyle name="Note 3 4 10 5" xfId="18303"/>
    <cellStyle name="Note 3 4 10 6" xfId="18304"/>
    <cellStyle name="Note 3 4 11" xfId="18305"/>
    <cellStyle name="Note 3 4 12" xfId="18306"/>
    <cellStyle name="Note 3 4 13" xfId="18307"/>
    <cellStyle name="Note 3 4 14" xfId="18308"/>
    <cellStyle name="Note 3 4 15" xfId="18309"/>
    <cellStyle name="Note 3 4 2" xfId="18310"/>
    <cellStyle name="Note 3 4 2 2" xfId="18311"/>
    <cellStyle name="Note 3 4 2 3" xfId="18312"/>
    <cellStyle name="Note 3 4 2 4" xfId="18313"/>
    <cellStyle name="Note 3 4 2 5" xfId="18314"/>
    <cellStyle name="Note 3 4 2 6" xfId="18315"/>
    <cellStyle name="Note 3 4 2 7" xfId="18316"/>
    <cellStyle name="Note 3 4 3" xfId="18317"/>
    <cellStyle name="Note 3 4 3 2" xfId="18318"/>
    <cellStyle name="Note 3 4 3 3" xfId="18319"/>
    <cellStyle name="Note 3 4 3 4" xfId="18320"/>
    <cellStyle name="Note 3 4 3 5" xfId="18321"/>
    <cellStyle name="Note 3 4 3 6" xfId="18322"/>
    <cellStyle name="Note 3 4 3 7" xfId="18323"/>
    <cellStyle name="Note 3 4 4" xfId="18324"/>
    <cellStyle name="Note 3 4 4 2" xfId="18325"/>
    <cellStyle name="Note 3 4 4 3" xfId="18326"/>
    <cellStyle name="Note 3 4 4 4" xfId="18327"/>
    <cellStyle name="Note 3 4 4 5" xfId="18328"/>
    <cellStyle name="Note 3 4 4 6" xfId="18329"/>
    <cellStyle name="Note 3 4 4 7" xfId="18330"/>
    <cellStyle name="Note 3 4 5" xfId="18331"/>
    <cellStyle name="Note 3 4 5 2" xfId="18332"/>
    <cellStyle name="Note 3 4 5 3" xfId="18333"/>
    <cellStyle name="Note 3 4 5 4" xfId="18334"/>
    <cellStyle name="Note 3 4 5 5" xfId="18335"/>
    <cellStyle name="Note 3 4 5 6" xfId="18336"/>
    <cellStyle name="Note 3 4 5 7" xfId="18337"/>
    <cellStyle name="Note 3 4 6" xfId="18338"/>
    <cellStyle name="Note 3 4 6 2" xfId="18339"/>
    <cellStyle name="Note 3 4 6 3" xfId="18340"/>
    <cellStyle name="Note 3 4 6 4" xfId="18341"/>
    <cellStyle name="Note 3 4 6 5" xfId="18342"/>
    <cellStyle name="Note 3 4 6 6" xfId="18343"/>
    <cellStyle name="Note 3 4 6 7" xfId="18344"/>
    <cellStyle name="Note 3 4 7" xfId="18345"/>
    <cellStyle name="Note 3 4 7 2" xfId="18346"/>
    <cellStyle name="Note 3 4 7 3" xfId="18347"/>
    <cellStyle name="Note 3 4 7 4" xfId="18348"/>
    <cellStyle name="Note 3 4 7 5" xfId="18349"/>
    <cellStyle name="Note 3 4 7 6" xfId="18350"/>
    <cellStyle name="Note 3 4 7 7" xfId="18351"/>
    <cellStyle name="Note 3 4 8" xfId="18352"/>
    <cellStyle name="Note 3 4 8 2" xfId="18353"/>
    <cellStyle name="Note 3 4 8 3" xfId="18354"/>
    <cellStyle name="Note 3 4 8 4" xfId="18355"/>
    <cellStyle name="Note 3 4 8 5" xfId="18356"/>
    <cellStyle name="Note 3 4 8 6" xfId="18357"/>
    <cellStyle name="Note 3 4 8 7" xfId="18358"/>
    <cellStyle name="Note 3 4 9" xfId="18359"/>
    <cellStyle name="Note 3 4 9 2" xfId="18360"/>
    <cellStyle name="Note 3 4 9 3" xfId="18361"/>
    <cellStyle name="Note 3 4 9 4" xfId="18362"/>
    <cellStyle name="Note 3 4 9 5" xfId="18363"/>
    <cellStyle name="Note 3 4 9 6" xfId="18364"/>
    <cellStyle name="Note 3 4 9 7" xfId="18365"/>
    <cellStyle name="Note 3 5" xfId="18366"/>
    <cellStyle name="Note 3 5 2" xfId="18367"/>
    <cellStyle name="Note 3 5 3" xfId="18368"/>
    <cellStyle name="Note 3 5 4" xfId="18369"/>
    <cellStyle name="Note 3 5 5" xfId="18370"/>
    <cellStyle name="Note 3 5 6" xfId="18371"/>
    <cellStyle name="Note 3 5 7" xfId="18372"/>
    <cellStyle name="Note 3 6" xfId="18373"/>
    <cellStyle name="Note 3 6 2" xfId="18374"/>
    <cellStyle name="Note 3 6 3" xfId="18375"/>
    <cellStyle name="Note 3 6 4" xfId="18376"/>
    <cellStyle name="Note 3 6 5" xfId="18377"/>
    <cellStyle name="Note 3 6 6" xfId="18378"/>
    <cellStyle name="Note 3 6 7" xfId="18379"/>
    <cellStyle name="Note 3 7" xfId="18380"/>
    <cellStyle name="Note 3 7 2" xfId="18381"/>
    <cellStyle name="Note 3 7 3" xfId="18382"/>
    <cellStyle name="Note 3 7 4" xfId="18383"/>
    <cellStyle name="Note 3 7 5" xfId="18384"/>
    <cellStyle name="Note 3 7 6" xfId="18385"/>
    <cellStyle name="Note 3 7 7" xfId="18386"/>
    <cellStyle name="Note 3 8" xfId="18387"/>
    <cellStyle name="Note 3 8 2" xfId="18388"/>
    <cellStyle name="Note 3 8 3" xfId="18389"/>
    <cellStyle name="Note 3 8 4" xfId="18390"/>
    <cellStyle name="Note 3 8 5" xfId="18391"/>
    <cellStyle name="Note 3 8 6" xfId="18392"/>
    <cellStyle name="Note 3 8 7" xfId="18393"/>
    <cellStyle name="Note 3 9" xfId="18394"/>
    <cellStyle name="Note 3 9 2" xfId="18395"/>
    <cellStyle name="Note 3 9 3" xfId="18396"/>
    <cellStyle name="Note 3 9 4" xfId="18397"/>
    <cellStyle name="Note 3 9 5" xfId="18398"/>
    <cellStyle name="Note 3 9 6" xfId="18399"/>
    <cellStyle name="Note 3 9 7" xfId="18400"/>
    <cellStyle name="Note 4" xfId="18401"/>
    <cellStyle name="Note 4 10" xfId="18402"/>
    <cellStyle name="Note 4 10 2" xfId="18403"/>
    <cellStyle name="Note 4 10 3" xfId="18404"/>
    <cellStyle name="Note 4 10 4" xfId="18405"/>
    <cellStyle name="Note 4 10 5" xfId="18406"/>
    <cellStyle name="Note 4 10 6" xfId="18407"/>
    <cellStyle name="Note 4 10 7" xfId="18408"/>
    <cellStyle name="Note 4 11" xfId="18409"/>
    <cellStyle name="Note 4 11 2" xfId="18410"/>
    <cellStyle name="Note 4 11 3" xfId="18411"/>
    <cellStyle name="Note 4 11 4" xfId="18412"/>
    <cellStyle name="Note 4 11 5" xfId="18413"/>
    <cellStyle name="Note 4 11 6" xfId="18414"/>
    <cellStyle name="Note 4 12" xfId="18415"/>
    <cellStyle name="Note 4 13" xfId="18416"/>
    <cellStyle name="Note 4 14" xfId="18417"/>
    <cellStyle name="Note 4 15" xfId="18418"/>
    <cellStyle name="Note 4 16" xfId="18419"/>
    <cellStyle name="Note 4 2" xfId="18420"/>
    <cellStyle name="Note 4 2 10" xfId="18421"/>
    <cellStyle name="Note 4 2 10 2" xfId="18422"/>
    <cellStyle name="Note 4 2 10 3" xfId="18423"/>
    <cellStyle name="Note 4 2 10 4" xfId="18424"/>
    <cellStyle name="Note 4 2 10 5" xfId="18425"/>
    <cellStyle name="Note 4 2 10 6" xfId="18426"/>
    <cellStyle name="Note 4 2 11" xfId="18427"/>
    <cellStyle name="Note 4 2 12" xfId="18428"/>
    <cellStyle name="Note 4 2 13" xfId="18429"/>
    <cellStyle name="Note 4 2 14" xfId="18430"/>
    <cellStyle name="Note 4 2 15" xfId="18431"/>
    <cellStyle name="Note 4 2 2" xfId="18432"/>
    <cellStyle name="Note 4 2 2 2" xfId="18433"/>
    <cellStyle name="Note 4 2 2 3" xfId="18434"/>
    <cellStyle name="Note 4 2 2 4" xfId="18435"/>
    <cellStyle name="Note 4 2 2 5" xfId="18436"/>
    <cellStyle name="Note 4 2 2 6" xfId="18437"/>
    <cellStyle name="Note 4 2 2 7" xfId="18438"/>
    <cellStyle name="Note 4 2 3" xfId="18439"/>
    <cellStyle name="Note 4 2 3 2" xfId="18440"/>
    <cellStyle name="Note 4 2 3 3" xfId="18441"/>
    <cellStyle name="Note 4 2 3 4" xfId="18442"/>
    <cellStyle name="Note 4 2 3 5" xfId="18443"/>
    <cellStyle name="Note 4 2 3 6" xfId="18444"/>
    <cellStyle name="Note 4 2 3 7" xfId="18445"/>
    <cellStyle name="Note 4 2 4" xfId="18446"/>
    <cellStyle name="Note 4 2 4 2" xfId="18447"/>
    <cellStyle name="Note 4 2 4 3" xfId="18448"/>
    <cellStyle name="Note 4 2 4 4" xfId="18449"/>
    <cellStyle name="Note 4 2 4 5" xfId="18450"/>
    <cellStyle name="Note 4 2 4 6" xfId="18451"/>
    <cellStyle name="Note 4 2 4 7" xfId="18452"/>
    <cellStyle name="Note 4 2 5" xfId="18453"/>
    <cellStyle name="Note 4 2 5 2" xfId="18454"/>
    <cellStyle name="Note 4 2 5 3" xfId="18455"/>
    <cellStyle name="Note 4 2 5 4" xfId="18456"/>
    <cellStyle name="Note 4 2 5 5" xfId="18457"/>
    <cellStyle name="Note 4 2 5 6" xfId="18458"/>
    <cellStyle name="Note 4 2 5 7" xfId="18459"/>
    <cellStyle name="Note 4 2 6" xfId="18460"/>
    <cellStyle name="Note 4 2 6 2" xfId="18461"/>
    <cellStyle name="Note 4 2 6 3" xfId="18462"/>
    <cellStyle name="Note 4 2 6 4" xfId="18463"/>
    <cellStyle name="Note 4 2 6 5" xfId="18464"/>
    <cellStyle name="Note 4 2 6 6" xfId="18465"/>
    <cellStyle name="Note 4 2 6 7" xfId="18466"/>
    <cellStyle name="Note 4 2 7" xfId="18467"/>
    <cellStyle name="Note 4 2 7 2" xfId="18468"/>
    <cellStyle name="Note 4 2 7 3" xfId="18469"/>
    <cellStyle name="Note 4 2 7 4" xfId="18470"/>
    <cellStyle name="Note 4 2 7 5" xfId="18471"/>
    <cellStyle name="Note 4 2 7 6" xfId="18472"/>
    <cellStyle name="Note 4 2 7 7" xfId="18473"/>
    <cellStyle name="Note 4 2 8" xfId="18474"/>
    <cellStyle name="Note 4 2 8 2" xfId="18475"/>
    <cellStyle name="Note 4 2 8 3" xfId="18476"/>
    <cellStyle name="Note 4 2 8 4" xfId="18477"/>
    <cellStyle name="Note 4 2 8 5" xfId="18478"/>
    <cellStyle name="Note 4 2 8 6" xfId="18479"/>
    <cellStyle name="Note 4 2 8 7" xfId="18480"/>
    <cellStyle name="Note 4 2 9" xfId="18481"/>
    <cellStyle name="Note 4 2 9 2" xfId="18482"/>
    <cellStyle name="Note 4 2 9 3" xfId="18483"/>
    <cellStyle name="Note 4 2 9 4" xfId="18484"/>
    <cellStyle name="Note 4 2 9 5" xfId="18485"/>
    <cellStyle name="Note 4 2 9 6" xfId="18486"/>
    <cellStyle name="Note 4 2 9 7" xfId="18487"/>
    <cellStyle name="Note 4 3" xfId="18488"/>
    <cellStyle name="Note 4 3 2" xfId="18489"/>
    <cellStyle name="Note 4 3 3" xfId="18490"/>
    <cellStyle name="Note 4 3 4" xfId="18491"/>
    <cellStyle name="Note 4 3 5" xfId="18492"/>
    <cellStyle name="Note 4 3 6" xfId="18493"/>
    <cellStyle name="Note 4 3 7" xfId="18494"/>
    <cellStyle name="Note 4 4" xfId="18495"/>
    <cellStyle name="Note 4 4 2" xfId="18496"/>
    <cellStyle name="Note 4 4 3" xfId="18497"/>
    <cellStyle name="Note 4 4 4" xfId="18498"/>
    <cellStyle name="Note 4 4 5" xfId="18499"/>
    <cellStyle name="Note 4 4 6" xfId="18500"/>
    <cellStyle name="Note 4 4 7" xfId="18501"/>
    <cellStyle name="Note 4 5" xfId="18502"/>
    <cellStyle name="Note 4 5 2" xfId="18503"/>
    <cellStyle name="Note 4 5 3" xfId="18504"/>
    <cellStyle name="Note 4 5 4" xfId="18505"/>
    <cellStyle name="Note 4 5 5" xfId="18506"/>
    <cellStyle name="Note 4 5 6" xfId="18507"/>
    <cellStyle name="Note 4 5 7" xfId="18508"/>
    <cellStyle name="Note 4 6" xfId="18509"/>
    <cellStyle name="Note 4 6 2" xfId="18510"/>
    <cellStyle name="Note 4 6 3" xfId="18511"/>
    <cellStyle name="Note 4 6 4" xfId="18512"/>
    <cellStyle name="Note 4 6 5" xfId="18513"/>
    <cellStyle name="Note 4 6 6" xfId="18514"/>
    <cellStyle name="Note 4 6 7" xfId="18515"/>
    <cellStyle name="Note 4 7" xfId="18516"/>
    <cellStyle name="Note 4 7 2" xfId="18517"/>
    <cellStyle name="Note 4 7 3" xfId="18518"/>
    <cellStyle name="Note 4 7 4" xfId="18519"/>
    <cellStyle name="Note 4 7 5" xfId="18520"/>
    <cellStyle name="Note 4 7 6" xfId="18521"/>
    <cellStyle name="Note 4 7 7" xfId="18522"/>
    <cellStyle name="Note 4 8" xfId="18523"/>
    <cellStyle name="Note 4 8 2" xfId="18524"/>
    <cellStyle name="Note 4 8 3" xfId="18525"/>
    <cellStyle name="Note 4 8 4" xfId="18526"/>
    <cellStyle name="Note 4 8 5" xfId="18527"/>
    <cellStyle name="Note 4 8 6" xfId="18528"/>
    <cellStyle name="Note 4 8 7" xfId="18529"/>
    <cellStyle name="Note 4 9" xfId="18530"/>
    <cellStyle name="Note 4 9 2" xfId="18531"/>
    <cellStyle name="Note 4 9 3" xfId="18532"/>
    <cellStyle name="Note 4 9 4" xfId="18533"/>
    <cellStyle name="Note 4 9 5" xfId="18534"/>
    <cellStyle name="Note 4 9 6" xfId="18535"/>
    <cellStyle name="Note 4 9 7" xfId="18536"/>
    <cellStyle name="Note 5" xfId="18537"/>
    <cellStyle name="Notes" xfId="18538"/>
    <cellStyle name="number" xfId="18539"/>
    <cellStyle name="Number 2" xfId="18540"/>
    <cellStyle name="NumberForecastStyle" xfId="18541"/>
    <cellStyle name="NumberForecastStyle 2" xfId="18542"/>
    <cellStyle name="Numbers" xfId="18543"/>
    <cellStyle name="Numbers Bold" xfId="18544"/>
    <cellStyle name="Numbers Bold (0)" xfId="18545"/>
    <cellStyle name="Numbers Bold (no point)" xfId="18546"/>
    <cellStyle name="Numbers Light" xfId="18547"/>
    <cellStyle name="NumberStyle" xfId="18548"/>
    <cellStyle name="NumberStyle 2" xfId="18549"/>
    <cellStyle name="Numdec1" xfId="18550"/>
    <cellStyle name="Numdec1bold" xfId="18551"/>
    <cellStyle name="Œ…‹æØ‚è [0.00]_COMPANY" xfId="18552"/>
    <cellStyle name="Œ…‹æØ‚è_COMPANY" xfId="18553"/>
    <cellStyle name="Onedec_FT Valuation " xfId="18554"/>
    <cellStyle name="OneDecimal" xfId="18555"/>
    <cellStyle name="OneDecimal 2" xfId="18556"/>
    <cellStyle name="orh" xfId="18557"/>
    <cellStyle name="orh 10" xfId="18558"/>
    <cellStyle name="orh 10 2" xfId="18559"/>
    <cellStyle name="orh 10 3" xfId="18560"/>
    <cellStyle name="orh 10 4" xfId="18561"/>
    <cellStyle name="orh 10 5" xfId="18562"/>
    <cellStyle name="orh 10 6" xfId="18563"/>
    <cellStyle name="orh 11" xfId="18564"/>
    <cellStyle name="orh 12" xfId="18565"/>
    <cellStyle name="orh 13" xfId="18566"/>
    <cellStyle name="orh 14" xfId="18567"/>
    <cellStyle name="orh 15" xfId="18568"/>
    <cellStyle name="orh 2" xfId="18569"/>
    <cellStyle name="orh 2 10" xfId="18570"/>
    <cellStyle name="orh 2 11" xfId="18571"/>
    <cellStyle name="orh 2 12" xfId="18572"/>
    <cellStyle name="orh 2 13" xfId="18573"/>
    <cellStyle name="orh 2 14" xfId="18574"/>
    <cellStyle name="orh 2 2" xfId="18575"/>
    <cellStyle name="orh 2 2 2" xfId="18576"/>
    <cellStyle name="orh 2 2 3" xfId="18577"/>
    <cellStyle name="orh 2 2 4" xfId="18578"/>
    <cellStyle name="orh 2 2 5" xfId="18579"/>
    <cellStyle name="orh 2 2 6" xfId="18580"/>
    <cellStyle name="orh 2 2 7" xfId="18581"/>
    <cellStyle name="orh 2 3" xfId="18582"/>
    <cellStyle name="orh 2 3 2" xfId="18583"/>
    <cellStyle name="orh 2 3 3" xfId="18584"/>
    <cellStyle name="orh 2 3 4" xfId="18585"/>
    <cellStyle name="orh 2 3 5" xfId="18586"/>
    <cellStyle name="orh 2 3 6" xfId="18587"/>
    <cellStyle name="orh 2 3 7" xfId="18588"/>
    <cellStyle name="orh 2 4" xfId="18589"/>
    <cellStyle name="orh 2 4 2" xfId="18590"/>
    <cellStyle name="orh 2 4 3" xfId="18591"/>
    <cellStyle name="orh 2 4 4" xfId="18592"/>
    <cellStyle name="orh 2 4 5" xfId="18593"/>
    <cellStyle name="orh 2 4 6" xfId="18594"/>
    <cellStyle name="orh 2 4 7" xfId="18595"/>
    <cellStyle name="orh 2 5" xfId="18596"/>
    <cellStyle name="orh 2 5 2" xfId="18597"/>
    <cellStyle name="orh 2 5 3" xfId="18598"/>
    <cellStyle name="orh 2 5 4" xfId="18599"/>
    <cellStyle name="orh 2 5 5" xfId="18600"/>
    <cellStyle name="orh 2 5 6" xfId="18601"/>
    <cellStyle name="orh 2 5 7" xfId="18602"/>
    <cellStyle name="orh 2 6" xfId="18603"/>
    <cellStyle name="orh 2 6 2" xfId="18604"/>
    <cellStyle name="orh 2 6 3" xfId="18605"/>
    <cellStyle name="orh 2 6 4" xfId="18606"/>
    <cellStyle name="orh 2 6 5" xfId="18607"/>
    <cellStyle name="orh 2 6 6" xfId="18608"/>
    <cellStyle name="orh 2 6 7" xfId="18609"/>
    <cellStyle name="orh 2 7" xfId="18610"/>
    <cellStyle name="orh 2 7 2" xfId="18611"/>
    <cellStyle name="orh 2 7 3" xfId="18612"/>
    <cellStyle name="orh 2 7 4" xfId="18613"/>
    <cellStyle name="orh 2 7 5" xfId="18614"/>
    <cellStyle name="orh 2 7 6" xfId="18615"/>
    <cellStyle name="orh 2 7 7" xfId="18616"/>
    <cellStyle name="orh 2 8" xfId="18617"/>
    <cellStyle name="orh 2 8 2" xfId="18618"/>
    <cellStyle name="orh 2 8 3" xfId="18619"/>
    <cellStyle name="orh 2 8 4" xfId="18620"/>
    <cellStyle name="orh 2 8 5" xfId="18621"/>
    <cellStyle name="orh 2 8 6" xfId="18622"/>
    <cellStyle name="orh 2 8 7" xfId="18623"/>
    <cellStyle name="orh 2 9" xfId="18624"/>
    <cellStyle name="orh 2 9 2" xfId="18625"/>
    <cellStyle name="orh 2 9 3" xfId="18626"/>
    <cellStyle name="orh 2 9 4" xfId="18627"/>
    <cellStyle name="orh 2 9 5" xfId="18628"/>
    <cellStyle name="orh 2 9 6" xfId="18629"/>
    <cellStyle name="orh 3" xfId="18630"/>
    <cellStyle name="orh 3 2" xfId="18631"/>
    <cellStyle name="orh 3 3" xfId="18632"/>
    <cellStyle name="orh 3 4" xfId="18633"/>
    <cellStyle name="orh 3 5" xfId="18634"/>
    <cellStyle name="orh 3 6" xfId="18635"/>
    <cellStyle name="orh 3 7" xfId="18636"/>
    <cellStyle name="orh 4" xfId="18637"/>
    <cellStyle name="orh 4 2" xfId="18638"/>
    <cellStyle name="orh 4 3" xfId="18639"/>
    <cellStyle name="orh 4 4" xfId="18640"/>
    <cellStyle name="orh 4 5" xfId="18641"/>
    <cellStyle name="orh 4 6" xfId="18642"/>
    <cellStyle name="orh 4 7" xfId="18643"/>
    <cellStyle name="orh 5" xfId="18644"/>
    <cellStyle name="orh 5 2" xfId="18645"/>
    <cellStyle name="orh 5 3" xfId="18646"/>
    <cellStyle name="orh 5 4" xfId="18647"/>
    <cellStyle name="orh 5 5" xfId="18648"/>
    <cellStyle name="orh 5 6" xfId="18649"/>
    <cellStyle name="orh 5 7" xfId="18650"/>
    <cellStyle name="orh 6" xfId="18651"/>
    <cellStyle name="orh 6 2" xfId="18652"/>
    <cellStyle name="orh 6 3" xfId="18653"/>
    <cellStyle name="orh 6 4" xfId="18654"/>
    <cellStyle name="orh 6 5" xfId="18655"/>
    <cellStyle name="orh 6 6" xfId="18656"/>
    <cellStyle name="orh 6 7" xfId="18657"/>
    <cellStyle name="orh 7" xfId="18658"/>
    <cellStyle name="orh 7 2" xfId="18659"/>
    <cellStyle name="orh 7 3" xfId="18660"/>
    <cellStyle name="orh 7 4" xfId="18661"/>
    <cellStyle name="orh 7 5" xfId="18662"/>
    <cellStyle name="orh 7 6" xfId="18663"/>
    <cellStyle name="orh 7 7" xfId="18664"/>
    <cellStyle name="orh 8" xfId="18665"/>
    <cellStyle name="orh 8 2" xfId="18666"/>
    <cellStyle name="orh 8 3" xfId="18667"/>
    <cellStyle name="orh 8 4" xfId="18668"/>
    <cellStyle name="orh 8 5" xfId="18669"/>
    <cellStyle name="orh 8 6" xfId="18670"/>
    <cellStyle name="orh 8 7" xfId="18671"/>
    <cellStyle name="orh 9" xfId="18672"/>
    <cellStyle name="orh 9 2" xfId="18673"/>
    <cellStyle name="orh 9 3" xfId="18674"/>
    <cellStyle name="orh 9 4" xfId="18675"/>
    <cellStyle name="orh 9 5" xfId="18676"/>
    <cellStyle name="orh 9 6" xfId="18677"/>
    <cellStyle name="orh 9 7" xfId="18678"/>
    <cellStyle name="Other%" xfId="18679"/>
    <cellStyle name="Other% 2" xfId="18680"/>
    <cellStyle name="outh America" xfId="18681"/>
    <cellStyle name="Output 2" xfId="18682"/>
    <cellStyle name="Output 2 2" xfId="18683"/>
    <cellStyle name="Output 2 2 2" xfId="18684"/>
    <cellStyle name="Output 3" xfId="18685"/>
    <cellStyle name="Output 3 10" xfId="18686"/>
    <cellStyle name="Output 3 10 2" xfId="18687"/>
    <cellStyle name="Output 3 10 3" xfId="18688"/>
    <cellStyle name="Output 3 10 4" xfId="18689"/>
    <cellStyle name="Output 3 10 5" xfId="18690"/>
    <cellStyle name="Output 3 10 6" xfId="18691"/>
    <cellStyle name="Output 3 11" xfId="18692"/>
    <cellStyle name="Output 3 12" xfId="18693"/>
    <cellStyle name="Output 3 13" xfId="18694"/>
    <cellStyle name="Output 3 14" xfId="18695"/>
    <cellStyle name="Output 3 15" xfId="18696"/>
    <cellStyle name="Output 3 2" xfId="18697"/>
    <cellStyle name="Output 3 2 10" xfId="18698"/>
    <cellStyle name="Output 3 2 11" xfId="18699"/>
    <cellStyle name="Output 3 2 12" xfId="18700"/>
    <cellStyle name="Output 3 2 13" xfId="18701"/>
    <cellStyle name="Output 3 2 14" xfId="18702"/>
    <cellStyle name="Output 3 2 2" xfId="18703"/>
    <cellStyle name="Output 3 2 2 2" xfId="18704"/>
    <cellStyle name="Output 3 2 2 3" xfId="18705"/>
    <cellStyle name="Output 3 2 2 4" xfId="18706"/>
    <cellStyle name="Output 3 2 2 5" xfId="18707"/>
    <cellStyle name="Output 3 2 2 6" xfId="18708"/>
    <cellStyle name="Output 3 2 2 7" xfId="18709"/>
    <cellStyle name="Output 3 2 3" xfId="18710"/>
    <cellStyle name="Output 3 2 3 2" xfId="18711"/>
    <cellStyle name="Output 3 2 3 3" xfId="18712"/>
    <cellStyle name="Output 3 2 3 4" xfId="18713"/>
    <cellStyle name="Output 3 2 3 5" xfId="18714"/>
    <cellStyle name="Output 3 2 3 6" xfId="18715"/>
    <cellStyle name="Output 3 2 3 7" xfId="18716"/>
    <cellStyle name="Output 3 2 4" xfId="18717"/>
    <cellStyle name="Output 3 2 4 2" xfId="18718"/>
    <cellStyle name="Output 3 2 4 3" xfId="18719"/>
    <cellStyle name="Output 3 2 4 4" xfId="18720"/>
    <cellStyle name="Output 3 2 4 5" xfId="18721"/>
    <cellStyle name="Output 3 2 4 6" xfId="18722"/>
    <cellStyle name="Output 3 2 4 7" xfId="18723"/>
    <cellStyle name="Output 3 2 5" xfId="18724"/>
    <cellStyle name="Output 3 2 5 2" xfId="18725"/>
    <cellStyle name="Output 3 2 5 3" xfId="18726"/>
    <cellStyle name="Output 3 2 5 4" xfId="18727"/>
    <cellStyle name="Output 3 2 5 5" xfId="18728"/>
    <cellStyle name="Output 3 2 5 6" xfId="18729"/>
    <cellStyle name="Output 3 2 5 7" xfId="18730"/>
    <cellStyle name="Output 3 2 6" xfId="18731"/>
    <cellStyle name="Output 3 2 6 2" xfId="18732"/>
    <cellStyle name="Output 3 2 6 3" xfId="18733"/>
    <cellStyle name="Output 3 2 6 4" xfId="18734"/>
    <cellStyle name="Output 3 2 6 5" xfId="18735"/>
    <cellStyle name="Output 3 2 6 6" xfId="18736"/>
    <cellStyle name="Output 3 2 6 7" xfId="18737"/>
    <cellStyle name="Output 3 2 7" xfId="18738"/>
    <cellStyle name="Output 3 2 7 2" xfId="18739"/>
    <cellStyle name="Output 3 2 7 3" xfId="18740"/>
    <cellStyle name="Output 3 2 7 4" xfId="18741"/>
    <cellStyle name="Output 3 2 7 5" xfId="18742"/>
    <cellStyle name="Output 3 2 7 6" xfId="18743"/>
    <cellStyle name="Output 3 2 7 7" xfId="18744"/>
    <cellStyle name="Output 3 2 8" xfId="18745"/>
    <cellStyle name="Output 3 2 8 2" xfId="18746"/>
    <cellStyle name="Output 3 2 8 3" xfId="18747"/>
    <cellStyle name="Output 3 2 8 4" xfId="18748"/>
    <cellStyle name="Output 3 2 8 5" xfId="18749"/>
    <cellStyle name="Output 3 2 8 6" xfId="18750"/>
    <cellStyle name="Output 3 2 8 7" xfId="18751"/>
    <cellStyle name="Output 3 2 9" xfId="18752"/>
    <cellStyle name="Output 3 2 9 2" xfId="18753"/>
    <cellStyle name="Output 3 2 9 3" xfId="18754"/>
    <cellStyle name="Output 3 2 9 4" xfId="18755"/>
    <cellStyle name="Output 3 2 9 5" xfId="18756"/>
    <cellStyle name="Output 3 2 9 6" xfId="18757"/>
    <cellStyle name="Output 3 3" xfId="18758"/>
    <cellStyle name="Output 3 3 2" xfId="18759"/>
    <cellStyle name="Output 3 3 3" xfId="18760"/>
    <cellStyle name="Output 3 3 4" xfId="18761"/>
    <cellStyle name="Output 3 3 5" xfId="18762"/>
    <cellStyle name="Output 3 3 6" xfId="18763"/>
    <cellStyle name="Output 3 3 7" xfId="18764"/>
    <cellStyle name="Output 3 4" xfId="18765"/>
    <cellStyle name="Output 3 4 2" xfId="18766"/>
    <cellStyle name="Output 3 4 3" xfId="18767"/>
    <cellStyle name="Output 3 4 4" xfId="18768"/>
    <cellStyle name="Output 3 4 5" xfId="18769"/>
    <cellStyle name="Output 3 4 6" xfId="18770"/>
    <cellStyle name="Output 3 4 7" xfId="18771"/>
    <cellStyle name="Output 3 5" xfId="18772"/>
    <cellStyle name="Output 3 5 2" xfId="18773"/>
    <cellStyle name="Output 3 5 3" xfId="18774"/>
    <cellStyle name="Output 3 5 4" xfId="18775"/>
    <cellStyle name="Output 3 5 5" xfId="18776"/>
    <cellStyle name="Output 3 5 6" xfId="18777"/>
    <cellStyle name="Output 3 5 7" xfId="18778"/>
    <cellStyle name="Output 3 6" xfId="18779"/>
    <cellStyle name="Output 3 6 2" xfId="18780"/>
    <cellStyle name="Output 3 6 3" xfId="18781"/>
    <cellStyle name="Output 3 6 4" xfId="18782"/>
    <cellStyle name="Output 3 6 5" xfId="18783"/>
    <cellStyle name="Output 3 6 6" xfId="18784"/>
    <cellStyle name="Output 3 6 7" xfId="18785"/>
    <cellStyle name="Output 3 7" xfId="18786"/>
    <cellStyle name="Output 3 7 2" xfId="18787"/>
    <cellStyle name="Output 3 7 3" xfId="18788"/>
    <cellStyle name="Output 3 7 4" xfId="18789"/>
    <cellStyle name="Output 3 7 5" xfId="18790"/>
    <cellStyle name="Output 3 7 6" xfId="18791"/>
    <cellStyle name="Output 3 7 7" xfId="18792"/>
    <cellStyle name="Output 3 8" xfId="18793"/>
    <cellStyle name="Output 3 8 2" xfId="18794"/>
    <cellStyle name="Output 3 8 3" xfId="18795"/>
    <cellStyle name="Output 3 8 4" xfId="18796"/>
    <cellStyle name="Output 3 8 5" xfId="18797"/>
    <cellStyle name="Output 3 8 6" xfId="18798"/>
    <cellStyle name="Output 3 8 7" xfId="18799"/>
    <cellStyle name="Output 3 9" xfId="18800"/>
    <cellStyle name="Output 3 9 2" xfId="18801"/>
    <cellStyle name="Output 3 9 3" xfId="18802"/>
    <cellStyle name="Output 3 9 4" xfId="18803"/>
    <cellStyle name="Output 3 9 5" xfId="18804"/>
    <cellStyle name="Output 3 9 6" xfId="18805"/>
    <cellStyle name="Output 3 9 7" xfId="18806"/>
    <cellStyle name="p " xfId="25"/>
    <cellStyle name="Page Head" xfId="18807"/>
    <cellStyle name="Page header" xfId="18808"/>
    <cellStyle name="Page header 2" xfId="18809"/>
    <cellStyle name="Pass" xfId="18810"/>
    <cellStyle name="Pctdec1itals" xfId="18811"/>
    <cellStyle name="PER" xfId="18812"/>
    <cellStyle name="Percent" xfId="26" builtinId="5"/>
    <cellStyle name="Percent (0)" xfId="18813"/>
    <cellStyle name="Percent (1)" xfId="18814"/>
    <cellStyle name="Percent (1) 2" xfId="18815"/>
    <cellStyle name="Percent [1]" xfId="18816"/>
    <cellStyle name="Percent [2]" xfId="18817"/>
    <cellStyle name="Percent [2] 2" xfId="18818"/>
    <cellStyle name="Percent 1" xfId="18819"/>
    <cellStyle name="Percent 1 2" xfId="18820"/>
    <cellStyle name="Percent 10" xfId="18821"/>
    <cellStyle name="Percent 10 2" xfId="18822"/>
    <cellStyle name="Percent 100" xfId="18823"/>
    <cellStyle name="Percent 101" xfId="18824"/>
    <cellStyle name="Percent 102" xfId="18825"/>
    <cellStyle name="Percent 103" xfId="18826"/>
    <cellStyle name="Percent 104" xfId="18827"/>
    <cellStyle name="Percent 105" xfId="18828"/>
    <cellStyle name="Percent 106" xfId="18829"/>
    <cellStyle name="Percent 107" xfId="18830"/>
    <cellStyle name="Percent 108" xfId="18831"/>
    <cellStyle name="Percent 109" xfId="18832"/>
    <cellStyle name="Percent 11" xfId="18833"/>
    <cellStyle name="Percent 11 2" xfId="18834"/>
    <cellStyle name="Percent 110" xfId="18835"/>
    <cellStyle name="Percent 111" xfId="18836"/>
    <cellStyle name="Percent 112" xfId="18837"/>
    <cellStyle name="Percent 113" xfId="18838"/>
    <cellStyle name="Percent 114" xfId="18839"/>
    <cellStyle name="Percent 115" xfId="18840"/>
    <cellStyle name="Percent 116" xfId="18841"/>
    <cellStyle name="Percent 117" xfId="18842"/>
    <cellStyle name="Percent 118" xfId="18843"/>
    <cellStyle name="Percent 119" xfId="18844"/>
    <cellStyle name="Percent 12" xfId="18845"/>
    <cellStyle name="Percent 12 2" xfId="18846"/>
    <cellStyle name="Percent 120" xfId="18847"/>
    <cellStyle name="Percent 121" xfId="18848"/>
    <cellStyle name="Percent 122" xfId="18849"/>
    <cellStyle name="Percent 123" xfId="18850"/>
    <cellStyle name="Percent 124" xfId="18851"/>
    <cellStyle name="Percent 125" xfId="18852"/>
    <cellStyle name="Percent 126" xfId="18853"/>
    <cellStyle name="Percent 127" xfId="18854"/>
    <cellStyle name="Percent 128" xfId="18855"/>
    <cellStyle name="Percent 129" xfId="18856"/>
    <cellStyle name="Percent 13" xfId="18857"/>
    <cellStyle name="Percent 13 2" xfId="18858"/>
    <cellStyle name="Percent 130" xfId="18859"/>
    <cellStyle name="Percent 131" xfId="18860"/>
    <cellStyle name="Percent 132" xfId="18861"/>
    <cellStyle name="Percent 133" xfId="18862"/>
    <cellStyle name="Percent 134" xfId="18863"/>
    <cellStyle name="Percent 135" xfId="18864"/>
    <cellStyle name="Percent 136" xfId="18865"/>
    <cellStyle name="Percent 137" xfId="18866"/>
    <cellStyle name="Percent 138" xfId="27"/>
    <cellStyle name="Percent 139" xfId="18867"/>
    <cellStyle name="Percent 14" xfId="18868"/>
    <cellStyle name="Percent 14 2" xfId="18869"/>
    <cellStyle name="Percent 140" xfId="18870"/>
    <cellStyle name="Percent 141" xfId="18871"/>
    <cellStyle name="Percent 142" xfId="18872"/>
    <cellStyle name="Percent 143" xfId="18873"/>
    <cellStyle name="Percent 144" xfId="18874"/>
    <cellStyle name="Percent 145" xfId="18875"/>
    <cellStyle name="Percent 146" xfId="18876"/>
    <cellStyle name="Percent 147" xfId="18877"/>
    <cellStyle name="Percent 148" xfId="18878"/>
    <cellStyle name="Percent 149" xfId="18879"/>
    <cellStyle name="Percent 15" xfId="18880"/>
    <cellStyle name="Percent 15 2" xfId="18881"/>
    <cellStyle name="Percent 150" xfId="18882"/>
    <cellStyle name="Percent 151" xfId="18883"/>
    <cellStyle name="Percent 152" xfId="18884"/>
    <cellStyle name="Percent 153" xfId="18885"/>
    <cellStyle name="Percent 154" xfId="18886"/>
    <cellStyle name="Percent 155" xfId="18887"/>
    <cellStyle name="Percent 156" xfId="18888"/>
    <cellStyle name="Percent 157" xfId="18889"/>
    <cellStyle name="Percent 16" xfId="18890"/>
    <cellStyle name="Percent 16 2" xfId="18891"/>
    <cellStyle name="Percent 17" xfId="18892"/>
    <cellStyle name="Percent 17 2" xfId="18893"/>
    <cellStyle name="Percent 18" xfId="18894"/>
    <cellStyle name="Percent 18 2" xfId="18895"/>
    <cellStyle name="Percent 19" xfId="18896"/>
    <cellStyle name="Percent 19 2" xfId="18897"/>
    <cellStyle name="Percent 2" xfId="18898"/>
    <cellStyle name="Percent 2 2" xfId="18899"/>
    <cellStyle name="Percent 2 2 2" xfId="18900"/>
    <cellStyle name="Percent 2 2 3" xfId="18901"/>
    <cellStyle name="Percent 2 2 4" xfId="18902"/>
    <cellStyle name="Percent 2 2 5" xfId="18903"/>
    <cellStyle name="Percent 2 2 6" xfId="18904"/>
    <cellStyle name="Percent 2 3" xfId="18905"/>
    <cellStyle name="Percent 2 3 2" xfId="18906"/>
    <cellStyle name="Percent 2 3 3" xfId="18907"/>
    <cellStyle name="Percent 2 3 4" xfId="18908"/>
    <cellStyle name="Percent 2 3 5" xfId="18909"/>
    <cellStyle name="Percent 2 3 6" xfId="18910"/>
    <cellStyle name="Percent 2 4" xfId="18911"/>
    <cellStyle name="Percent 2 4 2" xfId="18912"/>
    <cellStyle name="Percent 2 5" xfId="18913"/>
    <cellStyle name="Percent 2 6" xfId="18914"/>
    <cellStyle name="Percent 2 7" xfId="18915"/>
    <cellStyle name="Percent 2 8" xfId="18916"/>
    <cellStyle name="Percent 20" xfId="18917"/>
    <cellStyle name="Percent 20 2" xfId="18918"/>
    <cellStyle name="Percent 21" xfId="18919"/>
    <cellStyle name="Percent 21 2" xfId="18920"/>
    <cellStyle name="Percent 22" xfId="18921"/>
    <cellStyle name="Percent 22 2" xfId="18922"/>
    <cellStyle name="Percent 23" xfId="18923"/>
    <cellStyle name="Percent 23 2" xfId="18924"/>
    <cellStyle name="Percent 24" xfId="18925"/>
    <cellStyle name="Percent 24 2" xfId="18926"/>
    <cellStyle name="Percent 25" xfId="18927"/>
    <cellStyle name="Percent 25 2" xfId="18928"/>
    <cellStyle name="Percent 26" xfId="18929"/>
    <cellStyle name="Percent 26 2" xfId="18930"/>
    <cellStyle name="Percent 27" xfId="18931"/>
    <cellStyle name="Percent 27 2" xfId="18932"/>
    <cellStyle name="Percent 28" xfId="18933"/>
    <cellStyle name="Percent 28 2" xfId="18934"/>
    <cellStyle name="Percent 29" xfId="18935"/>
    <cellStyle name="Percent 29 2" xfId="18936"/>
    <cellStyle name="Percent 3" xfId="18937"/>
    <cellStyle name="Percent 3 2" xfId="18938"/>
    <cellStyle name="Percent 3 2 2" xfId="18939"/>
    <cellStyle name="Percent 3 2 3" xfId="18940"/>
    <cellStyle name="Percent 3 3" xfId="18941"/>
    <cellStyle name="Percent 3 3 2" xfId="18942"/>
    <cellStyle name="Percent 3 3 2 2" xfId="18943"/>
    <cellStyle name="Percent 3 3 3" xfId="18944"/>
    <cellStyle name="Percent 3 3 3 2" xfId="18945"/>
    <cellStyle name="Percent 3 3 4" xfId="18946"/>
    <cellStyle name="Percent 3 3 4 2" xfId="18947"/>
    <cellStyle name="Percent 3 3 5" xfId="18948"/>
    <cellStyle name="Percent 3 3 6" xfId="18949"/>
    <cellStyle name="Percent 3 3 7" xfId="18950"/>
    <cellStyle name="Percent 3 4" xfId="18951"/>
    <cellStyle name="Percent 3 5" xfId="18952"/>
    <cellStyle name="Percent 3 6" xfId="18953"/>
    <cellStyle name="Percent 3 7" xfId="18954"/>
    <cellStyle name="Percent 3 8" xfId="18955"/>
    <cellStyle name="Percent 30" xfId="18956"/>
    <cellStyle name="Percent 30 2" xfId="18957"/>
    <cellStyle name="Percent 31" xfId="18958"/>
    <cellStyle name="Percent 31 2" xfId="18959"/>
    <cellStyle name="Percent 32" xfId="18960"/>
    <cellStyle name="Percent 32 2" xfId="18961"/>
    <cellStyle name="Percent 33" xfId="18962"/>
    <cellStyle name="Percent 33 2" xfId="18963"/>
    <cellStyle name="Percent 34" xfId="18964"/>
    <cellStyle name="Percent 34 2" xfId="18965"/>
    <cellStyle name="Percent 35" xfId="18966"/>
    <cellStyle name="Percent 35 2" xfId="18967"/>
    <cellStyle name="Percent 36" xfId="18968"/>
    <cellStyle name="Percent 36 2" xfId="18969"/>
    <cellStyle name="Percent 37" xfId="18970"/>
    <cellStyle name="Percent 37 2" xfId="18971"/>
    <cellStyle name="Percent 38" xfId="18972"/>
    <cellStyle name="Percent 38 2" xfId="18973"/>
    <cellStyle name="Percent 39" xfId="18974"/>
    <cellStyle name="Percent 39 2" xfId="18975"/>
    <cellStyle name="Percent 4" xfId="18976"/>
    <cellStyle name="Percent 4 2" xfId="18977"/>
    <cellStyle name="Percent 4 2 2" xfId="18978"/>
    <cellStyle name="Percent 4 2 3" xfId="18979"/>
    <cellStyle name="Percent 4 2 4" xfId="18980"/>
    <cellStyle name="Percent 4 2 5" xfId="18981"/>
    <cellStyle name="Percent 4 3" xfId="18982"/>
    <cellStyle name="Percent 4 3 2" xfId="18983"/>
    <cellStyle name="Percent 4 4" xfId="18984"/>
    <cellStyle name="Percent 4 4 2" xfId="18985"/>
    <cellStyle name="Percent 4 5" xfId="18986"/>
    <cellStyle name="Percent 4 6" xfId="18987"/>
    <cellStyle name="Percent 4 7" xfId="18988"/>
    <cellStyle name="Percent 40" xfId="18989"/>
    <cellStyle name="Percent 40 2" xfId="18990"/>
    <cellStyle name="Percent 41" xfId="18991"/>
    <cellStyle name="Percent 41 2" xfId="18992"/>
    <cellStyle name="Percent 42" xfId="18993"/>
    <cellStyle name="Percent 42 2" xfId="18994"/>
    <cellStyle name="Percent 43" xfId="18995"/>
    <cellStyle name="Percent 43 2" xfId="18996"/>
    <cellStyle name="Percent 44" xfId="18997"/>
    <cellStyle name="Percent 44 2" xfId="18998"/>
    <cellStyle name="Percent 45" xfId="18999"/>
    <cellStyle name="Percent 45 2" xfId="19000"/>
    <cellStyle name="Percent 46" xfId="19001"/>
    <cellStyle name="Percent 46 2" xfId="19002"/>
    <cellStyle name="Percent 47" xfId="19003"/>
    <cellStyle name="Percent 47 2" xfId="19004"/>
    <cellStyle name="Percent 48" xfId="19005"/>
    <cellStyle name="Percent 48 2" xfId="19006"/>
    <cellStyle name="Percent 49" xfId="19007"/>
    <cellStyle name="Percent 49 2" xfId="19008"/>
    <cellStyle name="Percent 5" xfId="19009"/>
    <cellStyle name="Percent 5 2" xfId="19010"/>
    <cellStyle name="Percent 5 3" xfId="19011"/>
    <cellStyle name="Percent 5 4" xfId="19012"/>
    <cellStyle name="Percent 5 5" xfId="19013"/>
    <cellStyle name="Percent 5 6" xfId="19014"/>
    <cellStyle name="Percent 50" xfId="19015"/>
    <cellStyle name="Percent 51" xfId="19016"/>
    <cellStyle name="Percent 52" xfId="19017"/>
    <cellStyle name="Percent 53" xfId="19018"/>
    <cellStyle name="Percent 54" xfId="19019"/>
    <cellStyle name="Percent 55" xfId="19020"/>
    <cellStyle name="Percent 56" xfId="19021"/>
    <cellStyle name="Percent 57" xfId="19022"/>
    <cellStyle name="Percent 58" xfId="19023"/>
    <cellStyle name="Percent 59" xfId="19024"/>
    <cellStyle name="Percent 6" xfId="19025"/>
    <cellStyle name="Percent 6 2" xfId="19026"/>
    <cellStyle name="Percent 6 2 2" xfId="19027"/>
    <cellStyle name="Percent 6 3" xfId="19028"/>
    <cellStyle name="Percent 60" xfId="19029"/>
    <cellStyle name="Percent 61" xfId="19030"/>
    <cellStyle name="Percent 62" xfId="19031"/>
    <cellStyle name="Percent 63" xfId="19032"/>
    <cellStyle name="Percent 64" xfId="19033"/>
    <cellStyle name="Percent 65" xfId="19034"/>
    <cellStyle name="Percent 66" xfId="19035"/>
    <cellStyle name="Percent 67" xfId="19036"/>
    <cellStyle name="Percent 68" xfId="19037"/>
    <cellStyle name="Percent 69" xfId="19038"/>
    <cellStyle name="Percent 7" xfId="19039"/>
    <cellStyle name="Percent 7 2" xfId="19040"/>
    <cellStyle name="Percent 7 2 2" xfId="19041"/>
    <cellStyle name="Percent 7 3" xfId="19042"/>
    <cellStyle name="Percent 70" xfId="19043"/>
    <cellStyle name="Percent 71" xfId="19044"/>
    <cellStyle name="Percent 72" xfId="19045"/>
    <cellStyle name="Percent 73" xfId="19046"/>
    <cellStyle name="Percent 74" xfId="19047"/>
    <cellStyle name="Percent 75" xfId="19048"/>
    <cellStyle name="Percent 76" xfId="19049"/>
    <cellStyle name="Percent 77" xfId="19050"/>
    <cellStyle name="Percent 78" xfId="19051"/>
    <cellStyle name="Percent 79" xfId="19052"/>
    <cellStyle name="Percent 8" xfId="19053"/>
    <cellStyle name="Percent 8 2" xfId="19054"/>
    <cellStyle name="Percent 8 3" xfId="19055"/>
    <cellStyle name="Percent 8 4" xfId="19056"/>
    <cellStyle name="Percent 80" xfId="19057"/>
    <cellStyle name="Percent 81" xfId="19058"/>
    <cellStyle name="Percent 82" xfId="19059"/>
    <cellStyle name="Percent 83" xfId="19060"/>
    <cellStyle name="Percent 84" xfId="19061"/>
    <cellStyle name="Percent 85" xfId="19062"/>
    <cellStyle name="Percent 86" xfId="19063"/>
    <cellStyle name="Percent 87" xfId="19064"/>
    <cellStyle name="Percent 88" xfId="19065"/>
    <cellStyle name="Percent 89" xfId="19066"/>
    <cellStyle name="Percent 9" xfId="19067"/>
    <cellStyle name="Percent 9 2" xfId="19068"/>
    <cellStyle name="Percent 90" xfId="19069"/>
    <cellStyle name="Percent 91" xfId="19070"/>
    <cellStyle name="Percent 92" xfId="19071"/>
    <cellStyle name="Percent 93" xfId="19072"/>
    <cellStyle name="Percent 94" xfId="19073"/>
    <cellStyle name="Percent 95" xfId="19074"/>
    <cellStyle name="Percent 96" xfId="19075"/>
    <cellStyle name="Percent 97" xfId="19076"/>
    <cellStyle name="Percent 98" xfId="19077"/>
    <cellStyle name="Percent 99" xfId="19078"/>
    <cellStyle name="Percent Change" xfId="19079"/>
    <cellStyle name="Percent Comma" xfId="19080"/>
    <cellStyle name="Percent Comma 2" xfId="19081"/>
    <cellStyle name="Percent total" xfId="19082"/>
    <cellStyle name="Percent total 10" xfId="19083"/>
    <cellStyle name="Percent total 10 2" xfId="19084"/>
    <cellStyle name="Percent total 10 3" xfId="19085"/>
    <cellStyle name="Percent total 10 4" xfId="19086"/>
    <cellStyle name="Percent total 10 5" xfId="19087"/>
    <cellStyle name="Percent total 10 6" xfId="19088"/>
    <cellStyle name="Percent total 11" xfId="19089"/>
    <cellStyle name="Percent total 12" xfId="19090"/>
    <cellStyle name="Percent total 13" xfId="19091"/>
    <cellStyle name="Percent total 14" xfId="19092"/>
    <cellStyle name="Percent total 15" xfId="19093"/>
    <cellStyle name="Percent total 2" xfId="19094"/>
    <cellStyle name="Percent total 2 10" xfId="19095"/>
    <cellStyle name="Percent total 2 11" xfId="19096"/>
    <cellStyle name="Percent total 2 12" xfId="19097"/>
    <cellStyle name="Percent total 2 13" xfId="19098"/>
    <cellStyle name="Percent total 2 14" xfId="19099"/>
    <cellStyle name="Percent total 2 2" xfId="19100"/>
    <cellStyle name="Percent total 2 2 2" xfId="19101"/>
    <cellStyle name="Percent total 2 2 3" xfId="19102"/>
    <cellStyle name="Percent total 2 2 4" xfId="19103"/>
    <cellStyle name="Percent total 2 2 5" xfId="19104"/>
    <cellStyle name="Percent total 2 2 6" xfId="19105"/>
    <cellStyle name="Percent total 2 2 7" xfId="19106"/>
    <cellStyle name="Percent total 2 3" xfId="19107"/>
    <cellStyle name="Percent total 2 3 2" xfId="19108"/>
    <cellStyle name="Percent total 2 3 3" xfId="19109"/>
    <cellStyle name="Percent total 2 3 4" xfId="19110"/>
    <cellStyle name="Percent total 2 3 5" xfId="19111"/>
    <cellStyle name="Percent total 2 3 6" xfId="19112"/>
    <cellStyle name="Percent total 2 3 7" xfId="19113"/>
    <cellStyle name="Percent total 2 4" xfId="19114"/>
    <cellStyle name="Percent total 2 4 2" xfId="19115"/>
    <cellStyle name="Percent total 2 4 3" xfId="19116"/>
    <cellStyle name="Percent total 2 4 4" xfId="19117"/>
    <cellStyle name="Percent total 2 4 5" xfId="19118"/>
    <cellStyle name="Percent total 2 4 6" xfId="19119"/>
    <cellStyle name="Percent total 2 4 7" xfId="19120"/>
    <cellStyle name="Percent total 2 5" xfId="19121"/>
    <cellStyle name="Percent total 2 5 2" xfId="19122"/>
    <cellStyle name="Percent total 2 5 3" xfId="19123"/>
    <cellStyle name="Percent total 2 5 4" xfId="19124"/>
    <cellStyle name="Percent total 2 5 5" xfId="19125"/>
    <cellStyle name="Percent total 2 5 6" xfId="19126"/>
    <cellStyle name="Percent total 2 5 7" xfId="19127"/>
    <cellStyle name="Percent total 2 6" xfId="19128"/>
    <cellStyle name="Percent total 2 6 2" xfId="19129"/>
    <cellStyle name="Percent total 2 6 3" xfId="19130"/>
    <cellStyle name="Percent total 2 6 4" xfId="19131"/>
    <cellStyle name="Percent total 2 6 5" xfId="19132"/>
    <cellStyle name="Percent total 2 6 6" xfId="19133"/>
    <cellStyle name="Percent total 2 6 7" xfId="19134"/>
    <cellStyle name="Percent total 2 7" xfId="19135"/>
    <cellStyle name="Percent total 2 7 2" xfId="19136"/>
    <cellStyle name="Percent total 2 7 3" xfId="19137"/>
    <cellStyle name="Percent total 2 7 4" xfId="19138"/>
    <cellStyle name="Percent total 2 7 5" xfId="19139"/>
    <cellStyle name="Percent total 2 7 6" xfId="19140"/>
    <cellStyle name="Percent total 2 7 7" xfId="19141"/>
    <cellStyle name="Percent total 2 8" xfId="19142"/>
    <cellStyle name="Percent total 2 8 2" xfId="19143"/>
    <cellStyle name="Percent total 2 8 3" xfId="19144"/>
    <cellStyle name="Percent total 2 8 4" xfId="19145"/>
    <cellStyle name="Percent total 2 8 5" xfId="19146"/>
    <cellStyle name="Percent total 2 8 6" xfId="19147"/>
    <cellStyle name="Percent total 2 8 7" xfId="19148"/>
    <cellStyle name="Percent total 2 9" xfId="19149"/>
    <cellStyle name="Percent total 2 9 2" xfId="19150"/>
    <cellStyle name="Percent total 2 9 3" xfId="19151"/>
    <cellStyle name="Percent total 2 9 4" xfId="19152"/>
    <cellStyle name="Percent total 2 9 5" xfId="19153"/>
    <cellStyle name="Percent total 2 9 6" xfId="19154"/>
    <cellStyle name="Percent total 3" xfId="19155"/>
    <cellStyle name="Percent total 3 2" xfId="19156"/>
    <cellStyle name="Percent total 3 3" xfId="19157"/>
    <cellStyle name="Percent total 3 4" xfId="19158"/>
    <cellStyle name="Percent total 3 5" xfId="19159"/>
    <cellStyle name="Percent total 3 6" xfId="19160"/>
    <cellStyle name="Percent total 3 7" xfId="19161"/>
    <cellStyle name="Percent total 4" xfId="19162"/>
    <cellStyle name="Percent total 4 2" xfId="19163"/>
    <cellStyle name="Percent total 4 3" xfId="19164"/>
    <cellStyle name="Percent total 4 4" xfId="19165"/>
    <cellStyle name="Percent total 4 5" xfId="19166"/>
    <cellStyle name="Percent total 4 6" xfId="19167"/>
    <cellStyle name="Percent total 4 7" xfId="19168"/>
    <cellStyle name="Percent total 5" xfId="19169"/>
    <cellStyle name="Percent total 5 2" xfId="19170"/>
    <cellStyle name="Percent total 5 3" xfId="19171"/>
    <cellStyle name="Percent total 5 4" xfId="19172"/>
    <cellStyle name="Percent total 5 5" xfId="19173"/>
    <cellStyle name="Percent total 5 6" xfId="19174"/>
    <cellStyle name="Percent total 5 7" xfId="19175"/>
    <cellStyle name="Percent total 6" xfId="19176"/>
    <cellStyle name="Percent total 6 2" xfId="19177"/>
    <cellStyle name="Percent total 6 3" xfId="19178"/>
    <cellStyle name="Percent total 6 4" xfId="19179"/>
    <cellStyle name="Percent total 6 5" xfId="19180"/>
    <cellStyle name="Percent total 6 6" xfId="19181"/>
    <cellStyle name="Percent total 6 7" xfId="19182"/>
    <cellStyle name="Percent total 7" xfId="19183"/>
    <cellStyle name="Percent total 7 2" xfId="19184"/>
    <cellStyle name="Percent total 7 3" xfId="19185"/>
    <cellStyle name="Percent total 7 4" xfId="19186"/>
    <cellStyle name="Percent total 7 5" xfId="19187"/>
    <cellStyle name="Percent total 7 6" xfId="19188"/>
    <cellStyle name="Percent total 7 7" xfId="19189"/>
    <cellStyle name="Percent total 8" xfId="19190"/>
    <cellStyle name="Percent total 8 2" xfId="19191"/>
    <cellStyle name="Percent total 8 3" xfId="19192"/>
    <cellStyle name="Percent total 8 4" xfId="19193"/>
    <cellStyle name="Percent total 8 5" xfId="19194"/>
    <cellStyle name="Percent total 8 6" xfId="19195"/>
    <cellStyle name="Percent total 8 7" xfId="19196"/>
    <cellStyle name="Percent total 9" xfId="19197"/>
    <cellStyle name="Percent total 9 2" xfId="19198"/>
    <cellStyle name="Percent total 9 3" xfId="19199"/>
    <cellStyle name="Percent total 9 4" xfId="19200"/>
    <cellStyle name="Percent total 9 5" xfId="19201"/>
    <cellStyle name="Percent total 9 6" xfId="19202"/>
    <cellStyle name="Percent total 9 7" xfId="19203"/>
    <cellStyle name="Percent(1)" xfId="19204"/>
    <cellStyle name="Percent.0" xfId="19205"/>
    <cellStyle name="Percent.1" xfId="19206"/>
    <cellStyle name="Percent.whole" xfId="19207"/>
    <cellStyle name="Percent[1]" xfId="19208"/>
    <cellStyle name="Percent0" xfId="19209"/>
    <cellStyle name="Percent0 2" xfId="19210"/>
    <cellStyle name="Percent1" xfId="19211"/>
    <cellStyle name="Percent2" xfId="19212"/>
    <cellStyle name="percentage" xfId="19213"/>
    <cellStyle name="percentage 2" xfId="19214"/>
    <cellStyle name="Percent-Input" xfId="19215"/>
    <cellStyle name="PercentPresentation" xfId="19216"/>
    <cellStyle name="PercentPresentation 2" xfId="19217"/>
    <cellStyle name="Percent-whole" xfId="19218"/>
    <cellStyle name="PETable[1]" xfId="19219"/>
    <cellStyle name="PlainDollar" xfId="19220"/>
    <cellStyle name="PlainDollar 2" xfId="19221"/>
    <cellStyle name="POPS" xfId="19222"/>
    <cellStyle name="POPS 2" xfId="19223"/>
    <cellStyle name="PPT" xfId="19224"/>
    <cellStyle name="Presentation" xfId="19225"/>
    <cellStyle name="Presentation 2" xfId="19226"/>
    <cellStyle name="PresentationZero" xfId="19227"/>
    <cellStyle name="PresentationZero 2" xfId="19228"/>
    <cellStyle name="price" xfId="19229"/>
    <cellStyle name="ProtectedDates" xfId="19230"/>
    <cellStyle name="q_AA - BenefitsBonus " xfId="19231"/>
    <cellStyle name="R?" xfId="19232"/>
    <cellStyle name="r_Accretion " xfId="19233"/>
    <cellStyle name="RankingStyle" xfId="19234"/>
    <cellStyle name="rate" xfId="19235"/>
    <cellStyle name="Ratio" xfId="19236"/>
    <cellStyle name="Ratio 2" xfId="19237"/>
    <cellStyle name="Ratio Comma" xfId="19238"/>
    <cellStyle name="Ratio Comma 2" xfId="19239"/>
    <cellStyle name="Ratio_Private" xfId="19240"/>
    <cellStyle name="Ratios[1]" xfId="19241"/>
    <cellStyle name="RED" xfId="19242"/>
    <cellStyle name="RED 2" xfId="19243"/>
    <cellStyle name="Restruct" xfId="19244"/>
    <cellStyle name="Restruct 2" xfId="19245"/>
    <cellStyle name="Restruct 2 2" xfId="19246"/>
    <cellStyle name="Reuters Cells" xfId="19247"/>
    <cellStyle name="Reuters Cells 2" xfId="19248"/>
    <cellStyle name="RevList" xfId="19249"/>
    <cellStyle name="rh" xfId="19250"/>
    <cellStyle name="Right" xfId="19251"/>
    <cellStyle name="Right 2" xfId="19252"/>
    <cellStyle name="RRSInstruction" xfId="28"/>
    <cellStyle name="RRSInstruction 2" xfId="19253"/>
    <cellStyle name="RSCo" xfId="19254"/>
    <cellStyle name="s_DCFLBO Code_Wireline Tel Forecast " xfId="19255"/>
    <cellStyle name="s_HardInc " xfId="29"/>
    <cellStyle name="s_HardInc  2" xfId="19256"/>
    <cellStyle name="s_HardInc _000039" xfId="19257"/>
    <cellStyle name="s_HardInc _000157_Mar2009" xfId="19258"/>
    <cellStyle name="s_HardInc _000157_Mar2009 2" xfId="19259"/>
    <cellStyle name="s_HardInc _600031_Mar2009" xfId="19260"/>
    <cellStyle name="s_HardInc _600031_Mar2009 2" xfId="19261"/>
    <cellStyle name="s_HardInc _600150_Jan2009" xfId="19262"/>
    <cellStyle name="s_HardInc _Annual" xfId="19263"/>
    <cellStyle name="s_HardInc _Catalog" xfId="19264"/>
    <cellStyle name="s_HardInc _CIMC IS" xfId="19265"/>
    <cellStyle name="s_HardInc _CMHI-em-modelware.Now" xfId="19266"/>
    <cellStyle name="s_HardInc _CMHI-em-modelware.Now 2" xfId="19267"/>
    <cellStyle name="s_HardInc _CSD-traffic_MS" xfId="19268"/>
    <cellStyle name="s_HardInc _DCF" xfId="19269"/>
    <cellStyle name="s_HardInc _IV1" xfId="19270"/>
    <cellStyle name="s_HardInc _IV1 2" xfId="19271"/>
    <cellStyle name="s_HardInc _JapaneseCatalog" xfId="19272"/>
    <cellStyle name="s_HardInc _JapaneseCatalog 2" xfId="19273"/>
    <cellStyle name="s_HardInc _JSEC-177.em.Now" xfId="19274"/>
    <cellStyle name="s_HardInc _Main" xfId="19275"/>
    <cellStyle name="s_HardInc _mwareDates" xfId="19276"/>
    <cellStyle name="s_HardInc _mwareDates_1" xfId="19277"/>
    <cellStyle name="s_HardInc _Pop and Inc_CEIC_20140619" xfId="19278"/>
    <cellStyle name="s_HardInc _Quarterly" xfId="19279"/>
    <cellStyle name="s_HardInc _Quarterly_mwareDates" xfId="19280"/>
    <cellStyle name="s_HardInc _RRS1" xfId="19281"/>
    <cellStyle name="s_HardInc _RRS1_000039_Ini" xfId="19282"/>
    <cellStyle name="s_HardInc _RRS1_1" xfId="19283"/>
    <cellStyle name="s_HardInc _RRS1_CIMC-000039.Now" xfId="19284"/>
    <cellStyle name="s_HardInc _RRS1_MWA RR_000039.SZ" xfId="19285"/>
    <cellStyle name="s_HardInc _RRS1_MWA RR_200039.SZ" xfId="19286"/>
    <cellStyle name="s_HardInc _RRS1_New vs. Old" xfId="19287"/>
    <cellStyle name="s_HardInc _RRS6" xfId="19288"/>
    <cellStyle name="s_HardInc _RRS6_000039_Ini" xfId="19289"/>
    <cellStyle name="s_HardInc _RRS6_CIMC-000039.Now" xfId="19290"/>
    <cellStyle name="s_HardInc _RRS6_MWA RR_000039.SZ" xfId="19291"/>
    <cellStyle name="s_HardInc _RRS6_MWA RR_200039.SZ" xfId="19292"/>
    <cellStyle name="s_HardInc _RRS6_New vs. Old" xfId="19293"/>
    <cellStyle name="s_HardInc _RRST1" xfId="19294"/>
    <cellStyle name="s_HardInc _RRST1 2" xfId="19295"/>
    <cellStyle name="s_HardInc _RRST14" xfId="19296"/>
    <cellStyle name="s_HardInc _RRST2" xfId="19297"/>
    <cellStyle name="s_HardInc _RRST3" xfId="19298"/>
    <cellStyle name="s_HardInc _Scenario" xfId="19299"/>
    <cellStyle name="s_HardInc _Sheet1" xfId="19300"/>
    <cellStyle name="s_HardInc _Sheet3" xfId="19301"/>
    <cellStyle name="s_Valuation " xfId="30"/>
    <cellStyle name="s_Valuation  2" xfId="19302"/>
    <cellStyle name="s_Valuation _000039" xfId="19303"/>
    <cellStyle name="s_Valuation _000157_Mar2009" xfId="19304"/>
    <cellStyle name="s_Valuation _000157_Mar2009 2" xfId="19305"/>
    <cellStyle name="s_Valuation _600031_Mar2009" xfId="19306"/>
    <cellStyle name="s_Valuation _600031_Mar2009 2" xfId="19307"/>
    <cellStyle name="s_Valuation _600150_Jan2009" xfId="19308"/>
    <cellStyle name="s_Valuation _Annual" xfId="19309"/>
    <cellStyle name="s_Valuation _Catalog" xfId="19310"/>
    <cellStyle name="s_Valuation _China Consumption_from Laura_20140618" xfId="19311"/>
    <cellStyle name="s_Valuation _CIMC IS" xfId="19312"/>
    <cellStyle name="s_Valuation _CMHI-em-modelware.Now" xfId="19313"/>
    <cellStyle name="s_Valuation _CMHI-em-modelware.Now 2" xfId="19314"/>
    <cellStyle name="s_Valuation _CSD-traffic_MS" xfId="19315"/>
    <cellStyle name="s_Valuation _DCF" xfId="19316"/>
    <cellStyle name="s_Valuation _IV1" xfId="19317"/>
    <cellStyle name="s_Valuation _IV1 2" xfId="19318"/>
    <cellStyle name="s_Valuation _JapaneseCatalog" xfId="19319"/>
    <cellStyle name="s_Valuation _JapaneseCatalog 2" xfId="19320"/>
    <cellStyle name="s_Valuation _JSEC-177.em.Now" xfId="19321"/>
    <cellStyle name="s_Valuation _Main" xfId="19322"/>
    <cellStyle name="s_Valuation _mwareDates" xfId="19323"/>
    <cellStyle name="s_Valuation _mwareDates_1" xfId="19324"/>
    <cellStyle name="s_Valuation _Pop and Inc_CEIC_20140619" xfId="19325"/>
    <cellStyle name="s_Valuation _Quarterly" xfId="19326"/>
    <cellStyle name="s_Valuation _Quarterly_mwareDates" xfId="19327"/>
    <cellStyle name="s_Valuation _RRS1" xfId="19328"/>
    <cellStyle name="s_Valuation _RRS1_000039_Ini" xfId="19329"/>
    <cellStyle name="s_Valuation _RRS1_1" xfId="19330"/>
    <cellStyle name="s_Valuation _RRS1_CIMC-000039.Now" xfId="19331"/>
    <cellStyle name="s_Valuation _RRS1_MWA RR_000039.SZ" xfId="19332"/>
    <cellStyle name="s_Valuation _RRS1_MWA RR_200039.SZ" xfId="19333"/>
    <cellStyle name="s_Valuation _RRS1_New vs. Old" xfId="19334"/>
    <cellStyle name="s_Valuation _RRS6" xfId="19335"/>
    <cellStyle name="s_Valuation _RRS6_000039_Ini" xfId="19336"/>
    <cellStyle name="s_Valuation _RRS6_CIMC-000039.Now" xfId="19337"/>
    <cellStyle name="s_Valuation _RRS6_MWA RR_000039.SZ" xfId="19338"/>
    <cellStyle name="s_Valuation _RRS6_MWA RR_200039.SZ" xfId="19339"/>
    <cellStyle name="s_Valuation _RRS6_New vs. Old" xfId="19340"/>
    <cellStyle name="s_Valuation _RRST1" xfId="19341"/>
    <cellStyle name="s_Valuation _RRST1 2" xfId="19342"/>
    <cellStyle name="s_Valuation _RRST14" xfId="19343"/>
    <cellStyle name="s_Valuation _RRST2" xfId="19344"/>
    <cellStyle name="s_Valuation _RRST3" xfId="19345"/>
    <cellStyle name="s_Valuation _Scenario" xfId="19346"/>
    <cellStyle name="s_Valuation _Sheet1" xfId="19347"/>
    <cellStyle name="s_Valuation _Sheet3" xfId="19348"/>
    <cellStyle name="sche|_x0005_" xfId="19349"/>
    <cellStyle name="Section" xfId="19350"/>
    <cellStyle name="shade" xfId="19351"/>
    <cellStyle name="Shaded" xfId="19352"/>
    <cellStyle name="ShadedCells_Database" xfId="19353"/>
    <cellStyle name="Shading" xfId="19354"/>
    <cellStyle name="Shares" xfId="19355"/>
    <cellStyle name="Shares 2" xfId="19356"/>
    <cellStyle name="SolidBackgroundStyle" xfId="19357"/>
    <cellStyle name="srh" xfId="19358"/>
    <cellStyle name="ss1" xfId="19359"/>
    <cellStyle name="ss10" xfId="19360"/>
    <cellStyle name="ss10 10" xfId="19361"/>
    <cellStyle name="ss10 10 2" xfId="19362"/>
    <cellStyle name="ss10 10 3" xfId="19363"/>
    <cellStyle name="ss10 10 4" xfId="19364"/>
    <cellStyle name="ss10 10 5" xfId="19365"/>
    <cellStyle name="ss10 10 6" xfId="19366"/>
    <cellStyle name="ss10 10 7" xfId="19367"/>
    <cellStyle name="ss10 11" xfId="19368"/>
    <cellStyle name="ss10 11 2" xfId="19369"/>
    <cellStyle name="ss10 11 3" xfId="19370"/>
    <cellStyle name="ss10 11 4" xfId="19371"/>
    <cellStyle name="ss10 11 5" xfId="19372"/>
    <cellStyle name="ss10 11 6" xfId="19373"/>
    <cellStyle name="ss10 11 7" xfId="19374"/>
    <cellStyle name="ss10 12" xfId="19375"/>
    <cellStyle name="ss10 12 2" xfId="19376"/>
    <cellStyle name="ss10 12 3" xfId="19377"/>
    <cellStyle name="ss10 12 4" xfId="19378"/>
    <cellStyle name="ss10 12 5" xfId="19379"/>
    <cellStyle name="ss10 12 6" xfId="19380"/>
    <cellStyle name="ss10 13" xfId="19381"/>
    <cellStyle name="ss10 13 2" xfId="19382"/>
    <cellStyle name="ss10 13 3" xfId="19383"/>
    <cellStyle name="ss10 13 4" xfId="19384"/>
    <cellStyle name="ss10 13 5" xfId="19385"/>
    <cellStyle name="ss10 13 6" xfId="19386"/>
    <cellStyle name="ss10 14" xfId="19387"/>
    <cellStyle name="ss10 15" xfId="19388"/>
    <cellStyle name="ss10 16" xfId="19389"/>
    <cellStyle name="ss10 17" xfId="19390"/>
    <cellStyle name="ss10 2" xfId="19391"/>
    <cellStyle name="ss10 2 10" xfId="19392"/>
    <cellStyle name="ss10 2 10 2" xfId="19393"/>
    <cellStyle name="ss10 2 10 3" xfId="19394"/>
    <cellStyle name="ss10 2 10 4" xfId="19395"/>
    <cellStyle name="ss10 2 10 5" xfId="19396"/>
    <cellStyle name="ss10 2 10 6" xfId="19397"/>
    <cellStyle name="ss10 2 11" xfId="19398"/>
    <cellStyle name="ss10 2 11 2" xfId="19399"/>
    <cellStyle name="ss10 2 11 3" xfId="19400"/>
    <cellStyle name="ss10 2 11 4" xfId="19401"/>
    <cellStyle name="ss10 2 11 5" xfId="19402"/>
    <cellStyle name="ss10 2 11 6" xfId="19403"/>
    <cellStyle name="ss10 2 12" xfId="19404"/>
    <cellStyle name="ss10 2 13" xfId="19405"/>
    <cellStyle name="ss10 2 14" xfId="19406"/>
    <cellStyle name="ss10 2 15" xfId="19407"/>
    <cellStyle name="ss10 2 2" xfId="19408"/>
    <cellStyle name="ss10 2 2 2" xfId="19409"/>
    <cellStyle name="ss10 2 2 3" xfId="19410"/>
    <cellStyle name="ss10 2 2 4" xfId="19411"/>
    <cellStyle name="ss10 2 2 5" xfId="19412"/>
    <cellStyle name="ss10 2 2 6" xfId="19413"/>
    <cellStyle name="ss10 2 2 7" xfId="19414"/>
    <cellStyle name="ss10 2 3" xfId="19415"/>
    <cellStyle name="ss10 2 3 2" xfId="19416"/>
    <cellStyle name="ss10 2 3 3" xfId="19417"/>
    <cellStyle name="ss10 2 3 4" xfId="19418"/>
    <cellStyle name="ss10 2 3 5" xfId="19419"/>
    <cellStyle name="ss10 2 3 6" xfId="19420"/>
    <cellStyle name="ss10 2 3 7" xfId="19421"/>
    <cellStyle name="ss10 2 4" xfId="19422"/>
    <cellStyle name="ss10 2 4 2" xfId="19423"/>
    <cellStyle name="ss10 2 4 3" xfId="19424"/>
    <cellStyle name="ss10 2 4 4" xfId="19425"/>
    <cellStyle name="ss10 2 4 5" xfId="19426"/>
    <cellStyle name="ss10 2 4 6" xfId="19427"/>
    <cellStyle name="ss10 2 4 7" xfId="19428"/>
    <cellStyle name="ss10 2 5" xfId="19429"/>
    <cellStyle name="ss10 2 5 2" xfId="19430"/>
    <cellStyle name="ss10 2 5 3" xfId="19431"/>
    <cellStyle name="ss10 2 5 4" xfId="19432"/>
    <cellStyle name="ss10 2 5 5" xfId="19433"/>
    <cellStyle name="ss10 2 5 6" xfId="19434"/>
    <cellStyle name="ss10 2 5 7" xfId="19435"/>
    <cellStyle name="ss10 2 6" xfId="19436"/>
    <cellStyle name="ss10 2 6 2" xfId="19437"/>
    <cellStyle name="ss10 2 6 3" xfId="19438"/>
    <cellStyle name="ss10 2 6 4" xfId="19439"/>
    <cellStyle name="ss10 2 6 5" xfId="19440"/>
    <cellStyle name="ss10 2 6 6" xfId="19441"/>
    <cellStyle name="ss10 2 6 7" xfId="19442"/>
    <cellStyle name="ss10 2 7" xfId="19443"/>
    <cellStyle name="ss10 2 7 2" xfId="19444"/>
    <cellStyle name="ss10 2 7 3" xfId="19445"/>
    <cellStyle name="ss10 2 7 4" xfId="19446"/>
    <cellStyle name="ss10 2 7 5" xfId="19447"/>
    <cellStyle name="ss10 2 7 6" xfId="19448"/>
    <cellStyle name="ss10 2 7 7" xfId="19449"/>
    <cellStyle name="ss10 2 8" xfId="19450"/>
    <cellStyle name="ss10 2 8 2" xfId="19451"/>
    <cellStyle name="ss10 2 8 3" xfId="19452"/>
    <cellStyle name="ss10 2 8 4" xfId="19453"/>
    <cellStyle name="ss10 2 8 5" xfId="19454"/>
    <cellStyle name="ss10 2 8 6" xfId="19455"/>
    <cellStyle name="ss10 2 8 7" xfId="19456"/>
    <cellStyle name="ss10 2 9" xfId="19457"/>
    <cellStyle name="ss10 2 9 2" xfId="19458"/>
    <cellStyle name="ss10 2 9 3" xfId="19459"/>
    <cellStyle name="ss10 2 9 4" xfId="19460"/>
    <cellStyle name="ss10 2 9 5" xfId="19461"/>
    <cellStyle name="ss10 2 9 6" xfId="19462"/>
    <cellStyle name="ss10 2 9 7" xfId="19463"/>
    <cellStyle name="ss10 3" xfId="19464"/>
    <cellStyle name="ss10 3 10" xfId="19465"/>
    <cellStyle name="ss10 3 10 2" xfId="19466"/>
    <cellStyle name="ss10 3 10 3" xfId="19467"/>
    <cellStyle name="ss10 3 10 4" xfId="19468"/>
    <cellStyle name="ss10 3 10 5" xfId="19469"/>
    <cellStyle name="ss10 3 10 6" xfId="19470"/>
    <cellStyle name="ss10 3 11" xfId="19471"/>
    <cellStyle name="ss10 3 11 2" xfId="19472"/>
    <cellStyle name="ss10 3 11 3" xfId="19473"/>
    <cellStyle name="ss10 3 11 4" xfId="19474"/>
    <cellStyle name="ss10 3 11 5" xfId="19475"/>
    <cellStyle name="ss10 3 11 6" xfId="19476"/>
    <cellStyle name="ss10 3 12" xfId="19477"/>
    <cellStyle name="ss10 3 13" xfId="19478"/>
    <cellStyle name="ss10 3 14" xfId="19479"/>
    <cellStyle name="ss10 3 15" xfId="19480"/>
    <cellStyle name="ss10 3 2" xfId="19481"/>
    <cellStyle name="ss10 3 2 2" xfId="19482"/>
    <cellStyle name="ss10 3 2 3" xfId="19483"/>
    <cellStyle name="ss10 3 2 4" xfId="19484"/>
    <cellStyle name="ss10 3 2 5" xfId="19485"/>
    <cellStyle name="ss10 3 2 6" xfId="19486"/>
    <cellStyle name="ss10 3 2 7" xfId="19487"/>
    <cellStyle name="ss10 3 3" xfId="19488"/>
    <cellStyle name="ss10 3 3 2" xfId="19489"/>
    <cellStyle name="ss10 3 3 3" xfId="19490"/>
    <cellStyle name="ss10 3 3 4" xfId="19491"/>
    <cellStyle name="ss10 3 3 5" xfId="19492"/>
    <cellStyle name="ss10 3 3 6" xfId="19493"/>
    <cellStyle name="ss10 3 3 7" xfId="19494"/>
    <cellStyle name="ss10 3 4" xfId="19495"/>
    <cellStyle name="ss10 3 4 2" xfId="19496"/>
    <cellStyle name="ss10 3 4 3" xfId="19497"/>
    <cellStyle name="ss10 3 4 4" xfId="19498"/>
    <cellStyle name="ss10 3 4 5" xfId="19499"/>
    <cellStyle name="ss10 3 4 6" xfId="19500"/>
    <cellStyle name="ss10 3 4 7" xfId="19501"/>
    <cellStyle name="ss10 3 5" xfId="19502"/>
    <cellStyle name="ss10 3 5 2" xfId="19503"/>
    <cellStyle name="ss10 3 5 3" xfId="19504"/>
    <cellStyle name="ss10 3 5 4" xfId="19505"/>
    <cellStyle name="ss10 3 5 5" xfId="19506"/>
    <cellStyle name="ss10 3 5 6" xfId="19507"/>
    <cellStyle name="ss10 3 5 7" xfId="19508"/>
    <cellStyle name="ss10 3 6" xfId="19509"/>
    <cellStyle name="ss10 3 6 2" xfId="19510"/>
    <cellStyle name="ss10 3 6 3" xfId="19511"/>
    <cellStyle name="ss10 3 6 4" xfId="19512"/>
    <cellStyle name="ss10 3 6 5" xfId="19513"/>
    <cellStyle name="ss10 3 6 6" xfId="19514"/>
    <cellStyle name="ss10 3 6 7" xfId="19515"/>
    <cellStyle name="ss10 3 7" xfId="19516"/>
    <cellStyle name="ss10 3 7 2" xfId="19517"/>
    <cellStyle name="ss10 3 7 3" xfId="19518"/>
    <cellStyle name="ss10 3 7 4" xfId="19519"/>
    <cellStyle name="ss10 3 7 5" xfId="19520"/>
    <cellStyle name="ss10 3 7 6" xfId="19521"/>
    <cellStyle name="ss10 3 7 7" xfId="19522"/>
    <cellStyle name="ss10 3 8" xfId="19523"/>
    <cellStyle name="ss10 3 8 2" xfId="19524"/>
    <cellStyle name="ss10 3 8 3" xfId="19525"/>
    <cellStyle name="ss10 3 8 4" xfId="19526"/>
    <cellStyle name="ss10 3 8 5" xfId="19527"/>
    <cellStyle name="ss10 3 8 6" xfId="19528"/>
    <cellStyle name="ss10 3 8 7" xfId="19529"/>
    <cellStyle name="ss10 3 9" xfId="19530"/>
    <cellStyle name="ss10 3 9 2" xfId="19531"/>
    <cellStyle name="ss10 3 9 3" xfId="19532"/>
    <cellStyle name="ss10 3 9 4" xfId="19533"/>
    <cellStyle name="ss10 3 9 5" xfId="19534"/>
    <cellStyle name="ss10 3 9 6" xfId="19535"/>
    <cellStyle name="ss10 3 9 7" xfId="19536"/>
    <cellStyle name="ss10 4" xfId="19537"/>
    <cellStyle name="ss10 4 2" xfId="19538"/>
    <cellStyle name="ss10 4 3" xfId="19539"/>
    <cellStyle name="ss10 4 4" xfId="19540"/>
    <cellStyle name="ss10 4 5" xfId="19541"/>
    <cellStyle name="ss10 4 6" xfId="19542"/>
    <cellStyle name="ss10 4 7" xfId="19543"/>
    <cellStyle name="ss10 5" xfId="19544"/>
    <cellStyle name="ss10 5 2" xfId="19545"/>
    <cellStyle name="ss10 5 3" xfId="19546"/>
    <cellStyle name="ss10 5 4" xfId="19547"/>
    <cellStyle name="ss10 5 5" xfId="19548"/>
    <cellStyle name="ss10 5 6" xfId="19549"/>
    <cellStyle name="ss10 5 7" xfId="19550"/>
    <cellStyle name="ss10 6" xfId="19551"/>
    <cellStyle name="ss10 6 2" xfId="19552"/>
    <cellStyle name="ss10 6 3" xfId="19553"/>
    <cellStyle name="ss10 6 4" xfId="19554"/>
    <cellStyle name="ss10 6 5" xfId="19555"/>
    <cellStyle name="ss10 6 6" xfId="19556"/>
    <cellStyle name="ss10 6 7" xfId="19557"/>
    <cellStyle name="ss10 7" xfId="19558"/>
    <cellStyle name="ss10 7 2" xfId="19559"/>
    <cellStyle name="ss10 7 3" xfId="19560"/>
    <cellStyle name="ss10 7 4" xfId="19561"/>
    <cellStyle name="ss10 7 5" xfId="19562"/>
    <cellStyle name="ss10 7 6" xfId="19563"/>
    <cellStyle name="ss10 7 7" xfId="19564"/>
    <cellStyle name="ss10 8" xfId="19565"/>
    <cellStyle name="ss10 8 2" xfId="19566"/>
    <cellStyle name="ss10 8 3" xfId="19567"/>
    <cellStyle name="ss10 8 4" xfId="19568"/>
    <cellStyle name="ss10 8 5" xfId="19569"/>
    <cellStyle name="ss10 8 6" xfId="19570"/>
    <cellStyle name="ss10 8 7" xfId="19571"/>
    <cellStyle name="ss10 9" xfId="19572"/>
    <cellStyle name="ss10 9 2" xfId="19573"/>
    <cellStyle name="ss10 9 3" xfId="19574"/>
    <cellStyle name="ss10 9 4" xfId="19575"/>
    <cellStyle name="ss10 9 5" xfId="19576"/>
    <cellStyle name="ss10 9 6" xfId="19577"/>
    <cellStyle name="ss10 9 7" xfId="19578"/>
    <cellStyle name="ss11" xfId="19579"/>
    <cellStyle name="ss11 10" xfId="19580"/>
    <cellStyle name="ss11 10 2" xfId="19581"/>
    <cellStyle name="ss11 10 3" xfId="19582"/>
    <cellStyle name="ss11 10 4" xfId="19583"/>
    <cellStyle name="ss11 10 5" xfId="19584"/>
    <cellStyle name="ss11 10 6" xfId="19585"/>
    <cellStyle name="ss11 10 7" xfId="19586"/>
    <cellStyle name="ss11 11" xfId="19587"/>
    <cellStyle name="ss11 11 2" xfId="19588"/>
    <cellStyle name="ss11 11 3" xfId="19589"/>
    <cellStyle name="ss11 11 4" xfId="19590"/>
    <cellStyle name="ss11 11 5" xfId="19591"/>
    <cellStyle name="ss11 11 6" xfId="19592"/>
    <cellStyle name="ss11 11 7" xfId="19593"/>
    <cellStyle name="ss11 12" xfId="19594"/>
    <cellStyle name="ss11 12 2" xfId="19595"/>
    <cellStyle name="ss11 12 3" xfId="19596"/>
    <cellStyle name="ss11 12 4" xfId="19597"/>
    <cellStyle name="ss11 12 5" xfId="19598"/>
    <cellStyle name="ss11 12 6" xfId="19599"/>
    <cellStyle name="ss11 13" xfId="19600"/>
    <cellStyle name="ss11 13 2" xfId="19601"/>
    <cellStyle name="ss11 13 3" xfId="19602"/>
    <cellStyle name="ss11 13 4" xfId="19603"/>
    <cellStyle name="ss11 13 5" xfId="19604"/>
    <cellStyle name="ss11 13 6" xfId="19605"/>
    <cellStyle name="ss11 14" xfId="19606"/>
    <cellStyle name="ss11 15" xfId="19607"/>
    <cellStyle name="ss11 16" xfId="19608"/>
    <cellStyle name="ss11 17" xfId="19609"/>
    <cellStyle name="ss11 2" xfId="19610"/>
    <cellStyle name="ss11 2 10" xfId="19611"/>
    <cellStyle name="ss11 2 10 2" xfId="19612"/>
    <cellStyle name="ss11 2 10 3" xfId="19613"/>
    <cellStyle name="ss11 2 10 4" xfId="19614"/>
    <cellStyle name="ss11 2 10 5" xfId="19615"/>
    <cellStyle name="ss11 2 10 6" xfId="19616"/>
    <cellStyle name="ss11 2 11" xfId="19617"/>
    <cellStyle name="ss11 2 11 2" xfId="19618"/>
    <cellStyle name="ss11 2 11 3" xfId="19619"/>
    <cellStyle name="ss11 2 11 4" xfId="19620"/>
    <cellStyle name="ss11 2 11 5" xfId="19621"/>
    <cellStyle name="ss11 2 11 6" xfId="19622"/>
    <cellStyle name="ss11 2 12" xfId="19623"/>
    <cellStyle name="ss11 2 13" xfId="19624"/>
    <cellStyle name="ss11 2 14" xfId="19625"/>
    <cellStyle name="ss11 2 15" xfId="19626"/>
    <cellStyle name="ss11 2 2" xfId="19627"/>
    <cellStyle name="ss11 2 2 2" xfId="19628"/>
    <cellStyle name="ss11 2 2 3" xfId="19629"/>
    <cellStyle name="ss11 2 2 4" xfId="19630"/>
    <cellStyle name="ss11 2 2 5" xfId="19631"/>
    <cellStyle name="ss11 2 2 6" xfId="19632"/>
    <cellStyle name="ss11 2 2 7" xfId="19633"/>
    <cellStyle name="ss11 2 3" xfId="19634"/>
    <cellStyle name="ss11 2 3 2" xfId="19635"/>
    <cellStyle name="ss11 2 3 3" xfId="19636"/>
    <cellStyle name="ss11 2 3 4" xfId="19637"/>
    <cellStyle name="ss11 2 3 5" xfId="19638"/>
    <cellStyle name="ss11 2 3 6" xfId="19639"/>
    <cellStyle name="ss11 2 3 7" xfId="19640"/>
    <cellStyle name="ss11 2 4" xfId="19641"/>
    <cellStyle name="ss11 2 4 2" xfId="19642"/>
    <cellStyle name="ss11 2 4 3" xfId="19643"/>
    <cellStyle name="ss11 2 4 4" xfId="19644"/>
    <cellStyle name="ss11 2 4 5" xfId="19645"/>
    <cellStyle name="ss11 2 4 6" xfId="19646"/>
    <cellStyle name="ss11 2 4 7" xfId="19647"/>
    <cellStyle name="ss11 2 5" xfId="19648"/>
    <cellStyle name="ss11 2 5 2" xfId="19649"/>
    <cellStyle name="ss11 2 5 3" xfId="19650"/>
    <cellStyle name="ss11 2 5 4" xfId="19651"/>
    <cellStyle name="ss11 2 5 5" xfId="19652"/>
    <cellStyle name="ss11 2 5 6" xfId="19653"/>
    <cellStyle name="ss11 2 5 7" xfId="19654"/>
    <cellStyle name="ss11 2 6" xfId="19655"/>
    <cellStyle name="ss11 2 6 2" xfId="19656"/>
    <cellStyle name="ss11 2 6 3" xfId="19657"/>
    <cellStyle name="ss11 2 6 4" xfId="19658"/>
    <cellStyle name="ss11 2 6 5" xfId="19659"/>
    <cellStyle name="ss11 2 6 6" xfId="19660"/>
    <cellStyle name="ss11 2 6 7" xfId="19661"/>
    <cellStyle name="ss11 2 7" xfId="19662"/>
    <cellStyle name="ss11 2 7 2" xfId="19663"/>
    <cellStyle name="ss11 2 7 3" xfId="19664"/>
    <cellStyle name="ss11 2 7 4" xfId="19665"/>
    <cellStyle name="ss11 2 7 5" xfId="19666"/>
    <cellStyle name="ss11 2 7 6" xfId="19667"/>
    <cellStyle name="ss11 2 7 7" xfId="19668"/>
    <cellStyle name="ss11 2 8" xfId="19669"/>
    <cellStyle name="ss11 2 8 2" xfId="19670"/>
    <cellStyle name="ss11 2 8 3" xfId="19671"/>
    <cellStyle name="ss11 2 8 4" xfId="19672"/>
    <cellStyle name="ss11 2 8 5" xfId="19673"/>
    <cellStyle name="ss11 2 8 6" xfId="19674"/>
    <cellStyle name="ss11 2 8 7" xfId="19675"/>
    <cellStyle name="ss11 2 9" xfId="19676"/>
    <cellStyle name="ss11 2 9 2" xfId="19677"/>
    <cellStyle name="ss11 2 9 3" xfId="19678"/>
    <cellStyle name="ss11 2 9 4" xfId="19679"/>
    <cellStyle name="ss11 2 9 5" xfId="19680"/>
    <cellStyle name="ss11 2 9 6" xfId="19681"/>
    <cellStyle name="ss11 2 9 7" xfId="19682"/>
    <cellStyle name="ss11 3" xfId="19683"/>
    <cellStyle name="ss11 3 10" xfId="19684"/>
    <cellStyle name="ss11 3 10 2" xfId="19685"/>
    <cellStyle name="ss11 3 10 3" xfId="19686"/>
    <cellStyle name="ss11 3 10 4" xfId="19687"/>
    <cellStyle name="ss11 3 10 5" xfId="19688"/>
    <cellStyle name="ss11 3 10 6" xfId="19689"/>
    <cellStyle name="ss11 3 11" xfId="19690"/>
    <cellStyle name="ss11 3 11 2" xfId="19691"/>
    <cellStyle name="ss11 3 11 3" xfId="19692"/>
    <cellStyle name="ss11 3 11 4" xfId="19693"/>
    <cellStyle name="ss11 3 11 5" xfId="19694"/>
    <cellStyle name="ss11 3 11 6" xfId="19695"/>
    <cellStyle name="ss11 3 12" xfId="19696"/>
    <cellStyle name="ss11 3 13" xfId="19697"/>
    <cellStyle name="ss11 3 14" xfId="19698"/>
    <cellStyle name="ss11 3 15" xfId="19699"/>
    <cellStyle name="ss11 3 2" xfId="19700"/>
    <cellStyle name="ss11 3 2 2" xfId="19701"/>
    <cellStyle name="ss11 3 2 3" xfId="19702"/>
    <cellStyle name="ss11 3 2 4" xfId="19703"/>
    <cellStyle name="ss11 3 2 5" xfId="19704"/>
    <cellStyle name="ss11 3 2 6" xfId="19705"/>
    <cellStyle name="ss11 3 2 7" xfId="19706"/>
    <cellStyle name="ss11 3 3" xfId="19707"/>
    <cellStyle name="ss11 3 3 2" xfId="19708"/>
    <cellStyle name="ss11 3 3 3" xfId="19709"/>
    <cellStyle name="ss11 3 3 4" xfId="19710"/>
    <cellStyle name="ss11 3 3 5" xfId="19711"/>
    <cellStyle name="ss11 3 3 6" xfId="19712"/>
    <cellStyle name="ss11 3 3 7" xfId="19713"/>
    <cellStyle name="ss11 3 4" xfId="19714"/>
    <cellStyle name="ss11 3 4 2" xfId="19715"/>
    <cellStyle name="ss11 3 4 3" xfId="19716"/>
    <cellStyle name="ss11 3 4 4" xfId="19717"/>
    <cellStyle name="ss11 3 4 5" xfId="19718"/>
    <cellStyle name="ss11 3 4 6" xfId="19719"/>
    <cellStyle name="ss11 3 4 7" xfId="19720"/>
    <cellStyle name="ss11 3 5" xfId="19721"/>
    <cellStyle name="ss11 3 5 2" xfId="19722"/>
    <cellStyle name="ss11 3 5 3" xfId="19723"/>
    <cellStyle name="ss11 3 5 4" xfId="19724"/>
    <cellStyle name="ss11 3 5 5" xfId="19725"/>
    <cellStyle name="ss11 3 5 6" xfId="19726"/>
    <cellStyle name="ss11 3 5 7" xfId="19727"/>
    <cellStyle name="ss11 3 6" xfId="19728"/>
    <cellStyle name="ss11 3 6 2" xfId="19729"/>
    <cellStyle name="ss11 3 6 3" xfId="19730"/>
    <cellStyle name="ss11 3 6 4" xfId="19731"/>
    <cellStyle name="ss11 3 6 5" xfId="19732"/>
    <cellStyle name="ss11 3 6 6" xfId="19733"/>
    <cellStyle name="ss11 3 6 7" xfId="19734"/>
    <cellStyle name="ss11 3 7" xfId="19735"/>
    <cellStyle name="ss11 3 7 2" xfId="19736"/>
    <cellStyle name="ss11 3 7 3" xfId="19737"/>
    <cellStyle name="ss11 3 7 4" xfId="19738"/>
    <cellStyle name="ss11 3 7 5" xfId="19739"/>
    <cellStyle name="ss11 3 7 6" xfId="19740"/>
    <cellStyle name="ss11 3 7 7" xfId="19741"/>
    <cellStyle name="ss11 3 8" xfId="19742"/>
    <cellStyle name="ss11 3 8 2" xfId="19743"/>
    <cellStyle name="ss11 3 8 3" xfId="19744"/>
    <cellStyle name="ss11 3 8 4" xfId="19745"/>
    <cellStyle name="ss11 3 8 5" xfId="19746"/>
    <cellStyle name="ss11 3 8 6" xfId="19747"/>
    <cellStyle name="ss11 3 8 7" xfId="19748"/>
    <cellStyle name="ss11 3 9" xfId="19749"/>
    <cellStyle name="ss11 3 9 2" xfId="19750"/>
    <cellStyle name="ss11 3 9 3" xfId="19751"/>
    <cellStyle name="ss11 3 9 4" xfId="19752"/>
    <cellStyle name="ss11 3 9 5" xfId="19753"/>
    <cellStyle name="ss11 3 9 6" xfId="19754"/>
    <cellStyle name="ss11 3 9 7" xfId="19755"/>
    <cellStyle name="ss11 4" xfId="19756"/>
    <cellStyle name="ss11 4 2" xfId="19757"/>
    <cellStyle name="ss11 4 3" xfId="19758"/>
    <cellStyle name="ss11 4 4" xfId="19759"/>
    <cellStyle name="ss11 4 5" xfId="19760"/>
    <cellStyle name="ss11 4 6" xfId="19761"/>
    <cellStyle name="ss11 4 7" xfId="19762"/>
    <cellStyle name="ss11 5" xfId="19763"/>
    <cellStyle name="ss11 5 2" xfId="19764"/>
    <cellStyle name="ss11 5 3" xfId="19765"/>
    <cellStyle name="ss11 5 4" xfId="19766"/>
    <cellStyle name="ss11 5 5" xfId="19767"/>
    <cellStyle name="ss11 5 6" xfId="19768"/>
    <cellStyle name="ss11 5 7" xfId="19769"/>
    <cellStyle name="ss11 6" xfId="19770"/>
    <cellStyle name="ss11 6 2" xfId="19771"/>
    <cellStyle name="ss11 6 3" xfId="19772"/>
    <cellStyle name="ss11 6 4" xfId="19773"/>
    <cellStyle name="ss11 6 5" xfId="19774"/>
    <cellStyle name="ss11 6 6" xfId="19775"/>
    <cellStyle name="ss11 6 7" xfId="19776"/>
    <cellStyle name="ss11 7" xfId="19777"/>
    <cellStyle name="ss11 7 2" xfId="19778"/>
    <cellStyle name="ss11 7 3" xfId="19779"/>
    <cellStyle name="ss11 7 4" xfId="19780"/>
    <cellStyle name="ss11 7 5" xfId="19781"/>
    <cellStyle name="ss11 7 6" xfId="19782"/>
    <cellStyle name="ss11 7 7" xfId="19783"/>
    <cellStyle name="ss11 8" xfId="19784"/>
    <cellStyle name="ss11 8 2" xfId="19785"/>
    <cellStyle name="ss11 8 3" xfId="19786"/>
    <cellStyle name="ss11 8 4" xfId="19787"/>
    <cellStyle name="ss11 8 5" xfId="19788"/>
    <cellStyle name="ss11 8 6" xfId="19789"/>
    <cellStyle name="ss11 8 7" xfId="19790"/>
    <cellStyle name="ss11 9" xfId="19791"/>
    <cellStyle name="ss11 9 2" xfId="19792"/>
    <cellStyle name="ss11 9 3" xfId="19793"/>
    <cellStyle name="ss11 9 4" xfId="19794"/>
    <cellStyle name="ss11 9 5" xfId="19795"/>
    <cellStyle name="ss11 9 6" xfId="19796"/>
    <cellStyle name="ss11 9 7" xfId="19797"/>
    <cellStyle name="ss12" xfId="19798"/>
    <cellStyle name="ss13" xfId="19799"/>
    <cellStyle name="ss14" xfId="19800"/>
    <cellStyle name="ss15" xfId="19801"/>
    <cellStyle name="ss16" xfId="19802"/>
    <cellStyle name="ss17" xfId="19803"/>
    <cellStyle name="ss18" xfId="19804"/>
    <cellStyle name="ss18 2" xfId="19805"/>
    <cellStyle name="ss18 2 2" xfId="19806"/>
    <cellStyle name="ss19" xfId="19807"/>
    <cellStyle name="ss19 2" xfId="19808"/>
    <cellStyle name="ss19 2 2" xfId="19809"/>
    <cellStyle name="ss2" xfId="19810"/>
    <cellStyle name="ss20" xfId="19811"/>
    <cellStyle name="ss20 2" xfId="19812"/>
    <cellStyle name="ss20 2 2" xfId="19813"/>
    <cellStyle name="ss21" xfId="19814"/>
    <cellStyle name="ss22" xfId="19815"/>
    <cellStyle name="ss23" xfId="19816"/>
    <cellStyle name="ss24" xfId="19817"/>
    <cellStyle name="ss25" xfId="19818"/>
    <cellStyle name="ss26" xfId="19819"/>
    <cellStyle name="ss27" xfId="19820"/>
    <cellStyle name="ss28" xfId="19821"/>
    <cellStyle name="ss29" xfId="19822"/>
    <cellStyle name="ss3" xfId="19823"/>
    <cellStyle name="ss4" xfId="19824"/>
    <cellStyle name="ss5" xfId="19825"/>
    <cellStyle name="ss6" xfId="19826"/>
    <cellStyle name="ss7" xfId="19827"/>
    <cellStyle name="ss8" xfId="19828"/>
    <cellStyle name="ss9" xfId="19829"/>
    <cellStyle name="ss9 10" xfId="19830"/>
    <cellStyle name="ss9 10 2" xfId="19831"/>
    <cellStyle name="ss9 10 3" xfId="19832"/>
    <cellStyle name="ss9 10 4" xfId="19833"/>
    <cellStyle name="ss9 10 5" xfId="19834"/>
    <cellStyle name="ss9 10 6" xfId="19835"/>
    <cellStyle name="ss9 10 7" xfId="19836"/>
    <cellStyle name="ss9 11" xfId="19837"/>
    <cellStyle name="ss9 11 2" xfId="19838"/>
    <cellStyle name="ss9 11 3" xfId="19839"/>
    <cellStyle name="ss9 11 4" xfId="19840"/>
    <cellStyle name="ss9 11 5" xfId="19841"/>
    <cellStyle name="ss9 11 6" xfId="19842"/>
    <cellStyle name="ss9 11 7" xfId="19843"/>
    <cellStyle name="ss9 12" xfId="19844"/>
    <cellStyle name="ss9 12 2" xfId="19845"/>
    <cellStyle name="ss9 12 3" xfId="19846"/>
    <cellStyle name="ss9 12 4" xfId="19847"/>
    <cellStyle name="ss9 12 5" xfId="19848"/>
    <cellStyle name="ss9 12 6" xfId="19849"/>
    <cellStyle name="ss9 13" xfId="19850"/>
    <cellStyle name="ss9 13 2" xfId="19851"/>
    <cellStyle name="ss9 13 3" xfId="19852"/>
    <cellStyle name="ss9 13 4" xfId="19853"/>
    <cellStyle name="ss9 13 5" xfId="19854"/>
    <cellStyle name="ss9 13 6" xfId="19855"/>
    <cellStyle name="ss9 14" xfId="19856"/>
    <cellStyle name="ss9 15" xfId="19857"/>
    <cellStyle name="ss9 16" xfId="19858"/>
    <cellStyle name="ss9 17" xfId="19859"/>
    <cellStyle name="ss9 2" xfId="19860"/>
    <cellStyle name="ss9 2 10" xfId="19861"/>
    <cellStyle name="ss9 2 10 2" xfId="19862"/>
    <cellStyle name="ss9 2 10 3" xfId="19863"/>
    <cellStyle name="ss9 2 10 4" xfId="19864"/>
    <cellStyle name="ss9 2 10 5" xfId="19865"/>
    <cellStyle name="ss9 2 10 6" xfId="19866"/>
    <cellStyle name="ss9 2 11" xfId="19867"/>
    <cellStyle name="ss9 2 11 2" xfId="19868"/>
    <cellStyle name="ss9 2 11 3" xfId="19869"/>
    <cellStyle name="ss9 2 11 4" xfId="19870"/>
    <cellStyle name="ss9 2 11 5" xfId="19871"/>
    <cellStyle name="ss9 2 11 6" xfId="19872"/>
    <cellStyle name="ss9 2 12" xfId="19873"/>
    <cellStyle name="ss9 2 13" xfId="19874"/>
    <cellStyle name="ss9 2 14" xfId="19875"/>
    <cellStyle name="ss9 2 15" xfId="19876"/>
    <cellStyle name="ss9 2 2" xfId="19877"/>
    <cellStyle name="ss9 2 2 2" xfId="19878"/>
    <cellStyle name="ss9 2 2 3" xfId="19879"/>
    <cellStyle name="ss9 2 2 4" xfId="19880"/>
    <cellStyle name="ss9 2 2 5" xfId="19881"/>
    <cellStyle name="ss9 2 2 6" xfId="19882"/>
    <cellStyle name="ss9 2 2 7" xfId="19883"/>
    <cellStyle name="ss9 2 3" xfId="19884"/>
    <cellStyle name="ss9 2 3 2" xfId="19885"/>
    <cellStyle name="ss9 2 3 3" xfId="19886"/>
    <cellStyle name="ss9 2 3 4" xfId="19887"/>
    <cellStyle name="ss9 2 3 5" xfId="19888"/>
    <cellStyle name="ss9 2 3 6" xfId="19889"/>
    <cellStyle name="ss9 2 3 7" xfId="19890"/>
    <cellStyle name="ss9 2 4" xfId="19891"/>
    <cellStyle name="ss9 2 4 2" xfId="19892"/>
    <cellStyle name="ss9 2 4 3" xfId="19893"/>
    <cellStyle name="ss9 2 4 4" xfId="19894"/>
    <cellStyle name="ss9 2 4 5" xfId="19895"/>
    <cellStyle name="ss9 2 4 6" xfId="19896"/>
    <cellStyle name="ss9 2 4 7" xfId="19897"/>
    <cellStyle name="ss9 2 5" xfId="19898"/>
    <cellStyle name="ss9 2 5 2" xfId="19899"/>
    <cellStyle name="ss9 2 5 3" xfId="19900"/>
    <cellStyle name="ss9 2 5 4" xfId="19901"/>
    <cellStyle name="ss9 2 5 5" xfId="19902"/>
    <cellStyle name="ss9 2 5 6" xfId="19903"/>
    <cellStyle name="ss9 2 5 7" xfId="19904"/>
    <cellStyle name="ss9 2 6" xfId="19905"/>
    <cellStyle name="ss9 2 6 2" xfId="19906"/>
    <cellStyle name="ss9 2 6 3" xfId="19907"/>
    <cellStyle name="ss9 2 6 4" xfId="19908"/>
    <cellStyle name="ss9 2 6 5" xfId="19909"/>
    <cellStyle name="ss9 2 6 6" xfId="19910"/>
    <cellStyle name="ss9 2 6 7" xfId="19911"/>
    <cellStyle name="ss9 2 7" xfId="19912"/>
    <cellStyle name="ss9 2 7 2" xfId="19913"/>
    <cellStyle name="ss9 2 7 3" xfId="19914"/>
    <cellStyle name="ss9 2 7 4" xfId="19915"/>
    <cellStyle name="ss9 2 7 5" xfId="19916"/>
    <cellStyle name="ss9 2 7 6" xfId="19917"/>
    <cellStyle name="ss9 2 7 7" xfId="19918"/>
    <cellStyle name="ss9 2 8" xfId="19919"/>
    <cellStyle name="ss9 2 8 2" xfId="19920"/>
    <cellStyle name="ss9 2 8 3" xfId="19921"/>
    <cellStyle name="ss9 2 8 4" xfId="19922"/>
    <cellStyle name="ss9 2 8 5" xfId="19923"/>
    <cellStyle name="ss9 2 8 6" xfId="19924"/>
    <cellStyle name="ss9 2 8 7" xfId="19925"/>
    <cellStyle name="ss9 2 9" xfId="19926"/>
    <cellStyle name="ss9 2 9 2" xfId="19927"/>
    <cellStyle name="ss9 2 9 3" xfId="19928"/>
    <cellStyle name="ss9 2 9 4" xfId="19929"/>
    <cellStyle name="ss9 2 9 5" xfId="19930"/>
    <cellStyle name="ss9 2 9 6" xfId="19931"/>
    <cellStyle name="ss9 2 9 7" xfId="19932"/>
    <cellStyle name="ss9 3" xfId="19933"/>
    <cellStyle name="ss9 3 10" xfId="19934"/>
    <cellStyle name="ss9 3 10 2" xfId="19935"/>
    <cellStyle name="ss9 3 10 3" xfId="19936"/>
    <cellStyle name="ss9 3 10 4" xfId="19937"/>
    <cellStyle name="ss9 3 10 5" xfId="19938"/>
    <cellStyle name="ss9 3 10 6" xfId="19939"/>
    <cellStyle name="ss9 3 11" xfId="19940"/>
    <cellStyle name="ss9 3 11 2" xfId="19941"/>
    <cellStyle name="ss9 3 11 3" xfId="19942"/>
    <cellStyle name="ss9 3 11 4" xfId="19943"/>
    <cellStyle name="ss9 3 11 5" xfId="19944"/>
    <cellStyle name="ss9 3 11 6" xfId="19945"/>
    <cellStyle name="ss9 3 12" xfId="19946"/>
    <cellStyle name="ss9 3 13" xfId="19947"/>
    <cellStyle name="ss9 3 14" xfId="19948"/>
    <cellStyle name="ss9 3 15" xfId="19949"/>
    <cellStyle name="ss9 3 2" xfId="19950"/>
    <cellStyle name="ss9 3 2 2" xfId="19951"/>
    <cellStyle name="ss9 3 2 3" xfId="19952"/>
    <cellStyle name="ss9 3 2 4" xfId="19953"/>
    <cellStyle name="ss9 3 2 5" xfId="19954"/>
    <cellStyle name="ss9 3 2 6" xfId="19955"/>
    <cellStyle name="ss9 3 2 7" xfId="19956"/>
    <cellStyle name="ss9 3 3" xfId="19957"/>
    <cellStyle name="ss9 3 3 2" xfId="19958"/>
    <cellStyle name="ss9 3 3 3" xfId="19959"/>
    <cellStyle name="ss9 3 3 4" xfId="19960"/>
    <cellStyle name="ss9 3 3 5" xfId="19961"/>
    <cellStyle name="ss9 3 3 6" xfId="19962"/>
    <cellStyle name="ss9 3 3 7" xfId="19963"/>
    <cellStyle name="ss9 3 4" xfId="19964"/>
    <cellStyle name="ss9 3 4 2" xfId="19965"/>
    <cellStyle name="ss9 3 4 3" xfId="19966"/>
    <cellStyle name="ss9 3 4 4" xfId="19967"/>
    <cellStyle name="ss9 3 4 5" xfId="19968"/>
    <cellStyle name="ss9 3 4 6" xfId="19969"/>
    <cellStyle name="ss9 3 4 7" xfId="19970"/>
    <cellStyle name="ss9 3 5" xfId="19971"/>
    <cellStyle name="ss9 3 5 2" xfId="19972"/>
    <cellStyle name="ss9 3 5 3" xfId="19973"/>
    <cellStyle name="ss9 3 5 4" xfId="19974"/>
    <cellStyle name="ss9 3 5 5" xfId="19975"/>
    <cellStyle name="ss9 3 5 6" xfId="19976"/>
    <cellStyle name="ss9 3 5 7" xfId="19977"/>
    <cellStyle name="ss9 3 6" xfId="19978"/>
    <cellStyle name="ss9 3 6 2" xfId="19979"/>
    <cellStyle name="ss9 3 6 3" xfId="19980"/>
    <cellStyle name="ss9 3 6 4" xfId="19981"/>
    <cellStyle name="ss9 3 6 5" xfId="19982"/>
    <cellStyle name="ss9 3 6 6" xfId="19983"/>
    <cellStyle name="ss9 3 6 7" xfId="19984"/>
    <cellStyle name="ss9 3 7" xfId="19985"/>
    <cellStyle name="ss9 3 7 2" xfId="19986"/>
    <cellStyle name="ss9 3 7 3" xfId="19987"/>
    <cellStyle name="ss9 3 7 4" xfId="19988"/>
    <cellStyle name="ss9 3 7 5" xfId="19989"/>
    <cellStyle name="ss9 3 7 6" xfId="19990"/>
    <cellStyle name="ss9 3 7 7" xfId="19991"/>
    <cellStyle name="ss9 3 8" xfId="19992"/>
    <cellStyle name="ss9 3 8 2" xfId="19993"/>
    <cellStyle name="ss9 3 8 3" xfId="19994"/>
    <cellStyle name="ss9 3 8 4" xfId="19995"/>
    <cellStyle name="ss9 3 8 5" xfId="19996"/>
    <cellStyle name="ss9 3 8 6" xfId="19997"/>
    <cellStyle name="ss9 3 8 7" xfId="19998"/>
    <cellStyle name="ss9 3 9" xfId="19999"/>
    <cellStyle name="ss9 3 9 2" xfId="20000"/>
    <cellStyle name="ss9 3 9 3" xfId="20001"/>
    <cellStyle name="ss9 3 9 4" xfId="20002"/>
    <cellStyle name="ss9 3 9 5" xfId="20003"/>
    <cellStyle name="ss9 3 9 6" xfId="20004"/>
    <cellStyle name="ss9 3 9 7" xfId="20005"/>
    <cellStyle name="ss9 4" xfId="20006"/>
    <cellStyle name="ss9 4 2" xfId="20007"/>
    <cellStyle name="ss9 4 3" xfId="20008"/>
    <cellStyle name="ss9 4 4" xfId="20009"/>
    <cellStyle name="ss9 4 5" xfId="20010"/>
    <cellStyle name="ss9 4 6" xfId="20011"/>
    <cellStyle name="ss9 4 7" xfId="20012"/>
    <cellStyle name="ss9 5" xfId="20013"/>
    <cellStyle name="ss9 5 2" xfId="20014"/>
    <cellStyle name="ss9 5 3" xfId="20015"/>
    <cellStyle name="ss9 5 4" xfId="20016"/>
    <cellStyle name="ss9 5 5" xfId="20017"/>
    <cellStyle name="ss9 5 6" xfId="20018"/>
    <cellStyle name="ss9 5 7" xfId="20019"/>
    <cellStyle name="ss9 6" xfId="20020"/>
    <cellStyle name="ss9 6 2" xfId="20021"/>
    <cellStyle name="ss9 6 3" xfId="20022"/>
    <cellStyle name="ss9 6 4" xfId="20023"/>
    <cellStyle name="ss9 6 5" xfId="20024"/>
    <cellStyle name="ss9 6 6" xfId="20025"/>
    <cellStyle name="ss9 6 7" xfId="20026"/>
    <cellStyle name="ss9 7" xfId="20027"/>
    <cellStyle name="ss9 7 2" xfId="20028"/>
    <cellStyle name="ss9 7 3" xfId="20029"/>
    <cellStyle name="ss9 7 4" xfId="20030"/>
    <cellStyle name="ss9 7 5" xfId="20031"/>
    <cellStyle name="ss9 7 6" xfId="20032"/>
    <cellStyle name="ss9 7 7" xfId="20033"/>
    <cellStyle name="ss9 8" xfId="20034"/>
    <cellStyle name="ss9 8 2" xfId="20035"/>
    <cellStyle name="ss9 8 3" xfId="20036"/>
    <cellStyle name="ss9 8 4" xfId="20037"/>
    <cellStyle name="ss9 8 5" xfId="20038"/>
    <cellStyle name="ss9 8 6" xfId="20039"/>
    <cellStyle name="ss9 8 7" xfId="20040"/>
    <cellStyle name="ss9 9" xfId="20041"/>
    <cellStyle name="ss9 9 2" xfId="20042"/>
    <cellStyle name="ss9 9 3" xfId="20043"/>
    <cellStyle name="ss9 9 4" xfId="20044"/>
    <cellStyle name="ss9 9 5" xfId="20045"/>
    <cellStyle name="ss9 9 6" xfId="20046"/>
    <cellStyle name="ss9 9 7" xfId="20047"/>
    <cellStyle name="SSComma0" xfId="20048"/>
    <cellStyle name="SSComma0 10" xfId="20049"/>
    <cellStyle name="SSComma0 10 2" xfId="20050"/>
    <cellStyle name="SSComma0 10 3" xfId="20051"/>
    <cellStyle name="SSComma0 10 4" xfId="20052"/>
    <cellStyle name="SSComma0 10 5" xfId="20053"/>
    <cellStyle name="SSComma0 10 6" xfId="20054"/>
    <cellStyle name="SSComma0 10 7" xfId="20055"/>
    <cellStyle name="SSComma0 11" xfId="20056"/>
    <cellStyle name="SSComma0 11 2" xfId="20057"/>
    <cellStyle name="SSComma0 11 3" xfId="20058"/>
    <cellStyle name="SSComma0 11 4" xfId="20059"/>
    <cellStyle name="SSComma0 11 5" xfId="20060"/>
    <cellStyle name="SSComma0 11 6" xfId="20061"/>
    <cellStyle name="SSComma0 11 7" xfId="20062"/>
    <cellStyle name="SSComma0 12" xfId="20063"/>
    <cellStyle name="SSComma0 12 2" xfId="20064"/>
    <cellStyle name="SSComma0 12 3" xfId="20065"/>
    <cellStyle name="SSComma0 12 4" xfId="20066"/>
    <cellStyle name="SSComma0 12 5" xfId="20067"/>
    <cellStyle name="SSComma0 12 6" xfId="20068"/>
    <cellStyle name="SSComma0 13" xfId="20069"/>
    <cellStyle name="SSComma0 14" xfId="20070"/>
    <cellStyle name="SSComma0 15" xfId="20071"/>
    <cellStyle name="SSComma0 16" xfId="20072"/>
    <cellStyle name="SSComma0 17" xfId="20073"/>
    <cellStyle name="SSComma0 2" xfId="20074"/>
    <cellStyle name="SSComma0 2 10" xfId="20075"/>
    <cellStyle name="SSComma0 2 10 2" xfId="20076"/>
    <cellStyle name="SSComma0 2 10 3" xfId="20077"/>
    <cellStyle name="SSComma0 2 10 4" xfId="20078"/>
    <cellStyle name="SSComma0 2 10 5" xfId="20079"/>
    <cellStyle name="SSComma0 2 10 6" xfId="20080"/>
    <cellStyle name="SSComma0 2 10 7" xfId="20081"/>
    <cellStyle name="SSComma0 2 11" xfId="20082"/>
    <cellStyle name="SSComma0 2 11 2" xfId="20083"/>
    <cellStyle name="SSComma0 2 11 3" xfId="20084"/>
    <cellStyle name="SSComma0 2 11 4" xfId="20085"/>
    <cellStyle name="SSComma0 2 11 5" xfId="20086"/>
    <cellStyle name="SSComma0 2 11 6" xfId="20087"/>
    <cellStyle name="SSComma0 2 12" xfId="20088"/>
    <cellStyle name="SSComma0 2 13" xfId="20089"/>
    <cellStyle name="SSComma0 2 14" xfId="20090"/>
    <cellStyle name="SSComma0 2 15" xfId="20091"/>
    <cellStyle name="SSComma0 2 16" xfId="20092"/>
    <cellStyle name="SSComma0 2 2" xfId="20093"/>
    <cellStyle name="SSComma0 2 2 10" xfId="20094"/>
    <cellStyle name="SSComma0 2 2 10 2" xfId="20095"/>
    <cellStyle name="SSComma0 2 2 10 3" xfId="20096"/>
    <cellStyle name="SSComma0 2 2 10 4" xfId="20097"/>
    <cellStyle name="SSComma0 2 2 10 5" xfId="20098"/>
    <cellStyle name="SSComma0 2 2 10 6" xfId="20099"/>
    <cellStyle name="SSComma0 2 2 11" xfId="20100"/>
    <cellStyle name="SSComma0 2 2 12" xfId="20101"/>
    <cellStyle name="SSComma0 2 2 13" xfId="20102"/>
    <cellStyle name="SSComma0 2 2 14" xfId="20103"/>
    <cellStyle name="SSComma0 2 2 15" xfId="20104"/>
    <cellStyle name="SSComma0 2 2 2" xfId="20105"/>
    <cellStyle name="SSComma0 2 2 2 2" xfId="20106"/>
    <cellStyle name="SSComma0 2 2 2 3" xfId="20107"/>
    <cellStyle name="SSComma0 2 2 2 4" xfId="20108"/>
    <cellStyle name="SSComma0 2 2 2 5" xfId="20109"/>
    <cellStyle name="SSComma0 2 2 2 6" xfId="20110"/>
    <cellStyle name="SSComma0 2 2 2 7" xfId="20111"/>
    <cellStyle name="SSComma0 2 2 3" xfId="20112"/>
    <cellStyle name="SSComma0 2 2 3 2" xfId="20113"/>
    <cellStyle name="SSComma0 2 2 3 3" xfId="20114"/>
    <cellStyle name="SSComma0 2 2 3 4" xfId="20115"/>
    <cellStyle name="SSComma0 2 2 3 5" xfId="20116"/>
    <cellStyle name="SSComma0 2 2 3 6" xfId="20117"/>
    <cellStyle name="SSComma0 2 2 3 7" xfId="20118"/>
    <cellStyle name="SSComma0 2 2 4" xfId="20119"/>
    <cellStyle name="SSComma0 2 2 4 2" xfId="20120"/>
    <cellStyle name="SSComma0 2 2 4 3" xfId="20121"/>
    <cellStyle name="SSComma0 2 2 4 4" xfId="20122"/>
    <cellStyle name="SSComma0 2 2 4 5" xfId="20123"/>
    <cellStyle name="SSComma0 2 2 4 6" xfId="20124"/>
    <cellStyle name="SSComma0 2 2 4 7" xfId="20125"/>
    <cellStyle name="SSComma0 2 2 5" xfId="20126"/>
    <cellStyle name="SSComma0 2 2 5 2" xfId="20127"/>
    <cellStyle name="SSComma0 2 2 5 3" xfId="20128"/>
    <cellStyle name="SSComma0 2 2 5 4" xfId="20129"/>
    <cellStyle name="SSComma0 2 2 5 5" xfId="20130"/>
    <cellStyle name="SSComma0 2 2 5 6" xfId="20131"/>
    <cellStyle name="SSComma0 2 2 5 7" xfId="20132"/>
    <cellStyle name="SSComma0 2 2 6" xfId="20133"/>
    <cellStyle name="SSComma0 2 2 6 2" xfId="20134"/>
    <cellStyle name="SSComma0 2 2 6 3" xfId="20135"/>
    <cellStyle name="SSComma0 2 2 6 4" xfId="20136"/>
    <cellStyle name="SSComma0 2 2 6 5" xfId="20137"/>
    <cellStyle name="SSComma0 2 2 6 6" xfId="20138"/>
    <cellStyle name="SSComma0 2 2 6 7" xfId="20139"/>
    <cellStyle name="SSComma0 2 2 7" xfId="20140"/>
    <cellStyle name="SSComma0 2 2 7 2" xfId="20141"/>
    <cellStyle name="SSComma0 2 2 7 3" xfId="20142"/>
    <cellStyle name="SSComma0 2 2 7 4" xfId="20143"/>
    <cellStyle name="SSComma0 2 2 7 5" xfId="20144"/>
    <cellStyle name="SSComma0 2 2 7 6" xfId="20145"/>
    <cellStyle name="SSComma0 2 2 7 7" xfId="20146"/>
    <cellStyle name="SSComma0 2 2 8" xfId="20147"/>
    <cellStyle name="SSComma0 2 2 8 2" xfId="20148"/>
    <cellStyle name="SSComma0 2 2 8 3" xfId="20149"/>
    <cellStyle name="SSComma0 2 2 8 4" xfId="20150"/>
    <cellStyle name="SSComma0 2 2 8 5" xfId="20151"/>
    <cellStyle name="SSComma0 2 2 8 6" xfId="20152"/>
    <cellStyle name="SSComma0 2 2 8 7" xfId="20153"/>
    <cellStyle name="SSComma0 2 2 9" xfId="20154"/>
    <cellStyle name="SSComma0 2 2 9 2" xfId="20155"/>
    <cellStyle name="SSComma0 2 2 9 3" xfId="20156"/>
    <cellStyle name="SSComma0 2 2 9 4" xfId="20157"/>
    <cellStyle name="SSComma0 2 2 9 5" xfId="20158"/>
    <cellStyle name="SSComma0 2 2 9 6" xfId="20159"/>
    <cellStyle name="SSComma0 2 2 9 7" xfId="20160"/>
    <cellStyle name="SSComma0 2 3" xfId="20161"/>
    <cellStyle name="SSComma0 2 3 2" xfId="20162"/>
    <cellStyle name="SSComma0 2 3 3" xfId="20163"/>
    <cellStyle name="SSComma0 2 3 4" xfId="20164"/>
    <cellStyle name="SSComma0 2 3 5" xfId="20165"/>
    <cellStyle name="SSComma0 2 3 6" xfId="20166"/>
    <cellStyle name="SSComma0 2 3 7" xfId="20167"/>
    <cellStyle name="SSComma0 2 4" xfId="20168"/>
    <cellStyle name="SSComma0 2 4 2" xfId="20169"/>
    <cellStyle name="SSComma0 2 4 3" xfId="20170"/>
    <cellStyle name="SSComma0 2 4 4" xfId="20171"/>
    <cellStyle name="SSComma0 2 4 5" xfId="20172"/>
    <cellStyle name="SSComma0 2 4 6" xfId="20173"/>
    <cellStyle name="SSComma0 2 4 7" xfId="20174"/>
    <cellStyle name="SSComma0 2 5" xfId="20175"/>
    <cellStyle name="SSComma0 2 5 2" xfId="20176"/>
    <cellStyle name="SSComma0 2 5 3" xfId="20177"/>
    <cellStyle name="SSComma0 2 5 4" xfId="20178"/>
    <cellStyle name="SSComma0 2 5 5" xfId="20179"/>
    <cellStyle name="SSComma0 2 5 6" xfId="20180"/>
    <cellStyle name="SSComma0 2 5 7" xfId="20181"/>
    <cellStyle name="SSComma0 2 6" xfId="20182"/>
    <cellStyle name="SSComma0 2 6 2" xfId="20183"/>
    <cellStyle name="SSComma0 2 6 3" xfId="20184"/>
    <cellStyle name="SSComma0 2 6 4" xfId="20185"/>
    <cellStyle name="SSComma0 2 6 5" xfId="20186"/>
    <cellStyle name="SSComma0 2 6 6" xfId="20187"/>
    <cellStyle name="SSComma0 2 6 7" xfId="20188"/>
    <cellStyle name="SSComma0 2 7" xfId="20189"/>
    <cellStyle name="SSComma0 2 7 2" xfId="20190"/>
    <cellStyle name="SSComma0 2 7 3" xfId="20191"/>
    <cellStyle name="SSComma0 2 7 4" xfId="20192"/>
    <cellStyle name="SSComma0 2 7 5" xfId="20193"/>
    <cellStyle name="SSComma0 2 7 6" xfId="20194"/>
    <cellStyle name="SSComma0 2 7 7" xfId="20195"/>
    <cellStyle name="SSComma0 2 8" xfId="20196"/>
    <cellStyle name="SSComma0 2 8 2" xfId="20197"/>
    <cellStyle name="SSComma0 2 8 3" xfId="20198"/>
    <cellStyle name="SSComma0 2 8 4" xfId="20199"/>
    <cellStyle name="SSComma0 2 8 5" xfId="20200"/>
    <cellStyle name="SSComma0 2 8 6" xfId="20201"/>
    <cellStyle name="SSComma0 2 8 7" xfId="20202"/>
    <cellStyle name="SSComma0 2 9" xfId="20203"/>
    <cellStyle name="SSComma0 2 9 2" xfId="20204"/>
    <cellStyle name="SSComma0 2 9 3" xfId="20205"/>
    <cellStyle name="SSComma0 2 9 4" xfId="20206"/>
    <cellStyle name="SSComma0 2 9 5" xfId="20207"/>
    <cellStyle name="SSComma0 2 9 6" xfId="20208"/>
    <cellStyle name="SSComma0 2 9 7" xfId="20209"/>
    <cellStyle name="SSComma0 3" xfId="20210"/>
    <cellStyle name="SSComma0 3 10" xfId="20211"/>
    <cellStyle name="SSComma0 3 10 2" xfId="20212"/>
    <cellStyle name="SSComma0 3 10 3" xfId="20213"/>
    <cellStyle name="SSComma0 3 10 4" xfId="20214"/>
    <cellStyle name="SSComma0 3 10 5" xfId="20215"/>
    <cellStyle name="SSComma0 3 10 6" xfId="20216"/>
    <cellStyle name="SSComma0 3 11" xfId="20217"/>
    <cellStyle name="SSComma0 3 12" xfId="20218"/>
    <cellStyle name="SSComma0 3 13" xfId="20219"/>
    <cellStyle name="SSComma0 3 14" xfId="20220"/>
    <cellStyle name="SSComma0 3 15" xfId="20221"/>
    <cellStyle name="SSComma0 3 2" xfId="20222"/>
    <cellStyle name="SSComma0 3 2 2" xfId="20223"/>
    <cellStyle name="SSComma0 3 2 3" xfId="20224"/>
    <cellStyle name="SSComma0 3 2 4" xfId="20225"/>
    <cellStyle name="SSComma0 3 2 5" xfId="20226"/>
    <cellStyle name="SSComma0 3 2 6" xfId="20227"/>
    <cellStyle name="SSComma0 3 2 7" xfId="20228"/>
    <cellStyle name="SSComma0 3 3" xfId="20229"/>
    <cellStyle name="SSComma0 3 3 2" xfId="20230"/>
    <cellStyle name="SSComma0 3 3 3" xfId="20231"/>
    <cellStyle name="SSComma0 3 3 4" xfId="20232"/>
    <cellStyle name="SSComma0 3 3 5" xfId="20233"/>
    <cellStyle name="SSComma0 3 3 6" xfId="20234"/>
    <cellStyle name="SSComma0 3 3 7" xfId="20235"/>
    <cellStyle name="SSComma0 3 4" xfId="20236"/>
    <cellStyle name="SSComma0 3 4 2" xfId="20237"/>
    <cellStyle name="SSComma0 3 4 3" xfId="20238"/>
    <cellStyle name="SSComma0 3 4 4" xfId="20239"/>
    <cellStyle name="SSComma0 3 4 5" xfId="20240"/>
    <cellStyle name="SSComma0 3 4 6" xfId="20241"/>
    <cellStyle name="SSComma0 3 4 7" xfId="20242"/>
    <cellStyle name="SSComma0 3 5" xfId="20243"/>
    <cellStyle name="SSComma0 3 5 2" xfId="20244"/>
    <cellStyle name="SSComma0 3 5 3" xfId="20245"/>
    <cellStyle name="SSComma0 3 5 4" xfId="20246"/>
    <cellStyle name="SSComma0 3 5 5" xfId="20247"/>
    <cellStyle name="SSComma0 3 5 6" xfId="20248"/>
    <cellStyle name="SSComma0 3 5 7" xfId="20249"/>
    <cellStyle name="SSComma0 3 6" xfId="20250"/>
    <cellStyle name="SSComma0 3 6 2" xfId="20251"/>
    <cellStyle name="SSComma0 3 6 3" xfId="20252"/>
    <cellStyle name="SSComma0 3 6 4" xfId="20253"/>
    <cellStyle name="SSComma0 3 6 5" xfId="20254"/>
    <cellStyle name="SSComma0 3 6 6" xfId="20255"/>
    <cellStyle name="SSComma0 3 6 7" xfId="20256"/>
    <cellStyle name="SSComma0 3 7" xfId="20257"/>
    <cellStyle name="SSComma0 3 7 2" xfId="20258"/>
    <cellStyle name="SSComma0 3 7 3" xfId="20259"/>
    <cellStyle name="SSComma0 3 7 4" xfId="20260"/>
    <cellStyle name="SSComma0 3 7 5" xfId="20261"/>
    <cellStyle name="SSComma0 3 7 6" xfId="20262"/>
    <cellStyle name="SSComma0 3 7 7" xfId="20263"/>
    <cellStyle name="SSComma0 3 8" xfId="20264"/>
    <cellStyle name="SSComma0 3 8 2" xfId="20265"/>
    <cellStyle name="SSComma0 3 8 3" xfId="20266"/>
    <cellStyle name="SSComma0 3 8 4" xfId="20267"/>
    <cellStyle name="SSComma0 3 8 5" xfId="20268"/>
    <cellStyle name="SSComma0 3 8 6" xfId="20269"/>
    <cellStyle name="SSComma0 3 8 7" xfId="20270"/>
    <cellStyle name="SSComma0 3 9" xfId="20271"/>
    <cellStyle name="SSComma0 3 9 2" xfId="20272"/>
    <cellStyle name="SSComma0 3 9 3" xfId="20273"/>
    <cellStyle name="SSComma0 3 9 4" xfId="20274"/>
    <cellStyle name="SSComma0 3 9 5" xfId="20275"/>
    <cellStyle name="SSComma0 3 9 6" xfId="20276"/>
    <cellStyle name="SSComma0 3 9 7" xfId="20277"/>
    <cellStyle name="SSComma0 4" xfId="20278"/>
    <cellStyle name="SSComma0 4 2" xfId="20279"/>
    <cellStyle name="SSComma0 4 3" xfId="20280"/>
    <cellStyle name="SSComma0 4 4" xfId="20281"/>
    <cellStyle name="SSComma0 4 5" xfId="20282"/>
    <cellStyle name="SSComma0 4 6" xfId="20283"/>
    <cellStyle name="SSComma0 4 7" xfId="20284"/>
    <cellStyle name="SSComma0 5" xfId="20285"/>
    <cellStyle name="SSComma0 5 2" xfId="20286"/>
    <cellStyle name="SSComma0 5 3" xfId="20287"/>
    <cellStyle name="SSComma0 5 4" xfId="20288"/>
    <cellStyle name="SSComma0 5 5" xfId="20289"/>
    <cellStyle name="SSComma0 5 6" xfId="20290"/>
    <cellStyle name="SSComma0 5 7" xfId="20291"/>
    <cellStyle name="SSComma0 6" xfId="20292"/>
    <cellStyle name="SSComma0 6 2" xfId="20293"/>
    <cellStyle name="SSComma0 6 3" xfId="20294"/>
    <cellStyle name="SSComma0 6 4" xfId="20295"/>
    <cellStyle name="SSComma0 6 5" xfId="20296"/>
    <cellStyle name="SSComma0 6 6" xfId="20297"/>
    <cellStyle name="SSComma0 6 7" xfId="20298"/>
    <cellStyle name="SSComma0 7" xfId="20299"/>
    <cellStyle name="SSComma0 7 2" xfId="20300"/>
    <cellStyle name="SSComma0 7 3" xfId="20301"/>
    <cellStyle name="SSComma0 7 4" xfId="20302"/>
    <cellStyle name="SSComma0 7 5" xfId="20303"/>
    <cellStyle name="SSComma0 7 6" xfId="20304"/>
    <cellStyle name="SSComma0 7 7" xfId="20305"/>
    <cellStyle name="SSComma0 8" xfId="20306"/>
    <cellStyle name="SSComma0 8 2" xfId="20307"/>
    <cellStyle name="SSComma0 8 3" xfId="20308"/>
    <cellStyle name="SSComma0 8 4" xfId="20309"/>
    <cellStyle name="SSComma0 8 5" xfId="20310"/>
    <cellStyle name="SSComma0 8 6" xfId="20311"/>
    <cellStyle name="SSComma0 8 7" xfId="20312"/>
    <cellStyle name="SSComma0 9" xfId="20313"/>
    <cellStyle name="SSComma0 9 2" xfId="20314"/>
    <cellStyle name="SSComma0 9 3" xfId="20315"/>
    <cellStyle name="SSComma0 9 4" xfId="20316"/>
    <cellStyle name="SSComma0 9 5" xfId="20317"/>
    <cellStyle name="SSComma0 9 6" xfId="20318"/>
    <cellStyle name="SSComma0 9 7" xfId="20319"/>
    <cellStyle name="SSComma2" xfId="20320"/>
    <cellStyle name="SSComma2 10" xfId="20321"/>
    <cellStyle name="SSComma2 10 2" xfId="20322"/>
    <cellStyle name="SSComma2 10 3" xfId="20323"/>
    <cellStyle name="SSComma2 10 4" xfId="20324"/>
    <cellStyle name="SSComma2 10 5" xfId="20325"/>
    <cellStyle name="SSComma2 10 6" xfId="20326"/>
    <cellStyle name="SSComma2 10 7" xfId="20327"/>
    <cellStyle name="SSComma2 11" xfId="20328"/>
    <cellStyle name="SSComma2 11 2" xfId="20329"/>
    <cellStyle name="SSComma2 11 3" xfId="20330"/>
    <cellStyle name="SSComma2 11 4" xfId="20331"/>
    <cellStyle name="SSComma2 11 5" xfId="20332"/>
    <cellStyle name="SSComma2 11 6" xfId="20333"/>
    <cellStyle name="SSComma2 11 7" xfId="20334"/>
    <cellStyle name="SSComma2 12" xfId="20335"/>
    <cellStyle name="SSComma2 12 2" xfId="20336"/>
    <cellStyle name="SSComma2 12 3" xfId="20337"/>
    <cellStyle name="SSComma2 12 4" xfId="20338"/>
    <cellStyle name="SSComma2 12 5" xfId="20339"/>
    <cellStyle name="SSComma2 12 6" xfId="20340"/>
    <cellStyle name="SSComma2 13" xfId="20341"/>
    <cellStyle name="SSComma2 14" xfId="20342"/>
    <cellStyle name="SSComma2 15" xfId="20343"/>
    <cellStyle name="SSComma2 16" xfId="20344"/>
    <cellStyle name="SSComma2 17" xfId="20345"/>
    <cellStyle name="SSComma2 2" xfId="20346"/>
    <cellStyle name="SSComma2 2 10" xfId="20347"/>
    <cellStyle name="SSComma2 2 10 2" xfId="20348"/>
    <cellStyle name="SSComma2 2 10 3" xfId="20349"/>
    <cellStyle name="SSComma2 2 10 4" xfId="20350"/>
    <cellStyle name="SSComma2 2 10 5" xfId="20351"/>
    <cellStyle name="SSComma2 2 10 6" xfId="20352"/>
    <cellStyle name="SSComma2 2 10 7" xfId="20353"/>
    <cellStyle name="SSComma2 2 11" xfId="20354"/>
    <cellStyle name="SSComma2 2 11 2" xfId="20355"/>
    <cellStyle name="SSComma2 2 11 3" xfId="20356"/>
    <cellStyle name="SSComma2 2 11 4" xfId="20357"/>
    <cellStyle name="SSComma2 2 11 5" xfId="20358"/>
    <cellStyle name="SSComma2 2 11 6" xfId="20359"/>
    <cellStyle name="SSComma2 2 12" xfId="20360"/>
    <cellStyle name="SSComma2 2 13" xfId="20361"/>
    <cellStyle name="SSComma2 2 14" xfId="20362"/>
    <cellStyle name="SSComma2 2 15" xfId="20363"/>
    <cellStyle name="SSComma2 2 16" xfId="20364"/>
    <cellStyle name="SSComma2 2 2" xfId="20365"/>
    <cellStyle name="SSComma2 2 2 10" xfId="20366"/>
    <cellStyle name="SSComma2 2 2 10 2" xfId="20367"/>
    <cellStyle name="SSComma2 2 2 10 3" xfId="20368"/>
    <cellStyle name="SSComma2 2 2 10 4" xfId="20369"/>
    <cellStyle name="SSComma2 2 2 10 5" xfId="20370"/>
    <cellStyle name="SSComma2 2 2 10 6" xfId="20371"/>
    <cellStyle name="SSComma2 2 2 11" xfId="20372"/>
    <cellStyle name="SSComma2 2 2 12" xfId="20373"/>
    <cellStyle name="SSComma2 2 2 13" xfId="20374"/>
    <cellStyle name="SSComma2 2 2 14" xfId="20375"/>
    <cellStyle name="SSComma2 2 2 15" xfId="20376"/>
    <cellStyle name="SSComma2 2 2 2" xfId="20377"/>
    <cellStyle name="SSComma2 2 2 2 2" xfId="20378"/>
    <cellStyle name="SSComma2 2 2 2 3" xfId="20379"/>
    <cellStyle name="SSComma2 2 2 2 4" xfId="20380"/>
    <cellStyle name="SSComma2 2 2 2 5" xfId="20381"/>
    <cellStyle name="SSComma2 2 2 2 6" xfId="20382"/>
    <cellStyle name="SSComma2 2 2 2 7" xfId="20383"/>
    <cellStyle name="SSComma2 2 2 3" xfId="20384"/>
    <cellStyle name="SSComma2 2 2 3 2" xfId="20385"/>
    <cellStyle name="SSComma2 2 2 3 3" xfId="20386"/>
    <cellStyle name="SSComma2 2 2 3 4" xfId="20387"/>
    <cellStyle name="SSComma2 2 2 3 5" xfId="20388"/>
    <cellStyle name="SSComma2 2 2 3 6" xfId="20389"/>
    <cellStyle name="SSComma2 2 2 3 7" xfId="20390"/>
    <cellStyle name="SSComma2 2 2 4" xfId="20391"/>
    <cellStyle name="SSComma2 2 2 4 2" xfId="20392"/>
    <cellStyle name="SSComma2 2 2 4 3" xfId="20393"/>
    <cellStyle name="SSComma2 2 2 4 4" xfId="20394"/>
    <cellStyle name="SSComma2 2 2 4 5" xfId="20395"/>
    <cellStyle name="SSComma2 2 2 4 6" xfId="20396"/>
    <cellStyle name="SSComma2 2 2 4 7" xfId="20397"/>
    <cellStyle name="SSComma2 2 2 5" xfId="20398"/>
    <cellStyle name="SSComma2 2 2 5 2" xfId="20399"/>
    <cellStyle name="SSComma2 2 2 5 3" xfId="20400"/>
    <cellStyle name="SSComma2 2 2 5 4" xfId="20401"/>
    <cellStyle name="SSComma2 2 2 5 5" xfId="20402"/>
    <cellStyle name="SSComma2 2 2 5 6" xfId="20403"/>
    <cellStyle name="SSComma2 2 2 5 7" xfId="20404"/>
    <cellStyle name="SSComma2 2 2 6" xfId="20405"/>
    <cellStyle name="SSComma2 2 2 6 2" xfId="20406"/>
    <cellStyle name="SSComma2 2 2 6 3" xfId="20407"/>
    <cellStyle name="SSComma2 2 2 6 4" xfId="20408"/>
    <cellStyle name="SSComma2 2 2 6 5" xfId="20409"/>
    <cellStyle name="SSComma2 2 2 6 6" xfId="20410"/>
    <cellStyle name="SSComma2 2 2 6 7" xfId="20411"/>
    <cellStyle name="SSComma2 2 2 7" xfId="20412"/>
    <cellStyle name="SSComma2 2 2 7 2" xfId="20413"/>
    <cellStyle name="SSComma2 2 2 7 3" xfId="20414"/>
    <cellStyle name="SSComma2 2 2 7 4" xfId="20415"/>
    <cellStyle name="SSComma2 2 2 7 5" xfId="20416"/>
    <cellStyle name="SSComma2 2 2 7 6" xfId="20417"/>
    <cellStyle name="SSComma2 2 2 7 7" xfId="20418"/>
    <cellStyle name="SSComma2 2 2 8" xfId="20419"/>
    <cellStyle name="SSComma2 2 2 8 2" xfId="20420"/>
    <cellStyle name="SSComma2 2 2 8 3" xfId="20421"/>
    <cellStyle name="SSComma2 2 2 8 4" xfId="20422"/>
    <cellStyle name="SSComma2 2 2 8 5" xfId="20423"/>
    <cellStyle name="SSComma2 2 2 8 6" xfId="20424"/>
    <cellStyle name="SSComma2 2 2 8 7" xfId="20425"/>
    <cellStyle name="SSComma2 2 2 9" xfId="20426"/>
    <cellStyle name="SSComma2 2 2 9 2" xfId="20427"/>
    <cellStyle name="SSComma2 2 2 9 3" xfId="20428"/>
    <cellStyle name="SSComma2 2 2 9 4" xfId="20429"/>
    <cellStyle name="SSComma2 2 2 9 5" xfId="20430"/>
    <cellStyle name="SSComma2 2 2 9 6" xfId="20431"/>
    <cellStyle name="SSComma2 2 2 9 7" xfId="20432"/>
    <cellStyle name="SSComma2 2 3" xfId="20433"/>
    <cellStyle name="SSComma2 2 3 2" xfId="20434"/>
    <cellStyle name="SSComma2 2 3 3" xfId="20435"/>
    <cellStyle name="SSComma2 2 3 4" xfId="20436"/>
    <cellStyle name="SSComma2 2 3 5" xfId="20437"/>
    <cellStyle name="SSComma2 2 3 6" xfId="20438"/>
    <cellStyle name="SSComma2 2 3 7" xfId="20439"/>
    <cellStyle name="SSComma2 2 4" xfId="20440"/>
    <cellStyle name="SSComma2 2 4 2" xfId="20441"/>
    <cellStyle name="SSComma2 2 4 3" xfId="20442"/>
    <cellStyle name="SSComma2 2 4 4" xfId="20443"/>
    <cellStyle name="SSComma2 2 4 5" xfId="20444"/>
    <cellStyle name="SSComma2 2 4 6" xfId="20445"/>
    <cellStyle name="SSComma2 2 4 7" xfId="20446"/>
    <cellStyle name="SSComma2 2 5" xfId="20447"/>
    <cellStyle name="SSComma2 2 5 2" xfId="20448"/>
    <cellStyle name="SSComma2 2 5 3" xfId="20449"/>
    <cellStyle name="SSComma2 2 5 4" xfId="20450"/>
    <cellStyle name="SSComma2 2 5 5" xfId="20451"/>
    <cellStyle name="SSComma2 2 5 6" xfId="20452"/>
    <cellStyle name="SSComma2 2 5 7" xfId="20453"/>
    <cellStyle name="SSComma2 2 6" xfId="20454"/>
    <cellStyle name="SSComma2 2 6 2" xfId="20455"/>
    <cellStyle name="SSComma2 2 6 3" xfId="20456"/>
    <cellStyle name="SSComma2 2 6 4" xfId="20457"/>
    <cellStyle name="SSComma2 2 6 5" xfId="20458"/>
    <cellStyle name="SSComma2 2 6 6" xfId="20459"/>
    <cellStyle name="SSComma2 2 6 7" xfId="20460"/>
    <cellStyle name="SSComma2 2 7" xfId="20461"/>
    <cellStyle name="SSComma2 2 7 2" xfId="20462"/>
    <cellStyle name="SSComma2 2 7 3" xfId="20463"/>
    <cellStyle name="SSComma2 2 7 4" xfId="20464"/>
    <cellStyle name="SSComma2 2 7 5" xfId="20465"/>
    <cellStyle name="SSComma2 2 7 6" xfId="20466"/>
    <cellStyle name="SSComma2 2 7 7" xfId="20467"/>
    <cellStyle name="SSComma2 2 8" xfId="20468"/>
    <cellStyle name="SSComma2 2 8 2" xfId="20469"/>
    <cellStyle name="SSComma2 2 8 3" xfId="20470"/>
    <cellStyle name="SSComma2 2 8 4" xfId="20471"/>
    <cellStyle name="SSComma2 2 8 5" xfId="20472"/>
    <cellStyle name="SSComma2 2 8 6" xfId="20473"/>
    <cellStyle name="SSComma2 2 8 7" xfId="20474"/>
    <cellStyle name="SSComma2 2 9" xfId="20475"/>
    <cellStyle name="SSComma2 2 9 2" xfId="20476"/>
    <cellStyle name="SSComma2 2 9 3" xfId="20477"/>
    <cellStyle name="SSComma2 2 9 4" xfId="20478"/>
    <cellStyle name="SSComma2 2 9 5" xfId="20479"/>
    <cellStyle name="SSComma2 2 9 6" xfId="20480"/>
    <cellStyle name="SSComma2 2 9 7" xfId="20481"/>
    <cellStyle name="SSComma2 3" xfId="20482"/>
    <cellStyle name="SSComma2 3 10" xfId="20483"/>
    <cellStyle name="SSComma2 3 10 2" xfId="20484"/>
    <cellStyle name="SSComma2 3 10 3" xfId="20485"/>
    <cellStyle name="SSComma2 3 10 4" xfId="20486"/>
    <cellStyle name="SSComma2 3 10 5" xfId="20487"/>
    <cellStyle name="SSComma2 3 10 6" xfId="20488"/>
    <cellStyle name="SSComma2 3 11" xfId="20489"/>
    <cellStyle name="SSComma2 3 12" xfId="20490"/>
    <cellStyle name="SSComma2 3 13" xfId="20491"/>
    <cellStyle name="SSComma2 3 14" xfId="20492"/>
    <cellStyle name="SSComma2 3 15" xfId="20493"/>
    <cellStyle name="SSComma2 3 2" xfId="20494"/>
    <cellStyle name="SSComma2 3 2 2" xfId="20495"/>
    <cellStyle name="SSComma2 3 2 3" xfId="20496"/>
    <cellStyle name="SSComma2 3 2 4" xfId="20497"/>
    <cellStyle name="SSComma2 3 2 5" xfId="20498"/>
    <cellStyle name="SSComma2 3 2 6" xfId="20499"/>
    <cellStyle name="SSComma2 3 2 7" xfId="20500"/>
    <cellStyle name="SSComma2 3 3" xfId="20501"/>
    <cellStyle name="SSComma2 3 3 2" xfId="20502"/>
    <cellStyle name="SSComma2 3 3 3" xfId="20503"/>
    <cellStyle name="SSComma2 3 3 4" xfId="20504"/>
    <cellStyle name="SSComma2 3 3 5" xfId="20505"/>
    <cellStyle name="SSComma2 3 3 6" xfId="20506"/>
    <cellStyle name="SSComma2 3 3 7" xfId="20507"/>
    <cellStyle name="SSComma2 3 4" xfId="20508"/>
    <cellStyle name="SSComma2 3 4 2" xfId="20509"/>
    <cellStyle name="SSComma2 3 4 3" xfId="20510"/>
    <cellStyle name="SSComma2 3 4 4" xfId="20511"/>
    <cellStyle name="SSComma2 3 4 5" xfId="20512"/>
    <cellStyle name="SSComma2 3 4 6" xfId="20513"/>
    <cellStyle name="SSComma2 3 4 7" xfId="20514"/>
    <cellStyle name="SSComma2 3 5" xfId="20515"/>
    <cellStyle name="SSComma2 3 5 2" xfId="20516"/>
    <cellStyle name="SSComma2 3 5 3" xfId="20517"/>
    <cellStyle name="SSComma2 3 5 4" xfId="20518"/>
    <cellStyle name="SSComma2 3 5 5" xfId="20519"/>
    <cellStyle name="SSComma2 3 5 6" xfId="20520"/>
    <cellStyle name="SSComma2 3 5 7" xfId="20521"/>
    <cellStyle name="SSComma2 3 6" xfId="20522"/>
    <cellStyle name="SSComma2 3 6 2" xfId="20523"/>
    <cellStyle name="SSComma2 3 6 3" xfId="20524"/>
    <cellStyle name="SSComma2 3 6 4" xfId="20525"/>
    <cellStyle name="SSComma2 3 6 5" xfId="20526"/>
    <cellStyle name="SSComma2 3 6 6" xfId="20527"/>
    <cellStyle name="SSComma2 3 6 7" xfId="20528"/>
    <cellStyle name="SSComma2 3 7" xfId="20529"/>
    <cellStyle name="SSComma2 3 7 2" xfId="20530"/>
    <cellStyle name="SSComma2 3 7 3" xfId="20531"/>
    <cellStyle name="SSComma2 3 7 4" xfId="20532"/>
    <cellStyle name="SSComma2 3 7 5" xfId="20533"/>
    <cellStyle name="SSComma2 3 7 6" xfId="20534"/>
    <cellStyle name="SSComma2 3 7 7" xfId="20535"/>
    <cellStyle name="SSComma2 3 8" xfId="20536"/>
    <cellStyle name="SSComma2 3 8 2" xfId="20537"/>
    <cellStyle name="SSComma2 3 8 3" xfId="20538"/>
    <cellStyle name="SSComma2 3 8 4" xfId="20539"/>
    <cellStyle name="SSComma2 3 8 5" xfId="20540"/>
    <cellStyle name="SSComma2 3 8 6" xfId="20541"/>
    <cellStyle name="SSComma2 3 8 7" xfId="20542"/>
    <cellStyle name="SSComma2 3 9" xfId="20543"/>
    <cellStyle name="SSComma2 3 9 2" xfId="20544"/>
    <cellStyle name="SSComma2 3 9 3" xfId="20545"/>
    <cellStyle name="SSComma2 3 9 4" xfId="20546"/>
    <cellStyle name="SSComma2 3 9 5" xfId="20547"/>
    <cellStyle name="SSComma2 3 9 6" xfId="20548"/>
    <cellStyle name="SSComma2 3 9 7" xfId="20549"/>
    <cellStyle name="SSComma2 4" xfId="20550"/>
    <cellStyle name="SSComma2 4 2" xfId="20551"/>
    <cellStyle name="SSComma2 4 3" xfId="20552"/>
    <cellStyle name="SSComma2 4 4" xfId="20553"/>
    <cellStyle name="SSComma2 4 5" xfId="20554"/>
    <cellStyle name="SSComma2 4 6" xfId="20555"/>
    <cellStyle name="SSComma2 4 7" xfId="20556"/>
    <cellStyle name="SSComma2 5" xfId="20557"/>
    <cellStyle name="SSComma2 5 2" xfId="20558"/>
    <cellStyle name="SSComma2 5 3" xfId="20559"/>
    <cellStyle name="SSComma2 5 4" xfId="20560"/>
    <cellStyle name="SSComma2 5 5" xfId="20561"/>
    <cellStyle name="SSComma2 5 6" xfId="20562"/>
    <cellStyle name="SSComma2 5 7" xfId="20563"/>
    <cellStyle name="SSComma2 6" xfId="20564"/>
    <cellStyle name="SSComma2 6 2" xfId="20565"/>
    <cellStyle name="SSComma2 6 3" xfId="20566"/>
    <cellStyle name="SSComma2 6 4" xfId="20567"/>
    <cellStyle name="SSComma2 6 5" xfId="20568"/>
    <cellStyle name="SSComma2 6 6" xfId="20569"/>
    <cellStyle name="SSComma2 6 7" xfId="20570"/>
    <cellStyle name="SSComma2 7" xfId="20571"/>
    <cellStyle name="SSComma2 7 2" xfId="20572"/>
    <cellStyle name="SSComma2 7 3" xfId="20573"/>
    <cellStyle name="SSComma2 7 4" xfId="20574"/>
    <cellStyle name="SSComma2 7 5" xfId="20575"/>
    <cellStyle name="SSComma2 7 6" xfId="20576"/>
    <cellStyle name="SSComma2 7 7" xfId="20577"/>
    <cellStyle name="SSComma2 8" xfId="20578"/>
    <cellStyle name="SSComma2 8 2" xfId="20579"/>
    <cellStyle name="SSComma2 8 3" xfId="20580"/>
    <cellStyle name="SSComma2 8 4" xfId="20581"/>
    <cellStyle name="SSComma2 8 5" xfId="20582"/>
    <cellStyle name="SSComma2 8 6" xfId="20583"/>
    <cellStyle name="SSComma2 8 7" xfId="20584"/>
    <cellStyle name="SSComma2 9" xfId="20585"/>
    <cellStyle name="SSComma2 9 2" xfId="20586"/>
    <cellStyle name="SSComma2 9 3" xfId="20587"/>
    <cellStyle name="SSComma2 9 4" xfId="20588"/>
    <cellStyle name="SSComma2 9 5" xfId="20589"/>
    <cellStyle name="SSComma2 9 6" xfId="20590"/>
    <cellStyle name="SSComma2 9 7" xfId="20591"/>
    <cellStyle name="SSDecs3" xfId="20592"/>
    <cellStyle name="SSDecs3 10" xfId="20593"/>
    <cellStyle name="SSDecs3 10 2" xfId="20594"/>
    <cellStyle name="SSDecs3 10 3" xfId="20595"/>
    <cellStyle name="SSDecs3 10 4" xfId="20596"/>
    <cellStyle name="SSDecs3 10 5" xfId="20597"/>
    <cellStyle name="SSDecs3 10 6" xfId="20598"/>
    <cellStyle name="SSDecs3 10 7" xfId="20599"/>
    <cellStyle name="SSDecs3 11" xfId="20600"/>
    <cellStyle name="SSDecs3 11 2" xfId="20601"/>
    <cellStyle name="SSDecs3 11 3" xfId="20602"/>
    <cellStyle name="SSDecs3 11 4" xfId="20603"/>
    <cellStyle name="SSDecs3 11 5" xfId="20604"/>
    <cellStyle name="SSDecs3 11 6" xfId="20605"/>
    <cellStyle name="SSDecs3 12" xfId="20606"/>
    <cellStyle name="SSDecs3 13" xfId="20607"/>
    <cellStyle name="SSDecs3 14" xfId="20608"/>
    <cellStyle name="SSDecs3 15" xfId="20609"/>
    <cellStyle name="SSDecs3 16" xfId="20610"/>
    <cellStyle name="SSDecs3 2" xfId="20611"/>
    <cellStyle name="SSDecs3 2 10" xfId="20612"/>
    <cellStyle name="SSDecs3 2 10 2" xfId="20613"/>
    <cellStyle name="SSDecs3 2 10 3" xfId="20614"/>
    <cellStyle name="SSDecs3 2 10 4" xfId="20615"/>
    <cellStyle name="SSDecs3 2 10 5" xfId="20616"/>
    <cellStyle name="SSDecs3 2 10 6" xfId="20617"/>
    <cellStyle name="SSDecs3 2 11" xfId="20618"/>
    <cellStyle name="SSDecs3 2 12" xfId="20619"/>
    <cellStyle name="SSDecs3 2 13" xfId="20620"/>
    <cellStyle name="SSDecs3 2 14" xfId="20621"/>
    <cellStyle name="SSDecs3 2 15" xfId="20622"/>
    <cellStyle name="SSDecs3 2 2" xfId="20623"/>
    <cellStyle name="SSDecs3 2 2 2" xfId="20624"/>
    <cellStyle name="SSDecs3 2 2 3" xfId="20625"/>
    <cellStyle name="SSDecs3 2 2 4" xfId="20626"/>
    <cellStyle name="SSDecs3 2 2 5" xfId="20627"/>
    <cellStyle name="SSDecs3 2 2 6" xfId="20628"/>
    <cellStyle name="SSDecs3 2 2 7" xfId="20629"/>
    <cellStyle name="SSDecs3 2 3" xfId="20630"/>
    <cellStyle name="SSDecs3 2 3 2" xfId="20631"/>
    <cellStyle name="SSDecs3 2 3 3" xfId="20632"/>
    <cellStyle name="SSDecs3 2 3 4" xfId="20633"/>
    <cellStyle name="SSDecs3 2 3 5" xfId="20634"/>
    <cellStyle name="SSDecs3 2 3 6" xfId="20635"/>
    <cellStyle name="SSDecs3 2 3 7" xfId="20636"/>
    <cellStyle name="SSDecs3 2 4" xfId="20637"/>
    <cellStyle name="SSDecs3 2 4 2" xfId="20638"/>
    <cellStyle name="SSDecs3 2 4 3" xfId="20639"/>
    <cellStyle name="SSDecs3 2 4 4" xfId="20640"/>
    <cellStyle name="SSDecs3 2 4 5" xfId="20641"/>
    <cellStyle name="SSDecs3 2 4 6" xfId="20642"/>
    <cellStyle name="SSDecs3 2 4 7" xfId="20643"/>
    <cellStyle name="SSDecs3 2 5" xfId="20644"/>
    <cellStyle name="SSDecs3 2 5 2" xfId="20645"/>
    <cellStyle name="SSDecs3 2 5 3" xfId="20646"/>
    <cellStyle name="SSDecs3 2 5 4" xfId="20647"/>
    <cellStyle name="SSDecs3 2 5 5" xfId="20648"/>
    <cellStyle name="SSDecs3 2 5 6" xfId="20649"/>
    <cellStyle name="SSDecs3 2 5 7" xfId="20650"/>
    <cellStyle name="SSDecs3 2 6" xfId="20651"/>
    <cellStyle name="SSDecs3 2 6 2" xfId="20652"/>
    <cellStyle name="SSDecs3 2 6 3" xfId="20653"/>
    <cellStyle name="SSDecs3 2 6 4" xfId="20654"/>
    <cellStyle name="SSDecs3 2 6 5" xfId="20655"/>
    <cellStyle name="SSDecs3 2 6 6" xfId="20656"/>
    <cellStyle name="SSDecs3 2 6 7" xfId="20657"/>
    <cellStyle name="SSDecs3 2 7" xfId="20658"/>
    <cellStyle name="SSDecs3 2 7 2" xfId="20659"/>
    <cellStyle name="SSDecs3 2 7 3" xfId="20660"/>
    <cellStyle name="SSDecs3 2 7 4" xfId="20661"/>
    <cellStyle name="SSDecs3 2 7 5" xfId="20662"/>
    <cellStyle name="SSDecs3 2 7 6" xfId="20663"/>
    <cellStyle name="SSDecs3 2 7 7" xfId="20664"/>
    <cellStyle name="SSDecs3 2 8" xfId="20665"/>
    <cellStyle name="SSDecs3 2 8 2" xfId="20666"/>
    <cellStyle name="SSDecs3 2 8 3" xfId="20667"/>
    <cellStyle name="SSDecs3 2 8 4" xfId="20668"/>
    <cellStyle name="SSDecs3 2 8 5" xfId="20669"/>
    <cellStyle name="SSDecs3 2 8 6" xfId="20670"/>
    <cellStyle name="SSDecs3 2 8 7" xfId="20671"/>
    <cellStyle name="SSDecs3 2 9" xfId="20672"/>
    <cellStyle name="SSDecs3 2 9 2" xfId="20673"/>
    <cellStyle name="SSDecs3 2 9 3" xfId="20674"/>
    <cellStyle name="SSDecs3 2 9 4" xfId="20675"/>
    <cellStyle name="SSDecs3 2 9 5" xfId="20676"/>
    <cellStyle name="SSDecs3 2 9 6" xfId="20677"/>
    <cellStyle name="SSDecs3 2 9 7" xfId="20678"/>
    <cellStyle name="SSDecs3 3" xfId="20679"/>
    <cellStyle name="SSDecs3 3 2" xfId="20680"/>
    <cellStyle name="SSDecs3 3 3" xfId="20681"/>
    <cellStyle name="SSDecs3 3 4" xfId="20682"/>
    <cellStyle name="SSDecs3 3 5" xfId="20683"/>
    <cellStyle name="SSDecs3 3 6" xfId="20684"/>
    <cellStyle name="SSDecs3 3 7" xfId="20685"/>
    <cellStyle name="SSDecs3 4" xfId="20686"/>
    <cellStyle name="SSDecs3 4 2" xfId="20687"/>
    <cellStyle name="SSDecs3 4 3" xfId="20688"/>
    <cellStyle name="SSDecs3 4 4" xfId="20689"/>
    <cellStyle name="SSDecs3 4 5" xfId="20690"/>
    <cellStyle name="SSDecs3 4 6" xfId="20691"/>
    <cellStyle name="SSDecs3 4 7" xfId="20692"/>
    <cellStyle name="SSDecs3 5" xfId="20693"/>
    <cellStyle name="SSDecs3 5 2" xfId="20694"/>
    <cellStyle name="SSDecs3 5 3" xfId="20695"/>
    <cellStyle name="SSDecs3 5 4" xfId="20696"/>
    <cellStyle name="SSDecs3 5 5" xfId="20697"/>
    <cellStyle name="SSDecs3 5 6" xfId="20698"/>
    <cellStyle name="SSDecs3 5 7" xfId="20699"/>
    <cellStyle name="SSDecs3 6" xfId="20700"/>
    <cellStyle name="SSDecs3 6 2" xfId="20701"/>
    <cellStyle name="SSDecs3 6 3" xfId="20702"/>
    <cellStyle name="SSDecs3 6 4" xfId="20703"/>
    <cellStyle name="SSDecs3 6 5" xfId="20704"/>
    <cellStyle name="SSDecs3 6 6" xfId="20705"/>
    <cellStyle name="SSDecs3 6 7" xfId="20706"/>
    <cellStyle name="SSDecs3 7" xfId="20707"/>
    <cellStyle name="SSDecs3 7 2" xfId="20708"/>
    <cellStyle name="SSDecs3 7 3" xfId="20709"/>
    <cellStyle name="SSDecs3 7 4" xfId="20710"/>
    <cellStyle name="SSDecs3 7 5" xfId="20711"/>
    <cellStyle name="SSDecs3 7 6" xfId="20712"/>
    <cellStyle name="SSDecs3 7 7" xfId="20713"/>
    <cellStyle name="SSDecs3 8" xfId="20714"/>
    <cellStyle name="SSDecs3 8 2" xfId="20715"/>
    <cellStyle name="SSDecs3 8 3" xfId="20716"/>
    <cellStyle name="SSDecs3 8 4" xfId="20717"/>
    <cellStyle name="SSDecs3 8 5" xfId="20718"/>
    <cellStyle name="SSDecs3 8 6" xfId="20719"/>
    <cellStyle name="SSDecs3 8 7" xfId="20720"/>
    <cellStyle name="SSDecs3 9" xfId="20721"/>
    <cellStyle name="SSDecs3 9 2" xfId="20722"/>
    <cellStyle name="SSDecs3 9 3" xfId="20723"/>
    <cellStyle name="SSDecs3 9 4" xfId="20724"/>
    <cellStyle name="SSDecs3 9 5" xfId="20725"/>
    <cellStyle name="SSDecs3 9 6" xfId="20726"/>
    <cellStyle name="SSDecs3 9 7" xfId="20727"/>
    <cellStyle name="SSDflt" xfId="20728"/>
    <cellStyle name="SSDfltPct" xfId="20729"/>
    <cellStyle name="SSDfltPct 10" xfId="20730"/>
    <cellStyle name="SSDfltPct 10 2" xfId="20731"/>
    <cellStyle name="SSDfltPct 10 3" xfId="20732"/>
    <cellStyle name="SSDfltPct 10 4" xfId="20733"/>
    <cellStyle name="SSDfltPct 10 5" xfId="20734"/>
    <cellStyle name="SSDfltPct 10 6" xfId="20735"/>
    <cellStyle name="SSDfltPct 10 7" xfId="20736"/>
    <cellStyle name="SSDfltPct 11" xfId="20737"/>
    <cellStyle name="SSDfltPct 11 2" xfId="20738"/>
    <cellStyle name="SSDfltPct 11 3" xfId="20739"/>
    <cellStyle name="SSDfltPct 11 4" xfId="20740"/>
    <cellStyle name="SSDfltPct 11 5" xfId="20741"/>
    <cellStyle name="SSDfltPct 11 6" xfId="20742"/>
    <cellStyle name="SSDfltPct 11 7" xfId="20743"/>
    <cellStyle name="SSDfltPct 12" xfId="20744"/>
    <cellStyle name="SSDfltPct 12 2" xfId="20745"/>
    <cellStyle name="SSDfltPct 12 3" xfId="20746"/>
    <cellStyle name="SSDfltPct 12 4" xfId="20747"/>
    <cellStyle name="SSDfltPct 12 5" xfId="20748"/>
    <cellStyle name="SSDfltPct 12 6" xfId="20749"/>
    <cellStyle name="SSDfltPct 13" xfId="20750"/>
    <cellStyle name="SSDfltPct 14" xfId="20751"/>
    <cellStyle name="SSDfltPct 15" xfId="20752"/>
    <cellStyle name="SSDfltPct 16" xfId="20753"/>
    <cellStyle name="SSDfltPct 17" xfId="20754"/>
    <cellStyle name="SSDfltPct 2" xfId="20755"/>
    <cellStyle name="SSDfltPct 2 10" xfId="20756"/>
    <cellStyle name="SSDfltPct 2 10 2" xfId="20757"/>
    <cellStyle name="SSDfltPct 2 10 3" xfId="20758"/>
    <cellStyle name="SSDfltPct 2 10 4" xfId="20759"/>
    <cellStyle name="SSDfltPct 2 10 5" xfId="20760"/>
    <cellStyle name="SSDfltPct 2 10 6" xfId="20761"/>
    <cellStyle name="SSDfltPct 2 10 7" xfId="20762"/>
    <cellStyle name="SSDfltPct 2 11" xfId="20763"/>
    <cellStyle name="SSDfltPct 2 11 2" xfId="20764"/>
    <cellStyle name="SSDfltPct 2 11 3" xfId="20765"/>
    <cellStyle name="SSDfltPct 2 11 4" xfId="20766"/>
    <cellStyle name="SSDfltPct 2 11 5" xfId="20767"/>
    <cellStyle name="SSDfltPct 2 11 6" xfId="20768"/>
    <cellStyle name="SSDfltPct 2 12" xfId="20769"/>
    <cellStyle name="SSDfltPct 2 13" xfId="20770"/>
    <cellStyle name="SSDfltPct 2 14" xfId="20771"/>
    <cellStyle name="SSDfltPct 2 15" xfId="20772"/>
    <cellStyle name="SSDfltPct 2 16" xfId="20773"/>
    <cellStyle name="SSDfltPct 2 2" xfId="20774"/>
    <cellStyle name="SSDfltPct 2 2 10" xfId="20775"/>
    <cellStyle name="SSDfltPct 2 2 10 2" xfId="20776"/>
    <cellStyle name="SSDfltPct 2 2 10 3" xfId="20777"/>
    <cellStyle name="SSDfltPct 2 2 10 4" xfId="20778"/>
    <cellStyle name="SSDfltPct 2 2 10 5" xfId="20779"/>
    <cellStyle name="SSDfltPct 2 2 10 6" xfId="20780"/>
    <cellStyle name="SSDfltPct 2 2 11" xfId="20781"/>
    <cellStyle name="SSDfltPct 2 2 12" xfId="20782"/>
    <cellStyle name="SSDfltPct 2 2 13" xfId="20783"/>
    <cellStyle name="SSDfltPct 2 2 14" xfId="20784"/>
    <cellStyle name="SSDfltPct 2 2 15" xfId="20785"/>
    <cellStyle name="SSDfltPct 2 2 2" xfId="20786"/>
    <cellStyle name="SSDfltPct 2 2 2 2" xfId="20787"/>
    <cellStyle name="SSDfltPct 2 2 2 3" xfId="20788"/>
    <cellStyle name="SSDfltPct 2 2 2 4" xfId="20789"/>
    <cellStyle name="SSDfltPct 2 2 2 5" xfId="20790"/>
    <cellStyle name="SSDfltPct 2 2 2 6" xfId="20791"/>
    <cellStyle name="SSDfltPct 2 2 2 7" xfId="20792"/>
    <cellStyle name="SSDfltPct 2 2 3" xfId="20793"/>
    <cellStyle name="SSDfltPct 2 2 3 2" xfId="20794"/>
    <cellStyle name="SSDfltPct 2 2 3 3" xfId="20795"/>
    <cellStyle name="SSDfltPct 2 2 3 4" xfId="20796"/>
    <cellStyle name="SSDfltPct 2 2 3 5" xfId="20797"/>
    <cellStyle name="SSDfltPct 2 2 3 6" xfId="20798"/>
    <cellStyle name="SSDfltPct 2 2 3 7" xfId="20799"/>
    <cellStyle name="SSDfltPct 2 2 4" xfId="20800"/>
    <cellStyle name="SSDfltPct 2 2 4 2" xfId="20801"/>
    <cellStyle name="SSDfltPct 2 2 4 3" xfId="20802"/>
    <cellStyle name="SSDfltPct 2 2 4 4" xfId="20803"/>
    <cellStyle name="SSDfltPct 2 2 4 5" xfId="20804"/>
    <cellStyle name="SSDfltPct 2 2 4 6" xfId="20805"/>
    <cellStyle name="SSDfltPct 2 2 4 7" xfId="20806"/>
    <cellStyle name="SSDfltPct 2 2 5" xfId="20807"/>
    <cellStyle name="SSDfltPct 2 2 5 2" xfId="20808"/>
    <cellStyle name="SSDfltPct 2 2 5 3" xfId="20809"/>
    <cellStyle name="SSDfltPct 2 2 5 4" xfId="20810"/>
    <cellStyle name="SSDfltPct 2 2 5 5" xfId="20811"/>
    <cellStyle name="SSDfltPct 2 2 5 6" xfId="20812"/>
    <cellStyle name="SSDfltPct 2 2 5 7" xfId="20813"/>
    <cellStyle name="SSDfltPct 2 2 6" xfId="20814"/>
    <cellStyle name="SSDfltPct 2 2 6 2" xfId="20815"/>
    <cellStyle name="SSDfltPct 2 2 6 3" xfId="20816"/>
    <cellStyle name="SSDfltPct 2 2 6 4" xfId="20817"/>
    <cellStyle name="SSDfltPct 2 2 6 5" xfId="20818"/>
    <cellStyle name="SSDfltPct 2 2 6 6" xfId="20819"/>
    <cellStyle name="SSDfltPct 2 2 6 7" xfId="20820"/>
    <cellStyle name="SSDfltPct 2 2 7" xfId="20821"/>
    <cellStyle name="SSDfltPct 2 2 7 2" xfId="20822"/>
    <cellStyle name="SSDfltPct 2 2 7 3" xfId="20823"/>
    <cellStyle name="SSDfltPct 2 2 7 4" xfId="20824"/>
    <cellStyle name="SSDfltPct 2 2 7 5" xfId="20825"/>
    <cellStyle name="SSDfltPct 2 2 7 6" xfId="20826"/>
    <cellStyle name="SSDfltPct 2 2 7 7" xfId="20827"/>
    <cellStyle name="SSDfltPct 2 2 8" xfId="20828"/>
    <cellStyle name="SSDfltPct 2 2 8 2" xfId="20829"/>
    <cellStyle name="SSDfltPct 2 2 8 3" xfId="20830"/>
    <cellStyle name="SSDfltPct 2 2 8 4" xfId="20831"/>
    <cellStyle name="SSDfltPct 2 2 8 5" xfId="20832"/>
    <cellStyle name="SSDfltPct 2 2 8 6" xfId="20833"/>
    <cellStyle name="SSDfltPct 2 2 8 7" xfId="20834"/>
    <cellStyle name="SSDfltPct 2 2 9" xfId="20835"/>
    <cellStyle name="SSDfltPct 2 2 9 2" xfId="20836"/>
    <cellStyle name="SSDfltPct 2 2 9 3" xfId="20837"/>
    <cellStyle name="SSDfltPct 2 2 9 4" xfId="20838"/>
    <cellStyle name="SSDfltPct 2 2 9 5" xfId="20839"/>
    <cellStyle name="SSDfltPct 2 2 9 6" xfId="20840"/>
    <cellStyle name="SSDfltPct 2 2 9 7" xfId="20841"/>
    <cellStyle name="SSDfltPct 2 3" xfId="20842"/>
    <cellStyle name="SSDfltPct 2 3 2" xfId="20843"/>
    <cellStyle name="SSDfltPct 2 3 3" xfId="20844"/>
    <cellStyle name="SSDfltPct 2 3 4" xfId="20845"/>
    <cellStyle name="SSDfltPct 2 3 5" xfId="20846"/>
    <cellStyle name="SSDfltPct 2 3 6" xfId="20847"/>
    <cellStyle name="SSDfltPct 2 3 7" xfId="20848"/>
    <cellStyle name="SSDfltPct 2 4" xfId="20849"/>
    <cellStyle name="SSDfltPct 2 4 2" xfId="20850"/>
    <cellStyle name="SSDfltPct 2 4 3" xfId="20851"/>
    <cellStyle name="SSDfltPct 2 4 4" xfId="20852"/>
    <cellStyle name="SSDfltPct 2 4 5" xfId="20853"/>
    <cellStyle name="SSDfltPct 2 4 6" xfId="20854"/>
    <cellStyle name="SSDfltPct 2 4 7" xfId="20855"/>
    <cellStyle name="SSDfltPct 2 5" xfId="20856"/>
    <cellStyle name="SSDfltPct 2 5 2" xfId="20857"/>
    <cellStyle name="SSDfltPct 2 5 3" xfId="20858"/>
    <cellStyle name="SSDfltPct 2 5 4" xfId="20859"/>
    <cellStyle name="SSDfltPct 2 5 5" xfId="20860"/>
    <cellStyle name="SSDfltPct 2 5 6" xfId="20861"/>
    <cellStyle name="SSDfltPct 2 5 7" xfId="20862"/>
    <cellStyle name="SSDfltPct 2 6" xfId="20863"/>
    <cellStyle name="SSDfltPct 2 6 2" xfId="20864"/>
    <cellStyle name="SSDfltPct 2 6 3" xfId="20865"/>
    <cellStyle name="SSDfltPct 2 6 4" xfId="20866"/>
    <cellStyle name="SSDfltPct 2 6 5" xfId="20867"/>
    <cellStyle name="SSDfltPct 2 6 6" xfId="20868"/>
    <cellStyle name="SSDfltPct 2 6 7" xfId="20869"/>
    <cellStyle name="SSDfltPct 2 7" xfId="20870"/>
    <cellStyle name="SSDfltPct 2 7 2" xfId="20871"/>
    <cellStyle name="SSDfltPct 2 7 3" xfId="20872"/>
    <cellStyle name="SSDfltPct 2 7 4" xfId="20873"/>
    <cellStyle name="SSDfltPct 2 7 5" xfId="20874"/>
    <cellStyle name="SSDfltPct 2 7 6" xfId="20875"/>
    <cellStyle name="SSDfltPct 2 7 7" xfId="20876"/>
    <cellStyle name="SSDfltPct 2 8" xfId="20877"/>
    <cellStyle name="SSDfltPct 2 8 2" xfId="20878"/>
    <cellStyle name="SSDfltPct 2 8 3" xfId="20879"/>
    <cellStyle name="SSDfltPct 2 8 4" xfId="20880"/>
    <cellStyle name="SSDfltPct 2 8 5" xfId="20881"/>
    <cellStyle name="SSDfltPct 2 8 6" xfId="20882"/>
    <cellStyle name="SSDfltPct 2 8 7" xfId="20883"/>
    <cellStyle name="SSDfltPct 2 9" xfId="20884"/>
    <cellStyle name="SSDfltPct 2 9 2" xfId="20885"/>
    <cellStyle name="SSDfltPct 2 9 3" xfId="20886"/>
    <cellStyle name="SSDfltPct 2 9 4" xfId="20887"/>
    <cellStyle name="SSDfltPct 2 9 5" xfId="20888"/>
    <cellStyle name="SSDfltPct 2 9 6" xfId="20889"/>
    <cellStyle name="SSDfltPct 2 9 7" xfId="20890"/>
    <cellStyle name="SSDfltPct 3" xfId="20891"/>
    <cellStyle name="SSDfltPct 3 10" xfId="20892"/>
    <cellStyle name="SSDfltPct 3 10 2" xfId="20893"/>
    <cellStyle name="SSDfltPct 3 10 3" xfId="20894"/>
    <cellStyle name="SSDfltPct 3 10 4" xfId="20895"/>
    <cellStyle name="SSDfltPct 3 10 5" xfId="20896"/>
    <cellStyle name="SSDfltPct 3 10 6" xfId="20897"/>
    <cellStyle name="SSDfltPct 3 11" xfId="20898"/>
    <cellStyle name="SSDfltPct 3 12" xfId="20899"/>
    <cellStyle name="SSDfltPct 3 13" xfId="20900"/>
    <cellStyle name="SSDfltPct 3 14" xfId="20901"/>
    <cellStyle name="SSDfltPct 3 15" xfId="20902"/>
    <cellStyle name="SSDfltPct 3 2" xfId="20903"/>
    <cellStyle name="SSDfltPct 3 2 2" xfId="20904"/>
    <cellStyle name="SSDfltPct 3 2 3" xfId="20905"/>
    <cellStyle name="SSDfltPct 3 2 4" xfId="20906"/>
    <cellStyle name="SSDfltPct 3 2 5" xfId="20907"/>
    <cellStyle name="SSDfltPct 3 2 6" xfId="20908"/>
    <cellStyle name="SSDfltPct 3 2 7" xfId="20909"/>
    <cellStyle name="SSDfltPct 3 3" xfId="20910"/>
    <cellStyle name="SSDfltPct 3 3 2" xfId="20911"/>
    <cellStyle name="SSDfltPct 3 3 3" xfId="20912"/>
    <cellStyle name="SSDfltPct 3 3 4" xfId="20913"/>
    <cellStyle name="SSDfltPct 3 3 5" xfId="20914"/>
    <cellStyle name="SSDfltPct 3 3 6" xfId="20915"/>
    <cellStyle name="SSDfltPct 3 3 7" xfId="20916"/>
    <cellStyle name="SSDfltPct 3 4" xfId="20917"/>
    <cellStyle name="SSDfltPct 3 4 2" xfId="20918"/>
    <cellStyle name="SSDfltPct 3 4 3" xfId="20919"/>
    <cellStyle name="SSDfltPct 3 4 4" xfId="20920"/>
    <cellStyle name="SSDfltPct 3 4 5" xfId="20921"/>
    <cellStyle name="SSDfltPct 3 4 6" xfId="20922"/>
    <cellStyle name="SSDfltPct 3 4 7" xfId="20923"/>
    <cellStyle name="SSDfltPct 3 5" xfId="20924"/>
    <cellStyle name="SSDfltPct 3 5 2" xfId="20925"/>
    <cellStyle name="SSDfltPct 3 5 3" xfId="20926"/>
    <cellStyle name="SSDfltPct 3 5 4" xfId="20927"/>
    <cellStyle name="SSDfltPct 3 5 5" xfId="20928"/>
    <cellStyle name="SSDfltPct 3 5 6" xfId="20929"/>
    <cellStyle name="SSDfltPct 3 5 7" xfId="20930"/>
    <cellStyle name="SSDfltPct 3 6" xfId="20931"/>
    <cellStyle name="SSDfltPct 3 6 2" xfId="20932"/>
    <cellStyle name="SSDfltPct 3 6 3" xfId="20933"/>
    <cellStyle name="SSDfltPct 3 6 4" xfId="20934"/>
    <cellStyle name="SSDfltPct 3 6 5" xfId="20935"/>
    <cellStyle name="SSDfltPct 3 6 6" xfId="20936"/>
    <cellStyle name="SSDfltPct 3 6 7" xfId="20937"/>
    <cellStyle name="SSDfltPct 3 7" xfId="20938"/>
    <cellStyle name="SSDfltPct 3 7 2" xfId="20939"/>
    <cellStyle name="SSDfltPct 3 7 3" xfId="20940"/>
    <cellStyle name="SSDfltPct 3 7 4" xfId="20941"/>
    <cellStyle name="SSDfltPct 3 7 5" xfId="20942"/>
    <cellStyle name="SSDfltPct 3 7 6" xfId="20943"/>
    <cellStyle name="SSDfltPct 3 7 7" xfId="20944"/>
    <cellStyle name="SSDfltPct 3 8" xfId="20945"/>
    <cellStyle name="SSDfltPct 3 8 2" xfId="20946"/>
    <cellStyle name="SSDfltPct 3 8 3" xfId="20947"/>
    <cellStyle name="SSDfltPct 3 8 4" xfId="20948"/>
    <cellStyle name="SSDfltPct 3 8 5" xfId="20949"/>
    <cellStyle name="SSDfltPct 3 8 6" xfId="20950"/>
    <cellStyle name="SSDfltPct 3 8 7" xfId="20951"/>
    <cellStyle name="SSDfltPct 3 9" xfId="20952"/>
    <cellStyle name="SSDfltPct 3 9 2" xfId="20953"/>
    <cellStyle name="SSDfltPct 3 9 3" xfId="20954"/>
    <cellStyle name="SSDfltPct 3 9 4" xfId="20955"/>
    <cellStyle name="SSDfltPct 3 9 5" xfId="20956"/>
    <cellStyle name="SSDfltPct 3 9 6" xfId="20957"/>
    <cellStyle name="SSDfltPct 3 9 7" xfId="20958"/>
    <cellStyle name="SSDfltPct 4" xfId="20959"/>
    <cellStyle name="SSDfltPct 4 2" xfId="20960"/>
    <cellStyle name="SSDfltPct 4 3" xfId="20961"/>
    <cellStyle name="SSDfltPct 4 4" xfId="20962"/>
    <cellStyle name="SSDfltPct 4 5" xfId="20963"/>
    <cellStyle name="SSDfltPct 4 6" xfId="20964"/>
    <cellStyle name="SSDfltPct 4 7" xfId="20965"/>
    <cellStyle name="SSDfltPct 5" xfId="20966"/>
    <cellStyle name="SSDfltPct 5 2" xfId="20967"/>
    <cellStyle name="SSDfltPct 5 3" xfId="20968"/>
    <cellStyle name="SSDfltPct 5 4" xfId="20969"/>
    <cellStyle name="SSDfltPct 5 5" xfId="20970"/>
    <cellStyle name="SSDfltPct 5 6" xfId="20971"/>
    <cellStyle name="SSDfltPct 5 7" xfId="20972"/>
    <cellStyle name="SSDfltPct 6" xfId="20973"/>
    <cellStyle name="SSDfltPct 6 2" xfId="20974"/>
    <cellStyle name="SSDfltPct 6 3" xfId="20975"/>
    <cellStyle name="SSDfltPct 6 4" xfId="20976"/>
    <cellStyle name="SSDfltPct 6 5" xfId="20977"/>
    <cellStyle name="SSDfltPct 6 6" xfId="20978"/>
    <cellStyle name="SSDfltPct 6 7" xfId="20979"/>
    <cellStyle name="SSDfltPct 7" xfId="20980"/>
    <cellStyle name="SSDfltPct 7 2" xfId="20981"/>
    <cellStyle name="SSDfltPct 7 3" xfId="20982"/>
    <cellStyle name="SSDfltPct 7 4" xfId="20983"/>
    <cellStyle name="SSDfltPct 7 5" xfId="20984"/>
    <cellStyle name="SSDfltPct 7 6" xfId="20985"/>
    <cellStyle name="SSDfltPct 7 7" xfId="20986"/>
    <cellStyle name="SSDfltPct 8" xfId="20987"/>
    <cellStyle name="SSDfltPct 8 2" xfId="20988"/>
    <cellStyle name="SSDfltPct 8 3" xfId="20989"/>
    <cellStyle name="SSDfltPct 8 4" xfId="20990"/>
    <cellStyle name="SSDfltPct 8 5" xfId="20991"/>
    <cellStyle name="SSDfltPct 8 6" xfId="20992"/>
    <cellStyle name="SSDfltPct 8 7" xfId="20993"/>
    <cellStyle name="SSDfltPct 9" xfId="20994"/>
    <cellStyle name="SSDfltPct 9 2" xfId="20995"/>
    <cellStyle name="SSDfltPct 9 3" xfId="20996"/>
    <cellStyle name="SSDfltPct 9 4" xfId="20997"/>
    <cellStyle name="SSDfltPct 9 5" xfId="20998"/>
    <cellStyle name="SSDfltPct 9 6" xfId="20999"/>
    <cellStyle name="SSDfltPct 9 7" xfId="21000"/>
    <cellStyle name="SSDfltPct0" xfId="21001"/>
    <cellStyle name="SSDfltPct0 10" xfId="21002"/>
    <cellStyle name="SSDfltPct0 10 2" xfId="21003"/>
    <cellStyle name="SSDfltPct0 10 3" xfId="21004"/>
    <cellStyle name="SSDfltPct0 10 4" xfId="21005"/>
    <cellStyle name="SSDfltPct0 10 5" xfId="21006"/>
    <cellStyle name="SSDfltPct0 10 6" xfId="21007"/>
    <cellStyle name="SSDfltPct0 10 7" xfId="21008"/>
    <cellStyle name="SSDfltPct0 11" xfId="21009"/>
    <cellStyle name="SSDfltPct0 11 2" xfId="21010"/>
    <cellStyle name="SSDfltPct0 11 3" xfId="21011"/>
    <cellStyle name="SSDfltPct0 11 4" xfId="21012"/>
    <cellStyle name="SSDfltPct0 11 5" xfId="21013"/>
    <cellStyle name="SSDfltPct0 11 6" xfId="21014"/>
    <cellStyle name="SSDfltPct0 11 7" xfId="21015"/>
    <cellStyle name="SSDfltPct0 12" xfId="21016"/>
    <cellStyle name="SSDfltPct0 12 2" xfId="21017"/>
    <cellStyle name="SSDfltPct0 12 3" xfId="21018"/>
    <cellStyle name="SSDfltPct0 12 4" xfId="21019"/>
    <cellStyle name="SSDfltPct0 12 5" xfId="21020"/>
    <cellStyle name="SSDfltPct0 12 6" xfId="21021"/>
    <cellStyle name="SSDfltPct0 13" xfId="21022"/>
    <cellStyle name="SSDfltPct0 14" xfId="21023"/>
    <cellStyle name="SSDfltPct0 15" xfId="21024"/>
    <cellStyle name="SSDfltPct0 16" xfId="21025"/>
    <cellStyle name="SSDfltPct0 17" xfId="21026"/>
    <cellStyle name="SSDfltPct0 2" xfId="21027"/>
    <cellStyle name="SSDfltPct0 2 10" xfId="21028"/>
    <cellStyle name="SSDfltPct0 2 10 2" xfId="21029"/>
    <cellStyle name="SSDfltPct0 2 10 3" xfId="21030"/>
    <cellStyle name="SSDfltPct0 2 10 4" xfId="21031"/>
    <cellStyle name="SSDfltPct0 2 10 5" xfId="21032"/>
    <cellStyle name="SSDfltPct0 2 10 6" xfId="21033"/>
    <cellStyle name="SSDfltPct0 2 10 7" xfId="21034"/>
    <cellStyle name="SSDfltPct0 2 11" xfId="21035"/>
    <cellStyle name="SSDfltPct0 2 11 2" xfId="21036"/>
    <cellStyle name="SSDfltPct0 2 11 3" xfId="21037"/>
    <cellStyle name="SSDfltPct0 2 11 4" xfId="21038"/>
    <cellStyle name="SSDfltPct0 2 11 5" xfId="21039"/>
    <cellStyle name="SSDfltPct0 2 11 6" xfId="21040"/>
    <cellStyle name="SSDfltPct0 2 12" xfId="21041"/>
    <cellStyle name="SSDfltPct0 2 13" xfId="21042"/>
    <cellStyle name="SSDfltPct0 2 14" xfId="21043"/>
    <cellStyle name="SSDfltPct0 2 15" xfId="21044"/>
    <cellStyle name="SSDfltPct0 2 16" xfId="21045"/>
    <cellStyle name="SSDfltPct0 2 2" xfId="21046"/>
    <cellStyle name="SSDfltPct0 2 2 10" xfId="21047"/>
    <cellStyle name="SSDfltPct0 2 2 10 2" xfId="21048"/>
    <cellStyle name="SSDfltPct0 2 2 10 3" xfId="21049"/>
    <cellStyle name="SSDfltPct0 2 2 10 4" xfId="21050"/>
    <cellStyle name="SSDfltPct0 2 2 10 5" xfId="21051"/>
    <cellStyle name="SSDfltPct0 2 2 10 6" xfId="21052"/>
    <cellStyle name="SSDfltPct0 2 2 11" xfId="21053"/>
    <cellStyle name="SSDfltPct0 2 2 12" xfId="21054"/>
    <cellStyle name="SSDfltPct0 2 2 13" xfId="21055"/>
    <cellStyle name="SSDfltPct0 2 2 14" xfId="21056"/>
    <cellStyle name="SSDfltPct0 2 2 15" xfId="21057"/>
    <cellStyle name="SSDfltPct0 2 2 2" xfId="21058"/>
    <cellStyle name="SSDfltPct0 2 2 2 2" xfId="21059"/>
    <cellStyle name="SSDfltPct0 2 2 2 3" xfId="21060"/>
    <cellStyle name="SSDfltPct0 2 2 2 4" xfId="21061"/>
    <cellStyle name="SSDfltPct0 2 2 2 5" xfId="21062"/>
    <cellStyle name="SSDfltPct0 2 2 2 6" xfId="21063"/>
    <cellStyle name="SSDfltPct0 2 2 2 7" xfId="21064"/>
    <cellStyle name="SSDfltPct0 2 2 3" xfId="21065"/>
    <cellStyle name="SSDfltPct0 2 2 3 2" xfId="21066"/>
    <cellStyle name="SSDfltPct0 2 2 3 3" xfId="21067"/>
    <cellStyle name="SSDfltPct0 2 2 3 4" xfId="21068"/>
    <cellStyle name="SSDfltPct0 2 2 3 5" xfId="21069"/>
    <cellStyle name="SSDfltPct0 2 2 3 6" xfId="21070"/>
    <cellStyle name="SSDfltPct0 2 2 3 7" xfId="21071"/>
    <cellStyle name="SSDfltPct0 2 2 4" xfId="21072"/>
    <cellStyle name="SSDfltPct0 2 2 4 2" xfId="21073"/>
    <cellStyle name="SSDfltPct0 2 2 4 3" xfId="21074"/>
    <cellStyle name="SSDfltPct0 2 2 4 4" xfId="21075"/>
    <cellStyle name="SSDfltPct0 2 2 4 5" xfId="21076"/>
    <cellStyle name="SSDfltPct0 2 2 4 6" xfId="21077"/>
    <cellStyle name="SSDfltPct0 2 2 4 7" xfId="21078"/>
    <cellStyle name="SSDfltPct0 2 2 5" xfId="21079"/>
    <cellStyle name="SSDfltPct0 2 2 5 2" xfId="21080"/>
    <cellStyle name="SSDfltPct0 2 2 5 3" xfId="21081"/>
    <cellStyle name="SSDfltPct0 2 2 5 4" xfId="21082"/>
    <cellStyle name="SSDfltPct0 2 2 5 5" xfId="21083"/>
    <cellStyle name="SSDfltPct0 2 2 5 6" xfId="21084"/>
    <cellStyle name="SSDfltPct0 2 2 5 7" xfId="21085"/>
    <cellStyle name="SSDfltPct0 2 2 6" xfId="21086"/>
    <cellStyle name="SSDfltPct0 2 2 6 2" xfId="21087"/>
    <cellStyle name="SSDfltPct0 2 2 6 3" xfId="21088"/>
    <cellStyle name="SSDfltPct0 2 2 6 4" xfId="21089"/>
    <cellStyle name="SSDfltPct0 2 2 6 5" xfId="21090"/>
    <cellStyle name="SSDfltPct0 2 2 6 6" xfId="21091"/>
    <cellStyle name="SSDfltPct0 2 2 6 7" xfId="21092"/>
    <cellStyle name="SSDfltPct0 2 2 7" xfId="21093"/>
    <cellStyle name="SSDfltPct0 2 2 7 2" xfId="21094"/>
    <cellStyle name="SSDfltPct0 2 2 7 3" xfId="21095"/>
    <cellStyle name="SSDfltPct0 2 2 7 4" xfId="21096"/>
    <cellStyle name="SSDfltPct0 2 2 7 5" xfId="21097"/>
    <cellStyle name="SSDfltPct0 2 2 7 6" xfId="21098"/>
    <cellStyle name="SSDfltPct0 2 2 7 7" xfId="21099"/>
    <cellStyle name="SSDfltPct0 2 2 8" xfId="21100"/>
    <cellStyle name="SSDfltPct0 2 2 8 2" xfId="21101"/>
    <cellStyle name="SSDfltPct0 2 2 8 3" xfId="21102"/>
    <cellStyle name="SSDfltPct0 2 2 8 4" xfId="21103"/>
    <cellStyle name="SSDfltPct0 2 2 8 5" xfId="21104"/>
    <cellStyle name="SSDfltPct0 2 2 8 6" xfId="21105"/>
    <cellStyle name="SSDfltPct0 2 2 8 7" xfId="21106"/>
    <cellStyle name="SSDfltPct0 2 2 9" xfId="21107"/>
    <cellStyle name="SSDfltPct0 2 2 9 2" xfId="21108"/>
    <cellStyle name="SSDfltPct0 2 2 9 3" xfId="21109"/>
    <cellStyle name="SSDfltPct0 2 2 9 4" xfId="21110"/>
    <cellStyle name="SSDfltPct0 2 2 9 5" xfId="21111"/>
    <cellStyle name="SSDfltPct0 2 2 9 6" xfId="21112"/>
    <cellStyle name="SSDfltPct0 2 2 9 7" xfId="21113"/>
    <cellStyle name="SSDfltPct0 2 3" xfId="21114"/>
    <cellStyle name="SSDfltPct0 2 3 2" xfId="21115"/>
    <cellStyle name="SSDfltPct0 2 3 3" xfId="21116"/>
    <cellStyle name="SSDfltPct0 2 3 4" xfId="21117"/>
    <cellStyle name="SSDfltPct0 2 3 5" xfId="21118"/>
    <cellStyle name="SSDfltPct0 2 3 6" xfId="21119"/>
    <cellStyle name="SSDfltPct0 2 3 7" xfId="21120"/>
    <cellStyle name="SSDfltPct0 2 4" xfId="21121"/>
    <cellStyle name="SSDfltPct0 2 4 2" xfId="21122"/>
    <cellStyle name="SSDfltPct0 2 4 3" xfId="21123"/>
    <cellStyle name="SSDfltPct0 2 4 4" xfId="21124"/>
    <cellStyle name="SSDfltPct0 2 4 5" xfId="21125"/>
    <cellStyle name="SSDfltPct0 2 4 6" xfId="21126"/>
    <cellStyle name="SSDfltPct0 2 4 7" xfId="21127"/>
    <cellStyle name="SSDfltPct0 2 5" xfId="21128"/>
    <cellStyle name="SSDfltPct0 2 5 2" xfId="21129"/>
    <cellStyle name="SSDfltPct0 2 5 3" xfId="21130"/>
    <cellStyle name="SSDfltPct0 2 5 4" xfId="21131"/>
    <cellStyle name="SSDfltPct0 2 5 5" xfId="21132"/>
    <cellStyle name="SSDfltPct0 2 5 6" xfId="21133"/>
    <cellStyle name="SSDfltPct0 2 5 7" xfId="21134"/>
    <cellStyle name="SSDfltPct0 2 6" xfId="21135"/>
    <cellStyle name="SSDfltPct0 2 6 2" xfId="21136"/>
    <cellStyle name="SSDfltPct0 2 6 3" xfId="21137"/>
    <cellStyle name="SSDfltPct0 2 6 4" xfId="21138"/>
    <cellStyle name="SSDfltPct0 2 6 5" xfId="21139"/>
    <cellStyle name="SSDfltPct0 2 6 6" xfId="21140"/>
    <cellStyle name="SSDfltPct0 2 6 7" xfId="21141"/>
    <cellStyle name="SSDfltPct0 2 7" xfId="21142"/>
    <cellStyle name="SSDfltPct0 2 7 2" xfId="21143"/>
    <cellStyle name="SSDfltPct0 2 7 3" xfId="21144"/>
    <cellStyle name="SSDfltPct0 2 7 4" xfId="21145"/>
    <cellStyle name="SSDfltPct0 2 7 5" xfId="21146"/>
    <cellStyle name="SSDfltPct0 2 7 6" xfId="21147"/>
    <cellStyle name="SSDfltPct0 2 7 7" xfId="21148"/>
    <cellStyle name="SSDfltPct0 2 8" xfId="21149"/>
    <cellStyle name="SSDfltPct0 2 8 2" xfId="21150"/>
    <cellStyle name="SSDfltPct0 2 8 3" xfId="21151"/>
    <cellStyle name="SSDfltPct0 2 8 4" xfId="21152"/>
    <cellStyle name="SSDfltPct0 2 8 5" xfId="21153"/>
    <cellStyle name="SSDfltPct0 2 8 6" xfId="21154"/>
    <cellStyle name="SSDfltPct0 2 8 7" xfId="21155"/>
    <cellStyle name="SSDfltPct0 2 9" xfId="21156"/>
    <cellStyle name="SSDfltPct0 2 9 2" xfId="21157"/>
    <cellStyle name="SSDfltPct0 2 9 3" xfId="21158"/>
    <cellStyle name="SSDfltPct0 2 9 4" xfId="21159"/>
    <cellStyle name="SSDfltPct0 2 9 5" xfId="21160"/>
    <cellStyle name="SSDfltPct0 2 9 6" xfId="21161"/>
    <cellStyle name="SSDfltPct0 2 9 7" xfId="21162"/>
    <cellStyle name="SSDfltPct0 3" xfId="21163"/>
    <cellStyle name="SSDfltPct0 3 10" xfId="21164"/>
    <cellStyle name="SSDfltPct0 3 10 2" xfId="21165"/>
    <cellStyle name="SSDfltPct0 3 10 3" xfId="21166"/>
    <cellStyle name="SSDfltPct0 3 10 4" xfId="21167"/>
    <cellStyle name="SSDfltPct0 3 10 5" xfId="21168"/>
    <cellStyle name="SSDfltPct0 3 10 6" xfId="21169"/>
    <cellStyle name="SSDfltPct0 3 11" xfId="21170"/>
    <cellStyle name="SSDfltPct0 3 12" xfId="21171"/>
    <cellStyle name="SSDfltPct0 3 13" xfId="21172"/>
    <cellStyle name="SSDfltPct0 3 14" xfId="21173"/>
    <cellStyle name="SSDfltPct0 3 15" xfId="21174"/>
    <cellStyle name="SSDfltPct0 3 2" xfId="21175"/>
    <cellStyle name="SSDfltPct0 3 2 2" xfId="21176"/>
    <cellStyle name="SSDfltPct0 3 2 3" xfId="21177"/>
    <cellStyle name="SSDfltPct0 3 2 4" xfId="21178"/>
    <cellStyle name="SSDfltPct0 3 2 5" xfId="21179"/>
    <cellStyle name="SSDfltPct0 3 2 6" xfId="21180"/>
    <cellStyle name="SSDfltPct0 3 2 7" xfId="21181"/>
    <cellStyle name="SSDfltPct0 3 3" xfId="21182"/>
    <cellStyle name="SSDfltPct0 3 3 2" xfId="21183"/>
    <cellStyle name="SSDfltPct0 3 3 3" xfId="21184"/>
    <cellStyle name="SSDfltPct0 3 3 4" xfId="21185"/>
    <cellStyle name="SSDfltPct0 3 3 5" xfId="21186"/>
    <cellStyle name="SSDfltPct0 3 3 6" xfId="21187"/>
    <cellStyle name="SSDfltPct0 3 3 7" xfId="21188"/>
    <cellStyle name="SSDfltPct0 3 4" xfId="21189"/>
    <cellStyle name="SSDfltPct0 3 4 2" xfId="21190"/>
    <cellStyle name="SSDfltPct0 3 4 3" xfId="21191"/>
    <cellStyle name="SSDfltPct0 3 4 4" xfId="21192"/>
    <cellStyle name="SSDfltPct0 3 4 5" xfId="21193"/>
    <cellStyle name="SSDfltPct0 3 4 6" xfId="21194"/>
    <cellStyle name="SSDfltPct0 3 4 7" xfId="21195"/>
    <cellStyle name="SSDfltPct0 3 5" xfId="21196"/>
    <cellStyle name="SSDfltPct0 3 5 2" xfId="21197"/>
    <cellStyle name="SSDfltPct0 3 5 3" xfId="21198"/>
    <cellStyle name="SSDfltPct0 3 5 4" xfId="21199"/>
    <cellStyle name="SSDfltPct0 3 5 5" xfId="21200"/>
    <cellStyle name="SSDfltPct0 3 5 6" xfId="21201"/>
    <cellStyle name="SSDfltPct0 3 5 7" xfId="21202"/>
    <cellStyle name="SSDfltPct0 3 6" xfId="21203"/>
    <cellStyle name="SSDfltPct0 3 6 2" xfId="21204"/>
    <cellStyle name="SSDfltPct0 3 6 3" xfId="21205"/>
    <cellStyle name="SSDfltPct0 3 6 4" xfId="21206"/>
    <cellStyle name="SSDfltPct0 3 6 5" xfId="21207"/>
    <cellStyle name="SSDfltPct0 3 6 6" xfId="21208"/>
    <cellStyle name="SSDfltPct0 3 6 7" xfId="21209"/>
    <cellStyle name="SSDfltPct0 3 7" xfId="21210"/>
    <cellStyle name="SSDfltPct0 3 7 2" xfId="21211"/>
    <cellStyle name="SSDfltPct0 3 7 3" xfId="21212"/>
    <cellStyle name="SSDfltPct0 3 7 4" xfId="21213"/>
    <cellStyle name="SSDfltPct0 3 7 5" xfId="21214"/>
    <cellStyle name="SSDfltPct0 3 7 6" xfId="21215"/>
    <cellStyle name="SSDfltPct0 3 7 7" xfId="21216"/>
    <cellStyle name="SSDfltPct0 3 8" xfId="21217"/>
    <cellStyle name="SSDfltPct0 3 8 2" xfId="21218"/>
    <cellStyle name="SSDfltPct0 3 8 3" xfId="21219"/>
    <cellStyle name="SSDfltPct0 3 8 4" xfId="21220"/>
    <cellStyle name="SSDfltPct0 3 8 5" xfId="21221"/>
    <cellStyle name="SSDfltPct0 3 8 6" xfId="21222"/>
    <cellStyle name="SSDfltPct0 3 8 7" xfId="21223"/>
    <cellStyle name="SSDfltPct0 3 9" xfId="21224"/>
    <cellStyle name="SSDfltPct0 3 9 2" xfId="21225"/>
    <cellStyle name="SSDfltPct0 3 9 3" xfId="21226"/>
    <cellStyle name="SSDfltPct0 3 9 4" xfId="21227"/>
    <cellStyle name="SSDfltPct0 3 9 5" xfId="21228"/>
    <cellStyle name="SSDfltPct0 3 9 6" xfId="21229"/>
    <cellStyle name="SSDfltPct0 3 9 7" xfId="21230"/>
    <cellStyle name="SSDfltPct0 4" xfId="21231"/>
    <cellStyle name="SSDfltPct0 4 2" xfId="21232"/>
    <cellStyle name="SSDfltPct0 4 3" xfId="21233"/>
    <cellStyle name="SSDfltPct0 4 4" xfId="21234"/>
    <cellStyle name="SSDfltPct0 4 5" xfId="21235"/>
    <cellStyle name="SSDfltPct0 4 6" xfId="21236"/>
    <cellStyle name="SSDfltPct0 4 7" xfId="21237"/>
    <cellStyle name="SSDfltPct0 5" xfId="21238"/>
    <cellStyle name="SSDfltPct0 5 2" xfId="21239"/>
    <cellStyle name="SSDfltPct0 5 3" xfId="21240"/>
    <cellStyle name="SSDfltPct0 5 4" xfId="21241"/>
    <cellStyle name="SSDfltPct0 5 5" xfId="21242"/>
    <cellStyle name="SSDfltPct0 5 6" xfId="21243"/>
    <cellStyle name="SSDfltPct0 5 7" xfId="21244"/>
    <cellStyle name="SSDfltPct0 6" xfId="21245"/>
    <cellStyle name="SSDfltPct0 6 2" xfId="21246"/>
    <cellStyle name="SSDfltPct0 6 3" xfId="21247"/>
    <cellStyle name="SSDfltPct0 6 4" xfId="21248"/>
    <cellStyle name="SSDfltPct0 6 5" xfId="21249"/>
    <cellStyle name="SSDfltPct0 6 6" xfId="21250"/>
    <cellStyle name="SSDfltPct0 6 7" xfId="21251"/>
    <cellStyle name="SSDfltPct0 7" xfId="21252"/>
    <cellStyle name="SSDfltPct0 7 2" xfId="21253"/>
    <cellStyle name="SSDfltPct0 7 3" xfId="21254"/>
    <cellStyle name="SSDfltPct0 7 4" xfId="21255"/>
    <cellStyle name="SSDfltPct0 7 5" xfId="21256"/>
    <cellStyle name="SSDfltPct0 7 6" xfId="21257"/>
    <cellStyle name="SSDfltPct0 7 7" xfId="21258"/>
    <cellStyle name="SSDfltPct0 8" xfId="21259"/>
    <cellStyle name="SSDfltPct0 8 2" xfId="21260"/>
    <cellStyle name="SSDfltPct0 8 3" xfId="21261"/>
    <cellStyle name="SSDfltPct0 8 4" xfId="21262"/>
    <cellStyle name="SSDfltPct0 8 5" xfId="21263"/>
    <cellStyle name="SSDfltPct0 8 6" xfId="21264"/>
    <cellStyle name="SSDfltPct0 8 7" xfId="21265"/>
    <cellStyle name="SSDfltPct0 9" xfId="21266"/>
    <cellStyle name="SSDfltPct0 9 2" xfId="21267"/>
    <cellStyle name="SSDfltPct0 9 3" xfId="21268"/>
    <cellStyle name="SSDfltPct0 9 4" xfId="21269"/>
    <cellStyle name="SSDfltPct0 9 5" xfId="21270"/>
    <cellStyle name="SSDfltPct0 9 6" xfId="21271"/>
    <cellStyle name="SSDfltPct0 9 7" xfId="21272"/>
    <cellStyle name="SSFixed2" xfId="21273"/>
    <cellStyle name="SSFixed2 10" xfId="21274"/>
    <cellStyle name="SSFixed2 10 2" xfId="21275"/>
    <cellStyle name="SSFixed2 10 3" xfId="21276"/>
    <cellStyle name="SSFixed2 10 4" xfId="21277"/>
    <cellStyle name="SSFixed2 10 5" xfId="21278"/>
    <cellStyle name="SSFixed2 10 6" xfId="21279"/>
    <cellStyle name="SSFixed2 10 7" xfId="21280"/>
    <cellStyle name="SSFixed2 11" xfId="21281"/>
    <cellStyle name="SSFixed2 11 2" xfId="21282"/>
    <cellStyle name="SSFixed2 11 3" xfId="21283"/>
    <cellStyle name="SSFixed2 11 4" xfId="21284"/>
    <cellStyle name="SSFixed2 11 5" xfId="21285"/>
    <cellStyle name="SSFixed2 11 6" xfId="21286"/>
    <cellStyle name="SSFixed2 11 7" xfId="21287"/>
    <cellStyle name="SSFixed2 12" xfId="21288"/>
    <cellStyle name="SSFixed2 12 2" xfId="21289"/>
    <cellStyle name="SSFixed2 12 3" xfId="21290"/>
    <cellStyle name="SSFixed2 12 4" xfId="21291"/>
    <cellStyle name="SSFixed2 12 5" xfId="21292"/>
    <cellStyle name="SSFixed2 12 6" xfId="21293"/>
    <cellStyle name="SSFixed2 13" xfId="21294"/>
    <cellStyle name="SSFixed2 14" xfId="21295"/>
    <cellStyle name="SSFixed2 15" xfId="21296"/>
    <cellStyle name="SSFixed2 16" xfId="21297"/>
    <cellStyle name="SSFixed2 17" xfId="21298"/>
    <cellStyle name="SSFixed2 2" xfId="21299"/>
    <cellStyle name="SSFixed2 2 10" xfId="21300"/>
    <cellStyle name="SSFixed2 2 10 2" xfId="21301"/>
    <cellStyle name="SSFixed2 2 10 3" xfId="21302"/>
    <cellStyle name="SSFixed2 2 10 4" xfId="21303"/>
    <cellStyle name="SSFixed2 2 10 5" xfId="21304"/>
    <cellStyle name="SSFixed2 2 10 6" xfId="21305"/>
    <cellStyle name="SSFixed2 2 10 7" xfId="21306"/>
    <cellStyle name="SSFixed2 2 11" xfId="21307"/>
    <cellStyle name="SSFixed2 2 11 2" xfId="21308"/>
    <cellStyle name="SSFixed2 2 11 3" xfId="21309"/>
    <cellStyle name="SSFixed2 2 11 4" xfId="21310"/>
    <cellStyle name="SSFixed2 2 11 5" xfId="21311"/>
    <cellStyle name="SSFixed2 2 11 6" xfId="21312"/>
    <cellStyle name="SSFixed2 2 12" xfId="21313"/>
    <cellStyle name="SSFixed2 2 13" xfId="21314"/>
    <cellStyle name="SSFixed2 2 14" xfId="21315"/>
    <cellStyle name="SSFixed2 2 15" xfId="21316"/>
    <cellStyle name="SSFixed2 2 16" xfId="21317"/>
    <cellStyle name="SSFixed2 2 2" xfId="21318"/>
    <cellStyle name="SSFixed2 2 2 10" xfId="21319"/>
    <cellStyle name="SSFixed2 2 2 10 2" xfId="21320"/>
    <cellStyle name="SSFixed2 2 2 10 3" xfId="21321"/>
    <cellStyle name="SSFixed2 2 2 10 4" xfId="21322"/>
    <cellStyle name="SSFixed2 2 2 10 5" xfId="21323"/>
    <cellStyle name="SSFixed2 2 2 10 6" xfId="21324"/>
    <cellStyle name="SSFixed2 2 2 11" xfId="21325"/>
    <cellStyle name="SSFixed2 2 2 12" xfId="21326"/>
    <cellStyle name="SSFixed2 2 2 13" xfId="21327"/>
    <cellStyle name="SSFixed2 2 2 14" xfId="21328"/>
    <cellStyle name="SSFixed2 2 2 15" xfId="21329"/>
    <cellStyle name="SSFixed2 2 2 2" xfId="21330"/>
    <cellStyle name="SSFixed2 2 2 2 2" xfId="21331"/>
    <cellStyle name="SSFixed2 2 2 2 3" xfId="21332"/>
    <cellStyle name="SSFixed2 2 2 2 4" xfId="21333"/>
    <cellStyle name="SSFixed2 2 2 2 5" xfId="21334"/>
    <cellStyle name="SSFixed2 2 2 2 6" xfId="21335"/>
    <cellStyle name="SSFixed2 2 2 2 7" xfId="21336"/>
    <cellStyle name="SSFixed2 2 2 3" xfId="21337"/>
    <cellStyle name="SSFixed2 2 2 3 2" xfId="21338"/>
    <cellStyle name="SSFixed2 2 2 3 3" xfId="21339"/>
    <cellStyle name="SSFixed2 2 2 3 4" xfId="21340"/>
    <cellStyle name="SSFixed2 2 2 3 5" xfId="21341"/>
    <cellStyle name="SSFixed2 2 2 3 6" xfId="21342"/>
    <cellStyle name="SSFixed2 2 2 3 7" xfId="21343"/>
    <cellStyle name="SSFixed2 2 2 4" xfId="21344"/>
    <cellStyle name="SSFixed2 2 2 4 2" xfId="21345"/>
    <cellStyle name="SSFixed2 2 2 4 3" xfId="21346"/>
    <cellStyle name="SSFixed2 2 2 4 4" xfId="21347"/>
    <cellStyle name="SSFixed2 2 2 4 5" xfId="21348"/>
    <cellStyle name="SSFixed2 2 2 4 6" xfId="21349"/>
    <cellStyle name="SSFixed2 2 2 4 7" xfId="21350"/>
    <cellStyle name="SSFixed2 2 2 5" xfId="21351"/>
    <cellStyle name="SSFixed2 2 2 5 2" xfId="21352"/>
    <cellStyle name="SSFixed2 2 2 5 3" xfId="21353"/>
    <cellStyle name="SSFixed2 2 2 5 4" xfId="21354"/>
    <cellStyle name="SSFixed2 2 2 5 5" xfId="21355"/>
    <cellStyle name="SSFixed2 2 2 5 6" xfId="21356"/>
    <cellStyle name="SSFixed2 2 2 5 7" xfId="21357"/>
    <cellStyle name="SSFixed2 2 2 6" xfId="21358"/>
    <cellStyle name="SSFixed2 2 2 6 2" xfId="21359"/>
    <cellStyle name="SSFixed2 2 2 6 3" xfId="21360"/>
    <cellStyle name="SSFixed2 2 2 6 4" xfId="21361"/>
    <cellStyle name="SSFixed2 2 2 6 5" xfId="21362"/>
    <cellStyle name="SSFixed2 2 2 6 6" xfId="21363"/>
    <cellStyle name="SSFixed2 2 2 6 7" xfId="21364"/>
    <cellStyle name="SSFixed2 2 2 7" xfId="21365"/>
    <cellStyle name="SSFixed2 2 2 7 2" xfId="21366"/>
    <cellStyle name="SSFixed2 2 2 7 3" xfId="21367"/>
    <cellStyle name="SSFixed2 2 2 7 4" xfId="21368"/>
    <cellStyle name="SSFixed2 2 2 7 5" xfId="21369"/>
    <cellStyle name="SSFixed2 2 2 7 6" xfId="21370"/>
    <cellStyle name="SSFixed2 2 2 7 7" xfId="21371"/>
    <cellStyle name="SSFixed2 2 2 8" xfId="21372"/>
    <cellStyle name="SSFixed2 2 2 8 2" xfId="21373"/>
    <cellStyle name="SSFixed2 2 2 8 3" xfId="21374"/>
    <cellStyle name="SSFixed2 2 2 8 4" xfId="21375"/>
    <cellStyle name="SSFixed2 2 2 8 5" xfId="21376"/>
    <cellStyle name="SSFixed2 2 2 8 6" xfId="21377"/>
    <cellStyle name="SSFixed2 2 2 8 7" xfId="21378"/>
    <cellStyle name="SSFixed2 2 2 9" xfId="21379"/>
    <cellStyle name="SSFixed2 2 2 9 2" xfId="21380"/>
    <cellStyle name="SSFixed2 2 2 9 3" xfId="21381"/>
    <cellStyle name="SSFixed2 2 2 9 4" xfId="21382"/>
    <cellStyle name="SSFixed2 2 2 9 5" xfId="21383"/>
    <cellStyle name="SSFixed2 2 2 9 6" xfId="21384"/>
    <cellStyle name="SSFixed2 2 2 9 7" xfId="21385"/>
    <cellStyle name="SSFixed2 2 3" xfId="21386"/>
    <cellStyle name="SSFixed2 2 3 2" xfId="21387"/>
    <cellStyle name="SSFixed2 2 3 3" xfId="21388"/>
    <cellStyle name="SSFixed2 2 3 4" xfId="21389"/>
    <cellStyle name="SSFixed2 2 3 5" xfId="21390"/>
    <cellStyle name="SSFixed2 2 3 6" xfId="21391"/>
    <cellStyle name="SSFixed2 2 3 7" xfId="21392"/>
    <cellStyle name="SSFixed2 2 4" xfId="21393"/>
    <cellStyle name="SSFixed2 2 4 2" xfId="21394"/>
    <cellStyle name="SSFixed2 2 4 3" xfId="21395"/>
    <cellStyle name="SSFixed2 2 4 4" xfId="21396"/>
    <cellStyle name="SSFixed2 2 4 5" xfId="21397"/>
    <cellStyle name="SSFixed2 2 4 6" xfId="21398"/>
    <cellStyle name="SSFixed2 2 4 7" xfId="21399"/>
    <cellStyle name="SSFixed2 2 5" xfId="21400"/>
    <cellStyle name="SSFixed2 2 5 2" xfId="21401"/>
    <cellStyle name="SSFixed2 2 5 3" xfId="21402"/>
    <cellStyle name="SSFixed2 2 5 4" xfId="21403"/>
    <cellStyle name="SSFixed2 2 5 5" xfId="21404"/>
    <cellStyle name="SSFixed2 2 5 6" xfId="21405"/>
    <cellStyle name="SSFixed2 2 5 7" xfId="21406"/>
    <cellStyle name="SSFixed2 2 6" xfId="21407"/>
    <cellStyle name="SSFixed2 2 6 2" xfId="21408"/>
    <cellStyle name="SSFixed2 2 6 3" xfId="21409"/>
    <cellStyle name="SSFixed2 2 6 4" xfId="21410"/>
    <cellStyle name="SSFixed2 2 6 5" xfId="21411"/>
    <cellStyle name="SSFixed2 2 6 6" xfId="21412"/>
    <cellStyle name="SSFixed2 2 6 7" xfId="21413"/>
    <cellStyle name="SSFixed2 2 7" xfId="21414"/>
    <cellStyle name="SSFixed2 2 7 2" xfId="21415"/>
    <cellStyle name="SSFixed2 2 7 3" xfId="21416"/>
    <cellStyle name="SSFixed2 2 7 4" xfId="21417"/>
    <cellStyle name="SSFixed2 2 7 5" xfId="21418"/>
    <cellStyle name="SSFixed2 2 7 6" xfId="21419"/>
    <cellStyle name="SSFixed2 2 7 7" xfId="21420"/>
    <cellStyle name="SSFixed2 2 8" xfId="21421"/>
    <cellStyle name="SSFixed2 2 8 2" xfId="21422"/>
    <cellStyle name="SSFixed2 2 8 3" xfId="21423"/>
    <cellStyle name="SSFixed2 2 8 4" xfId="21424"/>
    <cellStyle name="SSFixed2 2 8 5" xfId="21425"/>
    <cellStyle name="SSFixed2 2 8 6" xfId="21426"/>
    <cellStyle name="SSFixed2 2 8 7" xfId="21427"/>
    <cellStyle name="SSFixed2 2 9" xfId="21428"/>
    <cellStyle name="SSFixed2 2 9 2" xfId="21429"/>
    <cellStyle name="SSFixed2 2 9 3" xfId="21430"/>
    <cellStyle name="SSFixed2 2 9 4" xfId="21431"/>
    <cellStyle name="SSFixed2 2 9 5" xfId="21432"/>
    <cellStyle name="SSFixed2 2 9 6" xfId="21433"/>
    <cellStyle name="SSFixed2 2 9 7" xfId="21434"/>
    <cellStyle name="SSFixed2 3" xfId="21435"/>
    <cellStyle name="SSFixed2 3 10" xfId="21436"/>
    <cellStyle name="SSFixed2 3 10 2" xfId="21437"/>
    <cellStyle name="SSFixed2 3 10 3" xfId="21438"/>
    <cellStyle name="SSFixed2 3 10 4" xfId="21439"/>
    <cellStyle name="SSFixed2 3 10 5" xfId="21440"/>
    <cellStyle name="SSFixed2 3 10 6" xfId="21441"/>
    <cellStyle name="SSFixed2 3 11" xfId="21442"/>
    <cellStyle name="SSFixed2 3 12" xfId="21443"/>
    <cellStyle name="SSFixed2 3 13" xfId="21444"/>
    <cellStyle name="SSFixed2 3 14" xfId="21445"/>
    <cellStyle name="SSFixed2 3 15" xfId="21446"/>
    <cellStyle name="SSFixed2 3 2" xfId="21447"/>
    <cellStyle name="SSFixed2 3 2 2" xfId="21448"/>
    <cellStyle name="SSFixed2 3 2 3" xfId="21449"/>
    <cellStyle name="SSFixed2 3 2 4" xfId="21450"/>
    <cellStyle name="SSFixed2 3 2 5" xfId="21451"/>
    <cellStyle name="SSFixed2 3 2 6" xfId="21452"/>
    <cellStyle name="SSFixed2 3 2 7" xfId="21453"/>
    <cellStyle name="SSFixed2 3 3" xfId="21454"/>
    <cellStyle name="SSFixed2 3 3 2" xfId="21455"/>
    <cellStyle name="SSFixed2 3 3 3" xfId="21456"/>
    <cellStyle name="SSFixed2 3 3 4" xfId="21457"/>
    <cellStyle name="SSFixed2 3 3 5" xfId="21458"/>
    <cellStyle name="SSFixed2 3 3 6" xfId="21459"/>
    <cellStyle name="SSFixed2 3 3 7" xfId="21460"/>
    <cellStyle name="SSFixed2 3 4" xfId="21461"/>
    <cellStyle name="SSFixed2 3 4 2" xfId="21462"/>
    <cellStyle name="SSFixed2 3 4 3" xfId="21463"/>
    <cellStyle name="SSFixed2 3 4 4" xfId="21464"/>
    <cellStyle name="SSFixed2 3 4 5" xfId="21465"/>
    <cellStyle name="SSFixed2 3 4 6" xfId="21466"/>
    <cellStyle name="SSFixed2 3 4 7" xfId="21467"/>
    <cellStyle name="SSFixed2 3 5" xfId="21468"/>
    <cellStyle name="SSFixed2 3 5 2" xfId="21469"/>
    <cellStyle name="SSFixed2 3 5 3" xfId="21470"/>
    <cellStyle name="SSFixed2 3 5 4" xfId="21471"/>
    <cellStyle name="SSFixed2 3 5 5" xfId="21472"/>
    <cellStyle name="SSFixed2 3 5 6" xfId="21473"/>
    <cellStyle name="SSFixed2 3 5 7" xfId="21474"/>
    <cellStyle name="SSFixed2 3 6" xfId="21475"/>
    <cellStyle name="SSFixed2 3 6 2" xfId="21476"/>
    <cellStyle name="SSFixed2 3 6 3" xfId="21477"/>
    <cellStyle name="SSFixed2 3 6 4" xfId="21478"/>
    <cellStyle name="SSFixed2 3 6 5" xfId="21479"/>
    <cellStyle name="SSFixed2 3 6 6" xfId="21480"/>
    <cellStyle name="SSFixed2 3 6 7" xfId="21481"/>
    <cellStyle name="SSFixed2 3 7" xfId="21482"/>
    <cellStyle name="SSFixed2 3 7 2" xfId="21483"/>
    <cellStyle name="SSFixed2 3 7 3" xfId="21484"/>
    <cellStyle name="SSFixed2 3 7 4" xfId="21485"/>
    <cellStyle name="SSFixed2 3 7 5" xfId="21486"/>
    <cellStyle name="SSFixed2 3 7 6" xfId="21487"/>
    <cellStyle name="SSFixed2 3 7 7" xfId="21488"/>
    <cellStyle name="SSFixed2 3 8" xfId="21489"/>
    <cellStyle name="SSFixed2 3 8 2" xfId="21490"/>
    <cellStyle name="SSFixed2 3 8 3" xfId="21491"/>
    <cellStyle name="SSFixed2 3 8 4" xfId="21492"/>
    <cellStyle name="SSFixed2 3 8 5" xfId="21493"/>
    <cellStyle name="SSFixed2 3 8 6" xfId="21494"/>
    <cellStyle name="SSFixed2 3 8 7" xfId="21495"/>
    <cellStyle name="SSFixed2 3 9" xfId="21496"/>
    <cellStyle name="SSFixed2 3 9 2" xfId="21497"/>
    <cellStyle name="SSFixed2 3 9 3" xfId="21498"/>
    <cellStyle name="SSFixed2 3 9 4" xfId="21499"/>
    <cellStyle name="SSFixed2 3 9 5" xfId="21500"/>
    <cellStyle name="SSFixed2 3 9 6" xfId="21501"/>
    <cellStyle name="SSFixed2 3 9 7" xfId="21502"/>
    <cellStyle name="SSFixed2 4" xfId="21503"/>
    <cellStyle name="SSFixed2 4 2" xfId="21504"/>
    <cellStyle name="SSFixed2 4 3" xfId="21505"/>
    <cellStyle name="SSFixed2 4 4" xfId="21506"/>
    <cellStyle name="SSFixed2 4 5" xfId="21507"/>
    <cellStyle name="SSFixed2 4 6" xfId="21508"/>
    <cellStyle name="SSFixed2 4 7" xfId="21509"/>
    <cellStyle name="SSFixed2 5" xfId="21510"/>
    <cellStyle name="SSFixed2 5 2" xfId="21511"/>
    <cellStyle name="SSFixed2 5 3" xfId="21512"/>
    <cellStyle name="SSFixed2 5 4" xfId="21513"/>
    <cellStyle name="SSFixed2 5 5" xfId="21514"/>
    <cellStyle name="SSFixed2 5 6" xfId="21515"/>
    <cellStyle name="SSFixed2 5 7" xfId="21516"/>
    <cellStyle name="SSFixed2 6" xfId="21517"/>
    <cellStyle name="SSFixed2 6 2" xfId="21518"/>
    <cellStyle name="SSFixed2 6 3" xfId="21519"/>
    <cellStyle name="SSFixed2 6 4" xfId="21520"/>
    <cellStyle name="SSFixed2 6 5" xfId="21521"/>
    <cellStyle name="SSFixed2 6 6" xfId="21522"/>
    <cellStyle name="SSFixed2 6 7" xfId="21523"/>
    <cellStyle name="SSFixed2 7" xfId="21524"/>
    <cellStyle name="SSFixed2 7 2" xfId="21525"/>
    <cellStyle name="SSFixed2 7 3" xfId="21526"/>
    <cellStyle name="SSFixed2 7 4" xfId="21527"/>
    <cellStyle name="SSFixed2 7 5" xfId="21528"/>
    <cellStyle name="SSFixed2 7 6" xfId="21529"/>
    <cellStyle name="SSFixed2 7 7" xfId="21530"/>
    <cellStyle name="SSFixed2 8" xfId="21531"/>
    <cellStyle name="SSFixed2 8 2" xfId="21532"/>
    <cellStyle name="SSFixed2 8 3" xfId="21533"/>
    <cellStyle name="SSFixed2 8 4" xfId="21534"/>
    <cellStyle name="SSFixed2 8 5" xfId="21535"/>
    <cellStyle name="SSFixed2 8 6" xfId="21536"/>
    <cellStyle name="SSFixed2 8 7" xfId="21537"/>
    <cellStyle name="SSFixed2 9" xfId="21538"/>
    <cellStyle name="SSFixed2 9 2" xfId="21539"/>
    <cellStyle name="SSFixed2 9 3" xfId="21540"/>
    <cellStyle name="SSFixed2 9 4" xfId="21541"/>
    <cellStyle name="SSFixed2 9 5" xfId="21542"/>
    <cellStyle name="SSFixed2 9 6" xfId="21543"/>
    <cellStyle name="SSFixed2 9 7" xfId="21544"/>
    <cellStyle name="ssp " xfId="31"/>
    <cellStyle name="ssp  2" xfId="21545"/>
    <cellStyle name="Standard" xfId="21546"/>
    <cellStyle name="Stock Comma" xfId="21547"/>
    <cellStyle name="Stock Comma 2" xfId="21548"/>
    <cellStyle name="Stock Price" xfId="21549"/>
    <cellStyle name="Stock Price 2" xfId="21550"/>
    <cellStyle name="Style 1" xfId="21551"/>
    <cellStyle name="Style 1 2" xfId="21552"/>
    <cellStyle name="Style 1 2 2" xfId="21553"/>
    <cellStyle name="Style 1 2 2 2" xfId="21554"/>
    <cellStyle name="Style 1 2 3" xfId="21555"/>
    <cellStyle name="Style 1 3" xfId="21556"/>
    <cellStyle name="Style 1 3 2" xfId="21557"/>
    <cellStyle name="Style 1 3 2 2" xfId="21558"/>
    <cellStyle name="Style 1 3 3" xfId="21559"/>
    <cellStyle name="Style 1 3 4" xfId="21560"/>
    <cellStyle name="Style 1 4" xfId="21561"/>
    <cellStyle name="Style 1 5" xfId="21562"/>
    <cellStyle name="Style 1 6" xfId="21563"/>
    <cellStyle name="Style 10" xfId="21564"/>
    <cellStyle name="Style 10 2" xfId="21565"/>
    <cellStyle name="Style 10 3" xfId="21566"/>
    <cellStyle name="Style 100" xfId="21567"/>
    <cellStyle name="Style 101" xfId="21568"/>
    <cellStyle name="Style 101 2" xfId="21569"/>
    <cellStyle name="Style 101 3" xfId="21570"/>
    <cellStyle name="Style 102" xfId="21571"/>
    <cellStyle name="Style 103" xfId="21572"/>
    <cellStyle name="Style 103 2" xfId="21573"/>
    <cellStyle name="Style 103 3" xfId="21574"/>
    <cellStyle name="Style 104" xfId="21575"/>
    <cellStyle name="Style 105" xfId="21576"/>
    <cellStyle name="Style 105 2" xfId="21577"/>
    <cellStyle name="Style 105 3" xfId="21578"/>
    <cellStyle name="Style 106" xfId="21579"/>
    <cellStyle name="Style 106 2" xfId="21580"/>
    <cellStyle name="Style 107" xfId="21581"/>
    <cellStyle name="Style 107 2" xfId="21582"/>
    <cellStyle name="Style 107 3" xfId="21583"/>
    <cellStyle name="Style 108" xfId="21584"/>
    <cellStyle name="Style 108 2" xfId="21585"/>
    <cellStyle name="Style 109" xfId="21586"/>
    <cellStyle name="Style 109 2" xfId="21587"/>
    <cellStyle name="Style 109 3" xfId="21588"/>
    <cellStyle name="Style 11" xfId="21589"/>
    <cellStyle name="Style 11 2" xfId="21590"/>
    <cellStyle name="Style 11 2 2" xfId="21591"/>
    <cellStyle name="Style 11 3" xfId="21592"/>
    <cellStyle name="Style 110" xfId="21593"/>
    <cellStyle name="Style 110 2" xfId="21594"/>
    <cellStyle name="Style 111" xfId="21595"/>
    <cellStyle name="Style 111 2" xfId="21596"/>
    <cellStyle name="Style 111 3" xfId="21597"/>
    <cellStyle name="Style 112" xfId="21598"/>
    <cellStyle name="Style 112 2" xfId="21599"/>
    <cellStyle name="Style 113" xfId="21600"/>
    <cellStyle name="Style 113 2" xfId="21601"/>
    <cellStyle name="Style 114" xfId="21602"/>
    <cellStyle name="Style 114 2" xfId="21603"/>
    <cellStyle name="Style 114 3" xfId="21604"/>
    <cellStyle name="Style 115" xfId="21605"/>
    <cellStyle name="Style 115 2" xfId="21606"/>
    <cellStyle name="Style 116" xfId="21607"/>
    <cellStyle name="Style 116 2" xfId="21608"/>
    <cellStyle name="Style 116 3" xfId="21609"/>
    <cellStyle name="Style 117" xfId="21610"/>
    <cellStyle name="Style 118" xfId="21611"/>
    <cellStyle name="Style 118 2" xfId="21612"/>
    <cellStyle name="Style 118 3" xfId="21613"/>
    <cellStyle name="Style 119" xfId="21614"/>
    <cellStyle name="Style 119 2" xfId="21615"/>
    <cellStyle name="Style 12" xfId="21616"/>
    <cellStyle name="Style 12 2" xfId="21617"/>
    <cellStyle name="Style 12 3" xfId="21618"/>
    <cellStyle name="Style 120" xfId="21619"/>
    <cellStyle name="Style 120 2" xfId="21620"/>
    <cellStyle name="Style 120 3" xfId="21621"/>
    <cellStyle name="Style 121" xfId="21622"/>
    <cellStyle name="Style 121 2" xfId="21623"/>
    <cellStyle name="Style 122" xfId="21624"/>
    <cellStyle name="Style 122 2" xfId="21625"/>
    <cellStyle name="Style 122 3" xfId="21626"/>
    <cellStyle name="Style 123" xfId="21627"/>
    <cellStyle name="Style 123 2" xfId="21628"/>
    <cellStyle name="Style 124" xfId="21629"/>
    <cellStyle name="Style 124 2" xfId="21630"/>
    <cellStyle name="Style 124 3" xfId="21631"/>
    <cellStyle name="Style 125" xfId="21632"/>
    <cellStyle name="Style 125 2" xfId="21633"/>
    <cellStyle name="Style 126" xfId="21634"/>
    <cellStyle name="Style 126 2" xfId="21635"/>
    <cellStyle name="Style 126 3" xfId="21636"/>
    <cellStyle name="Style 127" xfId="21637"/>
    <cellStyle name="Style 127 2" xfId="21638"/>
    <cellStyle name="Style 128" xfId="21639"/>
    <cellStyle name="Style 128 2" xfId="21640"/>
    <cellStyle name="Style 128 3" xfId="21641"/>
    <cellStyle name="Style 129" xfId="21642"/>
    <cellStyle name="Style 129 2" xfId="21643"/>
    <cellStyle name="Style 13" xfId="21644"/>
    <cellStyle name="Style 13 2" xfId="21645"/>
    <cellStyle name="Style 13 3" xfId="21646"/>
    <cellStyle name="Style 130" xfId="21647"/>
    <cellStyle name="Style 130 2" xfId="21648"/>
    <cellStyle name="Style 130 3" xfId="21649"/>
    <cellStyle name="Style 131" xfId="21650"/>
    <cellStyle name="Style 132" xfId="21651"/>
    <cellStyle name="Style 132 2" xfId="21652"/>
    <cellStyle name="Style 132 3" xfId="21653"/>
    <cellStyle name="Style 133" xfId="21654"/>
    <cellStyle name="Style 134" xfId="21655"/>
    <cellStyle name="Style 134 2" xfId="21656"/>
    <cellStyle name="Style 134 3" xfId="21657"/>
    <cellStyle name="Style 135" xfId="21658"/>
    <cellStyle name="Style 136" xfId="21659"/>
    <cellStyle name="Style 136 2" xfId="21660"/>
    <cellStyle name="Style 136 3" xfId="21661"/>
    <cellStyle name="Style 137" xfId="21662"/>
    <cellStyle name="Style 137 2" xfId="21663"/>
    <cellStyle name="Style 137 2 2" xfId="21664"/>
    <cellStyle name="Style 137 3" xfId="21665"/>
    <cellStyle name="Style 138" xfId="21666"/>
    <cellStyle name="Style 138 2" xfId="21667"/>
    <cellStyle name="Style 138 2 2" xfId="21668"/>
    <cellStyle name="Style 139" xfId="21669"/>
    <cellStyle name="Style 139 2" xfId="21670"/>
    <cellStyle name="Style 14" xfId="21671"/>
    <cellStyle name="Style 14 2" xfId="21672"/>
    <cellStyle name="Style 14 3" xfId="21673"/>
    <cellStyle name="Style 140" xfId="21674"/>
    <cellStyle name="Style 140 2" xfId="21675"/>
    <cellStyle name="Style 140 3" xfId="21676"/>
    <cellStyle name="Style 141" xfId="21677"/>
    <cellStyle name="Style 141 2" xfId="21678"/>
    <cellStyle name="Style 142" xfId="21679"/>
    <cellStyle name="Style 142 2" xfId="21680"/>
    <cellStyle name="Style 142 2 2" xfId="21681"/>
    <cellStyle name="Style 142 2 2 2" xfId="21682"/>
    <cellStyle name="Style 142 3" xfId="21683"/>
    <cellStyle name="Style 143" xfId="21684"/>
    <cellStyle name="Style 143 2" xfId="21685"/>
    <cellStyle name="Style 144" xfId="21686"/>
    <cellStyle name="Style 144 2" xfId="21687"/>
    <cellStyle name="Style 144 3" xfId="21688"/>
    <cellStyle name="Style 145" xfId="21689"/>
    <cellStyle name="Style 145 2" xfId="21690"/>
    <cellStyle name="Style 146" xfId="21691"/>
    <cellStyle name="Style 146 2" xfId="21692"/>
    <cellStyle name="Style 146 3" xfId="21693"/>
    <cellStyle name="Style 147" xfId="21694"/>
    <cellStyle name="Style 147 2" xfId="21695"/>
    <cellStyle name="Style 148" xfId="21696"/>
    <cellStyle name="Style 148 2" xfId="21697"/>
    <cellStyle name="Style 148 3" xfId="21698"/>
    <cellStyle name="Style 149" xfId="21699"/>
    <cellStyle name="Style 149 2" xfId="21700"/>
    <cellStyle name="Style 149 2 2" xfId="21701"/>
    <cellStyle name="Style 15" xfId="21702"/>
    <cellStyle name="Style 15 2" xfId="21703"/>
    <cellStyle name="Style 15 3" xfId="21704"/>
    <cellStyle name="Style 150" xfId="21705"/>
    <cellStyle name="Style 150 2" xfId="21706"/>
    <cellStyle name="Style 150 3" xfId="21707"/>
    <cellStyle name="Style 151" xfId="21708"/>
    <cellStyle name="Style 152" xfId="21709"/>
    <cellStyle name="Style 152 2" xfId="21710"/>
    <cellStyle name="Style 152 3" xfId="21711"/>
    <cellStyle name="Style 153" xfId="21712"/>
    <cellStyle name="Style 153 2" xfId="21713"/>
    <cellStyle name="Style 153 2 2" xfId="21714"/>
    <cellStyle name="Style 154" xfId="21715"/>
    <cellStyle name="Style 154 2" xfId="21716"/>
    <cellStyle name="Style 154 3" xfId="21717"/>
    <cellStyle name="Style 155" xfId="21718"/>
    <cellStyle name="Style 156" xfId="21719"/>
    <cellStyle name="Style 156 2" xfId="21720"/>
    <cellStyle name="Style 156 3" xfId="21721"/>
    <cellStyle name="Style 157" xfId="21722"/>
    <cellStyle name="Style 158" xfId="21723"/>
    <cellStyle name="Style 158 2" xfId="21724"/>
    <cellStyle name="Style 158 3" xfId="21725"/>
    <cellStyle name="Style 159" xfId="21726"/>
    <cellStyle name="Style 159 2" xfId="21727"/>
    <cellStyle name="Style 159 2 2" xfId="21728"/>
    <cellStyle name="Style 16" xfId="21729"/>
    <cellStyle name="Style 16 2" xfId="21730"/>
    <cellStyle name="Style 16 3" xfId="21731"/>
    <cellStyle name="Style 160" xfId="21732"/>
    <cellStyle name="Style 160 2" xfId="21733"/>
    <cellStyle name="Style 160 2 2" xfId="21734"/>
    <cellStyle name="Style 160 2 2 2" xfId="21735"/>
    <cellStyle name="Style 160 3" xfId="21736"/>
    <cellStyle name="Style 161" xfId="21737"/>
    <cellStyle name="Style 162" xfId="21738"/>
    <cellStyle name="Style 162 2" xfId="21739"/>
    <cellStyle name="Style 162 3" xfId="21740"/>
    <cellStyle name="Style 163" xfId="21741"/>
    <cellStyle name="Style 164" xfId="21742"/>
    <cellStyle name="Style 164 2" xfId="21743"/>
    <cellStyle name="Style 164 2 2" xfId="21744"/>
    <cellStyle name="Style 165" xfId="21745"/>
    <cellStyle name="Style 165 2" xfId="21746"/>
    <cellStyle name="Style 165 3" xfId="21747"/>
    <cellStyle name="Style 166" xfId="21748"/>
    <cellStyle name="Style 167" xfId="21749"/>
    <cellStyle name="Style 167 2" xfId="21750"/>
    <cellStyle name="Style 167 3" xfId="21751"/>
    <cellStyle name="Style 168" xfId="21752"/>
    <cellStyle name="Style 169" xfId="21753"/>
    <cellStyle name="Style 169 2" xfId="21754"/>
    <cellStyle name="Style 169 3" xfId="21755"/>
    <cellStyle name="Style 17" xfId="21756"/>
    <cellStyle name="Style 17 2" xfId="21757"/>
    <cellStyle name="Style 17 3" xfId="21758"/>
    <cellStyle name="Style 170" xfId="21759"/>
    <cellStyle name="Style 170 2" xfId="21760"/>
    <cellStyle name="Style 170 2 2" xfId="21761"/>
    <cellStyle name="Style 171" xfId="21762"/>
    <cellStyle name="Style 171 2" xfId="21763"/>
    <cellStyle name="Style 171 3" xfId="21764"/>
    <cellStyle name="Style 172" xfId="21765"/>
    <cellStyle name="Style 173" xfId="21766"/>
    <cellStyle name="Style 173 2" xfId="21767"/>
    <cellStyle name="Style 173 3" xfId="21768"/>
    <cellStyle name="Style 174" xfId="21769"/>
    <cellStyle name="Style 174 2" xfId="21770"/>
    <cellStyle name="Style 174 2 2" xfId="21771"/>
    <cellStyle name="Style 175" xfId="21772"/>
    <cellStyle name="Style 175 2" xfId="21773"/>
    <cellStyle name="Style 175 3" xfId="21774"/>
    <cellStyle name="Style 176" xfId="21775"/>
    <cellStyle name="Style 177" xfId="21776"/>
    <cellStyle name="Style 177 2" xfId="21777"/>
    <cellStyle name="Style 177 3" xfId="21778"/>
    <cellStyle name="Style 178" xfId="21779"/>
    <cellStyle name="Style 179" xfId="21780"/>
    <cellStyle name="Style 179 2" xfId="21781"/>
    <cellStyle name="Style 179 3" xfId="21782"/>
    <cellStyle name="Style 18" xfId="21783"/>
    <cellStyle name="Style 18 2" xfId="21784"/>
    <cellStyle name="Style 18 3" xfId="21785"/>
    <cellStyle name="Style 180" xfId="21786"/>
    <cellStyle name="Style 181" xfId="21787"/>
    <cellStyle name="Style 181 2" xfId="21788"/>
    <cellStyle name="Style 181 2 2" xfId="21789"/>
    <cellStyle name="Style 181 2 2 2" xfId="21790"/>
    <cellStyle name="Style 181 3" xfId="21791"/>
    <cellStyle name="Style 182" xfId="21792"/>
    <cellStyle name="Style 183" xfId="21793"/>
    <cellStyle name="Style 183 2" xfId="21794"/>
    <cellStyle name="Style 183 3" xfId="21795"/>
    <cellStyle name="Style 184" xfId="21796"/>
    <cellStyle name="Style 185" xfId="21797"/>
    <cellStyle name="Style 185 2" xfId="21798"/>
    <cellStyle name="Style 185 2 2" xfId="21799"/>
    <cellStyle name="Style 185 2 2 2" xfId="21800"/>
    <cellStyle name="Style 185 3" xfId="21801"/>
    <cellStyle name="Style 186" xfId="21802"/>
    <cellStyle name="Style 187" xfId="21803"/>
    <cellStyle name="Style 187 2" xfId="21804"/>
    <cellStyle name="Style 187 3" xfId="21805"/>
    <cellStyle name="Style 188" xfId="21806"/>
    <cellStyle name="Style 189" xfId="21807"/>
    <cellStyle name="Style 19" xfId="21808"/>
    <cellStyle name="Style 19 2" xfId="21809"/>
    <cellStyle name="Style 190" xfId="21810"/>
    <cellStyle name="Style 190 2" xfId="21811"/>
    <cellStyle name="Style 190 3" xfId="21812"/>
    <cellStyle name="Style 191" xfId="21813"/>
    <cellStyle name="Style 192" xfId="21814"/>
    <cellStyle name="Style 192 2" xfId="21815"/>
    <cellStyle name="Style 192 3" xfId="21816"/>
    <cellStyle name="Style 193" xfId="21817"/>
    <cellStyle name="Style 193 2" xfId="21818"/>
    <cellStyle name="Style 193 2 2" xfId="21819"/>
    <cellStyle name="Style 194" xfId="21820"/>
    <cellStyle name="Style 194 2" xfId="21821"/>
    <cellStyle name="Style 194 3" xfId="21822"/>
    <cellStyle name="Style 195" xfId="21823"/>
    <cellStyle name="Style 196" xfId="21824"/>
    <cellStyle name="Style 196 2" xfId="21825"/>
    <cellStyle name="Style 196 3" xfId="21826"/>
    <cellStyle name="Style 197" xfId="21827"/>
    <cellStyle name="Style 197 2" xfId="21828"/>
    <cellStyle name="Style 197 2 2" xfId="21829"/>
    <cellStyle name="Style 198" xfId="21830"/>
    <cellStyle name="Style 198 2" xfId="21831"/>
    <cellStyle name="Style 198 3" xfId="21832"/>
    <cellStyle name="Style 199" xfId="21833"/>
    <cellStyle name="Style 2" xfId="21834"/>
    <cellStyle name="Style 2 2" xfId="21835"/>
    <cellStyle name="Style 2 2 2" xfId="21836"/>
    <cellStyle name="Style 2 2 3" xfId="21837"/>
    <cellStyle name="Style 2 3" xfId="21838"/>
    <cellStyle name="Style 2 3 2" xfId="21839"/>
    <cellStyle name="Style 2 3 2 2" xfId="21840"/>
    <cellStyle name="Style 2 3 3" xfId="21841"/>
    <cellStyle name="Style 2 4" xfId="21842"/>
    <cellStyle name="Style 2 5" xfId="21843"/>
    <cellStyle name="Style 2 6" xfId="21844"/>
    <cellStyle name="Style 20" xfId="21845"/>
    <cellStyle name="Style 20 2" xfId="21846"/>
    <cellStyle name="Style 200" xfId="21847"/>
    <cellStyle name="Style 200 2" xfId="21848"/>
    <cellStyle name="Style 200 3" xfId="21849"/>
    <cellStyle name="Style 201" xfId="21850"/>
    <cellStyle name="Style 202" xfId="21851"/>
    <cellStyle name="Style 202 2" xfId="21852"/>
    <cellStyle name="Style 202 3" xfId="21853"/>
    <cellStyle name="Style 203" xfId="21854"/>
    <cellStyle name="Style 204" xfId="21855"/>
    <cellStyle name="Style 204 2" xfId="21856"/>
    <cellStyle name="Style 204 3" xfId="21857"/>
    <cellStyle name="Style 205" xfId="21858"/>
    <cellStyle name="Style 206" xfId="21859"/>
    <cellStyle name="Style 206 2" xfId="21860"/>
    <cellStyle name="Style 206 3" xfId="21861"/>
    <cellStyle name="Style 207" xfId="21862"/>
    <cellStyle name="Style 207 2" xfId="21863"/>
    <cellStyle name="Style 207 2 2" xfId="21864"/>
    <cellStyle name="Style 208" xfId="21865"/>
    <cellStyle name="Style 208 2" xfId="21866"/>
    <cellStyle name="Style 208 3" xfId="21867"/>
    <cellStyle name="Style 209" xfId="21868"/>
    <cellStyle name="Style 21" xfId="21869"/>
    <cellStyle name="Style 21 2" xfId="21870"/>
    <cellStyle name="Style 21 2 2" xfId="21871"/>
    <cellStyle name="Style 21 3" xfId="21872"/>
    <cellStyle name="Style 210" xfId="21873"/>
    <cellStyle name="Style 210 2" xfId="21874"/>
    <cellStyle name="Style 210 3" xfId="21875"/>
    <cellStyle name="Style 211" xfId="21876"/>
    <cellStyle name="Style 211 2" xfId="21877"/>
    <cellStyle name="Style 211 2 2" xfId="21878"/>
    <cellStyle name="Style 212" xfId="21879"/>
    <cellStyle name="Style 212 2" xfId="21880"/>
    <cellStyle name="Style 212 3" xfId="21881"/>
    <cellStyle name="Style 213" xfId="21882"/>
    <cellStyle name="Style 214" xfId="21883"/>
    <cellStyle name="Style 215" xfId="21884"/>
    <cellStyle name="Style 216" xfId="21885"/>
    <cellStyle name="Style 217" xfId="21886"/>
    <cellStyle name="Style 218" xfId="21887"/>
    <cellStyle name="Style 218 2" xfId="21888"/>
    <cellStyle name="Style 219" xfId="21889"/>
    <cellStyle name="Style 219 2" xfId="21890"/>
    <cellStyle name="Style 22" xfId="21891"/>
    <cellStyle name="Style 22 2" xfId="21892"/>
    <cellStyle name="Style 22 2 2" xfId="21893"/>
    <cellStyle name="Style 22 3" xfId="21894"/>
    <cellStyle name="Style 220" xfId="21895"/>
    <cellStyle name="Style 220 2" xfId="21896"/>
    <cellStyle name="Style 221" xfId="21897"/>
    <cellStyle name="Style 221 2" xfId="21898"/>
    <cellStyle name="Style 222" xfId="21899"/>
    <cellStyle name="Style 222 2" xfId="21900"/>
    <cellStyle name="Style 223" xfId="21901"/>
    <cellStyle name="Style 223 2" xfId="21902"/>
    <cellStyle name="Style 224" xfId="21903"/>
    <cellStyle name="Style 224 2" xfId="21904"/>
    <cellStyle name="Style 225" xfId="21905"/>
    <cellStyle name="Style 225 2" xfId="21906"/>
    <cellStyle name="Style 226" xfId="21907"/>
    <cellStyle name="Style 226 2" xfId="21908"/>
    <cellStyle name="Style 227" xfId="21909"/>
    <cellStyle name="Style 227 2" xfId="21910"/>
    <cellStyle name="Style 228" xfId="21911"/>
    <cellStyle name="Style 228 2" xfId="21912"/>
    <cellStyle name="Style 229" xfId="21913"/>
    <cellStyle name="Style 229 2" xfId="21914"/>
    <cellStyle name="Style 23" xfId="21915"/>
    <cellStyle name="Style 23 2" xfId="21916"/>
    <cellStyle name="Style 23 2 2" xfId="21917"/>
    <cellStyle name="Style 23 3" xfId="21918"/>
    <cellStyle name="Style 230" xfId="21919"/>
    <cellStyle name="Style 230 2" xfId="21920"/>
    <cellStyle name="Style 231" xfId="21921"/>
    <cellStyle name="Style 231 2" xfId="21922"/>
    <cellStyle name="Style 232" xfId="21923"/>
    <cellStyle name="Style 232 2" xfId="21924"/>
    <cellStyle name="Style 233" xfId="21925"/>
    <cellStyle name="Style 233 2" xfId="21926"/>
    <cellStyle name="Style 234" xfId="21927"/>
    <cellStyle name="Style 234 2" xfId="21928"/>
    <cellStyle name="Style 235" xfId="21929"/>
    <cellStyle name="Style 236" xfId="21930"/>
    <cellStyle name="Style 237" xfId="21931"/>
    <cellStyle name="Style 238" xfId="21932"/>
    <cellStyle name="Style 238 2" xfId="21933"/>
    <cellStyle name="Style 238 2 2" xfId="21934"/>
    <cellStyle name="Style 239" xfId="21935"/>
    <cellStyle name="Style 239 2" xfId="21936"/>
    <cellStyle name="Style 239 2 2" xfId="21937"/>
    <cellStyle name="Style 24" xfId="21938"/>
    <cellStyle name="Style 24 2" xfId="21939"/>
    <cellStyle name="Style 24 2 2" xfId="21940"/>
    <cellStyle name="Style 24 3" xfId="21941"/>
    <cellStyle name="Style 240" xfId="21942"/>
    <cellStyle name="Style 240 2" xfId="21943"/>
    <cellStyle name="Style 241" xfId="21944"/>
    <cellStyle name="Style 241 2" xfId="21945"/>
    <cellStyle name="Style 242" xfId="21946"/>
    <cellStyle name="Style 242 2" xfId="21947"/>
    <cellStyle name="Style 243" xfId="21948"/>
    <cellStyle name="Style 243 2" xfId="21949"/>
    <cellStyle name="Style 244" xfId="21950"/>
    <cellStyle name="Style 244 2" xfId="21951"/>
    <cellStyle name="Style 245" xfId="21952"/>
    <cellStyle name="Style 245 2" xfId="21953"/>
    <cellStyle name="Style 246" xfId="21954"/>
    <cellStyle name="Style 246 2" xfId="21955"/>
    <cellStyle name="Style 247" xfId="21956"/>
    <cellStyle name="Style 247 2" xfId="21957"/>
    <cellStyle name="Style 248" xfId="21958"/>
    <cellStyle name="Style 248 2" xfId="21959"/>
    <cellStyle name="Style 249" xfId="21960"/>
    <cellStyle name="Style 249 2" xfId="21961"/>
    <cellStyle name="Style 25" xfId="21962"/>
    <cellStyle name="Style 25 2" xfId="21963"/>
    <cellStyle name="Style 25 2 2" xfId="21964"/>
    <cellStyle name="Style 25 3" xfId="21965"/>
    <cellStyle name="Style 250" xfId="21966"/>
    <cellStyle name="Style 250 2" xfId="21967"/>
    <cellStyle name="Style 251" xfId="21968"/>
    <cellStyle name="Style 251 2" xfId="21969"/>
    <cellStyle name="Style 252" xfId="21970"/>
    <cellStyle name="Style 252 2" xfId="21971"/>
    <cellStyle name="Style 253" xfId="21972"/>
    <cellStyle name="Style 253 2" xfId="21973"/>
    <cellStyle name="Style 254" xfId="21974"/>
    <cellStyle name="Style 254 2" xfId="21975"/>
    <cellStyle name="Style 254 2 2" xfId="21976"/>
    <cellStyle name="Style 254 3" xfId="21977"/>
    <cellStyle name="Style 255" xfId="21978"/>
    <cellStyle name="Style 255 2" xfId="21979"/>
    <cellStyle name="Style 256" xfId="21980"/>
    <cellStyle name="Style 256 2" xfId="21981"/>
    <cellStyle name="Style 257" xfId="21982"/>
    <cellStyle name="Style 257 2" xfId="21983"/>
    <cellStyle name="Style 258" xfId="21984"/>
    <cellStyle name="Style 258 2" xfId="21985"/>
    <cellStyle name="Style 258 2 2" xfId="21986"/>
    <cellStyle name="Style 259" xfId="21987"/>
    <cellStyle name="Style 26" xfId="21988"/>
    <cellStyle name="Style 26 2" xfId="21989"/>
    <cellStyle name="Style 26 2 2" xfId="21990"/>
    <cellStyle name="Style 26 3" xfId="21991"/>
    <cellStyle name="Style 260" xfId="21992"/>
    <cellStyle name="Style 261" xfId="21993"/>
    <cellStyle name="Style 262" xfId="21994"/>
    <cellStyle name="Style 263" xfId="21995"/>
    <cellStyle name="Style 264" xfId="21996"/>
    <cellStyle name="Style 265" xfId="21997"/>
    <cellStyle name="Style 266" xfId="21998"/>
    <cellStyle name="Style 267" xfId="21999"/>
    <cellStyle name="Style 268" xfId="22000"/>
    <cellStyle name="Style 269" xfId="22001"/>
    <cellStyle name="Style 27" xfId="22002"/>
    <cellStyle name="Style 27 2" xfId="22003"/>
    <cellStyle name="Style 27 2 2" xfId="22004"/>
    <cellStyle name="Style 27 3" xfId="22005"/>
    <cellStyle name="Style 270" xfId="22006"/>
    <cellStyle name="Style 271" xfId="22007"/>
    <cellStyle name="Style 272" xfId="22008"/>
    <cellStyle name="Style 273" xfId="22009"/>
    <cellStyle name="Style 274" xfId="22010"/>
    <cellStyle name="Style 275" xfId="22011"/>
    <cellStyle name="Style 275 2" xfId="22012"/>
    <cellStyle name="Style 276" xfId="22013"/>
    <cellStyle name="Style 276 2" xfId="22014"/>
    <cellStyle name="Style 277" xfId="22015"/>
    <cellStyle name="Style 277 2" xfId="22016"/>
    <cellStyle name="Style 278" xfId="22017"/>
    <cellStyle name="Style 278 2" xfId="22018"/>
    <cellStyle name="Style 279" xfId="22019"/>
    <cellStyle name="Style 28" xfId="22020"/>
    <cellStyle name="Style 28 2" xfId="22021"/>
    <cellStyle name="Style 28 2 2" xfId="22022"/>
    <cellStyle name="Style 28 3" xfId="22023"/>
    <cellStyle name="Style 280" xfId="22024"/>
    <cellStyle name="Style 281" xfId="22025"/>
    <cellStyle name="Style 282" xfId="22026"/>
    <cellStyle name="Style 283" xfId="22027"/>
    <cellStyle name="Style 284" xfId="22028"/>
    <cellStyle name="Style 285" xfId="22029"/>
    <cellStyle name="Style 286" xfId="22030"/>
    <cellStyle name="Style 287" xfId="22031"/>
    <cellStyle name="Style 288" xfId="22032"/>
    <cellStyle name="Style 289" xfId="22033"/>
    <cellStyle name="Style 29" xfId="22034"/>
    <cellStyle name="Style 29 2" xfId="22035"/>
    <cellStyle name="Style 29 2 2" xfId="22036"/>
    <cellStyle name="Style 29 3" xfId="22037"/>
    <cellStyle name="Style 290" xfId="22038"/>
    <cellStyle name="Style 291" xfId="22039"/>
    <cellStyle name="Style 292" xfId="22040"/>
    <cellStyle name="Style 293" xfId="22041"/>
    <cellStyle name="Style 294" xfId="22042"/>
    <cellStyle name="Style 295" xfId="22043"/>
    <cellStyle name="Style 296" xfId="22044"/>
    <cellStyle name="Style 297" xfId="22045"/>
    <cellStyle name="Style 298" xfId="22046"/>
    <cellStyle name="Style 299" xfId="22047"/>
    <cellStyle name="Style 3" xfId="22048"/>
    <cellStyle name="Style 3 2" xfId="22049"/>
    <cellStyle name="Style 3 3" xfId="22050"/>
    <cellStyle name="Style 30" xfId="22051"/>
    <cellStyle name="Style 30 2" xfId="22052"/>
    <cellStyle name="Style 30 2 2" xfId="22053"/>
    <cellStyle name="Style 30 3" xfId="22054"/>
    <cellStyle name="Style 300" xfId="22055"/>
    <cellStyle name="Style 301" xfId="22056"/>
    <cellStyle name="Style 302" xfId="22057"/>
    <cellStyle name="Style 303" xfId="22058"/>
    <cellStyle name="Style 304" xfId="22059"/>
    <cellStyle name="Style 305" xfId="22060"/>
    <cellStyle name="Style 306" xfId="22061"/>
    <cellStyle name="Style 307" xfId="22062"/>
    <cellStyle name="Style 308" xfId="22063"/>
    <cellStyle name="Style 309" xfId="22064"/>
    <cellStyle name="Style 31" xfId="22065"/>
    <cellStyle name="Style 31 2" xfId="22066"/>
    <cellStyle name="Style 31 2 2" xfId="22067"/>
    <cellStyle name="Style 31 3" xfId="22068"/>
    <cellStyle name="Style 310" xfId="22069"/>
    <cellStyle name="Style 311" xfId="22070"/>
    <cellStyle name="Style 312" xfId="22071"/>
    <cellStyle name="Style 313" xfId="22072"/>
    <cellStyle name="Style 314" xfId="22073"/>
    <cellStyle name="Style 315" xfId="22074"/>
    <cellStyle name="Style 316" xfId="22075"/>
    <cellStyle name="Style 317" xfId="22076"/>
    <cellStyle name="Style 318" xfId="22077"/>
    <cellStyle name="Style 319" xfId="22078"/>
    <cellStyle name="Style 32" xfId="22079"/>
    <cellStyle name="Style 32 2" xfId="22080"/>
    <cellStyle name="Style 32 2 2" xfId="22081"/>
    <cellStyle name="Style 32 3" xfId="22082"/>
    <cellStyle name="Style 320" xfId="22083"/>
    <cellStyle name="Style 321" xfId="22084"/>
    <cellStyle name="Style 322" xfId="22085"/>
    <cellStyle name="Style 323" xfId="22086"/>
    <cellStyle name="Style 324" xfId="22087"/>
    <cellStyle name="Style 325" xfId="22088"/>
    <cellStyle name="Style 326" xfId="22089"/>
    <cellStyle name="Style 327" xfId="22090"/>
    <cellStyle name="Style 328" xfId="22091"/>
    <cellStyle name="Style 329" xfId="22092"/>
    <cellStyle name="Style 33" xfId="22093"/>
    <cellStyle name="Style 33 2" xfId="22094"/>
    <cellStyle name="Style 330" xfId="22095"/>
    <cellStyle name="Style 331" xfId="22096"/>
    <cellStyle name="Style 332" xfId="22097"/>
    <cellStyle name="Style 333" xfId="22098"/>
    <cellStyle name="Style 334" xfId="22099"/>
    <cellStyle name="Style 335" xfId="22100"/>
    <cellStyle name="Style 336" xfId="22101"/>
    <cellStyle name="Style 337" xfId="22102"/>
    <cellStyle name="Style 338" xfId="22103"/>
    <cellStyle name="Style 339" xfId="22104"/>
    <cellStyle name="Style 34" xfId="22105"/>
    <cellStyle name="Style 34 2" xfId="22106"/>
    <cellStyle name="Style 340" xfId="22107"/>
    <cellStyle name="Style 341" xfId="22108"/>
    <cellStyle name="Style 342" xfId="22109"/>
    <cellStyle name="Style 343" xfId="22110"/>
    <cellStyle name="Style 344" xfId="22111"/>
    <cellStyle name="Style 345" xfId="22112"/>
    <cellStyle name="Style 346" xfId="22113"/>
    <cellStyle name="Style 347" xfId="22114"/>
    <cellStyle name="Style 348" xfId="22115"/>
    <cellStyle name="Style 349" xfId="22116"/>
    <cellStyle name="Style 35" xfId="22117"/>
    <cellStyle name="Style 35 2" xfId="22118"/>
    <cellStyle name="Style 350" xfId="22119"/>
    <cellStyle name="Style 351" xfId="22120"/>
    <cellStyle name="Style 352" xfId="22121"/>
    <cellStyle name="Style 353" xfId="22122"/>
    <cellStyle name="Style 354" xfId="22123"/>
    <cellStyle name="Style 355" xfId="22124"/>
    <cellStyle name="Style 356" xfId="22125"/>
    <cellStyle name="Style 357" xfId="22126"/>
    <cellStyle name="Style 358" xfId="22127"/>
    <cellStyle name="Style 359" xfId="22128"/>
    <cellStyle name="Style 36" xfId="22129"/>
    <cellStyle name="Style 36 2" xfId="22130"/>
    <cellStyle name="Style 36 2 2" xfId="22131"/>
    <cellStyle name="Style 36 3" xfId="22132"/>
    <cellStyle name="Style 360" xfId="22133"/>
    <cellStyle name="Style 361" xfId="22134"/>
    <cellStyle name="Style 362" xfId="22135"/>
    <cellStyle name="Style 363" xfId="22136"/>
    <cellStyle name="Style 364" xfId="22137"/>
    <cellStyle name="Style 365" xfId="22138"/>
    <cellStyle name="Style 366" xfId="22139"/>
    <cellStyle name="Style 367" xfId="22140"/>
    <cellStyle name="Style 368" xfId="22141"/>
    <cellStyle name="Style 369" xfId="22142"/>
    <cellStyle name="Style 37" xfId="22143"/>
    <cellStyle name="Style 37 2" xfId="22144"/>
    <cellStyle name="Style 370" xfId="22145"/>
    <cellStyle name="Style 371" xfId="22146"/>
    <cellStyle name="Style 372" xfId="22147"/>
    <cellStyle name="Style 373" xfId="22148"/>
    <cellStyle name="Style 374" xfId="22149"/>
    <cellStyle name="Style 375" xfId="22150"/>
    <cellStyle name="Style 376" xfId="22151"/>
    <cellStyle name="Style 377" xfId="22152"/>
    <cellStyle name="Style 378" xfId="22153"/>
    <cellStyle name="Style 379" xfId="22154"/>
    <cellStyle name="Style 38" xfId="22155"/>
    <cellStyle name="Style 38 2" xfId="22156"/>
    <cellStyle name="Style 38 2 2" xfId="22157"/>
    <cellStyle name="Style 38 3" xfId="22158"/>
    <cellStyle name="Style 380" xfId="22159"/>
    <cellStyle name="Style 381" xfId="22160"/>
    <cellStyle name="Style 382" xfId="22161"/>
    <cellStyle name="Style 383" xfId="22162"/>
    <cellStyle name="Style 384" xfId="22163"/>
    <cellStyle name="Style 385" xfId="22164"/>
    <cellStyle name="Style 386" xfId="22165"/>
    <cellStyle name="Style 387" xfId="22166"/>
    <cellStyle name="Style 388" xfId="22167"/>
    <cellStyle name="Style 389" xfId="22168"/>
    <cellStyle name="Style 39" xfId="22169"/>
    <cellStyle name="Style 39 2" xfId="22170"/>
    <cellStyle name="Style 390" xfId="22171"/>
    <cellStyle name="Style 391" xfId="22172"/>
    <cellStyle name="Style 392" xfId="22173"/>
    <cellStyle name="Style 393" xfId="22174"/>
    <cellStyle name="Style 394" xfId="22175"/>
    <cellStyle name="Style 395" xfId="22176"/>
    <cellStyle name="Style 396" xfId="22177"/>
    <cellStyle name="Style 397" xfId="22178"/>
    <cellStyle name="Style 398" xfId="22179"/>
    <cellStyle name="Style 399" xfId="22180"/>
    <cellStyle name="Style 4" xfId="22181"/>
    <cellStyle name="Style 4 2" xfId="22182"/>
    <cellStyle name="Style 4 2 2" xfId="22183"/>
    <cellStyle name="Style 4 3" xfId="22184"/>
    <cellStyle name="Style 4 3 2" xfId="22185"/>
    <cellStyle name="Style 4 3 2 2" xfId="22186"/>
    <cellStyle name="Style 4 3 3" xfId="22187"/>
    <cellStyle name="Style 4 4" xfId="22188"/>
    <cellStyle name="Style 4 5" xfId="22189"/>
    <cellStyle name="Style 40" xfId="22190"/>
    <cellStyle name="Style 40 2" xfId="22191"/>
    <cellStyle name="Style 40 3" xfId="22192"/>
    <cellStyle name="Style 400" xfId="22193"/>
    <cellStyle name="Style 401" xfId="22194"/>
    <cellStyle name="Style 402" xfId="22195"/>
    <cellStyle name="Style 403" xfId="22196"/>
    <cellStyle name="Style 404" xfId="22197"/>
    <cellStyle name="Style 405" xfId="22198"/>
    <cellStyle name="Style 406" xfId="22199"/>
    <cellStyle name="Style 407" xfId="22200"/>
    <cellStyle name="Style 408" xfId="22201"/>
    <cellStyle name="Style 409" xfId="22202"/>
    <cellStyle name="Style 41" xfId="22203"/>
    <cellStyle name="Style 41 2" xfId="22204"/>
    <cellStyle name="Style 410" xfId="22205"/>
    <cellStyle name="Style 411" xfId="22206"/>
    <cellStyle name="Style 412" xfId="22207"/>
    <cellStyle name="Style 413" xfId="22208"/>
    <cellStyle name="Style 414" xfId="22209"/>
    <cellStyle name="Style 415" xfId="22210"/>
    <cellStyle name="Style 416" xfId="22211"/>
    <cellStyle name="Style 417" xfId="22212"/>
    <cellStyle name="Style 418" xfId="22213"/>
    <cellStyle name="Style 419" xfId="22214"/>
    <cellStyle name="Style 42" xfId="22215"/>
    <cellStyle name="Style 42 2" xfId="22216"/>
    <cellStyle name="Style 42 3" xfId="22217"/>
    <cellStyle name="Style 420" xfId="22218"/>
    <cellStyle name="Style 421" xfId="22219"/>
    <cellStyle name="Style 422" xfId="22220"/>
    <cellStyle name="Style 423" xfId="22221"/>
    <cellStyle name="Style 424" xfId="22222"/>
    <cellStyle name="Style 425" xfId="22223"/>
    <cellStyle name="Style 426" xfId="22224"/>
    <cellStyle name="Style 427" xfId="22225"/>
    <cellStyle name="Style 428" xfId="22226"/>
    <cellStyle name="Style 429" xfId="22227"/>
    <cellStyle name="Style 43" xfId="22228"/>
    <cellStyle name="Style 43 2" xfId="22229"/>
    <cellStyle name="Style 430" xfId="22230"/>
    <cellStyle name="Style 431" xfId="22231"/>
    <cellStyle name="Style 432" xfId="22232"/>
    <cellStyle name="Style 433" xfId="22233"/>
    <cellStyle name="Style 434" xfId="22234"/>
    <cellStyle name="Style 435" xfId="22235"/>
    <cellStyle name="Style 436" xfId="22236"/>
    <cellStyle name="Style 437" xfId="22237"/>
    <cellStyle name="Style 438" xfId="22238"/>
    <cellStyle name="Style 439" xfId="22239"/>
    <cellStyle name="Style 44" xfId="22240"/>
    <cellStyle name="Style 44 2" xfId="22241"/>
    <cellStyle name="Style 44 3" xfId="22242"/>
    <cellStyle name="Style 440" xfId="22243"/>
    <cellStyle name="Style 441" xfId="22244"/>
    <cellStyle name="Style 442" xfId="22245"/>
    <cellStyle name="Style 443" xfId="22246"/>
    <cellStyle name="Style 444" xfId="22247"/>
    <cellStyle name="Style 445" xfId="22248"/>
    <cellStyle name="Style 446" xfId="22249"/>
    <cellStyle name="Style 447" xfId="22250"/>
    <cellStyle name="Style 448" xfId="22251"/>
    <cellStyle name="Style 449" xfId="22252"/>
    <cellStyle name="Style 45" xfId="22253"/>
    <cellStyle name="Style 450" xfId="22254"/>
    <cellStyle name="Style 451" xfId="22255"/>
    <cellStyle name="Style 452" xfId="22256"/>
    <cellStyle name="Style 453" xfId="22257"/>
    <cellStyle name="Style 454" xfId="22258"/>
    <cellStyle name="Style 455" xfId="22259"/>
    <cellStyle name="Style 456" xfId="22260"/>
    <cellStyle name="Style 457" xfId="22261"/>
    <cellStyle name="Style 458" xfId="22262"/>
    <cellStyle name="Style 459" xfId="22263"/>
    <cellStyle name="Style 46" xfId="22264"/>
    <cellStyle name="Style 46 2" xfId="22265"/>
    <cellStyle name="Style 46 3" xfId="22266"/>
    <cellStyle name="Style 460" xfId="22267"/>
    <cellStyle name="Style 461" xfId="22268"/>
    <cellStyle name="Style 462" xfId="22269"/>
    <cellStyle name="Style 463" xfId="22270"/>
    <cellStyle name="Style 464" xfId="22271"/>
    <cellStyle name="Style 465" xfId="22272"/>
    <cellStyle name="Style 466" xfId="22273"/>
    <cellStyle name="Style 467" xfId="22274"/>
    <cellStyle name="Style 468" xfId="22275"/>
    <cellStyle name="Style 469" xfId="22276"/>
    <cellStyle name="Style 47" xfId="22277"/>
    <cellStyle name="Style 470" xfId="22278"/>
    <cellStyle name="Style 471" xfId="22279"/>
    <cellStyle name="Style 472" xfId="22280"/>
    <cellStyle name="Style 473" xfId="22281"/>
    <cellStyle name="Style 474" xfId="22282"/>
    <cellStyle name="Style 475" xfId="22283"/>
    <cellStyle name="Style 476" xfId="22284"/>
    <cellStyle name="Style 477" xfId="22285"/>
    <cellStyle name="Style 478" xfId="22286"/>
    <cellStyle name="Style 479" xfId="22287"/>
    <cellStyle name="Style 48" xfId="22288"/>
    <cellStyle name="Style 48 2" xfId="22289"/>
    <cellStyle name="Style 48 3" xfId="22290"/>
    <cellStyle name="Style 480" xfId="22291"/>
    <cellStyle name="Style 481" xfId="22292"/>
    <cellStyle name="Style 482" xfId="22293"/>
    <cellStyle name="Style 483" xfId="22294"/>
    <cellStyle name="Style 484" xfId="22295"/>
    <cellStyle name="Style 485" xfId="22296"/>
    <cellStyle name="Style 486" xfId="22297"/>
    <cellStyle name="Style 487" xfId="22298"/>
    <cellStyle name="Style 488" xfId="22299"/>
    <cellStyle name="Style 489" xfId="22300"/>
    <cellStyle name="Style 49" xfId="22301"/>
    <cellStyle name="Style 490" xfId="22302"/>
    <cellStyle name="Style 491" xfId="22303"/>
    <cellStyle name="Style 492" xfId="22304"/>
    <cellStyle name="Style 493" xfId="22305"/>
    <cellStyle name="Style 494" xfId="22306"/>
    <cellStyle name="Style 495" xfId="22307"/>
    <cellStyle name="Style 496" xfId="22308"/>
    <cellStyle name="Style 497" xfId="22309"/>
    <cellStyle name="Style 498" xfId="22310"/>
    <cellStyle name="Style 499" xfId="22311"/>
    <cellStyle name="Style 5" xfId="22312"/>
    <cellStyle name="Style 5 2" xfId="22313"/>
    <cellStyle name="Style 5 3" xfId="22314"/>
    <cellStyle name="Style 5 4" xfId="22315"/>
    <cellStyle name="Style 50" xfId="22316"/>
    <cellStyle name="Style 50 2" xfId="22317"/>
    <cellStyle name="Style 50 3" xfId="22318"/>
    <cellStyle name="Style 500" xfId="22319"/>
    <cellStyle name="Style 501" xfId="22320"/>
    <cellStyle name="Style 502" xfId="22321"/>
    <cellStyle name="Style 503" xfId="22322"/>
    <cellStyle name="Style 504" xfId="22323"/>
    <cellStyle name="Style 505" xfId="22324"/>
    <cellStyle name="Style 506" xfId="22325"/>
    <cellStyle name="Style 507" xfId="22326"/>
    <cellStyle name="Style 508" xfId="22327"/>
    <cellStyle name="Style 509" xfId="22328"/>
    <cellStyle name="Style 51" xfId="22329"/>
    <cellStyle name="Style 510" xfId="22330"/>
    <cellStyle name="Style 511" xfId="22331"/>
    <cellStyle name="Style 512" xfId="22332"/>
    <cellStyle name="Style 513" xfId="22333"/>
    <cellStyle name="Style 514" xfId="22334"/>
    <cellStyle name="Style 515" xfId="22335"/>
    <cellStyle name="Style 516" xfId="22336"/>
    <cellStyle name="Style 517" xfId="22337"/>
    <cellStyle name="Style 518" xfId="22338"/>
    <cellStyle name="Style 519" xfId="22339"/>
    <cellStyle name="Style 52" xfId="22340"/>
    <cellStyle name="Style 52 2" xfId="22341"/>
    <cellStyle name="Style 52 3" xfId="22342"/>
    <cellStyle name="Style 520" xfId="22343"/>
    <cellStyle name="Style 521" xfId="22344"/>
    <cellStyle name="Style 522" xfId="22345"/>
    <cellStyle name="Style 523" xfId="22346"/>
    <cellStyle name="Style 524" xfId="22347"/>
    <cellStyle name="Style 525" xfId="22348"/>
    <cellStyle name="Style 526" xfId="22349"/>
    <cellStyle name="Style 527" xfId="22350"/>
    <cellStyle name="Style 528" xfId="22351"/>
    <cellStyle name="Style 529" xfId="22352"/>
    <cellStyle name="Style 53" xfId="22353"/>
    <cellStyle name="Style 530" xfId="22354"/>
    <cellStyle name="Style 531" xfId="22355"/>
    <cellStyle name="Style 532" xfId="22356"/>
    <cellStyle name="Style 533" xfId="22357"/>
    <cellStyle name="Style 534" xfId="22358"/>
    <cellStyle name="Style 535" xfId="22359"/>
    <cellStyle name="Style 536" xfId="22360"/>
    <cellStyle name="Style 537" xfId="22361"/>
    <cellStyle name="Style 538" xfId="22362"/>
    <cellStyle name="Style 539" xfId="22363"/>
    <cellStyle name="Style 54" xfId="22364"/>
    <cellStyle name="Style 54 2" xfId="22365"/>
    <cellStyle name="Style 54 3" xfId="22366"/>
    <cellStyle name="Style 540" xfId="22367"/>
    <cellStyle name="Style 541" xfId="22368"/>
    <cellStyle name="Style 542" xfId="22369"/>
    <cellStyle name="Style 543" xfId="22370"/>
    <cellStyle name="Style 544" xfId="22371"/>
    <cellStyle name="Style 545" xfId="22372"/>
    <cellStyle name="Style 546" xfId="22373"/>
    <cellStyle name="Style 547" xfId="22374"/>
    <cellStyle name="Style 548" xfId="22375"/>
    <cellStyle name="Style 549" xfId="22376"/>
    <cellStyle name="Style 55" xfId="22377"/>
    <cellStyle name="Style 550" xfId="22378"/>
    <cellStyle name="Style 551" xfId="22379"/>
    <cellStyle name="Style 552" xfId="22380"/>
    <cellStyle name="Style 553" xfId="22381"/>
    <cellStyle name="Style 554" xfId="22382"/>
    <cellStyle name="Style 555" xfId="22383"/>
    <cellStyle name="Style 556" xfId="22384"/>
    <cellStyle name="Style 557" xfId="22385"/>
    <cellStyle name="Style 558" xfId="22386"/>
    <cellStyle name="Style 559" xfId="22387"/>
    <cellStyle name="Style 56" xfId="22388"/>
    <cellStyle name="Style 56 2" xfId="22389"/>
    <cellStyle name="Style 56 3" xfId="22390"/>
    <cellStyle name="Style 560" xfId="22391"/>
    <cellStyle name="Style 561" xfId="22392"/>
    <cellStyle name="Style 562" xfId="22393"/>
    <cellStyle name="Style 563" xfId="22394"/>
    <cellStyle name="Style 564" xfId="22395"/>
    <cellStyle name="Style 565" xfId="22396"/>
    <cellStyle name="Style 566" xfId="22397"/>
    <cellStyle name="Style 567" xfId="22398"/>
    <cellStyle name="Style 568" xfId="22399"/>
    <cellStyle name="Style 569" xfId="22400"/>
    <cellStyle name="Style 57" xfId="22401"/>
    <cellStyle name="Style 570" xfId="22402"/>
    <cellStyle name="Style 571" xfId="22403"/>
    <cellStyle name="Style 572" xfId="22404"/>
    <cellStyle name="Style 573" xfId="22405"/>
    <cellStyle name="Style 574" xfId="22406"/>
    <cellStyle name="Style 575" xfId="22407"/>
    <cellStyle name="Style 576" xfId="22408"/>
    <cellStyle name="Style 577" xfId="22409"/>
    <cellStyle name="Style 578" xfId="22410"/>
    <cellStyle name="Style 579" xfId="22411"/>
    <cellStyle name="Style 58" xfId="22412"/>
    <cellStyle name="Style 58 2" xfId="22413"/>
    <cellStyle name="Style 58 3" xfId="22414"/>
    <cellStyle name="Style 580" xfId="22415"/>
    <cellStyle name="Style 581" xfId="22416"/>
    <cellStyle name="Style 582" xfId="22417"/>
    <cellStyle name="Style 583" xfId="22418"/>
    <cellStyle name="Style 584" xfId="22419"/>
    <cellStyle name="Style 585" xfId="22420"/>
    <cellStyle name="Style 586" xfId="22421"/>
    <cellStyle name="Style 587" xfId="22422"/>
    <cellStyle name="Style 588" xfId="22423"/>
    <cellStyle name="Style 589" xfId="22424"/>
    <cellStyle name="Style 59" xfId="22425"/>
    <cellStyle name="Style 590" xfId="22426"/>
    <cellStyle name="Style 591" xfId="22427"/>
    <cellStyle name="Style 592" xfId="22428"/>
    <cellStyle name="Style 593" xfId="22429"/>
    <cellStyle name="Style 594" xfId="22430"/>
    <cellStyle name="Style 595" xfId="22431"/>
    <cellStyle name="Style 596" xfId="22432"/>
    <cellStyle name="Style 597" xfId="22433"/>
    <cellStyle name="Style 598" xfId="22434"/>
    <cellStyle name="Style 599" xfId="22435"/>
    <cellStyle name="Style 6" xfId="22436"/>
    <cellStyle name="Style 6 2" xfId="22437"/>
    <cellStyle name="Style 6 3" xfId="22438"/>
    <cellStyle name="Style 6 4" xfId="22439"/>
    <cellStyle name="Style 60" xfId="22440"/>
    <cellStyle name="Style 60 2" xfId="22441"/>
    <cellStyle name="Style 600" xfId="22442"/>
    <cellStyle name="Style 601" xfId="22443"/>
    <cellStyle name="Style 602" xfId="22444"/>
    <cellStyle name="Style 603" xfId="22445"/>
    <cellStyle name="Style 604" xfId="22446"/>
    <cellStyle name="Style 605" xfId="22447"/>
    <cellStyle name="Style 606" xfId="22448"/>
    <cellStyle name="Style 607" xfId="22449"/>
    <cellStyle name="Style 608" xfId="22450"/>
    <cellStyle name="Style 609" xfId="22451"/>
    <cellStyle name="Style 61" xfId="22452"/>
    <cellStyle name="Style 61 2" xfId="22453"/>
    <cellStyle name="Style 610" xfId="22454"/>
    <cellStyle name="Style 611" xfId="22455"/>
    <cellStyle name="Style 612" xfId="22456"/>
    <cellStyle name="Style 613" xfId="22457"/>
    <cellStyle name="Style 614" xfId="22458"/>
    <cellStyle name="Style 615" xfId="22459"/>
    <cellStyle name="Style 616" xfId="22460"/>
    <cellStyle name="Style 617" xfId="22461"/>
    <cellStyle name="Style 618" xfId="22462"/>
    <cellStyle name="Style 619" xfId="22463"/>
    <cellStyle name="Style 62" xfId="22464"/>
    <cellStyle name="Style 62 2" xfId="22465"/>
    <cellStyle name="Style 620" xfId="22466"/>
    <cellStyle name="Style 621" xfId="22467"/>
    <cellStyle name="Style 622" xfId="22468"/>
    <cellStyle name="Style 623" xfId="22469"/>
    <cellStyle name="Style 624" xfId="22470"/>
    <cellStyle name="Style 625" xfId="22471"/>
    <cellStyle name="Style 626" xfId="22472"/>
    <cellStyle name="Style 627" xfId="22473"/>
    <cellStyle name="Style 628" xfId="22474"/>
    <cellStyle name="Style 629" xfId="22475"/>
    <cellStyle name="Style 63" xfId="22476"/>
    <cellStyle name="Style 63 2" xfId="22477"/>
    <cellStyle name="Style 63 3" xfId="22478"/>
    <cellStyle name="Style 630" xfId="22479"/>
    <cellStyle name="Style 631" xfId="22480"/>
    <cellStyle name="Style 632" xfId="22481"/>
    <cellStyle name="Style 633" xfId="22482"/>
    <cellStyle name="Style 634" xfId="22483"/>
    <cellStyle name="Style 635" xfId="22484"/>
    <cellStyle name="Style 636" xfId="22485"/>
    <cellStyle name="Style 637" xfId="22486"/>
    <cellStyle name="Style 638" xfId="22487"/>
    <cellStyle name="Style 639" xfId="22488"/>
    <cellStyle name="Style 64" xfId="22489"/>
    <cellStyle name="Style 64 2" xfId="22490"/>
    <cellStyle name="Style 640" xfId="22491"/>
    <cellStyle name="Style 641" xfId="22492"/>
    <cellStyle name="Style 642" xfId="22493"/>
    <cellStyle name="Style 643" xfId="22494"/>
    <cellStyle name="Style 644" xfId="22495"/>
    <cellStyle name="Style 645" xfId="22496"/>
    <cellStyle name="Style 646" xfId="22497"/>
    <cellStyle name="Style 647" xfId="22498"/>
    <cellStyle name="Style 648" xfId="22499"/>
    <cellStyle name="Style 649" xfId="22500"/>
    <cellStyle name="Style 65" xfId="22501"/>
    <cellStyle name="Style 65 2" xfId="22502"/>
    <cellStyle name="Style 65 3" xfId="22503"/>
    <cellStyle name="Style 650" xfId="22504"/>
    <cellStyle name="Style 651" xfId="22505"/>
    <cellStyle name="Style 652" xfId="22506"/>
    <cellStyle name="Style 653" xfId="22507"/>
    <cellStyle name="Style 654" xfId="22508"/>
    <cellStyle name="Style 655" xfId="22509"/>
    <cellStyle name="Style 656" xfId="22510"/>
    <cellStyle name="Style 657" xfId="22511"/>
    <cellStyle name="Style 658" xfId="22512"/>
    <cellStyle name="Style 659" xfId="22513"/>
    <cellStyle name="Style 66" xfId="22514"/>
    <cellStyle name="Style 660" xfId="22515"/>
    <cellStyle name="Style 661" xfId="22516"/>
    <cellStyle name="Style 662" xfId="22517"/>
    <cellStyle name="Style 663" xfId="22518"/>
    <cellStyle name="Style 664" xfId="22519"/>
    <cellStyle name="Style 665" xfId="22520"/>
    <cellStyle name="Style 666" xfId="22521"/>
    <cellStyle name="Style 667" xfId="22522"/>
    <cellStyle name="Style 668" xfId="22523"/>
    <cellStyle name="Style 669" xfId="22524"/>
    <cellStyle name="Style 67" xfId="22525"/>
    <cellStyle name="Style 67 2" xfId="22526"/>
    <cellStyle name="Style 67 3" xfId="22527"/>
    <cellStyle name="Style 670" xfId="22528"/>
    <cellStyle name="Style 671" xfId="22529"/>
    <cellStyle name="Style 672" xfId="22530"/>
    <cellStyle name="Style 673" xfId="22531"/>
    <cellStyle name="Style 674" xfId="22532"/>
    <cellStyle name="Style 675" xfId="22533"/>
    <cellStyle name="Style 676" xfId="22534"/>
    <cellStyle name="Style 677" xfId="22535"/>
    <cellStyle name="Style 678" xfId="22536"/>
    <cellStyle name="Style 679" xfId="22537"/>
    <cellStyle name="Style 68" xfId="22538"/>
    <cellStyle name="Style 680" xfId="22539"/>
    <cellStyle name="Style 681" xfId="22540"/>
    <cellStyle name="Style 682" xfId="22541"/>
    <cellStyle name="Style 683" xfId="22542"/>
    <cellStyle name="Style 684" xfId="22543"/>
    <cellStyle name="Style 685" xfId="22544"/>
    <cellStyle name="Style 686" xfId="22545"/>
    <cellStyle name="Style 687" xfId="22546"/>
    <cellStyle name="Style 688" xfId="22547"/>
    <cellStyle name="Style 689" xfId="22548"/>
    <cellStyle name="Style 69" xfId="22549"/>
    <cellStyle name="Style 69 2" xfId="22550"/>
    <cellStyle name="Style 69 3" xfId="22551"/>
    <cellStyle name="Style 690" xfId="22552"/>
    <cellStyle name="Style 691" xfId="22553"/>
    <cellStyle name="Style 692" xfId="22554"/>
    <cellStyle name="Style 693" xfId="22555"/>
    <cellStyle name="Style 694" xfId="22556"/>
    <cellStyle name="Style 695" xfId="22557"/>
    <cellStyle name="Style 696" xfId="22558"/>
    <cellStyle name="Style 697" xfId="22559"/>
    <cellStyle name="Style 698" xfId="22560"/>
    <cellStyle name="Style 699" xfId="22561"/>
    <cellStyle name="Style 7" xfId="22562"/>
    <cellStyle name="Style 7 2" xfId="22563"/>
    <cellStyle name="Style 7 2 2" xfId="22564"/>
    <cellStyle name="Style 7 3" xfId="22565"/>
    <cellStyle name="Style 7 4" xfId="22566"/>
    <cellStyle name="Style 70" xfId="22567"/>
    <cellStyle name="Style 700" xfId="22568"/>
    <cellStyle name="Style 701" xfId="22569"/>
    <cellStyle name="Style 702" xfId="22570"/>
    <cellStyle name="Style 703" xfId="22571"/>
    <cellStyle name="Style 704" xfId="22572"/>
    <cellStyle name="Style 705" xfId="22573"/>
    <cellStyle name="Style 706" xfId="22574"/>
    <cellStyle name="Style 707" xfId="22575"/>
    <cellStyle name="Style 708" xfId="22576"/>
    <cellStyle name="Style 709" xfId="22577"/>
    <cellStyle name="Style 71" xfId="22578"/>
    <cellStyle name="Style 71 2" xfId="22579"/>
    <cellStyle name="Style 71 3" xfId="22580"/>
    <cellStyle name="Style 710" xfId="22581"/>
    <cellStyle name="Style 711" xfId="22582"/>
    <cellStyle name="Style 712" xfId="22583"/>
    <cellStyle name="Style 713" xfId="22584"/>
    <cellStyle name="Style 714" xfId="22585"/>
    <cellStyle name="Style 715" xfId="22586"/>
    <cellStyle name="Style 716" xfId="22587"/>
    <cellStyle name="Style 717" xfId="22588"/>
    <cellStyle name="Style 718" xfId="22589"/>
    <cellStyle name="Style 719" xfId="22590"/>
    <cellStyle name="Style 72" xfId="22591"/>
    <cellStyle name="Style 720" xfId="22592"/>
    <cellStyle name="Style 721" xfId="22593"/>
    <cellStyle name="Style 722" xfId="22594"/>
    <cellStyle name="Style 723" xfId="22595"/>
    <cellStyle name="Style 724" xfId="22596"/>
    <cellStyle name="Style 725" xfId="22597"/>
    <cellStyle name="Style 726" xfId="22598"/>
    <cellStyle name="Style 727" xfId="22599"/>
    <cellStyle name="Style 728" xfId="22600"/>
    <cellStyle name="Style 729" xfId="22601"/>
    <cellStyle name="Style 73" xfId="22602"/>
    <cellStyle name="Style 73 2" xfId="22603"/>
    <cellStyle name="Style 73 3" xfId="22604"/>
    <cellStyle name="Style 730" xfId="22605"/>
    <cellStyle name="Style 731" xfId="22606"/>
    <cellStyle name="Style 732" xfId="22607"/>
    <cellStyle name="Style 733" xfId="22608"/>
    <cellStyle name="Style 734" xfId="22609"/>
    <cellStyle name="Style 735" xfId="22610"/>
    <cellStyle name="Style 736" xfId="22611"/>
    <cellStyle name="Style 737" xfId="22612"/>
    <cellStyle name="Style 738" xfId="22613"/>
    <cellStyle name="Style 739" xfId="22614"/>
    <cellStyle name="Style 74" xfId="22615"/>
    <cellStyle name="Style 740" xfId="22616"/>
    <cellStyle name="Style 741" xfId="22617"/>
    <cellStyle name="Style 742" xfId="22618"/>
    <cellStyle name="Style 743" xfId="22619"/>
    <cellStyle name="Style 744" xfId="22620"/>
    <cellStyle name="Style 745" xfId="22621"/>
    <cellStyle name="Style 746" xfId="22622"/>
    <cellStyle name="Style 747" xfId="22623"/>
    <cellStyle name="Style 748" xfId="22624"/>
    <cellStyle name="Style 749" xfId="22625"/>
    <cellStyle name="Style 75" xfId="22626"/>
    <cellStyle name="Style 75 2" xfId="22627"/>
    <cellStyle name="Style 75 3" xfId="22628"/>
    <cellStyle name="Style 750" xfId="22629"/>
    <cellStyle name="Style 751" xfId="22630"/>
    <cellStyle name="Style 752" xfId="22631"/>
    <cellStyle name="Style 753" xfId="22632"/>
    <cellStyle name="Style 754" xfId="22633"/>
    <cellStyle name="Style 755" xfId="22634"/>
    <cellStyle name="Style 756" xfId="22635"/>
    <cellStyle name="Style 757" xfId="22636"/>
    <cellStyle name="Style 758" xfId="22637"/>
    <cellStyle name="Style 759" xfId="22638"/>
    <cellStyle name="Style 76" xfId="22639"/>
    <cellStyle name="Style 760" xfId="22640"/>
    <cellStyle name="Style 761" xfId="22641"/>
    <cellStyle name="Style 762" xfId="22642"/>
    <cellStyle name="Style 763" xfId="22643"/>
    <cellStyle name="Style 764" xfId="22644"/>
    <cellStyle name="Style 765" xfId="22645"/>
    <cellStyle name="Style 766" xfId="22646"/>
    <cellStyle name="Style 767" xfId="22647"/>
    <cellStyle name="Style 768" xfId="22648"/>
    <cellStyle name="Style 769" xfId="22649"/>
    <cellStyle name="Style 77" xfId="22650"/>
    <cellStyle name="Style 77 2" xfId="22651"/>
    <cellStyle name="Style 77 3" xfId="22652"/>
    <cellStyle name="Style 770" xfId="22653"/>
    <cellStyle name="Style 771" xfId="22654"/>
    <cellStyle name="Style 772" xfId="22655"/>
    <cellStyle name="Style 773" xfId="22656"/>
    <cellStyle name="Style 774" xfId="22657"/>
    <cellStyle name="Style 775" xfId="22658"/>
    <cellStyle name="Style 776" xfId="22659"/>
    <cellStyle name="Style 777" xfId="22660"/>
    <cellStyle name="Style 778" xfId="22661"/>
    <cellStyle name="Style 779" xfId="22662"/>
    <cellStyle name="Style 78" xfId="22663"/>
    <cellStyle name="Style 780" xfId="22664"/>
    <cellStyle name="Style 781" xfId="22665"/>
    <cellStyle name="Style 782" xfId="22666"/>
    <cellStyle name="Style 783" xfId="22667"/>
    <cellStyle name="Style 784" xfId="22668"/>
    <cellStyle name="Style 785" xfId="22669"/>
    <cellStyle name="Style 786" xfId="22670"/>
    <cellStyle name="Style 787" xfId="22671"/>
    <cellStyle name="Style 788" xfId="22672"/>
    <cellStyle name="Style 789" xfId="22673"/>
    <cellStyle name="Style 79" xfId="22674"/>
    <cellStyle name="Style 79 2" xfId="22675"/>
    <cellStyle name="Style 79 3" xfId="22676"/>
    <cellStyle name="Style 790" xfId="22677"/>
    <cellStyle name="Style 791" xfId="22678"/>
    <cellStyle name="Style 792" xfId="22679"/>
    <cellStyle name="Style 793" xfId="22680"/>
    <cellStyle name="Style 794" xfId="22681"/>
    <cellStyle name="Style 795" xfId="22682"/>
    <cellStyle name="Style 796" xfId="22683"/>
    <cellStyle name="Style 797" xfId="22684"/>
    <cellStyle name="Style 798" xfId="22685"/>
    <cellStyle name="Style 799" xfId="22686"/>
    <cellStyle name="Style 8" xfId="22687"/>
    <cellStyle name="Style 8 2" xfId="22688"/>
    <cellStyle name="Style 8 2 2" xfId="22689"/>
    <cellStyle name="Style 8 3" xfId="22690"/>
    <cellStyle name="Style 8 4" xfId="22691"/>
    <cellStyle name="Style 80" xfId="22692"/>
    <cellStyle name="Style 800" xfId="22693"/>
    <cellStyle name="Style 801" xfId="22694"/>
    <cellStyle name="Style 802" xfId="22695"/>
    <cellStyle name="Style 803" xfId="22696"/>
    <cellStyle name="Style 804" xfId="22697"/>
    <cellStyle name="Style 805" xfId="22698"/>
    <cellStyle name="Style 806" xfId="22699"/>
    <cellStyle name="Style 807" xfId="22700"/>
    <cellStyle name="Style 808" xfId="22701"/>
    <cellStyle name="Style 809" xfId="22702"/>
    <cellStyle name="Style 81" xfId="22703"/>
    <cellStyle name="Style 81 2" xfId="22704"/>
    <cellStyle name="Style 81 3" xfId="22705"/>
    <cellStyle name="Style 810" xfId="22706"/>
    <cellStyle name="Style 811" xfId="22707"/>
    <cellStyle name="Style 812" xfId="22708"/>
    <cellStyle name="Style 813" xfId="22709"/>
    <cellStyle name="Style 814" xfId="22710"/>
    <cellStyle name="Style 815" xfId="22711"/>
    <cellStyle name="Style 816" xfId="22712"/>
    <cellStyle name="Style 817" xfId="22713"/>
    <cellStyle name="Style 818" xfId="22714"/>
    <cellStyle name="Style 819" xfId="22715"/>
    <cellStyle name="Style 82" xfId="22716"/>
    <cellStyle name="Style 820" xfId="22717"/>
    <cellStyle name="Style 821" xfId="22718"/>
    <cellStyle name="Style 822" xfId="22719"/>
    <cellStyle name="Style 823" xfId="22720"/>
    <cellStyle name="Style 824" xfId="22721"/>
    <cellStyle name="Style 825" xfId="22722"/>
    <cellStyle name="Style 826" xfId="22723"/>
    <cellStyle name="Style 827" xfId="22724"/>
    <cellStyle name="Style 828" xfId="22725"/>
    <cellStyle name="Style 829" xfId="22726"/>
    <cellStyle name="Style 83" xfId="22727"/>
    <cellStyle name="Style 83 2" xfId="22728"/>
    <cellStyle name="Style 83 3" xfId="22729"/>
    <cellStyle name="Style 830" xfId="22730"/>
    <cellStyle name="Style 831" xfId="22731"/>
    <cellStyle name="Style 832" xfId="22732"/>
    <cellStyle name="Style 833" xfId="22733"/>
    <cellStyle name="Style 834" xfId="22734"/>
    <cellStyle name="Style 835" xfId="22735"/>
    <cellStyle name="Style 836" xfId="22736"/>
    <cellStyle name="Style 837" xfId="22737"/>
    <cellStyle name="Style 838" xfId="22738"/>
    <cellStyle name="Style 839" xfId="22739"/>
    <cellStyle name="Style 84" xfId="22740"/>
    <cellStyle name="Style 840" xfId="22741"/>
    <cellStyle name="Style 841" xfId="22742"/>
    <cellStyle name="Style 842" xfId="22743"/>
    <cellStyle name="Style 843" xfId="22744"/>
    <cellStyle name="Style 844" xfId="22745"/>
    <cellStyle name="Style 845" xfId="22746"/>
    <cellStyle name="Style 846" xfId="22747"/>
    <cellStyle name="Style 847" xfId="22748"/>
    <cellStyle name="Style 848" xfId="22749"/>
    <cellStyle name="Style 849" xfId="22750"/>
    <cellStyle name="Style 85" xfId="22751"/>
    <cellStyle name="Style 85 2" xfId="22752"/>
    <cellStyle name="Style 85 3" xfId="22753"/>
    <cellStyle name="Style 850" xfId="22754"/>
    <cellStyle name="Style 851" xfId="22755"/>
    <cellStyle name="Style 852" xfId="22756"/>
    <cellStyle name="Style 853" xfId="22757"/>
    <cellStyle name="Style 854" xfId="22758"/>
    <cellStyle name="Style 855" xfId="22759"/>
    <cellStyle name="Style 856" xfId="22760"/>
    <cellStyle name="Style 857" xfId="22761"/>
    <cellStyle name="Style 858" xfId="22762"/>
    <cellStyle name="Style 859" xfId="22763"/>
    <cellStyle name="Style 86" xfId="22764"/>
    <cellStyle name="Style 860" xfId="22765"/>
    <cellStyle name="Style 861" xfId="22766"/>
    <cellStyle name="Style 862" xfId="22767"/>
    <cellStyle name="Style 863" xfId="22768"/>
    <cellStyle name="Style 864" xfId="22769"/>
    <cellStyle name="Style 865" xfId="22770"/>
    <cellStyle name="Style 866" xfId="22771"/>
    <cellStyle name="Style 867" xfId="22772"/>
    <cellStyle name="Style 868" xfId="22773"/>
    <cellStyle name="Style 869" xfId="22774"/>
    <cellStyle name="Style 87" xfId="22775"/>
    <cellStyle name="Style 870" xfId="22776"/>
    <cellStyle name="Style 871" xfId="22777"/>
    <cellStyle name="Style 872" xfId="22778"/>
    <cellStyle name="Style 873" xfId="22779"/>
    <cellStyle name="Style 874" xfId="22780"/>
    <cellStyle name="Style 875" xfId="22781"/>
    <cellStyle name="Style 876" xfId="22782"/>
    <cellStyle name="Style 877" xfId="22783"/>
    <cellStyle name="Style 878" xfId="22784"/>
    <cellStyle name="Style 879" xfId="22785"/>
    <cellStyle name="Style 88" xfId="22786"/>
    <cellStyle name="Style 880" xfId="22787"/>
    <cellStyle name="Style 881" xfId="22788"/>
    <cellStyle name="Style 882" xfId="22789"/>
    <cellStyle name="Style 883" xfId="22790"/>
    <cellStyle name="Style 884" xfId="22791"/>
    <cellStyle name="Style 885" xfId="22792"/>
    <cellStyle name="Style 886" xfId="22793"/>
    <cellStyle name="Style 887" xfId="22794"/>
    <cellStyle name="Style 888" xfId="22795"/>
    <cellStyle name="Style 889" xfId="22796"/>
    <cellStyle name="Style 89" xfId="22797"/>
    <cellStyle name="Style 89 2" xfId="22798"/>
    <cellStyle name="Style 89 3" xfId="22799"/>
    <cellStyle name="Style 890" xfId="22800"/>
    <cellStyle name="Style 891" xfId="22801"/>
    <cellStyle name="Style 892" xfId="22802"/>
    <cellStyle name="Style 893" xfId="22803"/>
    <cellStyle name="Style 894" xfId="22804"/>
    <cellStyle name="Style 895" xfId="22805"/>
    <cellStyle name="Style 896" xfId="22806"/>
    <cellStyle name="Style 897" xfId="22807"/>
    <cellStyle name="Style 898" xfId="22808"/>
    <cellStyle name="Style 899" xfId="22809"/>
    <cellStyle name="Style 9" xfId="22810"/>
    <cellStyle name="Style 9 2" xfId="22811"/>
    <cellStyle name="Style 9 3" xfId="22812"/>
    <cellStyle name="Style 90" xfId="22813"/>
    <cellStyle name="Style 900" xfId="22814"/>
    <cellStyle name="Style 901" xfId="22815"/>
    <cellStyle name="Style 902" xfId="22816"/>
    <cellStyle name="Style 903" xfId="22817"/>
    <cellStyle name="Style 904" xfId="22818"/>
    <cellStyle name="Style 905" xfId="22819"/>
    <cellStyle name="Style 906" xfId="22820"/>
    <cellStyle name="Style 907" xfId="22821"/>
    <cellStyle name="Style 908" xfId="22822"/>
    <cellStyle name="Style 909" xfId="22823"/>
    <cellStyle name="Style 91" xfId="22824"/>
    <cellStyle name="Style 91 2" xfId="22825"/>
    <cellStyle name="Style 91 3" xfId="22826"/>
    <cellStyle name="Style 910" xfId="22827"/>
    <cellStyle name="Style 911" xfId="22828"/>
    <cellStyle name="Style 912" xfId="22829"/>
    <cellStyle name="Style 913" xfId="22830"/>
    <cellStyle name="Style 914" xfId="22831"/>
    <cellStyle name="Style 915" xfId="22832"/>
    <cellStyle name="Style 916" xfId="22833"/>
    <cellStyle name="Style 917" xfId="22834"/>
    <cellStyle name="Style 918" xfId="22835"/>
    <cellStyle name="Style 919" xfId="22836"/>
    <cellStyle name="Style 92" xfId="22837"/>
    <cellStyle name="Style 920" xfId="22838"/>
    <cellStyle name="Style 921" xfId="22839"/>
    <cellStyle name="Style 922" xfId="22840"/>
    <cellStyle name="Style 923" xfId="22841"/>
    <cellStyle name="Style 924" xfId="22842"/>
    <cellStyle name="Style 925" xfId="22843"/>
    <cellStyle name="Style 926" xfId="22844"/>
    <cellStyle name="Style 927" xfId="22845"/>
    <cellStyle name="Style 928" xfId="22846"/>
    <cellStyle name="Style 929" xfId="22847"/>
    <cellStyle name="Style 93" xfId="22848"/>
    <cellStyle name="Style 93 2" xfId="22849"/>
    <cellStyle name="Style 93 3" xfId="22850"/>
    <cellStyle name="Style 930" xfId="22851"/>
    <cellStyle name="Style 931" xfId="22852"/>
    <cellStyle name="Style 932" xfId="22853"/>
    <cellStyle name="Style 933" xfId="22854"/>
    <cellStyle name="Style 934" xfId="22855"/>
    <cellStyle name="Style 935" xfId="22856"/>
    <cellStyle name="Style 936" xfId="22857"/>
    <cellStyle name="Style 937" xfId="22858"/>
    <cellStyle name="Style 938" xfId="22859"/>
    <cellStyle name="Style 939" xfId="22860"/>
    <cellStyle name="Style 94" xfId="22861"/>
    <cellStyle name="Style 940" xfId="22862"/>
    <cellStyle name="Style 941" xfId="22863"/>
    <cellStyle name="Style 942" xfId="22864"/>
    <cellStyle name="Style 943" xfId="22865"/>
    <cellStyle name="Style 944" xfId="22866"/>
    <cellStyle name="Style 945" xfId="22867"/>
    <cellStyle name="Style 946" xfId="22868"/>
    <cellStyle name="Style 947" xfId="22869"/>
    <cellStyle name="Style 948" xfId="22870"/>
    <cellStyle name="Style 949" xfId="22871"/>
    <cellStyle name="Style 95" xfId="22872"/>
    <cellStyle name="Style 95 2" xfId="22873"/>
    <cellStyle name="Style 95 3" xfId="22874"/>
    <cellStyle name="Style 950" xfId="22875"/>
    <cellStyle name="Style 951" xfId="22876"/>
    <cellStyle name="Style 952" xfId="22877"/>
    <cellStyle name="Style 953" xfId="22878"/>
    <cellStyle name="Style 954" xfId="22879"/>
    <cellStyle name="Style 955" xfId="22880"/>
    <cellStyle name="Style 956" xfId="22881"/>
    <cellStyle name="Style 957" xfId="22882"/>
    <cellStyle name="Style 958" xfId="22883"/>
    <cellStyle name="Style 959" xfId="22884"/>
    <cellStyle name="Style 96" xfId="22885"/>
    <cellStyle name="Style 960" xfId="22886"/>
    <cellStyle name="Style 961" xfId="22887"/>
    <cellStyle name="Style 962" xfId="22888"/>
    <cellStyle name="Style 963" xfId="22889"/>
    <cellStyle name="Style 964" xfId="22890"/>
    <cellStyle name="Style 965" xfId="22891"/>
    <cellStyle name="Style 966" xfId="22892"/>
    <cellStyle name="Style 967" xfId="22893"/>
    <cellStyle name="Style 968" xfId="22894"/>
    <cellStyle name="Style 969" xfId="22895"/>
    <cellStyle name="Style 97" xfId="22896"/>
    <cellStyle name="Style 97 2" xfId="22897"/>
    <cellStyle name="Style 97 3" xfId="22898"/>
    <cellStyle name="Style 970" xfId="22899"/>
    <cellStyle name="Style 971" xfId="22900"/>
    <cellStyle name="Style 972" xfId="22901"/>
    <cellStyle name="Style 973" xfId="22902"/>
    <cellStyle name="Style 974" xfId="22903"/>
    <cellStyle name="Style 975" xfId="22904"/>
    <cellStyle name="Style 976" xfId="22905"/>
    <cellStyle name="Style 977" xfId="22906"/>
    <cellStyle name="Style 978" xfId="22907"/>
    <cellStyle name="Style 979" xfId="22908"/>
    <cellStyle name="Style 98" xfId="22909"/>
    <cellStyle name="Style 980" xfId="22910"/>
    <cellStyle name="Style 981" xfId="22911"/>
    <cellStyle name="Style 982" xfId="22912"/>
    <cellStyle name="Style 983" xfId="22913"/>
    <cellStyle name="Style 99" xfId="22914"/>
    <cellStyle name="Style 99 2" xfId="22915"/>
    <cellStyle name="Style 99 3" xfId="22916"/>
    <cellStyle name="Style D green" xfId="22917"/>
    <cellStyle name="Style E" xfId="22918"/>
    <cellStyle name="Style H" xfId="22919"/>
    <cellStyle name="STYLE1" xfId="22920"/>
    <cellStyle name="STYLE2" xfId="22921"/>
    <cellStyle name="Sub - Style3" xfId="22922"/>
    <cellStyle name="SUb Hd" xfId="22923"/>
    <cellStyle name="Sub Hd-mil" xfId="22924"/>
    <cellStyle name="Sub total" xfId="22925"/>
    <cellStyle name="Sub total 10" xfId="22926"/>
    <cellStyle name="Sub total 10 2" xfId="22927"/>
    <cellStyle name="Sub total 10 3" xfId="22928"/>
    <cellStyle name="Sub total 10 4" xfId="22929"/>
    <cellStyle name="Sub total 10 5" xfId="22930"/>
    <cellStyle name="Sub total 10 6" xfId="22931"/>
    <cellStyle name="Sub total 10 7" xfId="22932"/>
    <cellStyle name="Sub total 11" xfId="22933"/>
    <cellStyle name="Sub total 11 2" xfId="22934"/>
    <cellStyle name="Sub total 11 3" xfId="22935"/>
    <cellStyle name="Sub total 11 4" xfId="22936"/>
    <cellStyle name="Sub total 11 5" xfId="22937"/>
    <cellStyle name="Sub total 11 6" xfId="22938"/>
    <cellStyle name="Sub total 12" xfId="22939"/>
    <cellStyle name="Sub total 13" xfId="22940"/>
    <cellStyle name="Sub total 14" xfId="22941"/>
    <cellStyle name="Sub total 15" xfId="22942"/>
    <cellStyle name="Sub total 16" xfId="22943"/>
    <cellStyle name="Sub total 2" xfId="22944"/>
    <cellStyle name="Sub total 2 10" xfId="22945"/>
    <cellStyle name="Sub total 2 10 2" xfId="22946"/>
    <cellStyle name="Sub total 2 10 3" xfId="22947"/>
    <cellStyle name="Sub total 2 10 4" xfId="22948"/>
    <cellStyle name="Sub total 2 10 5" xfId="22949"/>
    <cellStyle name="Sub total 2 10 6" xfId="22950"/>
    <cellStyle name="Sub total 2 11" xfId="22951"/>
    <cellStyle name="Sub total 2 12" xfId="22952"/>
    <cellStyle name="Sub total 2 13" xfId="22953"/>
    <cellStyle name="Sub total 2 14" xfId="22954"/>
    <cellStyle name="Sub total 2 15" xfId="22955"/>
    <cellStyle name="Sub total 2 2" xfId="22956"/>
    <cellStyle name="Sub total 2 2 10" xfId="22957"/>
    <cellStyle name="Sub total 2 2 11" xfId="22958"/>
    <cellStyle name="Sub total 2 2 12" xfId="22959"/>
    <cellStyle name="Sub total 2 2 13" xfId="22960"/>
    <cellStyle name="Sub total 2 2 14" xfId="22961"/>
    <cellStyle name="Sub total 2 2 2" xfId="22962"/>
    <cellStyle name="Sub total 2 2 2 2" xfId="22963"/>
    <cellStyle name="Sub total 2 2 2 3" xfId="22964"/>
    <cellStyle name="Sub total 2 2 2 4" xfId="22965"/>
    <cellStyle name="Sub total 2 2 2 5" xfId="22966"/>
    <cellStyle name="Sub total 2 2 2 6" xfId="22967"/>
    <cellStyle name="Sub total 2 2 2 7" xfId="22968"/>
    <cellStyle name="Sub total 2 2 3" xfId="22969"/>
    <cellStyle name="Sub total 2 2 3 2" xfId="22970"/>
    <cellStyle name="Sub total 2 2 3 3" xfId="22971"/>
    <cellStyle name="Sub total 2 2 3 4" xfId="22972"/>
    <cellStyle name="Sub total 2 2 3 5" xfId="22973"/>
    <cellStyle name="Sub total 2 2 3 6" xfId="22974"/>
    <cellStyle name="Sub total 2 2 3 7" xfId="22975"/>
    <cellStyle name="Sub total 2 2 4" xfId="22976"/>
    <cellStyle name="Sub total 2 2 4 2" xfId="22977"/>
    <cellStyle name="Sub total 2 2 4 3" xfId="22978"/>
    <cellStyle name="Sub total 2 2 4 4" xfId="22979"/>
    <cellStyle name="Sub total 2 2 4 5" xfId="22980"/>
    <cellStyle name="Sub total 2 2 4 6" xfId="22981"/>
    <cellStyle name="Sub total 2 2 4 7" xfId="22982"/>
    <cellStyle name="Sub total 2 2 5" xfId="22983"/>
    <cellStyle name="Sub total 2 2 5 2" xfId="22984"/>
    <cellStyle name="Sub total 2 2 5 3" xfId="22985"/>
    <cellStyle name="Sub total 2 2 5 4" xfId="22986"/>
    <cellStyle name="Sub total 2 2 5 5" xfId="22987"/>
    <cellStyle name="Sub total 2 2 5 6" xfId="22988"/>
    <cellStyle name="Sub total 2 2 5 7" xfId="22989"/>
    <cellStyle name="Sub total 2 2 6" xfId="22990"/>
    <cellStyle name="Sub total 2 2 6 2" xfId="22991"/>
    <cellStyle name="Sub total 2 2 6 3" xfId="22992"/>
    <cellStyle name="Sub total 2 2 6 4" xfId="22993"/>
    <cellStyle name="Sub total 2 2 6 5" xfId="22994"/>
    <cellStyle name="Sub total 2 2 6 6" xfId="22995"/>
    <cellStyle name="Sub total 2 2 6 7" xfId="22996"/>
    <cellStyle name="Sub total 2 2 7" xfId="22997"/>
    <cellStyle name="Sub total 2 2 7 2" xfId="22998"/>
    <cellStyle name="Sub total 2 2 7 3" xfId="22999"/>
    <cellStyle name="Sub total 2 2 7 4" xfId="23000"/>
    <cellStyle name="Sub total 2 2 7 5" xfId="23001"/>
    <cellStyle name="Sub total 2 2 7 6" xfId="23002"/>
    <cellStyle name="Sub total 2 2 7 7" xfId="23003"/>
    <cellStyle name="Sub total 2 2 8" xfId="23004"/>
    <cellStyle name="Sub total 2 2 8 2" xfId="23005"/>
    <cellStyle name="Sub total 2 2 8 3" xfId="23006"/>
    <cellStyle name="Sub total 2 2 8 4" xfId="23007"/>
    <cellStyle name="Sub total 2 2 8 5" xfId="23008"/>
    <cellStyle name="Sub total 2 2 8 6" xfId="23009"/>
    <cellStyle name="Sub total 2 2 8 7" xfId="23010"/>
    <cellStyle name="Sub total 2 2 9" xfId="23011"/>
    <cellStyle name="Sub total 2 2 9 2" xfId="23012"/>
    <cellStyle name="Sub total 2 2 9 3" xfId="23013"/>
    <cellStyle name="Sub total 2 2 9 4" xfId="23014"/>
    <cellStyle name="Sub total 2 2 9 5" xfId="23015"/>
    <cellStyle name="Sub total 2 2 9 6" xfId="23016"/>
    <cellStyle name="Sub total 2 3" xfId="23017"/>
    <cellStyle name="Sub total 2 3 2" xfId="23018"/>
    <cellStyle name="Sub total 2 3 3" xfId="23019"/>
    <cellStyle name="Sub total 2 3 4" xfId="23020"/>
    <cellStyle name="Sub total 2 3 5" xfId="23021"/>
    <cellStyle name="Sub total 2 3 6" xfId="23022"/>
    <cellStyle name="Sub total 2 3 7" xfId="23023"/>
    <cellStyle name="Sub total 2 4" xfId="23024"/>
    <cellStyle name="Sub total 2 4 2" xfId="23025"/>
    <cellStyle name="Sub total 2 4 3" xfId="23026"/>
    <cellStyle name="Sub total 2 4 4" xfId="23027"/>
    <cellStyle name="Sub total 2 4 5" xfId="23028"/>
    <cellStyle name="Sub total 2 4 6" xfId="23029"/>
    <cellStyle name="Sub total 2 4 7" xfId="23030"/>
    <cellStyle name="Sub total 2 5" xfId="23031"/>
    <cellStyle name="Sub total 2 5 2" xfId="23032"/>
    <cellStyle name="Sub total 2 5 3" xfId="23033"/>
    <cellStyle name="Sub total 2 5 4" xfId="23034"/>
    <cellStyle name="Sub total 2 5 5" xfId="23035"/>
    <cellStyle name="Sub total 2 5 6" xfId="23036"/>
    <cellStyle name="Sub total 2 5 7" xfId="23037"/>
    <cellStyle name="Sub total 2 6" xfId="23038"/>
    <cellStyle name="Sub total 2 6 2" xfId="23039"/>
    <cellStyle name="Sub total 2 6 3" xfId="23040"/>
    <cellStyle name="Sub total 2 6 4" xfId="23041"/>
    <cellStyle name="Sub total 2 6 5" xfId="23042"/>
    <cellStyle name="Sub total 2 6 6" xfId="23043"/>
    <cellStyle name="Sub total 2 6 7" xfId="23044"/>
    <cellStyle name="Sub total 2 7" xfId="23045"/>
    <cellStyle name="Sub total 2 7 2" xfId="23046"/>
    <cellStyle name="Sub total 2 7 3" xfId="23047"/>
    <cellStyle name="Sub total 2 7 4" xfId="23048"/>
    <cellStyle name="Sub total 2 7 5" xfId="23049"/>
    <cellStyle name="Sub total 2 7 6" xfId="23050"/>
    <cellStyle name="Sub total 2 7 7" xfId="23051"/>
    <cellStyle name="Sub total 2 8" xfId="23052"/>
    <cellStyle name="Sub total 2 8 2" xfId="23053"/>
    <cellStyle name="Sub total 2 8 3" xfId="23054"/>
    <cellStyle name="Sub total 2 8 4" xfId="23055"/>
    <cellStyle name="Sub total 2 8 5" xfId="23056"/>
    <cellStyle name="Sub total 2 8 6" xfId="23057"/>
    <cellStyle name="Sub total 2 8 7" xfId="23058"/>
    <cellStyle name="Sub total 2 9" xfId="23059"/>
    <cellStyle name="Sub total 2 9 2" xfId="23060"/>
    <cellStyle name="Sub total 2 9 3" xfId="23061"/>
    <cellStyle name="Sub total 2 9 4" xfId="23062"/>
    <cellStyle name="Sub total 2 9 5" xfId="23063"/>
    <cellStyle name="Sub total 2 9 6" xfId="23064"/>
    <cellStyle name="Sub total 2 9 7" xfId="23065"/>
    <cellStyle name="Sub total 3" xfId="23066"/>
    <cellStyle name="Sub total 3 10" xfId="23067"/>
    <cellStyle name="Sub total 3 11" xfId="23068"/>
    <cellStyle name="Sub total 3 12" xfId="23069"/>
    <cellStyle name="Sub total 3 13" xfId="23070"/>
    <cellStyle name="Sub total 3 14" xfId="23071"/>
    <cellStyle name="Sub total 3 2" xfId="23072"/>
    <cellStyle name="Sub total 3 2 2" xfId="23073"/>
    <cellStyle name="Sub total 3 2 3" xfId="23074"/>
    <cellStyle name="Sub total 3 2 4" xfId="23075"/>
    <cellStyle name="Sub total 3 2 5" xfId="23076"/>
    <cellStyle name="Sub total 3 2 6" xfId="23077"/>
    <cellStyle name="Sub total 3 2 7" xfId="23078"/>
    <cellStyle name="Sub total 3 3" xfId="23079"/>
    <cellStyle name="Sub total 3 3 2" xfId="23080"/>
    <cellStyle name="Sub total 3 3 3" xfId="23081"/>
    <cellStyle name="Sub total 3 3 4" xfId="23082"/>
    <cellStyle name="Sub total 3 3 5" xfId="23083"/>
    <cellStyle name="Sub total 3 3 6" xfId="23084"/>
    <cellStyle name="Sub total 3 3 7" xfId="23085"/>
    <cellStyle name="Sub total 3 4" xfId="23086"/>
    <cellStyle name="Sub total 3 4 2" xfId="23087"/>
    <cellStyle name="Sub total 3 4 3" xfId="23088"/>
    <cellStyle name="Sub total 3 4 4" xfId="23089"/>
    <cellStyle name="Sub total 3 4 5" xfId="23090"/>
    <cellStyle name="Sub total 3 4 6" xfId="23091"/>
    <cellStyle name="Sub total 3 4 7" xfId="23092"/>
    <cellStyle name="Sub total 3 5" xfId="23093"/>
    <cellStyle name="Sub total 3 5 2" xfId="23094"/>
    <cellStyle name="Sub total 3 5 3" xfId="23095"/>
    <cellStyle name="Sub total 3 5 4" xfId="23096"/>
    <cellStyle name="Sub total 3 5 5" xfId="23097"/>
    <cellStyle name="Sub total 3 5 6" xfId="23098"/>
    <cellStyle name="Sub total 3 5 7" xfId="23099"/>
    <cellStyle name="Sub total 3 6" xfId="23100"/>
    <cellStyle name="Sub total 3 6 2" xfId="23101"/>
    <cellStyle name="Sub total 3 6 3" xfId="23102"/>
    <cellStyle name="Sub total 3 6 4" xfId="23103"/>
    <cellStyle name="Sub total 3 6 5" xfId="23104"/>
    <cellStyle name="Sub total 3 6 6" xfId="23105"/>
    <cellStyle name="Sub total 3 6 7" xfId="23106"/>
    <cellStyle name="Sub total 3 7" xfId="23107"/>
    <cellStyle name="Sub total 3 7 2" xfId="23108"/>
    <cellStyle name="Sub total 3 7 3" xfId="23109"/>
    <cellStyle name="Sub total 3 7 4" xfId="23110"/>
    <cellStyle name="Sub total 3 7 5" xfId="23111"/>
    <cellStyle name="Sub total 3 7 6" xfId="23112"/>
    <cellStyle name="Sub total 3 7 7" xfId="23113"/>
    <cellStyle name="Sub total 3 8" xfId="23114"/>
    <cellStyle name="Sub total 3 8 2" xfId="23115"/>
    <cellStyle name="Sub total 3 8 3" xfId="23116"/>
    <cellStyle name="Sub total 3 8 4" xfId="23117"/>
    <cellStyle name="Sub total 3 8 5" xfId="23118"/>
    <cellStyle name="Sub total 3 8 6" xfId="23119"/>
    <cellStyle name="Sub total 3 8 7" xfId="23120"/>
    <cellStyle name="Sub total 3 9" xfId="23121"/>
    <cellStyle name="Sub total 3 9 2" xfId="23122"/>
    <cellStyle name="Sub total 3 9 3" xfId="23123"/>
    <cellStyle name="Sub total 3 9 4" xfId="23124"/>
    <cellStyle name="Sub total 3 9 5" xfId="23125"/>
    <cellStyle name="Sub total 3 9 6" xfId="23126"/>
    <cellStyle name="Sub total 4" xfId="23127"/>
    <cellStyle name="Sub total 4 2" xfId="23128"/>
    <cellStyle name="Sub total 4 3" xfId="23129"/>
    <cellStyle name="Sub total 4 4" xfId="23130"/>
    <cellStyle name="Sub total 4 5" xfId="23131"/>
    <cellStyle name="Sub total 4 6" xfId="23132"/>
    <cellStyle name="Sub total 4 7" xfId="23133"/>
    <cellStyle name="Sub total 5" xfId="23134"/>
    <cellStyle name="Sub total 5 2" xfId="23135"/>
    <cellStyle name="Sub total 5 3" xfId="23136"/>
    <cellStyle name="Sub total 5 4" xfId="23137"/>
    <cellStyle name="Sub total 5 5" xfId="23138"/>
    <cellStyle name="Sub total 5 6" xfId="23139"/>
    <cellStyle name="Sub total 5 7" xfId="23140"/>
    <cellStyle name="Sub total 6" xfId="23141"/>
    <cellStyle name="Sub total 6 2" xfId="23142"/>
    <cellStyle name="Sub total 6 3" xfId="23143"/>
    <cellStyle name="Sub total 6 4" xfId="23144"/>
    <cellStyle name="Sub total 6 5" xfId="23145"/>
    <cellStyle name="Sub total 6 6" xfId="23146"/>
    <cellStyle name="Sub total 6 7" xfId="23147"/>
    <cellStyle name="Sub total 7" xfId="23148"/>
    <cellStyle name="Sub total 7 2" xfId="23149"/>
    <cellStyle name="Sub total 7 3" xfId="23150"/>
    <cellStyle name="Sub total 7 4" xfId="23151"/>
    <cellStyle name="Sub total 7 5" xfId="23152"/>
    <cellStyle name="Sub total 7 6" xfId="23153"/>
    <cellStyle name="Sub total 7 7" xfId="23154"/>
    <cellStyle name="Sub total 8" xfId="23155"/>
    <cellStyle name="Sub total 8 2" xfId="23156"/>
    <cellStyle name="Sub total 8 3" xfId="23157"/>
    <cellStyle name="Sub total 8 4" xfId="23158"/>
    <cellStyle name="Sub total 8 5" xfId="23159"/>
    <cellStyle name="Sub total 8 6" xfId="23160"/>
    <cellStyle name="Sub total 8 7" xfId="23161"/>
    <cellStyle name="Sub total 9" xfId="23162"/>
    <cellStyle name="Sub total 9 2" xfId="23163"/>
    <cellStyle name="Sub total 9 3" xfId="23164"/>
    <cellStyle name="Sub total 9 4" xfId="23165"/>
    <cellStyle name="Sub total 9 5" xfId="23166"/>
    <cellStyle name="Sub total 9 6" xfId="23167"/>
    <cellStyle name="Sub total 9 7" xfId="23168"/>
    <cellStyle name="SubDollar" xfId="23169"/>
    <cellStyle name="SubDollar 2" xfId="23170"/>
    <cellStyle name="SubGrowthRate" xfId="23171"/>
    <cellStyle name="SubGrowthRate 2" xfId="23172"/>
    <cellStyle name="Subhead" xfId="23173"/>
    <cellStyle name="Subheadbldun" xfId="23174"/>
    <cellStyle name="subheading" xfId="23175"/>
    <cellStyle name="Subscribers" xfId="23176"/>
    <cellStyle name="Subscribers 2" xfId="23177"/>
    <cellStyle name="Subtotal" xfId="23178"/>
    <cellStyle name="SubtotalData" xfId="23179"/>
    <cellStyle name="SubVariable" xfId="23180"/>
    <cellStyle name="SubVariable 2" xfId="23181"/>
    <cellStyle name="SymbolBlue" xfId="23182"/>
    <cellStyle name="SymbolBlue 10" xfId="23183"/>
    <cellStyle name="SymbolBlue 10 2" xfId="23184"/>
    <cellStyle name="SymbolBlue 10 3" xfId="23185"/>
    <cellStyle name="SymbolBlue 10 4" xfId="23186"/>
    <cellStyle name="SymbolBlue 10 5" xfId="23187"/>
    <cellStyle name="SymbolBlue 10 6" xfId="23188"/>
    <cellStyle name="SymbolBlue 10 7" xfId="23189"/>
    <cellStyle name="SymbolBlue 11" xfId="23190"/>
    <cellStyle name="SymbolBlue 11 2" xfId="23191"/>
    <cellStyle name="SymbolBlue 11 3" xfId="23192"/>
    <cellStyle name="SymbolBlue 11 4" xfId="23193"/>
    <cellStyle name="SymbolBlue 11 5" xfId="23194"/>
    <cellStyle name="SymbolBlue 11 6" xfId="23195"/>
    <cellStyle name="SymbolBlue 12" xfId="23196"/>
    <cellStyle name="SymbolBlue 13" xfId="23197"/>
    <cellStyle name="SymbolBlue 14" xfId="23198"/>
    <cellStyle name="SymbolBlue 15" xfId="23199"/>
    <cellStyle name="SymbolBlue 16" xfId="23200"/>
    <cellStyle name="SymbolBlue 2" xfId="23201"/>
    <cellStyle name="SymbolBlue 2 10" xfId="23202"/>
    <cellStyle name="SymbolBlue 2 10 2" xfId="23203"/>
    <cellStyle name="SymbolBlue 2 10 3" xfId="23204"/>
    <cellStyle name="SymbolBlue 2 10 4" xfId="23205"/>
    <cellStyle name="SymbolBlue 2 10 5" xfId="23206"/>
    <cellStyle name="SymbolBlue 2 10 6" xfId="23207"/>
    <cellStyle name="SymbolBlue 2 11" xfId="23208"/>
    <cellStyle name="SymbolBlue 2 12" xfId="23209"/>
    <cellStyle name="SymbolBlue 2 13" xfId="23210"/>
    <cellStyle name="SymbolBlue 2 14" xfId="23211"/>
    <cellStyle name="SymbolBlue 2 15" xfId="23212"/>
    <cellStyle name="SymbolBlue 2 2" xfId="23213"/>
    <cellStyle name="SymbolBlue 2 2 2" xfId="23214"/>
    <cellStyle name="SymbolBlue 2 2 3" xfId="23215"/>
    <cellStyle name="SymbolBlue 2 2 4" xfId="23216"/>
    <cellStyle name="SymbolBlue 2 2 5" xfId="23217"/>
    <cellStyle name="SymbolBlue 2 2 6" xfId="23218"/>
    <cellStyle name="SymbolBlue 2 2 7" xfId="23219"/>
    <cellStyle name="SymbolBlue 2 3" xfId="23220"/>
    <cellStyle name="SymbolBlue 2 3 2" xfId="23221"/>
    <cellStyle name="SymbolBlue 2 3 3" xfId="23222"/>
    <cellStyle name="SymbolBlue 2 3 4" xfId="23223"/>
    <cellStyle name="SymbolBlue 2 3 5" xfId="23224"/>
    <cellStyle name="SymbolBlue 2 3 6" xfId="23225"/>
    <cellStyle name="SymbolBlue 2 3 7" xfId="23226"/>
    <cellStyle name="SymbolBlue 2 4" xfId="23227"/>
    <cellStyle name="SymbolBlue 2 4 2" xfId="23228"/>
    <cellStyle name="SymbolBlue 2 4 3" xfId="23229"/>
    <cellStyle name="SymbolBlue 2 4 4" xfId="23230"/>
    <cellStyle name="SymbolBlue 2 4 5" xfId="23231"/>
    <cellStyle name="SymbolBlue 2 4 6" xfId="23232"/>
    <cellStyle name="SymbolBlue 2 4 7" xfId="23233"/>
    <cellStyle name="SymbolBlue 2 5" xfId="23234"/>
    <cellStyle name="SymbolBlue 2 5 2" xfId="23235"/>
    <cellStyle name="SymbolBlue 2 5 3" xfId="23236"/>
    <cellStyle name="SymbolBlue 2 5 4" xfId="23237"/>
    <cellStyle name="SymbolBlue 2 5 5" xfId="23238"/>
    <cellStyle name="SymbolBlue 2 5 6" xfId="23239"/>
    <cellStyle name="SymbolBlue 2 5 7" xfId="23240"/>
    <cellStyle name="SymbolBlue 2 6" xfId="23241"/>
    <cellStyle name="SymbolBlue 2 6 2" xfId="23242"/>
    <cellStyle name="SymbolBlue 2 6 3" xfId="23243"/>
    <cellStyle name="SymbolBlue 2 6 4" xfId="23244"/>
    <cellStyle name="SymbolBlue 2 6 5" xfId="23245"/>
    <cellStyle name="SymbolBlue 2 6 6" xfId="23246"/>
    <cellStyle name="SymbolBlue 2 6 7" xfId="23247"/>
    <cellStyle name="SymbolBlue 2 7" xfId="23248"/>
    <cellStyle name="SymbolBlue 2 7 2" xfId="23249"/>
    <cellStyle name="SymbolBlue 2 7 3" xfId="23250"/>
    <cellStyle name="SymbolBlue 2 7 4" xfId="23251"/>
    <cellStyle name="SymbolBlue 2 7 5" xfId="23252"/>
    <cellStyle name="SymbolBlue 2 7 6" xfId="23253"/>
    <cellStyle name="SymbolBlue 2 7 7" xfId="23254"/>
    <cellStyle name="SymbolBlue 2 8" xfId="23255"/>
    <cellStyle name="SymbolBlue 2 8 2" xfId="23256"/>
    <cellStyle name="SymbolBlue 2 8 3" xfId="23257"/>
    <cellStyle name="SymbolBlue 2 8 4" xfId="23258"/>
    <cellStyle name="SymbolBlue 2 8 5" xfId="23259"/>
    <cellStyle name="SymbolBlue 2 8 6" xfId="23260"/>
    <cellStyle name="SymbolBlue 2 8 7" xfId="23261"/>
    <cellStyle name="SymbolBlue 2 9" xfId="23262"/>
    <cellStyle name="SymbolBlue 2 9 2" xfId="23263"/>
    <cellStyle name="SymbolBlue 2 9 3" xfId="23264"/>
    <cellStyle name="SymbolBlue 2 9 4" xfId="23265"/>
    <cellStyle name="SymbolBlue 2 9 5" xfId="23266"/>
    <cellStyle name="SymbolBlue 2 9 6" xfId="23267"/>
    <cellStyle name="SymbolBlue 2 9 7" xfId="23268"/>
    <cellStyle name="SymbolBlue 3" xfId="23269"/>
    <cellStyle name="SymbolBlue 3 2" xfId="23270"/>
    <cellStyle name="SymbolBlue 3 3" xfId="23271"/>
    <cellStyle name="SymbolBlue 3 4" xfId="23272"/>
    <cellStyle name="SymbolBlue 3 5" xfId="23273"/>
    <cellStyle name="SymbolBlue 3 6" xfId="23274"/>
    <cellStyle name="SymbolBlue 3 7" xfId="23275"/>
    <cellStyle name="SymbolBlue 4" xfId="23276"/>
    <cellStyle name="SymbolBlue 4 2" xfId="23277"/>
    <cellStyle name="SymbolBlue 4 3" xfId="23278"/>
    <cellStyle name="SymbolBlue 4 4" xfId="23279"/>
    <cellStyle name="SymbolBlue 4 5" xfId="23280"/>
    <cellStyle name="SymbolBlue 4 6" xfId="23281"/>
    <cellStyle name="SymbolBlue 4 7" xfId="23282"/>
    <cellStyle name="SymbolBlue 5" xfId="23283"/>
    <cellStyle name="SymbolBlue 5 2" xfId="23284"/>
    <cellStyle name="SymbolBlue 5 3" xfId="23285"/>
    <cellStyle name="SymbolBlue 5 4" xfId="23286"/>
    <cellStyle name="SymbolBlue 5 5" xfId="23287"/>
    <cellStyle name="SymbolBlue 5 6" xfId="23288"/>
    <cellStyle name="SymbolBlue 5 7" xfId="23289"/>
    <cellStyle name="SymbolBlue 6" xfId="23290"/>
    <cellStyle name="SymbolBlue 6 2" xfId="23291"/>
    <cellStyle name="SymbolBlue 6 3" xfId="23292"/>
    <cellStyle name="SymbolBlue 6 4" xfId="23293"/>
    <cellStyle name="SymbolBlue 6 5" xfId="23294"/>
    <cellStyle name="SymbolBlue 6 6" xfId="23295"/>
    <cellStyle name="SymbolBlue 6 7" xfId="23296"/>
    <cellStyle name="SymbolBlue 7" xfId="23297"/>
    <cellStyle name="SymbolBlue 7 2" xfId="23298"/>
    <cellStyle name="SymbolBlue 7 3" xfId="23299"/>
    <cellStyle name="SymbolBlue 7 4" xfId="23300"/>
    <cellStyle name="SymbolBlue 7 5" xfId="23301"/>
    <cellStyle name="SymbolBlue 7 6" xfId="23302"/>
    <cellStyle name="SymbolBlue 7 7" xfId="23303"/>
    <cellStyle name="SymbolBlue 8" xfId="23304"/>
    <cellStyle name="SymbolBlue 8 2" xfId="23305"/>
    <cellStyle name="SymbolBlue 8 3" xfId="23306"/>
    <cellStyle name="SymbolBlue 8 4" xfId="23307"/>
    <cellStyle name="SymbolBlue 8 5" xfId="23308"/>
    <cellStyle name="SymbolBlue 8 6" xfId="23309"/>
    <cellStyle name="SymbolBlue 8 7" xfId="23310"/>
    <cellStyle name="SymbolBlue 9" xfId="23311"/>
    <cellStyle name="SymbolBlue 9 2" xfId="23312"/>
    <cellStyle name="SymbolBlue 9 3" xfId="23313"/>
    <cellStyle name="SymbolBlue 9 4" xfId="23314"/>
    <cellStyle name="SymbolBlue 9 5" xfId="23315"/>
    <cellStyle name="SymbolBlue 9 6" xfId="23316"/>
    <cellStyle name="SymbolBlue 9 7" xfId="23317"/>
    <cellStyle name="Synopsis" xfId="23318"/>
    <cellStyle name="Table end" xfId="23319"/>
    <cellStyle name="Table end 2" xfId="23320"/>
    <cellStyle name="Table head" xfId="23321"/>
    <cellStyle name="Table head 2" xfId="23322"/>
    <cellStyle name="Table head 2 2" xfId="23323"/>
    <cellStyle name="Table head 2 2 2" xfId="23324"/>
    <cellStyle name="Table head 3" xfId="23325"/>
    <cellStyle name="Table head 3 2" xfId="23326"/>
    <cellStyle name="Table Heading" xfId="23327"/>
    <cellStyle name="table text bold" xfId="23328"/>
    <cellStyle name="table text bold 2" xfId="23329"/>
    <cellStyle name="table text bold green" xfId="23330"/>
    <cellStyle name="table text light" xfId="23331"/>
    <cellStyle name="table text light 2" xfId="23332"/>
    <cellStyle name="Table Title" xfId="23333"/>
    <cellStyle name="Table Units" xfId="23334"/>
    <cellStyle name="TableBody" xfId="23335"/>
    <cellStyle name="TableBodyR" xfId="23336"/>
    <cellStyle name="TableColHeads" xfId="23337"/>
    <cellStyle name="TableName" xfId="23338"/>
    <cellStyle name="TableName 2" xfId="23339"/>
    <cellStyle name="Terms" xfId="23340"/>
    <cellStyle name="Test" xfId="23341"/>
    <cellStyle name="Text" xfId="23342"/>
    <cellStyle name="Text _Titles" xfId="23343"/>
    <cellStyle name="Text 2" xfId="23344"/>
    <cellStyle name="Text Bold" xfId="23345"/>
    <cellStyle name="Text Light" xfId="23346"/>
    <cellStyle name="Text Wrap" xfId="23347"/>
    <cellStyle name="Text_102710 QC materials" xfId="23348"/>
    <cellStyle name="textbold" xfId="23349"/>
    <cellStyle name="textbold 2" xfId="23350"/>
    <cellStyle name="þ_x001d_ð &amp;ý&amp;†ýG_x0008__x0009_X_x000a__x0007__x0001__x0001_" xfId="23351"/>
    <cellStyle name="þ_x001d_ð&quot;_x000c_Býò_x000c_5ýU_x0001_e_x0005_¹,_x0007__x0001__x0001_" xfId="23352"/>
    <cellStyle name="þ_x001d_ðK_x000c_Fý_x001b__x000d_9ýU_x0001_Ð_x0008_¦)_x0007__x0001__x0001_" xfId="23353"/>
    <cellStyle name="Thick Rule" xfId="23354"/>
    <cellStyle name="Thick Rule 2" xfId="23355"/>
    <cellStyle name="Thick Rule 2 2" xfId="23356"/>
    <cellStyle name="Thin Rule" xfId="23357"/>
    <cellStyle name="threedecplace" xfId="23358"/>
    <cellStyle name="times" xfId="23359"/>
    <cellStyle name="times 2" xfId="23360"/>
    <cellStyle name="Title 2" xfId="23361"/>
    <cellStyle name="Title 2 2" xfId="23362"/>
    <cellStyle name="Title 2 2 2" xfId="23363"/>
    <cellStyle name="Title 3" xfId="23364"/>
    <cellStyle name="title1" xfId="23365"/>
    <cellStyle name="title1 2" xfId="23366"/>
    <cellStyle name="title2" xfId="23367"/>
    <cellStyle name="title2 2" xfId="23368"/>
    <cellStyle name="TitleII" xfId="23369"/>
    <cellStyle name="TitleII 2" xfId="23370"/>
    <cellStyle name="Titles" xfId="23371"/>
    <cellStyle name="tj" xfId="23372"/>
    <cellStyle name="top" xfId="23373"/>
    <cellStyle name="Top Edge" xfId="23374"/>
    <cellStyle name="Top Line" xfId="23375"/>
    <cellStyle name="Top Line 10" xfId="23376"/>
    <cellStyle name="Top Line 10 2" xfId="23377"/>
    <cellStyle name="Top Line 10 3" xfId="23378"/>
    <cellStyle name="Top Line 10 4" xfId="23379"/>
    <cellStyle name="Top Line 10 5" xfId="23380"/>
    <cellStyle name="Top Line 10 6" xfId="23381"/>
    <cellStyle name="Top Line 11" xfId="23382"/>
    <cellStyle name="Top Line 12" xfId="23383"/>
    <cellStyle name="Top Line 13" xfId="23384"/>
    <cellStyle name="Top Line 14" xfId="23385"/>
    <cellStyle name="Top Line 15" xfId="23386"/>
    <cellStyle name="Top Line 2" xfId="23387"/>
    <cellStyle name="Top Line 2 10" xfId="23388"/>
    <cellStyle name="Top Line 2 11" xfId="23389"/>
    <cellStyle name="Top Line 2 12" xfId="23390"/>
    <cellStyle name="Top Line 2 13" xfId="23391"/>
    <cellStyle name="Top Line 2 14" xfId="23392"/>
    <cellStyle name="Top Line 2 2" xfId="23393"/>
    <cellStyle name="Top Line 2 2 2" xfId="23394"/>
    <cellStyle name="Top Line 2 2 3" xfId="23395"/>
    <cellStyle name="Top Line 2 2 4" xfId="23396"/>
    <cellStyle name="Top Line 2 2 5" xfId="23397"/>
    <cellStyle name="Top Line 2 2 6" xfId="23398"/>
    <cellStyle name="Top Line 2 2 7" xfId="23399"/>
    <cellStyle name="Top Line 2 3" xfId="23400"/>
    <cellStyle name="Top Line 2 3 2" xfId="23401"/>
    <cellStyle name="Top Line 2 3 3" xfId="23402"/>
    <cellStyle name="Top Line 2 3 4" xfId="23403"/>
    <cellStyle name="Top Line 2 3 5" xfId="23404"/>
    <cellStyle name="Top Line 2 3 6" xfId="23405"/>
    <cellStyle name="Top Line 2 3 7" xfId="23406"/>
    <cellStyle name="Top Line 2 4" xfId="23407"/>
    <cellStyle name="Top Line 2 4 2" xfId="23408"/>
    <cellStyle name="Top Line 2 4 3" xfId="23409"/>
    <cellStyle name="Top Line 2 4 4" xfId="23410"/>
    <cellStyle name="Top Line 2 4 5" xfId="23411"/>
    <cellStyle name="Top Line 2 4 6" xfId="23412"/>
    <cellStyle name="Top Line 2 4 7" xfId="23413"/>
    <cellStyle name="Top Line 2 5" xfId="23414"/>
    <cellStyle name="Top Line 2 5 2" xfId="23415"/>
    <cellStyle name="Top Line 2 5 3" xfId="23416"/>
    <cellStyle name="Top Line 2 5 4" xfId="23417"/>
    <cellStyle name="Top Line 2 5 5" xfId="23418"/>
    <cellStyle name="Top Line 2 5 6" xfId="23419"/>
    <cellStyle name="Top Line 2 5 7" xfId="23420"/>
    <cellStyle name="Top Line 2 6" xfId="23421"/>
    <cellStyle name="Top Line 2 6 2" xfId="23422"/>
    <cellStyle name="Top Line 2 6 3" xfId="23423"/>
    <cellStyle name="Top Line 2 6 4" xfId="23424"/>
    <cellStyle name="Top Line 2 6 5" xfId="23425"/>
    <cellStyle name="Top Line 2 6 6" xfId="23426"/>
    <cellStyle name="Top Line 2 6 7" xfId="23427"/>
    <cellStyle name="Top Line 2 7" xfId="23428"/>
    <cellStyle name="Top Line 2 7 2" xfId="23429"/>
    <cellStyle name="Top Line 2 7 3" xfId="23430"/>
    <cellStyle name="Top Line 2 7 4" xfId="23431"/>
    <cellStyle name="Top Line 2 7 5" xfId="23432"/>
    <cellStyle name="Top Line 2 7 6" xfId="23433"/>
    <cellStyle name="Top Line 2 7 7" xfId="23434"/>
    <cellStyle name="Top Line 2 8" xfId="23435"/>
    <cellStyle name="Top Line 2 8 2" xfId="23436"/>
    <cellStyle name="Top Line 2 8 3" xfId="23437"/>
    <cellStyle name="Top Line 2 8 4" xfId="23438"/>
    <cellStyle name="Top Line 2 8 5" xfId="23439"/>
    <cellStyle name="Top Line 2 8 6" xfId="23440"/>
    <cellStyle name="Top Line 2 8 7" xfId="23441"/>
    <cellStyle name="Top Line 2 9" xfId="23442"/>
    <cellStyle name="Top Line 2 9 2" xfId="23443"/>
    <cellStyle name="Top Line 2 9 3" xfId="23444"/>
    <cellStyle name="Top Line 2 9 4" xfId="23445"/>
    <cellStyle name="Top Line 2 9 5" xfId="23446"/>
    <cellStyle name="Top Line 2 9 6" xfId="23447"/>
    <cellStyle name="Top Line 3" xfId="23448"/>
    <cellStyle name="Top Line 3 2" xfId="23449"/>
    <cellStyle name="Top Line 3 3" xfId="23450"/>
    <cellStyle name="Top Line 3 4" xfId="23451"/>
    <cellStyle name="Top Line 3 5" xfId="23452"/>
    <cellStyle name="Top Line 3 6" xfId="23453"/>
    <cellStyle name="Top Line 3 7" xfId="23454"/>
    <cellStyle name="Top Line 4" xfId="23455"/>
    <cellStyle name="Top Line 4 2" xfId="23456"/>
    <cellStyle name="Top Line 4 3" xfId="23457"/>
    <cellStyle name="Top Line 4 4" xfId="23458"/>
    <cellStyle name="Top Line 4 5" xfId="23459"/>
    <cellStyle name="Top Line 4 6" xfId="23460"/>
    <cellStyle name="Top Line 4 7" xfId="23461"/>
    <cellStyle name="Top Line 5" xfId="23462"/>
    <cellStyle name="Top Line 5 2" xfId="23463"/>
    <cellStyle name="Top Line 5 3" xfId="23464"/>
    <cellStyle name="Top Line 5 4" xfId="23465"/>
    <cellStyle name="Top Line 5 5" xfId="23466"/>
    <cellStyle name="Top Line 5 6" xfId="23467"/>
    <cellStyle name="Top Line 5 7" xfId="23468"/>
    <cellStyle name="Top Line 6" xfId="23469"/>
    <cellStyle name="Top Line 6 2" xfId="23470"/>
    <cellStyle name="Top Line 6 3" xfId="23471"/>
    <cellStyle name="Top Line 6 4" xfId="23472"/>
    <cellStyle name="Top Line 6 5" xfId="23473"/>
    <cellStyle name="Top Line 6 6" xfId="23474"/>
    <cellStyle name="Top Line 6 7" xfId="23475"/>
    <cellStyle name="Top Line 7" xfId="23476"/>
    <cellStyle name="Top Line 7 2" xfId="23477"/>
    <cellStyle name="Top Line 7 3" xfId="23478"/>
    <cellStyle name="Top Line 7 4" xfId="23479"/>
    <cellStyle name="Top Line 7 5" xfId="23480"/>
    <cellStyle name="Top Line 7 6" xfId="23481"/>
    <cellStyle name="Top Line 7 7" xfId="23482"/>
    <cellStyle name="Top Line 8" xfId="23483"/>
    <cellStyle name="Top Line 8 2" xfId="23484"/>
    <cellStyle name="Top Line 8 3" xfId="23485"/>
    <cellStyle name="Top Line 8 4" xfId="23486"/>
    <cellStyle name="Top Line 8 5" xfId="23487"/>
    <cellStyle name="Top Line 8 6" xfId="23488"/>
    <cellStyle name="Top Line 8 7" xfId="23489"/>
    <cellStyle name="Top Line 9" xfId="23490"/>
    <cellStyle name="Top Line 9 2" xfId="23491"/>
    <cellStyle name="Top Line 9 3" xfId="23492"/>
    <cellStyle name="Top Line 9 4" xfId="23493"/>
    <cellStyle name="Top Line 9 5" xfId="23494"/>
    <cellStyle name="Top Line 9 6" xfId="23495"/>
    <cellStyle name="Top Line 9 7" xfId="23496"/>
    <cellStyle name="top_P&amp;L" xfId="23497"/>
    <cellStyle name="topline" xfId="23498"/>
    <cellStyle name="topline 10" xfId="23499"/>
    <cellStyle name="topline 10 2" xfId="23500"/>
    <cellStyle name="topline 10 3" xfId="23501"/>
    <cellStyle name="topline 10 4" xfId="23502"/>
    <cellStyle name="topline 10 5" xfId="23503"/>
    <cellStyle name="topline 10 6" xfId="23504"/>
    <cellStyle name="topline 10 7" xfId="23505"/>
    <cellStyle name="topline 11" xfId="23506"/>
    <cellStyle name="topline 11 2" xfId="23507"/>
    <cellStyle name="topline 11 3" xfId="23508"/>
    <cellStyle name="topline 11 4" xfId="23509"/>
    <cellStyle name="topline 11 5" xfId="23510"/>
    <cellStyle name="topline 11 6" xfId="23511"/>
    <cellStyle name="topline 12" xfId="23512"/>
    <cellStyle name="topline 13" xfId="23513"/>
    <cellStyle name="topline 14" xfId="23514"/>
    <cellStyle name="topline 15" xfId="23515"/>
    <cellStyle name="topline 16" xfId="23516"/>
    <cellStyle name="topline 2" xfId="23517"/>
    <cellStyle name="topline 2 10" xfId="23518"/>
    <cellStyle name="topline 2 10 2" xfId="23519"/>
    <cellStyle name="topline 2 10 3" xfId="23520"/>
    <cellStyle name="topline 2 10 4" xfId="23521"/>
    <cellStyle name="topline 2 10 5" xfId="23522"/>
    <cellStyle name="topline 2 10 6" xfId="23523"/>
    <cellStyle name="topline 2 11" xfId="23524"/>
    <cellStyle name="topline 2 12" xfId="23525"/>
    <cellStyle name="topline 2 13" xfId="23526"/>
    <cellStyle name="topline 2 14" xfId="23527"/>
    <cellStyle name="topline 2 15" xfId="23528"/>
    <cellStyle name="topline 2 2" xfId="23529"/>
    <cellStyle name="topline 2 2 10" xfId="23530"/>
    <cellStyle name="topline 2 2 11" xfId="23531"/>
    <cellStyle name="topline 2 2 12" xfId="23532"/>
    <cellStyle name="topline 2 2 13" xfId="23533"/>
    <cellStyle name="topline 2 2 14" xfId="23534"/>
    <cellStyle name="topline 2 2 2" xfId="23535"/>
    <cellStyle name="topline 2 2 2 2" xfId="23536"/>
    <cellStyle name="topline 2 2 2 3" xfId="23537"/>
    <cellStyle name="topline 2 2 2 4" xfId="23538"/>
    <cellStyle name="topline 2 2 2 5" xfId="23539"/>
    <cellStyle name="topline 2 2 2 6" xfId="23540"/>
    <cellStyle name="topline 2 2 2 7" xfId="23541"/>
    <cellStyle name="topline 2 2 3" xfId="23542"/>
    <cellStyle name="topline 2 2 3 2" xfId="23543"/>
    <cellStyle name="topline 2 2 3 3" xfId="23544"/>
    <cellStyle name="topline 2 2 3 4" xfId="23545"/>
    <cellStyle name="topline 2 2 3 5" xfId="23546"/>
    <cellStyle name="topline 2 2 3 6" xfId="23547"/>
    <cellStyle name="topline 2 2 3 7" xfId="23548"/>
    <cellStyle name="topline 2 2 4" xfId="23549"/>
    <cellStyle name="topline 2 2 4 2" xfId="23550"/>
    <cellStyle name="topline 2 2 4 3" xfId="23551"/>
    <cellStyle name="topline 2 2 4 4" xfId="23552"/>
    <cellStyle name="topline 2 2 4 5" xfId="23553"/>
    <cellStyle name="topline 2 2 4 6" xfId="23554"/>
    <cellStyle name="topline 2 2 4 7" xfId="23555"/>
    <cellStyle name="topline 2 2 5" xfId="23556"/>
    <cellStyle name="topline 2 2 5 2" xfId="23557"/>
    <cellStyle name="topline 2 2 5 3" xfId="23558"/>
    <cellStyle name="topline 2 2 5 4" xfId="23559"/>
    <cellStyle name="topline 2 2 5 5" xfId="23560"/>
    <cellStyle name="topline 2 2 5 6" xfId="23561"/>
    <cellStyle name="topline 2 2 5 7" xfId="23562"/>
    <cellStyle name="topline 2 2 6" xfId="23563"/>
    <cellStyle name="topline 2 2 6 2" xfId="23564"/>
    <cellStyle name="topline 2 2 6 3" xfId="23565"/>
    <cellStyle name="topline 2 2 6 4" xfId="23566"/>
    <cellStyle name="topline 2 2 6 5" xfId="23567"/>
    <cellStyle name="topline 2 2 6 6" xfId="23568"/>
    <cellStyle name="topline 2 2 6 7" xfId="23569"/>
    <cellStyle name="topline 2 2 7" xfId="23570"/>
    <cellStyle name="topline 2 2 7 2" xfId="23571"/>
    <cellStyle name="topline 2 2 7 3" xfId="23572"/>
    <cellStyle name="topline 2 2 7 4" xfId="23573"/>
    <cellStyle name="topline 2 2 7 5" xfId="23574"/>
    <cellStyle name="topline 2 2 7 6" xfId="23575"/>
    <cellStyle name="topline 2 2 7 7" xfId="23576"/>
    <cellStyle name="topline 2 2 8" xfId="23577"/>
    <cellStyle name="topline 2 2 8 2" xfId="23578"/>
    <cellStyle name="topline 2 2 8 3" xfId="23579"/>
    <cellStyle name="topline 2 2 8 4" xfId="23580"/>
    <cellStyle name="topline 2 2 8 5" xfId="23581"/>
    <cellStyle name="topline 2 2 8 6" xfId="23582"/>
    <cellStyle name="topline 2 2 8 7" xfId="23583"/>
    <cellStyle name="topline 2 2 9" xfId="23584"/>
    <cellStyle name="topline 2 2 9 2" xfId="23585"/>
    <cellStyle name="topline 2 2 9 3" xfId="23586"/>
    <cellStyle name="topline 2 2 9 4" xfId="23587"/>
    <cellStyle name="topline 2 2 9 5" xfId="23588"/>
    <cellStyle name="topline 2 2 9 6" xfId="23589"/>
    <cellStyle name="topline 2 3" xfId="23590"/>
    <cellStyle name="topline 2 3 2" xfId="23591"/>
    <cellStyle name="topline 2 3 3" xfId="23592"/>
    <cellStyle name="topline 2 3 4" xfId="23593"/>
    <cellStyle name="topline 2 3 5" xfId="23594"/>
    <cellStyle name="topline 2 3 6" xfId="23595"/>
    <cellStyle name="topline 2 3 7" xfId="23596"/>
    <cellStyle name="topline 2 4" xfId="23597"/>
    <cellStyle name="topline 2 4 2" xfId="23598"/>
    <cellStyle name="topline 2 4 3" xfId="23599"/>
    <cellStyle name="topline 2 4 4" xfId="23600"/>
    <cellStyle name="topline 2 4 5" xfId="23601"/>
    <cellStyle name="topline 2 4 6" xfId="23602"/>
    <cellStyle name="topline 2 4 7" xfId="23603"/>
    <cellStyle name="topline 2 5" xfId="23604"/>
    <cellStyle name="topline 2 5 2" xfId="23605"/>
    <cellStyle name="topline 2 5 3" xfId="23606"/>
    <cellStyle name="topline 2 5 4" xfId="23607"/>
    <cellStyle name="topline 2 5 5" xfId="23608"/>
    <cellStyle name="topline 2 5 6" xfId="23609"/>
    <cellStyle name="topline 2 5 7" xfId="23610"/>
    <cellStyle name="topline 2 6" xfId="23611"/>
    <cellStyle name="topline 2 6 2" xfId="23612"/>
    <cellStyle name="topline 2 6 3" xfId="23613"/>
    <cellStyle name="topline 2 6 4" xfId="23614"/>
    <cellStyle name="topline 2 6 5" xfId="23615"/>
    <cellStyle name="topline 2 6 6" xfId="23616"/>
    <cellStyle name="topline 2 6 7" xfId="23617"/>
    <cellStyle name="topline 2 7" xfId="23618"/>
    <cellStyle name="topline 2 7 2" xfId="23619"/>
    <cellStyle name="topline 2 7 3" xfId="23620"/>
    <cellStyle name="topline 2 7 4" xfId="23621"/>
    <cellStyle name="topline 2 7 5" xfId="23622"/>
    <cellStyle name="topline 2 7 6" xfId="23623"/>
    <cellStyle name="topline 2 7 7" xfId="23624"/>
    <cellStyle name="topline 2 8" xfId="23625"/>
    <cellStyle name="topline 2 8 2" xfId="23626"/>
    <cellStyle name="topline 2 8 3" xfId="23627"/>
    <cellStyle name="topline 2 8 4" xfId="23628"/>
    <cellStyle name="topline 2 8 5" xfId="23629"/>
    <cellStyle name="topline 2 8 6" xfId="23630"/>
    <cellStyle name="topline 2 8 7" xfId="23631"/>
    <cellStyle name="topline 2 9" xfId="23632"/>
    <cellStyle name="topline 2 9 2" xfId="23633"/>
    <cellStyle name="topline 2 9 3" xfId="23634"/>
    <cellStyle name="topline 2 9 4" xfId="23635"/>
    <cellStyle name="topline 2 9 5" xfId="23636"/>
    <cellStyle name="topline 2 9 6" xfId="23637"/>
    <cellStyle name="topline 2 9 7" xfId="23638"/>
    <cellStyle name="topline 3" xfId="23639"/>
    <cellStyle name="topline 3 10" xfId="23640"/>
    <cellStyle name="topline 3 11" xfId="23641"/>
    <cellStyle name="topline 3 12" xfId="23642"/>
    <cellStyle name="topline 3 13" xfId="23643"/>
    <cellStyle name="topline 3 14" xfId="23644"/>
    <cellStyle name="topline 3 2" xfId="23645"/>
    <cellStyle name="topline 3 2 2" xfId="23646"/>
    <cellStyle name="topline 3 2 3" xfId="23647"/>
    <cellStyle name="topline 3 2 4" xfId="23648"/>
    <cellStyle name="topline 3 2 5" xfId="23649"/>
    <cellStyle name="topline 3 2 6" xfId="23650"/>
    <cellStyle name="topline 3 2 7" xfId="23651"/>
    <cellStyle name="topline 3 3" xfId="23652"/>
    <cellStyle name="topline 3 3 2" xfId="23653"/>
    <cellStyle name="topline 3 3 3" xfId="23654"/>
    <cellStyle name="topline 3 3 4" xfId="23655"/>
    <cellStyle name="topline 3 3 5" xfId="23656"/>
    <cellStyle name="topline 3 3 6" xfId="23657"/>
    <cellStyle name="topline 3 3 7" xfId="23658"/>
    <cellStyle name="topline 3 4" xfId="23659"/>
    <cellStyle name="topline 3 4 2" xfId="23660"/>
    <cellStyle name="topline 3 4 3" xfId="23661"/>
    <cellStyle name="topline 3 4 4" xfId="23662"/>
    <cellStyle name="topline 3 4 5" xfId="23663"/>
    <cellStyle name="topline 3 4 6" xfId="23664"/>
    <cellStyle name="topline 3 4 7" xfId="23665"/>
    <cellStyle name="topline 3 5" xfId="23666"/>
    <cellStyle name="topline 3 5 2" xfId="23667"/>
    <cellStyle name="topline 3 5 3" xfId="23668"/>
    <cellStyle name="topline 3 5 4" xfId="23669"/>
    <cellStyle name="topline 3 5 5" xfId="23670"/>
    <cellStyle name="topline 3 5 6" xfId="23671"/>
    <cellStyle name="topline 3 5 7" xfId="23672"/>
    <cellStyle name="topline 3 6" xfId="23673"/>
    <cellStyle name="topline 3 6 2" xfId="23674"/>
    <cellStyle name="topline 3 6 3" xfId="23675"/>
    <cellStyle name="topline 3 6 4" xfId="23676"/>
    <cellStyle name="topline 3 6 5" xfId="23677"/>
    <cellStyle name="topline 3 6 6" xfId="23678"/>
    <cellStyle name="topline 3 6 7" xfId="23679"/>
    <cellStyle name="topline 3 7" xfId="23680"/>
    <cellStyle name="topline 3 7 2" xfId="23681"/>
    <cellStyle name="topline 3 7 3" xfId="23682"/>
    <cellStyle name="topline 3 7 4" xfId="23683"/>
    <cellStyle name="topline 3 7 5" xfId="23684"/>
    <cellStyle name="topline 3 7 6" xfId="23685"/>
    <cellStyle name="topline 3 7 7" xfId="23686"/>
    <cellStyle name="topline 3 8" xfId="23687"/>
    <cellStyle name="topline 3 8 2" xfId="23688"/>
    <cellStyle name="topline 3 8 3" xfId="23689"/>
    <cellStyle name="topline 3 8 4" xfId="23690"/>
    <cellStyle name="topline 3 8 5" xfId="23691"/>
    <cellStyle name="topline 3 8 6" xfId="23692"/>
    <cellStyle name="topline 3 8 7" xfId="23693"/>
    <cellStyle name="topline 3 9" xfId="23694"/>
    <cellStyle name="topline 3 9 2" xfId="23695"/>
    <cellStyle name="topline 3 9 3" xfId="23696"/>
    <cellStyle name="topline 3 9 4" xfId="23697"/>
    <cellStyle name="topline 3 9 5" xfId="23698"/>
    <cellStyle name="topline 3 9 6" xfId="23699"/>
    <cellStyle name="topline 4" xfId="23700"/>
    <cellStyle name="topline 4 2" xfId="23701"/>
    <cellStyle name="topline 4 3" xfId="23702"/>
    <cellStyle name="topline 4 4" xfId="23703"/>
    <cellStyle name="topline 4 5" xfId="23704"/>
    <cellStyle name="topline 4 6" xfId="23705"/>
    <cellStyle name="topline 4 7" xfId="23706"/>
    <cellStyle name="topline 5" xfId="23707"/>
    <cellStyle name="topline 5 2" xfId="23708"/>
    <cellStyle name="topline 5 3" xfId="23709"/>
    <cellStyle name="topline 5 4" xfId="23710"/>
    <cellStyle name="topline 5 5" xfId="23711"/>
    <cellStyle name="topline 5 6" xfId="23712"/>
    <cellStyle name="topline 5 7" xfId="23713"/>
    <cellStyle name="topline 6" xfId="23714"/>
    <cellStyle name="topline 6 2" xfId="23715"/>
    <cellStyle name="topline 6 3" xfId="23716"/>
    <cellStyle name="topline 6 4" xfId="23717"/>
    <cellStyle name="topline 6 5" xfId="23718"/>
    <cellStyle name="topline 6 6" xfId="23719"/>
    <cellStyle name="topline 6 7" xfId="23720"/>
    <cellStyle name="topline 7" xfId="23721"/>
    <cellStyle name="topline 7 2" xfId="23722"/>
    <cellStyle name="topline 7 3" xfId="23723"/>
    <cellStyle name="topline 7 4" xfId="23724"/>
    <cellStyle name="topline 7 5" xfId="23725"/>
    <cellStyle name="topline 7 6" xfId="23726"/>
    <cellStyle name="topline 7 7" xfId="23727"/>
    <cellStyle name="topline 8" xfId="23728"/>
    <cellStyle name="topline 8 2" xfId="23729"/>
    <cellStyle name="topline 8 3" xfId="23730"/>
    <cellStyle name="topline 8 4" xfId="23731"/>
    <cellStyle name="topline 8 5" xfId="23732"/>
    <cellStyle name="topline 8 6" xfId="23733"/>
    <cellStyle name="topline 8 7" xfId="23734"/>
    <cellStyle name="topline 9" xfId="23735"/>
    <cellStyle name="topline 9 2" xfId="23736"/>
    <cellStyle name="topline 9 3" xfId="23737"/>
    <cellStyle name="topline 9 4" xfId="23738"/>
    <cellStyle name="topline 9 5" xfId="23739"/>
    <cellStyle name="topline 9 6" xfId="23740"/>
    <cellStyle name="topline 9 7" xfId="23741"/>
    <cellStyle name="top-title" xfId="23742"/>
    <cellStyle name="Total 10" xfId="23743"/>
    <cellStyle name="Total 2" xfId="23744"/>
    <cellStyle name="Total 2 2" xfId="23745"/>
    <cellStyle name="Total 2 2 10" xfId="23746"/>
    <cellStyle name="Total 2 2 10 2" xfId="23747"/>
    <cellStyle name="Total 2 2 10 3" xfId="23748"/>
    <cellStyle name="Total 2 2 10 4" xfId="23749"/>
    <cellStyle name="Total 2 2 10 5" xfId="23750"/>
    <cellStyle name="Total 2 2 10 6" xfId="23751"/>
    <cellStyle name="Total 2 2 10 7" xfId="23752"/>
    <cellStyle name="Total 2 2 11" xfId="23753"/>
    <cellStyle name="Total 2 2 11 2" xfId="23754"/>
    <cellStyle name="Total 2 2 11 3" xfId="23755"/>
    <cellStyle name="Total 2 2 11 4" xfId="23756"/>
    <cellStyle name="Total 2 2 11 5" xfId="23757"/>
    <cellStyle name="Total 2 2 11 6" xfId="23758"/>
    <cellStyle name="Total 2 2 12" xfId="23759"/>
    <cellStyle name="Total 2 2 13" xfId="23760"/>
    <cellStyle name="Total 2 2 14" xfId="23761"/>
    <cellStyle name="Total 2 2 15" xfId="23762"/>
    <cellStyle name="Total 2 2 16" xfId="23763"/>
    <cellStyle name="Total 2 2 2" xfId="23764"/>
    <cellStyle name="Total 2 2 2 10" xfId="23765"/>
    <cellStyle name="Total 2 2 2 10 2" xfId="23766"/>
    <cellStyle name="Total 2 2 2 10 3" xfId="23767"/>
    <cellStyle name="Total 2 2 2 10 4" xfId="23768"/>
    <cellStyle name="Total 2 2 2 10 5" xfId="23769"/>
    <cellStyle name="Total 2 2 2 10 6" xfId="23770"/>
    <cellStyle name="Total 2 2 2 11" xfId="23771"/>
    <cellStyle name="Total 2 2 2 12" xfId="23772"/>
    <cellStyle name="Total 2 2 2 13" xfId="23773"/>
    <cellStyle name="Total 2 2 2 14" xfId="23774"/>
    <cellStyle name="Total 2 2 2 15" xfId="23775"/>
    <cellStyle name="Total 2 2 2 2" xfId="23776"/>
    <cellStyle name="Total 2 2 2 2 10" xfId="23777"/>
    <cellStyle name="Total 2 2 2 2 11" xfId="23778"/>
    <cellStyle name="Total 2 2 2 2 12" xfId="23779"/>
    <cellStyle name="Total 2 2 2 2 13" xfId="23780"/>
    <cellStyle name="Total 2 2 2 2 14" xfId="23781"/>
    <cellStyle name="Total 2 2 2 2 2" xfId="23782"/>
    <cellStyle name="Total 2 2 2 2 2 2" xfId="23783"/>
    <cellStyle name="Total 2 2 2 2 2 3" xfId="23784"/>
    <cellStyle name="Total 2 2 2 2 2 4" xfId="23785"/>
    <cellStyle name="Total 2 2 2 2 2 5" xfId="23786"/>
    <cellStyle name="Total 2 2 2 2 2 6" xfId="23787"/>
    <cellStyle name="Total 2 2 2 2 2 7" xfId="23788"/>
    <cellStyle name="Total 2 2 2 2 3" xfId="23789"/>
    <cellStyle name="Total 2 2 2 2 3 2" xfId="23790"/>
    <cellStyle name="Total 2 2 2 2 3 3" xfId="23791"/>
    <cellStyle name="Total 2 2 2 2 3 4" xfId="23792"/>
    <cellStyle name="Total 2 2 2 2 3 5" xfId="23793"/>
    <cellStyle name="Total 2 2 2 2 3 6" xfId="23794"/>
    <cellStyle name="Total 2 2 2 2 3 7" xfId="23795"/>
    <cellStyle name="Total 2 2 2 2 4" xfId="23796"/>
    <cellStyle name="Total 2 2 2 2 4 2" xfId="23797"/>
    <cellStyle name="Total 2 2 2 2 4 3" xfId="23798"/>
    <cellStyle name="Total 2 2 2 2 4 4" xfId="23799"/>
    <cellStyle name="Total 2 2 2 2 4 5" xfId="23800"/>
    <cellStyle name="Total 2 2 2 2 4 6" xfId="23801"/>
    <cellStyle name="Total 2 2 2 2 4 7" xfId="23802"/>
    <cellStyle name="Total 2 2 2 2 5" xfId="23803"/>
    <cellStyle name="Total 2 2 2 2 5 2" xfId="23804"/>
    <cellStyle name="Total 2 2 2 2 5 3" xfId="23805"/>
    <cellStyle name="Total 2 2 2 2 5 4" xfId="23806"/>
    <cellStyle name="Total 2 2 2 2 5 5" xfId="23807"/>
    <cellStyle name="Total 2 2 2 2 5 6" xfId="23808"/>
    <cellStyle name="Total 2 2 2 2 5 7" xfId="23809"/>
    <cellStyle name="Total 2 2 2 2 6" xfId="23810"/>
    <cellStyle name="Total 2 2 2 2 6 2" xfId="23811"/>
    <cellStyle name="Total 2 2 2 2 6 3" xfId="23812"/>
    <cellStyle name="Total 2 2 2 2 6 4" xfId="23813"/>
    <cellStyle name="Total 2 2 2 2 6 5" xfId="23814"/>
    <cellStyle name="Total 2 2 2 2 6 6" xfId="23815"/>
    <cellStyle name="Total 2 2 2 2 6 7" xfId="23816"/>
    <cellStyle name="Total 2 2 2 2 7" xfId="23817"/>
    <cellStyle name="Total 2 2 2 2 7 2" xfId="23818"/>
    <cellStyle name="Total 2 2 2 2 7 3" xfId="23819"/>
    <cellStyle name="Total 2 2 2 2 7 4" xfId="23820"/>
    <cellStyle name="Total 2 2 2 2 7 5" xfId="23821"/>
    <cellStyle name="Total 2 2 2 2 7 6" xfId="23822"/>
    <cellStyle name="Total 2 2 2 2 7 7" xfId="23823"/>
    <cellStyle name="Total 2 2 2 2 8" xfId="23824"/>
    <cellStyle name="Total 2 2 2 2 8 2" xfId="23825"/>
    <cellStyle name="Total 2 2 2 2 8 3" xfId="23826"/>
    <cellStyle name="Total 2 2 2 2 8 4" xfId="23827"/>
    <cellStyle name="Total 2 2 2 2 8 5" xfId="23828"/>
    <cellStyle name="Total 2 2 2 2 8 6" xfId="23829"/>
    <cellStyle name="Total 2 2 2 2 8 7" xfId="23830"/>
    <cellStyle name="Total 2 2 2 2 9" xfId="23831"/>
    <cellStyle name="Total 2 2 2 2 9 2" xfId="23832"/>
    <cellStyle name="Total 2 2 2 2 9 3" xfId="23833"/>
    <cellStyle name="Total 2 2 2 2 9 4" xfId="23834"/>
    <cellStyle name="Total 2 2 2 2 9 5" xfId="23835"/>
    <cellStyle name="Total 2 2 2 2 9 6" xfId="23836"/>
    <cellStyle name="Total 2 2 2 3" xfId="23837"/>
    <cellStyle name="Total 2 2 2 3 2" xfId="23838"/>
    <cellStyle name="Total 2 2 2 3 3" xfId="23839"/>
    <cellStyle name="Total 2 2 2 3 4" xfId="23840"/>
    <cellStyle name="Total 2 2 2 3 5" xfId="23841"/>
    <cellStyle name="Total 2 2 2 3 6" xfId="23842"/>
    <cellStyle name="Total 2 2 2 3 7" xfId="23843"/>
    <cellStyle name="Total 2 2 2 4" xfId="23844"/>
    <cellStyle name="Total 2 2 2 4 2" xfId="23845"/>
    <cellStyle name="Total 2 2 2 4 3" xfId="23846"/>
    <cellStyle name="Total 2 2 2 4 4" xfId="23847"/>
    <cellStyle name="Total 2 2 2 4 5" xfId="23848"/>
    <cellStyle name="Total 2 2 2 4 6" xfId="23849"/>
    <cellStyle name="Total 2 2 2 4 7" xfId="23850"/>
    <cellStyle name="Total 2 2 2 5" xfId="23851"/>
    <cellStyle name="Total 2 2 2 5 2" xfId="23852"/>
    <cellStyle name="Total 2 2 2 5 3" xfId="23853"/>
    <cellStyle name="Total 2 2 2 5 4" xfId="23854"/>
    <cellStyle name="Total 2 2 2 5 5" xfId="23855"/>
    <cellStyle name="Total 2 2 2 5 6" xfId="23856"/>
    <cellStyle name="Total 2 2 2 5 7" xfId="23857"/>
    <cellStyle name="Total 2 2 2 6" xfId="23858"/>
    <cellStyle name="Total 2 2 2 6 2" xfId="23859"/>
    <cellStyle name="Total 2 2 2 6 3" xfId="23860"/>
    <cellStyle name="Total 2 2 2 6 4" xfId="23861"/>
    <cellStyle name="Total 2 2 2 6 5" xfId="23862"/>
    <cellStyle name="Total 2 2 2 6 6" xfId="23863"/>
    <cellStyle name="Total 2 2 2 6 7" xfId="23864"/>
    <cellStyle name="Total 2 2 2 7" xfId="23865"/>
    <cellStyle name="Total 2 2 2 7 2" xfId="23866"/>
    <cellStyle name="Total 2 2 2 7 3" xfId="23867"/>
    <cellStyle name="Total 2 2 2 7 4" xfId="23868"/>
    <cellStyle name="Total 2 2 2 7 5" xfId="23869"/>
    <cellStyle name="Total 2 2 2 7 6" xfId="23870"/>
    <cellStyle name="Total 2 2 2 7 7" xfId="23871"/>
    <cellStyle name="Total 2 2 2 8" xfId="23872"/>
    <cellStyle name="Total 2 2 2 8 2" xfId="23873"/>
    <cellStyle name="Total 2 2 2 8 3" xfId="23874"/>
    <cellStyle name="Total 2 2 2 8 4" xfId="23875"/>
    <cellStyle name="Total 2 2 2 8 5" xfId="23876"/>
    <cellStyle name="Total 2 2 2 8 6" xfId="23877"/>
    <cellStyle name="Total 2 2 2 8 7" xfId="23878"/>
    <cellStyle name="Total 2 2 2 9" xfId="23879"/>
    <cellStyle name="Total 2 2 2 9 2" xfId="23880"/>
    <cellStyle name="Total 2 2 2 9 3" xfId="23881"/>
    <cellStyle name="Total 2 2 2 9 4" xfId="23882"/>
    <cellStyle name="Total 2 2 2 9 5" xfId="23883"/>
    <cellStyle name="Total 2 2 2 9 6" xfId="23884"/>
    <cellStyle name="Total 2 2 2 9 7" xfId="23885"/>
    <cellStyle name="Total 2 2 3" xfId="23886"/>
    <cellStyle name="Total 2 2 3 10" xfId="23887"/>
    <cellStyle name="Total 2 2 3 11" xfId="23888"/>
    <cellStyle name="Total 2 2 3 12" xfId="23889"/>
    <cellStyle name="Total 2 2 3 13" xfId="23890"/>
    <cellStyle name="Total 2 2 3 14" xfId="23891"/>
    <cellStyle name="Total 2 2 3 2" xfId="23892"/>
    <cellStyle name="Total 2 2 3 2 2" xfId="23893"/>
    <cellStyle name="Total 2 2 3 2 3" xfId="23894"/>
    <cellStyle name="Total 2 2 3 2 4" xfId="23895"/>
    <cellStyle name="Total 2 2 3 2 5" xfId="23896"/>
    <cellStyle name="Total 2 2 3 2 6" xfId="23897"/>
    <cellStyle name="Total 2 2 3 2 7" xfId="23898"/>
    <cellStyle name="Total 2 2 3 3" xfId="23899"/>
    <cellStyle name="Total 2 2 3 3 2" xfId="23900"/>
    <cellStyle name="Total 2 2 3 3 3" xfId="23901"/>
    <cellStyle name="Total 2 2 3 3 4" xfId="23902"/>
    <cellStyle name="Total 2 2 3 3 5" xfId="23903"/>
    <cellStyle name="Total 2 2 3 3 6" xfId="23904"/>
    <cellStyle name="Total 2 2 3 3 7" xfId="23905"/>
    <cellStyle name="Total 2 2 3 4" xfId="23906"/>
    <cellStyle name="Total 2 2 3 4 2" xfId="23907"/>
    <cellStyle name="Total 2 2 3 4 3" xfId="23908"/>
    <cellStyle name="Total 2 2 3 4 4" xfId="23909"/>
    <cellStyle name="Total 2 2 3 4 5" xfId="23910"/>
    <cellStyle name="Total 2 2 3 4 6" xfId="23911"/>
    <cellStyle name="Total 2 2 3 4 7" xfId="23912"/>
    <cellStyle name="Total 2 2 3 5" xfId="23913"/>
    <cellStyle name="Total 2 2 3 5 2" xfId="23914"/>
    <cellStyle name="Total 2 2 3 5 3" xfId="23915"/>
    <cellStyle name="Total 2 2 3 5 4" xfId="23916"/>
    <cellStyle name="Total 2 2 3 5 5" xfId="23917"/>
    <cellStyle name="Total 2 2 3 5 6" xfId="23918"/>
    <cellStyle name="Total 2 2 3 5 7" xfId="23919"/>
    <cellStyle name="Total 2 2 3 6" xfId="23920"/>
    <cellStyle name="Total 2 2 3 6 2" xfId="23921"/>
    <cellStyle name="Total 2 2 3 6 3" xfId="23922"/>
    <cellStyle name="Total 2 2 3 6 4" xfId="23923"/>
    <cellStyle name="Total 2 2 3 6 5" xfId="23924"/>
    <cellStyle name="Total 2 2 3 6 6" xfId="23925"/>
    <cellStyle name="Total 2 2 3 6 7" xfId="23926"/>
    <cellStyle name="Total 2 2 3 7" xfId="23927"/>
    <cellStyle name="Total 2 2 3 7 2" xfId="23928"/>
    <cellStyle name="Total 2 2 3 7 3" xfId="23929"/>
    <cellStyle name="Total 2 2 3 7 4" xfId="23930"/>
    <cellStyle name="Total 2 2 3 7 5" xfId="23931"/>
    <cellStyle name="Total 2 2 3 7 6" xfId="23932"/>
    <cellStyle name="Total 2 2 3 7 7" xfId="23933"/>
    <cellStyle name="Total 2 2 3 8" xfId="23934"/>
    <cellStyle name="Total 2 2 3 8 2" xfId="23935"/>
    <cellStyle name="Total 2 2 3 8 3" xfId="23936"/>
    <cellStyle name="Total 2 2 3 8 4" xfId="23937"/>
    <cellStyle name="Total 2 2 3 8 5" xfId="23938"/>
    <cellStyle name="Total 2 2 3 8 6" xfId="23939"/>
    <cellStyle name="Total 2 2 3 8 7" xfId="23940"/>
    <cellStyle name="Total 2 2 3 9" xfId="23941"/>
    <cellStyle name="Total 2 2 3 9 2" xfId="23942"/>
    <cellStyle name="Total 2 2 3 9 3" xfId="23943"/>
    <cellStyle name="Total 2 2 3 9 4" xfId="23944"/>
    <cellStyle name="Total 2 2 3 9 5" xfId="23945"/>
    <cellStyle name="Total 2 2 3 9 6" xfId="23946"/>
    <cellStyle name="Total 2 2 4" xfId="23947"/>
    <cellStyle name="Total 2 2 4 2" xfId="23948"/>
    <cellStyle name="Total 2 2 4 3" xfId="23949"/>
    <cellStyle name="Total 2 2 4 4" xfId="23950"/>
    <cellStyle name="Total 2 2 4 5" xfId="23951"/>
    <cellStyle name="Total 2 2 4 6" xfId="23952"/>
    <cellStyle name="Total 2 2 4 7" xfId="23953"/>
    <cellStyle name="Total 2 2 5" xfId="23954"/>
    <cellStyle name="Total 2 2 5 2" xfId="23955"/>
    <cellStyle name="Total 2 2 5 3" xfId="23956"/>
    <cellStyle name="Total 2 2 5 4" xfId="23957"/>
    <cellStyle name="Total 2 2 5 5" xfId="23958"/>
    <cellStyle name="Total 2 2 5 6" xfId="23959"/>
    <cellStyle name="Total 2 2 5 7" xfId="23960"/>
    <cellStyle name="Total 2 2 6" xfId="23961"/>
    <cellStyle name="Total 2 2 6 2" xfId="23962"/>
    <cellStyle name="Total 2 2 6 3" xfId="23963"/>
    <cellStyle name="Total 2 2 6 4" xfId="23964"/>
    <cellStyle name="Total 2 2 6 5" xfId="23965"/>
    <cellStyle name="Total 2 2 6 6" xfId="23966"/>
    <cellStyle name="Total 2 2 6 7" xfId="23967"/>
    <cellStyle name="Total 2 2 7" xfId="23968"/>
    <cellStyle name="Total 2 2 7 2" xfId="23969"/>
    <cellStyle name="Total 2 2 7 3" xfId="23970"/>
    <cellStyle name="Total 2 2 7 4" xfId="23971"/>
    <cellStyle name="Total 2 2 7 5" xfId="23972"/>
    <cellStyle name="Total 2 2 7 6" xfId="23973"/>
    <cellStyle name="Total 2 2 7 7" xfId="23974"/>
    <cellStyle name="Total 2 2 8" xfId="23975"/>
    <cellStyle name="Total 2 2 8 2" xfId="23976"/>
    <cellStyle name="Total 2 2 8 3" xfId="23977"/>
    <cellStyle name="Total 2 2 8 4" xfId="23978"/>
    <cellStyle name="Total 2 2 8 5" xfId="23979"/>
    <cellStyle name="Total 2 2 8 6" xfId="23980"/>
    <cellStyle name="Total 2 2 8 7" xfId="23981"/>
    <cellStyle name="Total 2 2 9" xfId="23982"/>
    <cellStyle name="Total 2 2 9 2" xfId="23983"/>
    <cellStyle name="Total 2 2 9 3" xfId="23984"/>
    <cellStyle name="Total 2 2 9 4" xfId="23985"/>
    <cellStyle name="Total 2 2 9 5" xfId="23986"/>
    <cellStyle name="Total 2 2 9 6" xfId="23987"/>
    <cellStyle name="Total 2 2 9 7" xfId="23988"/>
    <cellStyle name="Total 2 3" xfId="23989"/>
    <cellStyle name="Total 2 3 10" xfId="23990"/>
    <cellStyle name="Total 2 3 10 2" xfId="23991"/>
    <cellStyle name="Total 2 3 10 3" xfId="23992"/>
    <cellStyle name="Total 2 3 10 4" xfId="23993"/>
    <cellStyle name="Total 2 3 10 5" xfId="23994"/>
    <cellStyle name="Total 2 3 10 6" xfId="23995"/>
    <cellStyle name="Total 2 3 11" xfId="23996"/>
    <cellStyle name="Total 2 3 12" xfId="23997"/>
    <cellStyle name="Total 2 3 13" xfId="23998"/>
    <cellStyle name="Total 2 3 14" xfId="23999"/>
    <cellStyle name="Total 2 3 15" xfId="24000"/>
    <cellStyle name="Total 2 3 2" xfId="24001"/>
    <cellStyle name="Total 2 3 2 10" xfId="24002"/>
    <cellStyle name="Total 2 3 2 11" xfId="24003"/>
    <cellStyle name="Total 2 3 2 12" xfId="24004"/>
    <cellStyle name="Total 2 3 2 13" xfId="24005"/>
    <cellStyle name="Total 2 3 2 14" xfId="24006"/>
    <cellStyle name="Total 2 3 2 2" xfId="24007"/>
    <cellStyle name="Total 2 3 2 2 2" xfId="24008"/>
    <cellStyle name="Total 2 3 2 2 3" xfId="24009"/>
    <cellStyle name="Total 2 3 2 2 4" xfId="24010"/>
    <cellStyle name="Total 2 3 2 2 5" xfId="24011"/>
    <cellStyle name="Total 2 3 2 2 6" xfId="24012"/>
    <cellStyle name="Total 2 3 2 2 7" xfId="24013"/>
    <cellStyle name="Total 2 3 2 3" xfId="24014"/>
    <cellStyle name="Total 2 3 2 3 2" xfId="24015"/>
    <cellStyle name="Total 2 3 2 3 3" xfId="24016"/>
    <cellStyle name="Total 2 3 2 3 4" xfId="24017"/>
    <cellStyle name="Total 2 3 2 3 5" xfId="24018"/>
    <cellStyle name="Total 2 3 2 3 6" xfId="24019"/>
    <cellStyle name="Total 2 3 2 3 7" xfId="24020"/>
    <cellStyle name="Total 2 3 2 4" xfId="24021"/>
    <cellStyle name="Total 2 3 2 4 2" xfId="24022"/>
    <cellStyle name="Total 2 3 2 4 3" xfId="24023"/>
    <cellStyle name="Total 2 3 2 4 4" xfId="24024"/>
    <cellStyle name="Total 2 3 2 4 5" xfId="24025"/>
    <cellStyle name="Total 2 3 2 4 6" xfId="24026"/>
    <cellStyle name="Total 2 3 2 4 7" xfId="24027"/>
    <cellStyle name="Total 2 3 2 5" xfId="24028"/>
    <cellStyle name="Total 2 3 2 5 2" xfId="24029"/>
    <cellStyle name="Total 2 3 2 5 3" xfId="24030"/>
    <cellStyle name="Total 2 3 2 5 4" xfId="24031"/>
    <cellStyle name="Total 2 3 2 5 5" xfId="24032"/>
    <cellStyle name="Total 2 3 2 5 6" xfId="24033"/>
    <cellStyle name="Total 2 3 2 5 7" xfId="24034"/>
    <cellStyle name="Total 2 3 2 6" xfId="24035"/>
    <cellStyle name="Total 2 3 2 6 2" xfId="24036"/>
    <cellStyle name="Total 2 3 2 6 3" xfId="24037"/>
    <cellStyle name="Total 2 3 2 6 4" xfId="24038"/>
    <cellStyle name="Total 2 3 2 6 5" xfId="24039"/>
    <cellStyle name="Total 2 3 2 6 6" xfId="24040"/>
    <cellStyle name="Total 2 3 2 6 7" xfId="24041"/>
    <cellStyle name="Total 2 3 2 7" xfId="24042"/>
    <cellStyle name="Total 2 3 2 7 2" xfId="24043"/>
    <cellStyle name="Total 2 3 2 7 3" xfId="24044"/>
    <cellStyle name="Total 2 3 2 7 4" xfId="24045"/>
    <cellStyle name="Total 2 3 2 7 5" xfId="24046"/>
    <cellStyle name="Total 2 3 2 7 6" xfId="24047"/>
    <cellStyle name="Total 2 3 2 7 7" xfId="24048"/>
    <cellStyle name="Total 2 3 2 8" xfId="24049"/>
    <cellStyle name="Total 2 3 2 8 2" xfId="24050"/>
    <cellStyle name="Total 2 3 2 8 3" xfId="24051"/>
    <cellStyle name="Total 2 3 2 8 4" xfId="24052"/>
    <cellStyle name="Total 2 3 2 8 5" xfId="24053"/>
    <cellStyle name="Total 2 3 2 8 6" xfId="24054"/>
    <cellStyle name="Total 2 3 2 8 7" xfId="24055"/>
    <cellStyle name="Total 2 3 2 9" xfId="24056"/>
    <cellStyle name="Total 2 3 2 9 2" xfId="24057"/>
    <cellStyle name="Total 2 3 2 9 3" xfId="24058"/>
    <cellStyle name="Total 2 3 2 9 4" xfId="24059"/>
    <cellStyle name="Total 2 3 2 9 5" xfId="24060"/>
    <cellStyle name="Total 2 3 2 9 6" xfId="24061"/>
    <cellStyle name="Total 2 3 3" xfId="24062"/>
    <cellStyle name="Total 2 3 3 2" xfId="24063"/>
    <cellStyle name="Total 2 3 3 3" xfId="24064"/>
    <cellStyle name="Total 2 3 3 4" xfId="24065"/>
    <cellStyle name="Total 2 3 3 5" xfId="24066"/>
    <cellStyle name="Total 2 3 3 6" xfId="24067"/>
    <cellStyle name="Total 2 3 3 7" xfId="24068"/>
    <cellStyle name="Total 2 3 4" xfId="24069"/>
    <cellStyle name="Total 2 3 4 2" xfId="24070"/>
    <cellStyle name="Total 2 3 4 3" xfId="24071"/>
    <cellStyle name="Total 2 3 4 4" xfId="24072"/>
    <cellStyle name="Total 2 3 4 5" xfId="24073"/>
    <cellStyle name="Total 2 3 4 6" xfId="24074"/>
    <cellStyle name="Total 2 3 4 7" xfId="24075"/>
    <cellStyle name="Total 2 3 5" xfId="24076"/>
    <cellStyle name="Total 2 3 5 2" xfId="24077"/>
    <cellStyle name="Total 2 3 5 3" xfId="24078"/>
    <cellStyle name="Total 2 3 5 4" xfId="24079"/>
    <cellStyle name="Total 2 3 5 5" xfId="24080"/>
    <cellStyle name="Total 2 3 5 6" xfId="24081"/>
    <cellStyle name="Total 2 3 5 7" xfId="24082"/>
    <cellStyle name="Total 2 3 6" xfId="24083"/>
    <cellStyle name="Total 2 3 6 2" xfId="24084"/>
    <cellStyle name="Total 2 3 6 3" xfId="24085"/>
    <cellStyle name="Total 2 3 6 4" xfId="24086"/>
    <cellStyle name="Total 2 3 6 5" xfId="24087"/>
    <cellStyle name="Total 2 3 6 6" xfId="24088"/>
    <cellStyle name="Total 2 3 6 7" xfId="24089"/>
    <cellStyle name="Total 2 3 7" xfId="24090"/>
    <cellStyle name="Total 2 3 7 2" xfId="24091"/>
    <cellStyle name="Total 2 3 7 3" xfId="24092"/>
    <cellStyle name="Total 2 3 7 4" xfId="24093"/>
    <cellStyle name="Total 2 3 7 5" xfId="24094"/>
    <cellStyle name="Total 2 3 7 6" xfId="24095"/>
    <cellStyle name="Total 2 3 7 7" xfId="24096"/>
    <cellStyle name="Total 2 3 8" xfId="24097"/>
    <cellStyle name="Total 2 3 8 2" xfId="24098"/>
    <cellStyle name="Total 2 3 8 3" xfId="24099"/>
    <cellStyle name="Total 2 3 8 4" xfId="24100"/>
    <cellStyle name="Total 2 3 8 5" xfId="24101"/>
    <cellStyle name="Total 2 3 8 6" xfId="24102"/>
    <cellStyle name="Total 2 3 8 7" xfId="24103"/>
    <cellStyle name="Total 2 3 9" xfId="24104"/>
    <cellStyle name="Total 2 3 9 2" xfId="24105"/>
    <cellStyle name="Total 2 3 9 3" xfId="24106"/>
    <cellStyle name="Total 2 3 9 4" xfId="24107"/>
    <cellStyle name="Total 2 3 9 5" xfId="24108"/>
    <cellStyle name="Total 2 3 9 6" xfId="24109"/>
    <cellStyle name="Total 2 3 9 7" xfId="24110"/>
    <cellStyle name="Total 2 4" xfId="24111"/>
    <cellStyle name="Total 2 4 10" xfId="24112"/>
    <cellStyle name="Total 2 4 10 2" xfId="24113"/>
    <cellStyle name="Total 2 4 10 3" xfId="24114"/>
    <cellStyle name="Total 2 4 10 4" xfId="24115"/>
    <cellStyle name="Total 2 4 10 5" xfId="24116"/>
    <cellStyle name="Total 2 4 10 6" xfId="24117"/>
    <cellStyle name="Total 2 4 11" xfId="24118"/>
    <cellStyle name="Total 2 4 12" xfId="24119"/>
    <cellStyle name="Total 2 4 13" xfId="24120"/>
    <cellStyle name="Total 2 4 14" xfId="24121"/>
    <cellStyle name="Total 2 4 15" xfId="24122"/>
    <cellStyle name="Total 2 4 2" xfId="24123"/>
    <cellStyle name="Total 2 4 2 10" xfId="24124"/>
    <cellStyle name="Total 2 4 2 11" xfId="24125"/>
    <cellStyle name="Total 2 4 2 12" xfId="24126"/>
    <cellStyle name="Total 2 4 2 13" xfId="24127"/>
    <cellStyle name="Total 2 4 2 14" xfId="24128"/>
    <cellStyle name="Total 2 4 2 2" xfId="24129"/>
    <cellStyle name="Total 2 4 2 2 2" xfId="24130"/>
    <cellStyle name="Total 2 4 2 2 3" xfId="24131"/>
    <cellStyle name="Total 2 4 2 2 4" xfId="24132"/>
    <cellStyle name="Total 2 4 2 2 5" xfId="24133"/>
    <cellStyle name="Total 2 4 2 2 6" xfId="24134"/>
    <cellStyle name="Total 2 4 2 2 7" xfId="24135"/>
    <cellStyle name="Total 2 4 2 3" xfId="24136"/>
    <cellStyle name="Total 2 4 2 3 2" xfId="24137"/>
    <cellStyle name="Total 2 4 2 3 3" xfId="24138"/>
    <cellStyle name="Total 2 4 2 3 4" xfId="24139"/>
    <cellStyle name="Total 2 4 2 3 5" xfId="24140"/>
    <cellStyle name="Total 2 4 2 3 6" xfId="24141"/>
    <cellStyle name="Total 2 4 2 3 7" xfId="24142"/>
    <cellStyle name="Total 2 4 2 4" xfId="24143"/>
    <cellStyle name="Total 2 4 2 4 2" xfId="24144"/>
    <cellStyle name="Total 2 4 2 4 3" xfId="24145"/>
    <cellStyle name="Total 2 4 2 4 4" xfId="24146"/>
    <cellStyle name="Total 2 4 2 4 5" xfId="24147"/>
    <cellStyle name="Total 2 4 2 4 6" xfId="24148"/>
    <cellStyle name="Total 2 4 2 4 7" xfId="24149"/>
    <cellStyle name="Total 2 4 2 5" xfId="24150"/>
    <cellStyle name="Total 2 4 2 5 2" xfId="24151"/>
    <cellStyle name="Total 2 4 2 5 3" xfId="24152"/>
    <cellStyle name="Total 2 4 2 5 4" xfId="24153"/>
    <cellStyle name="Total 2 4 2 5 5" xfId="24154"/>
    <cellStyle name="Total 2 4 2 5 6" xfId="24155"/>
    <cellStyle name="Total 2 4 2 5 7" xfId="24156"/>
    <cellStyle name="Total 2 4 2 6" xfId="24157"/>
    <cellStyle name="Total 2 4 2 6 2" xfId="24158"/>
    <cellStyle name="Total 2 4 2 6 3" xfId="24159"/>
    <cellStyle name="Total 2 4 2 6 4" xfId="24160"/>
    <cellStyle name="Total 2 4 2 6 5" xfId="24161"/>
    <cellStyle name="Total 2 4 2 6 6" xfId="24162"/>
    <cellStyle name="Total 2 4 2 6 7" xfId="24163"/>
    <cellStyle name="Total 2 4 2 7" xfId="24164"/>
    <cellStyle name="Total 2 4 2 7 2" xfId="24165"/>
    <cellStyle name="Total 2 4 2 7 3" xfId="24166"/>
    <cellStyle name="Total 2 4 2 7 4" xfId="24167"/>
    <cellStyle name="Total 2 4 2 7 5" xfId="24168"/>
    <cellStyle name="Total 2 4 2 7 6" xfId="24169"/>
    <cellStyle name="Total 2 4 2 7 7" xfId="24170"/>
    <cellStyle name="Total 2 4 2 8" xfId="24171"/>
    <cellStyle name="Total 2 4 2 8 2" xfId="24172"/>
    <cellStyle name="Total 2 4 2 8 3" xfId="24173"/>
    <cellStyle name="Total 2 4 2 8 4" xfId="24174"/>
    <cellStyle name="Total 2 4 2 8 5" xfId="24175"/>
    <cellStyle name="Total 2 4 2 8 6" xfId="24176"/>
    <cellStyle name="Total 2 4 2 8 7" xfId="24177"/>
    <cellStyle name="Total 2 4 2 9" xfId="24178"/>
    <cellStyle name="Total 2 4 2 9 2" xfId="24179"/>
    <cellStyle name="Total 2 4 2 9 3" xfId="24180"/>
    <cellStyle name="Total 2 4 2 9 4" xfId="24181"/>
    <cellStyle name="Total 2 4 2 9 5" xfId="24182"/>
    <cellStyle name="Total 2 4 2 9 6" xfId="24183"/>
    <cellStyle name="Total 2 4 3" xfId="24184"/>
    <cellStyle name="Total 2 4 3 2" xfId="24185"/>
    <cellStyle name="Total 2 4 3 3" xfId="24186"/>
    <cellStyle name="Total 2 4 3 4" xfId="24187"/>
    <cellStyle name="Total 2 4 3 5" xfId="24188"/>
    <cellStyle name="Total 2 4 3 6" xfId="24189"/>
    <cellStyle name="Total 2 4 3 7" xfId="24190"/>
    <cellStyle name="Total 2 4 4" xfId="24191"/>
    <cellStyle name="Total 2 4 4 2" xfId="24192"/>
    <cellStyle name="Total 2 4 4 3" xfId="24193"/>
    <cellStyle name="Total 2 4 4 4" xfId="24194"/>
    <cellStyle name="Total 2 4 4 5" xfId="24195"/>
    <cellStyle name="Total 2 4 4 6" xfId="24196"/>
    <cellStyle name="Total 2 4 4 7" xfId="24197"/>
    <cellStyle name="Total 2 4 5" xfId="24198"/>
    <cellStyle name="Total 2 4 5 2" xfId="24199"/>
    <cellStyle name="Total 2 4 5 3" xfId="24200"/>
    <cellStyle name="Total 2 4 5 4" xfId="24201"/>
    <cellStyle name="Total 2 4 5 5" xfId="24202"/>
    <cellStyle name="Total 2 4 5 6" xfId="24203"/>
    <cellStyle name="Total 2 4 5 7" xfId="24204"/>
    <cellStyle name="Total 2 4 6" xfId="24205"/>
    <cellStyle name="Total 2 4 6 2" xfId="24206"/>
    <cellStyle name="Total 2 4 6 3" xfId="24207"/>
    <cellStyle name="Total 2 4 6 4" xfId="24208"/>
    <cellStyle name="Total 2 4 6 5" xfId="24209"/>
    <cellStyle name="Total 2 4 6 6" xfId="24210"/>
    <cellStyle name="Total 2 4 6 7" xfId="24211"/>
    <cellStyle name="Total 2 4 7" xfId="24212"/>
    <cellStyle name="Total 2 4 7 2" xfId="24213"/>
    <cellStyle name="Total 2 4 7 3" xfId="24214"/>
    <cellStyle name="Total 2 4 7 4" xfId="24215"/>
    <cellStyle name="Total 2 4 7 5" xfId="24216"/>
    <cellStyle name="Total 2 4 7 6" xfId="24217"/>
    <cellStyle name="Total 2 4 7 7" xfId="24218"/>
    <cellStyle name="Total 2 4 8" xfId="24219"/>
    <cellStyle name="Total 2 4 8 2" xfId="24220"/>
    <cellStyle name="Total 2 4 8 3" xfId="24221"/>
    <cellStyle name="Total 2 4 8 4" xfId="24222"/>
    <cellStyle name="Total 2 4 8 5" xfId="24223"/>
    <cellStyle name="Total 2 4 8 6" xfId="24224"/>
    <cellStyle name="Total 2 4 8 7" xfId="24225"/>
    <cellStyle name="Total 2 4 9" xfId="24226"/>
    <cellStyle name="Total 2 4 9 2" xfId="24227"/>
    <cellStyle name="Total 2 4 9 3" xfId="24228"/>
    <cellStyle name="Total 2 4 9 4" xfId="24229"/>
    <cellStyle name="Total 2 4 9 5" xfId="24230"/>
    <cellStyle name="Total 2 4 9 6" xfId="24231"/>
    <cellStyle name="Total 2 4 9 7" xfId="24232"/>
    <cellStyle name="Total 2 5" xfId="24233"/>
    <cellStyle name="Total 2 5 10" xfId="24234"/>
    <cellStyle name="Total 2 5 10 2" xfId="24235"/>
    <cellStyle name="Total 2 5 10 3" xfId="24236"/>
    <cellStyle name="Total 2 5 10 4" xfId="24237"/>
    <cellStyle name="Total 2 5 10 5" xfId="24238"/>
    <cellStyle name="Total 2 5 10 6" xfId="24239"/>
    <cellStyle name="Total 2 5 11" xfId="24240"/>
    <cellStyle name="Total 2 5 12" xfId="24241"/>
    <cellStyle name="Total 2 5 13" xfId="24242"/>
    <cellStyle name="Total 2 5 14" xfId="24243"/>
    <cellStyle name="Total 2 5 15" xfId="24244"/>
    <cellStyle name="Total 2 5 2" xfId="24245"/>
    <cellStyle name="Total 2 5 2 10" xfId="24246"/>
    <cellStyle name="Total 2 5 2 11" xfId="24247"/>
    <cellStyle name="Total 2 5 2 12" xfId="24248"/>
    <cellStyle name="Total 2 5 2 13" xfId="24249"/>
    <cellStyle name="Total 2 5 2 14" xfId="24250"/>
    <cellStyle name="Total 2 5 2 2" xfId="24251"/>
    <cellStyle name="Total 2 5 2 2 2" xfId="24252"/>
    <cellStyle name="Total 2 5 2 2 3" xfId="24253"/>
    <cellStyle name="Total 2 5 2 2 4" xfId="24254"/>
    <cellStyle name="Total 2 5 2 2 5" xfId="24255"/>
    <cellStyle name="Total 2 5 2 2 6" xfId="24256"/>
    <cellStyle name="Total 2 5 2 2 7" xfId="24257"/>
    <cellStyle name="Total 2 5 2 3" xfId="24258"/>
    <cellStyle name="Total 2 5 2 3 2" xfId="24259"/>
    <cellStyle name="Total 2 5 2 3 3" xfId="24260"/>
    <cellStyle name="Total 2 5 2 3 4" xfId="24261"/>
    <cellStyle name="Total 2 5 2 3 5" xfId="24262"/>
    <cellStyle name="Total 2 5 2 3 6" xfId="24263"/>
    <cellStyle name="Total 2 5 2 3 7" xfId="24264"/>
    <cellStyle name="Total 2 5 2 4" xfId="24265"/>
    <cellStyle name="Total 2 5 2 4 2" xfId="24266"/>
    <cellStyle name="Total 2 5 2 4 3" xfId="24267"/>
    <cellStyle name="Total 2 5 2 4 4" xfId="24268"/>
    <cellStyle name="Total 2 5 2 4 5" xfId="24269"/>
    <cellStyle name="Total 2 5 2 4 6" xfId="24270"/>
    <cellStyle name="Total 2 5 2 4 7" xfId="24271"/>
    <cellStyle name="Total 2 5 2 5" xfId="24272"/>
    <cellStyle name="Total 2 5 2 5 2" xfId="24273"/>
    <cellStyle name="Total 2 5 2 5 3" xfId="24274"/>
    <cellStyle name="Total 2 5 2 5 4" xfId="24275"/>
    <cellStyle name="Total 2 5 2 5 5" xfId="24276"/>
    <cellStyle name="Total 2 5 2 5 6" xfId="24277"/>
    <cellStyle name="Total 2 5 2 5 7" xfId="24278"/>
    <cellStyle name="Total 2 5 2 6" xfId="24279"/>
    <cellStyle name="Total 2 5 2 6 2" xfId="24280"/>
    <cellStyle name="Total 2 5 2 6 3" xfId="24281"/>
    <cellStyle name="Total 2 5 2 6 4" xfId="24282"/>
    <cellStyle name="Total 2 5 2 6 5" xfId="24283"/>
    <cellStyle name="Total 2 5 2 6 6" xfId="24284"/>
    <cellStyle name="Total 2 5 2 6 7" xfId="24285"/>
    <cellStyle name="Total 2 5 2 7" xfId="24286"/>
    <cellStyle name="Total 2 5 2 7 2" xfId="24287"/>
    <cellStyle name="Total 2 5 2 7 3" xfId="24288"/>
    <cellStyle name="Total 2 5 2 7 4" xfId="24289"/>
    <cellStyle name="Total 2 5 2 7 5" xfId="24290"/>
    <cellStyle name="Total 2 5 2 7 6" xfId="24291"/>
    <cellStyle name="Total 2 5 2 7 7" xfId="24292"/>
    <cellStyle name="Total 2 5 2 8" xfId="24293"/>
    <cellStyle name="Total 2 5 2 8 2" xfId="24294"/>
    <cellStyle name="Total 2 5 2 8 3" xfId="24295"/>
    <cellStyle name="Total 2 5 2 8 4" xfId="24296"/>
    <cellStyle name="Total 2 5 2 8 5" xfId="24297"/>
    <cellStyle name="Total 2 5 2 8 6" xfId="24298"/>
    <cellStyle name="Total 2 5 2 8 7" xfId="24299"/>
    <cellStyle name="Total 2 5 2 9" xfId="24300"/>
    <cellStyle name="Total 2 5 2 9 2" xfId="24301"/>
    <cellStyle name="Total 2 5 2 9 3" xfId="24302"/>
    <cellStyle name="Total 2 5 2 9 4" xfId="24303"/>
    <cellStyle name="Total 2 5 2 9 5" xfId="24304"/>
    <cellStyle name="Total 2 5 2 9 6" xfId="24305"/>
    <cellStyle name="Total 2 5 3" xfId="24306"/>
    <cellStyle name="Total 2 5 3 2" xfId="24307"/>
    <cellStyle name="Total 2 5 3 3" xfId="24308"/>
    <cellStyle name="Total 2 5 3 4" xfId="24309"/>
    <cellStyle name="Total 2 5 3 5" xfId="24310"/>
    <cellStyle name="Total 2 5 3 6" xfId="24311"/>
    <cellStyle name="Total 2 5 3 7" xfId="24312"/>
    <cellStyle name="Total 2 5 4" xfId="24313"/>
    <cellStyle name="Total 2 5 4 2" xfId="24314"/>
    <cellStyle name="Total 2 5 4 3" xfId="24315"/>
    <cellStyle name="Total 2 5 4 4" xfId="24316"/>
    <cellStyle name="Total 2 5 4 5" xfId="24317"/>
    <cellStyle name="Total 2 5 4 6" xfId="24318"/>
    <cellStyle name="Total 2 5 4 7" xfId="24319"/>
    <cellStyle name="Total 2 5 5" xfId="24320"/>
    <cellStyle name="Total 2 5 5 2" xfId="24321"/>
    <cellStyle name="Total 2 5 5 3" xfId="24322"/>
    <cellStyle name="Total 2 5 5 4" xfId="24323"/>
    <cellStyle name="Total 2 5 5 5" xfId="24324"/>
    <cellStyle name="Total 2 5 5 6" xfId="24325"/>
    <cellStyle name="Total 2 5 5 7" xfId="24326"/>
    <cellStyle name="Total 2 5 6" xfId="24327"/>
    <cellStyle name="Total 2 5 6 2" xfId="24328"/>
    <cellStyle name="Total 2 5 6 3" xfId="24329"/>
    <cellStyle name="Total 2 5 6 4" xfId="24330"/>
    <cellStyle name="Total 2 5 6 5" xfId="24331"/>
    <cellStyle name="Total 2 5 6 6" xfId="24332"/>
    <cellStyle name="Total 2 5 6 7" xfId="24333"/>
    <cellStyle name="Total 2 5 7" xfId="24334"/>
    <cellStyle name="Total 2 5 7 2" xfId="24335"/>
    <cellStyle name="Total 2 5 7 3" xfId="24336"/>
    <cellStyle name="Total 2 5 7 4" xfId="24337"/>
    <cellStyle name="Total 2 5 7 5" xfId="24338"/>
    <cellStyle name="Total 2 5 7 6" xfId="24339"/>
    <cellStyle name="Total 2 5 7 7" xfId="24340"/>
    <cellStyle name="Total 2 5 8" xfId="24341"/>
    <cellStyle name="Total 2 5 8 2" xfId="24342"/>
    <cellStyle name="Total 2 5 8 3" xfId="24343"/>
    <cellStyle name="Total 2 5 8 4" xfId="24344"/>
    <cellStyle name="Total 2 5 8 5" xfId="24345"/>
    <cellStyle name="Total 2 5 8 6" xfId="24346"/>
    <cellStyle name="Total 2 5 8 7" xfId="24347"/>
    <cellStyle name="Total 2 5 9" xfId="24348"/>
    <cellStyle name="Total 2 5 9 2" xfId="24349"/>
    <cellStyle name="Total 2 5 9 3" xfId="24350"/>
    <cellStyle name="Total 2 5 9 4" xfId="24351"/>
    <cellStyle name="Total 2 5 9 5" xfId="24352"/>
    <cellStyle name="Total 2 5 9 6" xfId="24353"/>
    <cellStyle name="Total 2 5 9 7" xfId="24354"/>
    <cellStyle name="Total 2 6" xfId="24355"/>
    <cellStyle name="Total 2 6 10" xfId="24356"/>
    <cellStyle name="Total 2 6 10 2" xfId="24357"/>
    <cellStyle name="Total 2 6 10 3" xfId="24358"/>
    <cellStyle name="Total 2 6 10 4" xfId="24359"/>
    <cellStyle name="Total 2 6 10 5" xfId="24360"/>
    <cellStyle name="Total 2 6 10 6" xfId="24361"/>
    <cellStyle name="Total 2 6 11" xfId="24362"/>
    <cellStyle name="Total 2 6 12" xfId="24363"/>
    <cellStyle name="Total 2 6 13" xfId="24364"/>
    <cellStyle name="Total 2 6 14" xfId="24365"/>
    <cellStyle name="Total 2 6 15" xfId="24366"/>
    <cellStyle name="Total 2 6 2" xfId="24367"/>
    <cellStyle name="Total 2 6 2 10" xfId="24368"/>
    <cellStyle name="Total 2 6 2 11" xfId="24369"/>
    <cellStyle name="Total 2 6 2 12" xfId="24370"/>
    <cellStyle name="Total 2 6 2 13" xfId="24371"/>
    <cellStyle name="Total 2 6 2 14" xfId="24372"/>
    <cellStyle name="Total 2 6 2 2" xfId="24373"/>
    <cellStyle name="Total 2 6 2 2 2" xfId="24374"/>
    <cellStyle name="Total 2 6 2 2 3" xfId="24375"/>
    <cellStyle name="Total 2 6 2 2 4" xfId="24376"/>
    <cellStyle name="Total 2 6 2 2 5" xfId="24377"/>
    <cellStyle name="Total 2 6 2 2 6" xfId="24378"/>
    <cellStyle name="Total 2 6 2 2 7" xfId="24379"/>
    <cellStyle name="Total 2 6 2 3" xfId="24380"/>
    <cellStyle name="Total 2 6 2 3 2" xfId="24381"/>
    <cellStyle name="Total 2 6 2 3 3" xfId="24382"/>
    <cellStyle name="Total 2 6 2 3 4" xfId="24383"/>
    <cellStyle name="Total 2 6 2 3 5" xfId="24384"/>
    <cellStyle name="Total 2 6 2 3 6" xfId="24385"/>
    <cellStyle name="Total 2 6 2 3 7" xfId="24386"/>
    <cellStyle name="Total 2 6 2 4" xfId="24387"/>
    <cellStyle name="Total 2 6 2 4 2" xfId="24388"/>
    <cellStyle name="Total 2 6 2 4 3" xfId="24389"/>
    <cellStyle name="Total 2 6 2 4 4" xfId="24390"/>
    <cellStyle name="Total 2 6 2 4 5" xfId="24391"/>
    <cellStyle name="Total 2 6 2 4 6" xfId="24392"/>
    <cellStyle name="Total 2 6 2 4 7" xfId="24393"/>
    <cellStyle name="Total 2 6 2 5" xfId="24394"/>
    <cellStyle name="Total 2 6 2 5 2" xfId="24395"/>
    <cellStyle name="Total 2 6 2 5 3" xfId="24396"/>
    <cellStyle name="Total 2 6 2 5 4" xfId="24397"/>
    <cellStyle name="Total 2 6 2 5 5" xfId="24398"/>
    <cellStyle name="Total 2 6 2 5 6" xfId="24399"/>
    <cellStyle name="Total 2 6 2 5 7" xfId="24400"/>
    <cellStyle name="Total 2 6 2 6" xfId="24401"/>
    <cellStyle name="Total 2 6 2 6 2" xfId="24402"/>
    <cellStyle name="Total 2 6 2 6 3" xfId="24403"/>
    <cellStyle name="Total 2 6 2 6 4" xfId="24404"/>
    <cellStyle name="Total 2 6 2 6 5" xfId="24405"/>
    <cellStyle name="Total 2 6 2 6 6" xfId="24406"/>
    <cellStyle name="Total 2 6 2 6 7" xfId="24407"/>
    <cellStyle name="Total 2 6 2 7" xfId="24408"/>
    <cellStyle name="Total 2 6 2 7 2" xfId="24409"/>
    <cellStyle name="Total 2 6 2 7 3" xfId="24410"/>
    <cellStyle name="Total 2 6 2 7 4" xfId="24411"/>
    <cellStyle name="Total 2 6 2 7 5" xfId="24412"/>
    <cellStyle name="Total 2 6 2 7 6" xfId="24413"/>
    <cellStyle name="Total 2 6 2 7 7" xfId="24414"/>
    <cellStyle name="Total 2 6 2 8" xfId="24415"/>
    <cellStyle name="Total 2 6 2 8 2" xfId="24416"/>
    <cellStyle name="Total 2 6 2 8 3" xfId="24417"/>
    <cellStyle name="Total 2 6 2 8 4" xfId="24418"/>
    <cellStyle name="Total 2 6 2 8 5" xfId="24419"/>
    <cellStyle name="Total 2 6 2 8 6" xfId="24420"/>
    <cellStyle name="Total 2 6 2 8 7" xfId="24421"/>
    <cellStyle name="Total 2 6 2 9" xfId="24422"/>
    <cellStyle name="Total 2 6 2 9 2" xfId="24423"/>
    <cellStyle name="Total 2 6 2 9 3" xfId="24424"/>
    <cellStyle name="Total 2 6 2 9 4" xfId="24425"/>
    <cellStyle name="Total 2 6 2 9 5" xfId="24426"/>
    <cellStyle name="Total 2 6 2 9 6" xfId="24427"/>
    <cellStyle name="Total 2 6 3" xfId="24428"/>
    <cellStyle name="Total 2 6 3 2" xfId="24429"/>
    <cellStyle name="Total 2 6 3 3" xfId="24430"/>
    <cellStyle name="Total 2 6 3 4" xfId="24431"/>
    <cellStyle name="Total 2 6 3 5" xfId="24432"/>
    <cellStyle name="Total 2 6 3 6" xfId="24433"/>
    <cellStyle name="Total 2 6 3 7" xfId="24434"/>
    <cellStyle name="Total 2 6 4" xfId="24435"/>
    <cellStyle name="Total 2 6 4 2" xfId="24436"/>
    <cellStyle name="Total 2 6 4 3" xfId="24437"/>
    <cellStyle name="Total 2 6 4 4" xfId="24438"/>
    <cellStyle name="Total 2 6 4 5" xfId="24439"/>
    <cellStyle name="Total 2 6 4 6" xfId="24440"/>
    <cellStyle name="Total 2 6 4 7" xfId="24441"/>
    <cellStyle name="Total 2 6 5" xfId="24442"/>
    <cellStyle name="Total 2 6 5 2" xfId="24443"/>
    <cellStyle name="Total 2 6 5 3" xfId="24444"/>
    <cellStyle name="Total 2 6 5 4" xfId="24445"/>
    <cellStyle name="Total 2 6 5 5" xfId="24446"/>
    <cellStyle name="Total 2 6 5 6" xfId="24447"/>
    <cellStyle name="Total 2 6 5 7" xfId="24448"/>
    <cellStyle name="Total 2 6 6" xfId="24449"/>
    <cellStyle name="Total 2 6 6 2" xfId="24450"/>
    <cellStyle name="Total 2 6 6 3" xfId="24451"/>
    <cellStyle name="Total 2 6 6 4" xfId="24452"/>
    <cellStyle name="Total 2 6 6 5" xfId="24453"/>
    <cellStyle name="Total 2 6 6 6" xfId="24454"/>
    <cellStyle name="Total 2 6 6 7" xfId="24455"/>
    <cellStyle name="Total 2 6 7" xfId="24456"/>
    <cellStyle name="Total 2 6 7 2" xfId="24457"/>
    <cellStyle name="Total 2 6 7 3" xfId="24458"/>
    <cellStyle name="Total 2 6 7 4" xfId="24459"/>
    <cellStyle name="Total 2 6 7 5" xfId="24460"/>
    <cellStyle name="Total 2 6 7 6" xfId="24461"/>
    <cellStyle name="Total 2 6 7 7" xfId="24462"/>
    <cellStyle name="Total 2 6 8" xfId="24463"/>
    <cellStyle name="Total 2 6 8 2" xfId="24464"/>
    <cellStyle name="Total 2 6 8 3" xfId="24465"/>
    <cellStyle name="Total 2 6 8 4" xfId="24466"/>
    <cellStyle name="Total 2 6 8 5" xfId="24467"/>
    <cellStyle name="Total 2 6 8 6" xfId="24468"/>
    <cellStyle name="Total 2 6 8 7" xfId="24469"/>
    <cellStyle name="Total 2 6 9" xfId="24470"/>
    <cellStyle name="Total 2 6 9 2" xfId="24471"/>
    <cellStyle name="Total 2 6 9 3" xfId="24472"/>
    <cellStyle name="Total 2 6 9 4" xfId="24473"/>
    <cellStyle name="Total 2 6 9 5" xfId="24474"/>
    <cellStyle name="Total 2 6 9 6" xfId="24475"/>
    <cellStyle name="Total 2 6 9 7" xfId="24476"/>
    <cellStyle name="Total 3" xfId="24477"/>
    <cellStyle name="Total 3 10" xfId="24478"/>
    <cellStyle name="Total 3 10 2" xfId="24479"/>
    <cellStyle name="Total 3 10 3" xfId="24480"/>
    <cellStyle name="Total 3 10 4" xfId="24481"/>
    <cellStyle name="Total 3 10 5" xfId="24482"/>
    <cellStyle name="Total 3 10 6" xfId="24483"/>
    <cellStyle name="Total 3 11" xfId="24484"/>
    <cellStyle name="Total 3 12" xfId="24485"/>
    <cellStyle name="Total 3 13" xfId="24486"/>
    <cellStyle name="Total 3 14" xfId="24487"/>
    <cellStyle name="Total 3 15" xfId="24488"/>
    <cellStyle name="Total 3 2" xfId="24489"/>
    <cellStyle name="Total 3 2 10" xfId="24490"/>
    <cellStyle name="Total 3 2 11" xfId="24491"/>
    <cellStyle name="Total 3 2 12" xfId="24492"/>
    <cellStyle name="Total 3 2 13" xfId="24493"/>
    <cellStyle name="Total 3 2 14" xfId="24494"/>
    <cellStyle name="Total 3 2 2" xfId="24495"/>
    <cellStyle name="Total 3 2 2 2" xfId="24496"/>
    <cellStyle name="Total 3 2 2 3" xfId="24497"/>
    <cellStyle name="Total 3 2 2 4" xfId="24498"/>
    <cellStyle name="Total 3 2 2 5" xfId="24499"/>
    <cellStyle name="Total 3 2 2 6" xfId="24500"/>
    <cellStyle name="Total 3 2 2 7" xfId="24501"/>
    <cellStyle name="Total 3 2 3" xfId="24502"/>
    <cellStyle name="Total 3 2 3 2" xfId="24503"/>
    <cellStyle name="Total 3 2 3 3" xfId="24504"/>
    <cellStyle name="Total 3 2 3 4" xfId="24505"/>
    <cellStyle name="Total 3 2 3 5" xfId="24506"/>
    <cellStyle name="Total 3 2 3 6" xfId="24507"/>
    <cellStyle name="Total 3 2 3 7" xfId="24508"/>
    <cellStyle name="Total 3 2 4" xfId="24509"/>
    <cellStyle name="Total 3 2 4 2" xfId="24510"/>
    <cellStyle name="Total 3 2 4 3" xfId="24511"/>
    <cellStyle name="Total 3 2 4 4" xfId="24512"/>
    <cellStyle name="Total 3 2 4 5" xfId="24513"/>
    <cellStyle name="Total 3 2 4 6" xfId="24514"/>
    <cellStyle name="Total 3 2 4 7" xfId="24515"/>
    <cellStyle name="Total 3 2 5" xfId="24516"/>
    <cellStyle name="Total 3 2 5 2" xfId="24517"/>
    <cellStyle name="Total 3 2 5 3" xfId="24518"/>
    <cellStyle name="Total 3 2 5 4" xfId="24519"/>
    <cellStyle name="Total 3 2 5 5" xfId="24520"/>
    <cellStyle name="Total 3 2 5 6" xfId="24521"/>
    <cellStyle name="Total 3 2 5 7" xfId="24522"/>
    <cellStyle name="Total 3 2 6" xfId="24523"/>
    <cellStyle name="Total 3 2 6 2" xfId="24524"/>
    <cellStyle name="Total 3 2 6 3" xfId="24525"/>
    <cellStyle name="Total 3 2 6 4" xfId="24526"/>
    <cellStyle name="Total 3 2 6 5" xfId="24527"/>
    <cellStyle name="Total 3 2 6 6" xfId="24528"/>
    <cellStyle name="Total 3 2 6 7" xfId="24529"/>
    <cellStyle name="Total 3 2 7" xfId="24530"/>
    <cellStyle name="Total 3 2 7 2" xfId="24531"/>
    <cellStyle name="Total 3 2 7 3" xfId="24532"/>
    <cellStyle name="Total 3 2 7 4" xfId="24533"/>
    <cellStyle name="Total 3 2 7 5" xfId="24534"/>
    <cellStyle name="Total 3 2 7 6" xfId="24535"/>
    <cellStyle name="Total 3 2 7 7" xfId="24536"/>
    <cellStyle name="Total 3 2 8" xfId="24537"/>
    <cellStyle name="Total 3 2 8 2" xfId="24538"/>
    <cellStyle name="Total 3 2 8 3" xfId="24539"/>
    <cellStyle name="Total 3 2 8 4" xfId="24540"/>
    <cellStyle name="Total 3 2 8 5" xfId="24541"/>
    <cellStyle name="Total 3 2 8 6" xfId="24542"/>
    <cellStyle name="Total 3 2 8 7" xfId="24543"/>
    <cellStyle name="Total 3 2 9" xfId="24544"/>
    <cellStyle name="Total 3 2 9 2" xfId="24545"/>
    <cellStyle name="Total 3 2 9 3" xfId="24546"/>
    <cellStyle name="Total 3 2 9 4" xfId="24547"/>
    <cellStyle name="Total 3 2 9 5" xfId="24548"/>
    <cellStyle name="Total 3 2 9 6" xfId="24549"/>
    <cellStyle name="Total 3 3" xfId="24550"/>
    <cellStyle name="Total 3 3 2" xfId="24551"/>
    <cellStyle name="Total 3 3 3" xfId="24552"/>
    <cellStyle name="Total 3 3 4" xfId="24553"/>
    <cellStyle name="Total 3 3 5" xfId="24554"/>
    <cellStyle name="Total 3 3 6" xfId="24555"/>
    <cellStyle name="Total 3 3 7" xfId="24556"/>
    <cellStyle name="Total 3 4" xfId="24557"/>
    <cellStyle name="Total 3 4 2" xfId="24558"/>
    <cellStyle name="Total 3 4 3" xfId="24559"/>
    <cellStyle name="Total 3 4 4" xfId="24560"/>
    <cellStyle name="Total 3 4 5" xfId="24561"/>
    <cellStyle name="Total 3 4 6" xfId="24562"/>
    <cellStyle name="Total 3 4 7" xfId="24563"/>
    <cellStyle name="Total 3 5" xfId="24564"/>
    <cellStyle name="Total 3 5 2" xfId="24565"/>
    <cellStyle name="Total 3 5 3" xfId="24566"/>
    <cellStyle name="Total 3 5 4" xfId="24567"/>
    <cellStyle name="Total 3 5 5" xfId="24568"/>
    <cellStyle name="Total 3 5 6" xfId="24569"/>
    <cellStyle name="Total 3 5 7" xfId="24570"/>
    <cellStyle name="Total 3 6" xfId="24571"/>
    <cellStyle name="Total 3 6 2" xfId="24572"/>
    <cellStyle name="Total 3 6 3" xfId="24573"/>
    <cellStyle name="Total 3 6 4" xfId="24574"/>
    <cellStyle name="Total 3 6 5" xfId="24575"/>
    <cellStyle name="Total 3 6 6" xfId="24576"/>
    <cellStyle name="Total 3 6 7" xfId="24577"/>
    <cellStyle name="Total 3 7" xfId="24578"/>
    <cellStyle name="Total 3 7 2" xfId="24579"/>
    <cellStyle name="Total 3 7 3" xfId="24580"/>
    <cellStyle name="Total 3 7 4" xfId="24581"/>
    <cellStyle name="Total 3 7 5" xfId="24582"/>
    <cellStyle name="Total 3 7 6" xfId="24583"/>
    <cellStyle name="Total 3 7 7" xfId="24584"/>
    <cellStyle name="Total 3 8" xfId="24585"/>
    <cellStyle name="Total 3 8 2" xfId="24586"/>
    <cellStyle name="Total 3 8 3" xfId="24587"/>
    <cellStyle name="Total 3 8 4" xfId="24588"/>
    <cellStyle name="Total 3 8 5" xfId="24589"/>
    <cellStyle name="Total 3 8 6" xfId="24590"/>
    <cellStyle name="Total 3 8 7" xfId="24591"/>
    <cellStyle name="Total 3 9" xfId="24592"/>
    <cellStyle name="Total 3 9 2" xfId="24593"/>
    <cellStyle name="Total 3 9 3" xfId="24594"/>
    <cellStyle name="Total 3 9 4" xfId="24595"/>
    <cellStyle name="Total 3 9 5" xfId="24596"/>
    <cellStyle name="Total 3 9 6" xfId="24597"/>
    <cellStyle name="Total 3 9 7" xfId="24598"/>
    <cellStyle name="Total 4" xfId="24599"/>
    <cellStyle name="Total 5" xfId="24600"/>
    <cellStyle name="Total 6" xfId="24601"/>
    <cellStyle name="Total 7" xfId="24602"/>
    <cellStyle name="Total 8" xfId="24603"/>
    <cellStyle name="Total 9" xfId="24604"/>
    <cellStyle name="Totals" xfId="24605"/>
    <cellStyle name="twodecplace" xfId="24606"/>
    <cellStyle name="u" xfId="24607"/>
    <cellStyle name="u 2" xfId="24608"/>
    <cellStyle name="ubordinated Debt" xfId="24609"/>
    <cellStyle name="UnderLine" xfId="24610"/>
    <cellStyle name="underline 1 decimal" xfId="24611"/>
    <cellStyle name="UnderLine 2" xfId="24612"/>
    <cellStyle name="UnderLine 2 2" xfId="24613"/>
    <cellStyle name="UnderLine 2 2 2" xfId="24614"/>
    <cellStyle name="UnderLine 3" xfId="24615"/>
    <cellStyle name="UnderLine 3 2" xfId="24616"/>
    <cellStyle name="UnderLine 3 2 2" xfId="24617"/>
    <cellStyle name="UnderLine 4" xfId="24618"/>
    <cellStyle name="UnderLine 4 2" xfId="24619"/>
    <cellStyle name="UnderLine 4 2 2" xfId="24620"/>
    <cellStyle name="UnderLine 5" xfId="24621"/>
    <cellStyle name="UnderLine 5 2" xfId="24622"/>
    <cellStyle name="UnderLine 5 2 2" xfId="24623"/>
    <cellStyle name="UnderLine 6" xfId="24624"/>
    <cellStyle name="UnderLine 6 2" xfId="24625"/>
    <cellStyle name="UnderlineNormal" xfId="24626"/>
    <cellStyle name="UnderlineNormal 2" xfId="24627"/>
    <cellStyle name="UnderlineNormal 2 2" xfId="24628"/>
    <cellStyle name="UnderlineNormal 2 2 2" xfId="24629"/>
    <cellStyle name="UnderlineNormal 3" xfId="24630"/>
    <cellStyle name="UnderlineNormal 3 2" xfId="24631"/>
    <cellStyle name="unit totals" xfId="24632"/>
    <cellStyle name="unit totals 10" xfId="24633"/>
    <cellStyle name="unit totals 10 2" xfId="24634"/>
    <cellStyle name="unit totals 10 3" xfId="24635"/>
    <cellStyle name="unit totals 10 4" xfId="24636"/>
    <cellStyle name="unit totals 10 5" xfId="24637"/>
    <cellStyle name="unit totals 10 6" xfId="24638"/>
    <cellStyle name="unit totals 11" xfId="24639"/>
    <cellStyle name="unit totals 12" xfId="24640"/>
    <cellStyle name="unit totals 13" xfId="24641"/>
    <cellStyle name="unit totals 14" xfId="24642"/>
    <cellStyle name="unit totals 15" xfId="24643"/>
    <cellStyle name="unit totals 2" xfId="24644"/>
    <cellStyle name="unit totals 2 10" xfId="24645"/>
    <cellStyle name="unit totals 2 11" xfId="24646"/>
    <cellStyle name="unit totals 2 12" xfId="24647"/>
    <cellStyle name="unit totals 2 13" xfId="24648"/>
    <cellStyle name="unit totals 2 14" xfId="24649"/>
    <cellStyle name="unit totals 2 2" xfId="24650"/>
    <cellStyle name="unit totals 2 2 2" xfId="24651"/>
    <cellStyle name="unit totals 2 2 3" xfId="24652"/>
    <cellStyle name="unit totals 2 2 4" xfId="24653"/>
    <cellStyle name="unit totals 2 2 5" xfId="24654"/>
    <cellStyle name="unit totals 2 2 6" xfId="24655"/>
    <cellStyle name="unit totals 2 2 7" xfId="24656"/>
    <cellStyle name="unit totals 2 3" xfId="24657"/>
    <cellStyle name="unit totals 2 3 2" xfId="24658"/>
    <cellStyle name="unit totals 2 3 3" xfId="24659"/>
    <cellStyle name="unit totals 2 3 4" xfId="24660"/>
    <cellStyle name="unit totals 2 3 5" xfId="24661"/>
    <cellStyle name="unit totals 2 3 6" xfId="24662"/>
    <cellStyle name="unit totals 2 3 7" xfId="24663"/>
    <cellStyle name="unit totals 2 4" xfId="24664"/>
    <cellStyle name="unit totals 2 4 2" xfId="24665"/>
    <cellStyle name="unit totals 2 4 3" xfId="24666"/>
    <cellStyle name="unit totals 2 4 4" xfId="24667"/>
    <cellStyle name="unit totals 2 4 5" xfId="24668"/>
    <cellStyle name="unit totals 2 4 6" xfId="24669"/>
    <cellStyle name="unit totals 2 4 7" xfId="24670"/>
    <cellStyle name="unit totals 2 5" xfId="24671"/>
    <cellStyle name="unit totals 2 5 2" xfId="24672"/>
    <cellStyle name="unit totals 2 5 3" xfId="24673"/>
    <cellStyle name="unit totals 2 5 4" xfId="24674"/>
    <cellStyle name="unit totals 2 5 5" xfId="24675"/>
    <cellStyle name="unit totals 2 5 6" xfId="24676"/>
    <cellStyle name="unit totals 2 5 7" xfId="24677"/>
    <cellStyle name="unit totals 2 6" xfId="24678"/>
    <cellStyle name="unit totals 2 6 2" xfId="24679"/>
    <cellStyle name="unit totals 2 6 3" xfId="24680"/>
    <cellStyle name="unit totals 2 6 4" xfId="24681"/>
    <cellStyle name="unit totals 2 6 5" xfId="24682"/>
    <cellStyle name="unit totals 2 6 6" xfId="24683"/>
    <cellStyle name="unit totals 2 6 7" xfId="24684"/>
    <cellStyle name="unit totals 2 7" xfId="24685"/>
    <cellStyle name="unit totals 2 7 2" xfId="24686"/>
    <cellStyle name="unit totals 2 7 3" xfId="24687"/>
    <cellStyle name="unit totals 2 7 4" xfId="24688"/>
    <cellStyle name="unit totals 2 7 5" xfId="24689"/>
    <cellStyle name="unit totals 2 7 6" xfId="24690"/>
    <cellStyle name="unit totals 2 7 7" xfId="24691"/>
    <cellStyle name="unit totals 2 8" xfId="24692"/>
    <cellStyle name="unit totals 2 8 2" xfId="24693"/>
    <cellStyle name="unit totals 2 8 3" xfId="24694"/>
    <cellStyle name="unit totals 2 8 4" xfId="24695"/>
    <cellStyle name="unit totals 2 8 5" xfId="24696"/>
    <cellStyle name="unit totals 2 8 6" xfId="24697"/>
    <cellStyle name="unit totals 2 8 7" xfId="24698"/>
    <cellStyle name="unit totals 2 9" xfId="24699"/>
    <cellStyle name="unit totals 2 9 2" xfId="24700"/>
    <cellStyle name="unit totals 2 9 3" xfId="24701"/>
    <cellStyle name="unit totals 2 9 4" xfId="24702"/>
    <cellStyle name="unit totals 2 9 5" xfId="24703"/>
    <cellStyle name="unit totals 2 9 6" xfId="24704"/>
    <cellStyle name="unit totals 3" xfId="24705"/>
    <cellStyle name="unit totals 3 2" xfId="24706"/>
    <cellStyle name="unit totals 3 3" xfId="24707"/>
    <cellStyle name="unit totals 3 4" xfId="24708"/>
    <cellStyle name="unit totals 3 5" xfId="24709"/>
    <cellStyle name="unit totals 3 6" xfId="24710"/>
    <cellStyle name="unit totals 3 7" xfId="24711"/>
    <cellStyle name="unit totals 4" xfId="24712"/>
    <cellStyle name="unit totals 4 2" xfId="24713"/>
    <cellStyle name="unit totals 4 3" xfId="24714"/>
    <cellStyle name="unit totals 4 4" xfId="24715"/>
    <cellStyle name="unit totals 4 5" xfId="24716"/>
    <cellStyle name="unit totals 4 6" xfId="24717"/>
    <cellStyle name="unit totals 4 7" xfId="24718"/>
    <cellStyle name="unit totals 5" xfId="24719"/>
    <cellStyle name="unit totals 5 2" xfId="24720"/>
    <cellStyle name="unit totals 5 3" xfId="24721"/>
    <cellStyle name="unit totals 5 4" xfId="24722"/>
    <cellStyle name="unit totals 5 5" xfId="24723"/>
    <cellStyle name="unit totals 5 6" xfId="24724"/>
    <cellStyle name="unit totals 5 7" xfId="24725"/>
    <cellStyle name="unit totals 6" xfId="24726"/>
    <cellStyle name="unit totals 6 2" xfId="24727"/>
    <cellStyle name="unit totals 6 3" xfId="24728"/>
    <cellStyle name="unit totals 6 4" xfId="24729"/>
    <cellStyle name="unit totals 6 5" xfId="24730"/>
    <cellStyle name="unit totals 6 6" xfId="24731"/>
    <cellStyle name="unit totals 6 7" xfId="24732"/>
    <cellStyle name="unit totals 7" xfId="24733"/>
    <cellStyle name="unit totals 7 2" xfId="24734"/>
    <cellStyle name="unit totals 7 3" xfId="24735"/>
    <cellStyle name="unit totals 7 4" xfId="24736"/>
    <cellStyle name="unit totals 7 5" xfId="24737"/>
    <cellStyle name="unit totals 7 6" xfId="24738"/>
    <cellStyle name="unit totals 7 7" xfId="24739"/>
    <cellStyle name="unit totals 8" xfId="24740"/>
    <cellStyle name="unit totals 8 2" xfId="24741"/>
    <cellStyle name="unit totals 8 3" xfId="24742"/>
    <cellStyle name="unit totals 8 4" xfId="24743"/>
    <cellStyle name="unit totals 8 5" xfId="24744"/>
    <cellStyle name="unit totals 8 6" xfId="24745"/>
    <cellStyle name="unit totals 8 7" xfId="24746"/>
    <cellStyle name="unit totals 9" xfId="24747"/>
    <cellStyle name="unit totals 9 2" xfId="24748"/>
    <cellStyle name="unit totals 9 3" xfId="24749"/>
    <cellStyle name="unit totals 9 4" xfId="24750"/>
    <cellStyle name="unit totals 9 5" xfId="24751"/>
    <cellStyle name="unit totals 9 6" xfId="24752"/>
    <cellStyle name="unit totals 9 7" xfId="24753"/>
    <cellStyle name="Units" xfId="24754"/>
    <cellStyle name="Universe" xfId="24755"/>
    <cellStyle name="Universe 10" xfId="24756"/>
    <cellStyle name="Universe 10 2" xfId="24757"/>
    <cellStyle name="Universe 10 3" xfId="24758"/>
    <cellStyle name="Universe 10 4" xfId="24759"/>
    <cellStyle name="Universe 10 5" xfId="24760"/>
    <cellStyle name="Universe 10 6" xfId="24761"/>
    <cellStyle name="Universe 11" xfId="24762"/>
    <cellStyle name="Universe 12" xfId="24763"/>
    <cellStyle name="Universe 13" xfId="24764"/>
    <cellStyle name="Universe 14" xfId="24765"/>
    <cellStyle name="Universe 15" xfId="24766"/>
    <cellStyle name="Universe 2" xfId="24767"/>
    <cellStyle name="Universe 2 10" xfId="24768"/>
    <cellStyle name="Universe 2 11" xfId="24769"/>
    <cellStyle name="Universe 2 12" xfId="24770"/>
    <cellStyle name="Universe 2 13" xfId="24771"/>
    <cellStyle name="Universe 2 14" xfId="24772"/>
    <cellStyle name="Universe 2 2" xfId="24773"/>
    <cellStyle name="Universe 2 2 2" xfId="24774"/>
    <cellStyle name="Universe 2 2 3" xfId="24775"/>
    <cellStyle name="Universe 2 2 4" xfId="24776"/>
    <cellStyle name="Universe 2 2 5" xfId="24777"/>
    <cellStyle name="Universe 2 2 6" xfId="24778"/>
    <cellStyle name="Universe 2 2 7" xfId="24779"/>
    <cellStyle name="Universe 2 3" xfId="24780"/>
    <cellStyle name="Universe 2 3 2" xfId="24781"/>
    <cellStyle name="Universe 2 3 3" xfId="24782"/>
    <cellStyle name="Universe 2 3 4" xfId="24783"/>
    <cellStyle name="Universe 2 3 5" xfId="24784"/>
    <cellStyle name="Universe 2 3 6" xfId="24785"/>
    <cellStyle name="Universe 2 3 7" xfId="24786"/>
    <cellStyle name="Universe 2 4" xfId="24787"/>
    <cellStyle name="Universe 2 4 2" xfId="24788"/>
    <cellStyle name="Universe 2 4 3" xfId="24789"/>
    <cellStyle name="Universe 2 4 4" xfId="24790"/>
    <cellStyle name="Universe 2 4 5" xfId="24791"/>
    <cellStyle name="Universe 2 4 6" xfId="24792"/>
    <cellStyle name="Universe 2 4 7" xfId="24793"/>
    <cellStyle name="Universe 2 5" xfId="24794"/>
    <cellStyle name="Universe 2 5 2" xfId="24795"/>
    <cellStyle name="Universe 2 5 3" xfId="24796"/>
    <cellStyle name="Universe 2 5 4" xfId="24797"/>
    <cellStyle name="Universe 2 5 5" xfId="24798"/>
    <cellStyle name="Universe 2 5 6" xfId="24799"/>
    <cellStyle name="Universe 2 5 7" xfId="24800"/>
    <cellStyle name="Universe 2 6" xfId="24801"/>
    <cellStyle name="Universe 2 6 2" xfId="24802"/>
    <cellStyle name="Universe 2 6 3" xfId="24803"/>
    <cellStyle name="Universe 2 6 4" xfId="24804"/>
    <cellStyle name="Universe 2 6 5" xfId="24805"/>
    <cellStyle name="Universe 2 6 6" xfId="24806"/>
    <cellStyle name="Universe 2 6 7" xfId="24807"/>
    <cellStyle name="Universe 2 7" xfId="24808"/>
    <cellStyle name="Universe 2 7 2" xfId="24809"/>
    <cellStyle name="Universe 2 7 3" xfId="24810"/>
    <cellStyle name="Universe 2 7 4" xfId="24811"/>
    <cellStyle name="Universe 2 7 5" xfId="24812"/>
    <cellStyle name="Universe 2 7 6" xfId="24813"/>
    <cellStyle name="Universe 2 7 7" xfId="24814"/>
    <cellStyle name="Universe 2 8" xfId="24815"/>
    <cellStyle name="Universe 2 8 2" xfId="24816"/>
    <cellStyle name="Universe 2 8 3" xfId="24817"/>
    <cellStyle name="Universe 2 8 4" xfId="24818"/>
    <cellStyle name="Universe 2 8 5" xfId="24819"/>
    <cellStyle name="Universe 2 8 6" xfId="24820"/>
    <cellStyle name="Universe 2 8 7" xfId="24821"/>
    <cellStyle name="Universe 2 9" xfId="24822"/>
    <cellStyle name="Universe 2 9 2" xfId="24823"/>
    <cellStyle name="Universe 2 9 3" xfId="24824"/>
    <cellStyle name="Universe 2 9 4" xfId="24825"/>
    <cellStyle name="Universe 2 9 5" xfId="24826"/>
    <cellStyle name="Universe 2 9 6" xfId="24827"/>
    <cellStyle name="Universe 3" xfId="24828"/>
    <cellStyle name="Universe 3 2" xfId="24829"/>
    <cellStyle name="Universe 3 3" xfId="24830"/>
    <cellStyle name="Universe 3 4" xfId="24831"/>
    <cellStyle name="Universe 3 5" xfId="24832"/>
    <cellStyle name="Universe 3 6" xfId="24833"/>
    <cellStyle name="Universe 3 7" xfId="24834"/>
    <cellStyle name="Universe 4" xfId="24835"/>
    <cellStyle name="Universe 4 2" xfId="24836"/>
    <cellStyle name="Universe 4 3" xfId="24837"/>
    <cellStyle name="Universe 4 4" xfId="24838"/>
    <cellStyle name="Universe 4 5" xfId="24839"/>
    <cellStyle name="Universe 4 6" xfId="24840"/>
    <cellStyle name="Universe 4 7" xfId="24841"/>
    <cellStyle name="Universe 5" xfId="24842"/>
    <cellStyle name="Universe 5 2" xfId="24843"/>
    <cellStyle name="Universe 5 3" xfId="24844"/>
    <cellStyle name="Universe 5 4" xfId="24845"/>
    <cellStyle name="Universe 5 5" xfId="24846"/>
    <cellStyle name="Universe 5 6" xfId="24847"/>
    <cellStyle name="Universe 5 7" xfId="24848"/>
    <cellStyle name="Universe 6" xfId="24849"/>
    <cellStyle name="Universe 6 2" xfId="24850"/>
    <cellStyle name="Universe 6 3" xfId="24851"/>
    <cellStyle name="Universe 6 4" xfId="24852"/>
    <cellStyle name="Universe 6 5" xfId="24853"/>
    <cellStyle name="Universe 6 6" xfId="24854"/>
    <cellStyle name="Universe 6 7" xfId="24855"/>
    <cellStyle name="Universe 7" xfId="24856"/>
    <cellStyle name="Universe 7 2" xfId="24857"/>
    <cellStyle name="Universe 7 3" xfId="24858"/>
    <cellStyle name="Universe 7 4" xfId="24859"/>
    <cellStyle name="Universe 7 5" xfId="24860"/>
    <cellStyle name="Universe 7 6" xfId="24861"/>
    <cellStyle name="Universe 7 7" xfId="24862"/>
    <cellStyle name="Universe 8" xfId="24863"/>
    <cellStyle name="Universe 8 2" xfId="24864"/>
    <cellStyle name="Universe 8 3" xfId="24865"/>
    <cellStyle name="Universe 8 4" xfId="24866"/>
    <cellStyle name="Universe 8 5" xfId="24867"/>
    <cellStyle name="Universe 8 6" xfId="24868"/>
    <cellStyle name="Universe 8 7" xfId="24869"/>
    <cellStyle name="Universe 9" xfId="24870"/>
    <cellStyle name="Universe 9 2" xfId="24871"/>
    <cellStyle name="Universe 9 3" xfId="24872"/>
    <cellStyle name="Universe 9 4" xfId="24873"/>
    <cellStyle name="Universe 9 5" xfId="24874"/>
    <cellStyle name="Universe 9 6" xfId="24875"/>
    <cellStyle name="Universe 9 7" xfId="24876"/>
    <cellStyle name="Unprot" xfId="24877"/>
    <cellStyle name="Unprot$" xfId="24878"/>
    <cellStyle name="Unprot$ 2" xfId="24879"/>
    <cellStyle name="Unprot_CurrencySKorea" xfId="24880"/>
    <cellStyle name="Unprotect" xfId="24881"/>
    <cellStyle name="Unprotected" xfId="24882"/>
    <cellStyle name="UnProtectedCalc" xfId="24883"/>
    <cellStyle name="Upload Only" xfId="24884"/>
    <cellStyle name="Use_1dp" xfId="24885"/>
    <cellStyle name="UseB_1dp" xfId="24886"/>
    <cellStyle name="V Line" xfId="24887"/>
    <cellStyle name="valueLabel" xfId="24888"/>
    <cellStyle name="Währung [0]_Sond_arb" xfId="24889"/>
    <cellStyle name="Währung_BBTR0050" xfId="24890"/>
    <cellStyle name="Warning Text 2" xfId="24891"/>
    <cellStyle name="Warning Text 2 2" xfId="24892"/>
    <cellStyle name="Warning Text 3" xfId="24893"/>
    <cellStyle name="WholeNumber" xfId="24894"/>
    <cellStyle name="WholeNumber 2" xfId="24895"/>
    <cellStyle name="WingdingsBlack" xfId="24896"/>
    <cellStyle name="WingdingsBlack 10" xfId="24897"/>
    <cellStyle name="WingdingsBlack 10 2" xfId="24898"/>
    <cellStyle name="WingdingsBlack 10 3" xfId="24899"/>
    <cellStyle name="WingdingsBlack 10 4" xfId="24900"/>
    <cellStyle name="WingdingsBlack 10 5" xfId="24901"/>
    <cellStyle name="WingdingsBlack 10 6" xfId="24902"/>
    <cellStyle name="WingdingsBlack 10 7" xfId="24903"/>
    <cellStyle name="WingdingsBlack 11" xfId="24904"/>
    <cellStyle name="WingdingsBlack 11 2" xfId="24905"/>
    <cellStyle name="WingdingsBlack 11 3" xfId="24906"/>
    <cellStyle name="WingdingsBlack 11 4" xfId="24907"/>
    <cellStyle name="WingdingsBlack 11 5" xfId="24908"/>
    <cellStyle name="WingdingsBlack 11 6" xfId="24909"/>
    <cellStyle name="WingdingsBlack 12" xfId="24910"/>
    <cellStyle name="WingdingsBlack 13" xfId="24911"/>
    <cellStyle name="WingdingsBlack 14" xfId="24912"/>
    <cellStyle name="WingdingsBlack 15" xfId="24913"/>
    <cellStyle name="WingdingsBlack 16" xfId="24914"/>
    <cellStyle name="WingdingsBlack 2" xfId="24915"/>
    <cellStyle name="WingdingsBlack 2 10" xfId="24916"/>
    <cellStyle name="WingdingsBlack 2 10 2" xfId="24917"/>
    <cellStyle name="WingdingsBlack 2 10 3" xfId="24918"/>
    <cellStyle name="WingdingsBlack 2 10 4" xfId="24919"/>
    <cellStyle name="WingdingsBlack 2 10 5" xfId="24920"/>
    <cellStyle name="WingdingsBlack 2 10 6" xfId="24921"/>
    <cellStyle name="WingdingsBlack 2 11" xfId="24922"/>
    <cellStyle name="WingdingsBlack 2 12" xfId="24923"/>
    <cellStyle name="WingdingsBlack 2 13" xfId="24924"/>
    <cellStyle name="WingdingsBlack 2 14" xfId="24925"/>
    <cellStyle name="WingdingsBlack 2 15" xfId="24926"/>
    <cellStyle name="WingdingsBlack 2 2" xfId="24927"/>
    <cellStyle name="WingdingsBlack 2 2 2" xfId="24928"/>
    <cellStyle name="WingdingsBlack 2 2 3" xfId="24929"/>
    <cellStyle name="WingdingsBlack 2 2 4" xfId="24930"/>
    <cellStyle name="WingdingsBlack 2 2 5" xfId="24931"/>
    <cellStyle name="WingdingsBlack 2 2 6" xfId="24932"/>
    <cellStyle name="WingdingsBlack 2 2 7" xfId="24933"/>
    <cellStyle name="WingdingsBlack 2 3" xfId="24934"/>
    <cellStyle name="WingdingsBlack 2 3 2" xfId="24935"/>
    <cellStyle name="WingdingsBlack 2 3 3" xfId="24936"/>
    <cellStyle name="WingdingsBlack 2 3 4" xfId="24937"/>
    <cellStyle name="WingdingsBlack 2 3 5" xfId="24938"/>
    <cellStyle name="WingdingsBlack 2 3 6" xfId="24939"/>
    <cellStyle name="WingdingsBlack 2 3 7" xfId="24940"/>
    <cellStyle name="WingdingsBlack 2 4" xfId="24941"/>
    <cellStyle name="WingdingsBlack 2 4 2" xfId="24942"/>
    <cellStyle name="WingdingsBlack 2 4 3" xfId="24943"/>
    <cellStyle name="WingdingsBlack 2 4 4" xfId="24944"/>
    <cellStyle name="WingdingsBlack 2 4 5" xfId="24945"/>
    <cellStyle name="WingdingsBlack 2 4 6" xfId="24946"/>
    <cellStyle name="WingdingsBlack 2 4 7" xfId="24947"/>
    <cellStyle name="WingdingsBlack 2 5" xfId="24948"/>
    <cellStyle name="WingdingsBlack 2 5 2" xfId="24949"/>
    <cellStyle name="WingdingsBlack 2 5 3" xfId="24950"/>
    <cellStyle name="WingdingsBlack 2 5 4" xfId="24951"/>
    <cellStyle name="WingdingsBlack 2 5 5" xfId="24952"/>
    <cellStyle name="WingdingsBlack 2 5 6" xfId="24953"/>
    <cellStyle name="WingdingsBlack 2 5 7" xfId="24954"/>
    <cellStyle name="WingdingsBlack 2 6" xfId="24955"/>
    <cellStyle name="WingdingsBlack 2 6 2" xfId="24956"/>
    <cellStyle name="WingdingsBlack 2 6 3" xfId="24957"/>
    <cellStyle name="WingdingsBlack 2 6 4" xfId="24958"/>
    <cellStyle name="WingdingsBlack 2 6 5" xfId="24959"/>
    <cellStyle name="WingdingsBlack 2 6 6" xfId="24960"/>
    <cellStyle name="WingdingsBlack 2 6 7" xfId="24961"/>
    <cellStyle name="WingdingsBlack 2 7" xfId="24962"/>
    <cellStyle name="WingdingsBlack 2 7 2" xfId="24963"/>
    <cellStyle name="WingdingsBlack 2 7 3" xfId="24964"/>
    <cellStyle name="WingdingsBlack 2 7 4" xfId="24965"/>
    <cellStyle name="WingdingsBlack 2 7 5" xfId="24966"/>
    <cellStyle name="WingdingsBlack 2 7 6" xfId="24967"/>
    <cellStyle name="WingdingsBlack 2 7 7" xfId="24968"/>
    <cellStyle name="WingdingsBlack 2 8" xfId="24969"/>
    <cellStyle name="WingdingsBlack 2 8 2" xfId="24970"/>
    <cellStyle name="WingdingsBlack 2 8 3" xfId="24971"/>
    <cellStyle name="WingdingsBlack 2 8 4" xfId="24972"/>
    <cellStyle name="WingdingsBlack 2 8 5" xfId="24973"/>
    <cellStyle name="WingdingsBlack 2 8 6" xfId="24974"/>
    <cellStyle name="WingdingsBlack 2 8 7" xfId="24975"/>
    <cellStyle name="WingdingsBlack 2 9" xfId="24976"/>
    <cellStyle name="WingdingsBlack 2 9 2" xfId="24977"/>
    <cellStyle name="WingdingsBlack 2 9 3" xfId="24978"/>
    <cellStyle name="WingdingsBlack 2 9 4" xfId="24979"/>
    <cellStyle name="WingdingsBlack 2 9 5" xfId="24980"/>
    <cellStyle name="WingdingsBlack 2 9 6" xfId="24981"/>
    <cellStyle name="WingdingsBlack 2 9 7" xfId="24982"/>
    <cellStyle name="WingdingsBlack 3" xfId="24983"/>
    <cellStyle name="WingdingsBlack 3 2" xfId="24984"/>
    <cellStyle name="WingdingsBlack 3 3" xfId="24985"/>
    <cellStyle name="WingdingsBlack 3 4" xfId="24986"/>
    <cellStyle name="WingdingsBlack 3 5" xfId="24987"/>
    <cellStyle name="WingdingsBlack 3 6" xfId="24988"/>
    <cellStyle name="WingdingsBlack 3 7" xfId="24989"/>
    <cellStyle name="WingdingsBlack 4" xfId="24990"/>
    <cellStyle name="WingdingsBlack 4 2" xfId="24991"/>
    <cellStyle name="WingdingsBlack 4 3" xfId="24992"/>
    <cellStyle name="WingdingsBlack 4 4" xfId="24993"/>
    <cellStyle name="WingdingsBlack 4 5" xfId="24994"/>
    <cellStyle name="WingdingsBlack 4 6" xfId="24995"/>
    <cellStyle name="WingdingsBlack 4 7" xfId="24996"/>
    <cellStyle name="WingdingsBlack 5" xfId="24997"/>
    <cellStyle name="WingdingsBlack 5 2" xfId="24998"/>
    <cellStyle name="WingdingsBlack 5 3" xfId="24999"/>
    <cellStyle name="WingdingsBlack 5 4" xfId="25000"/>
    <cellStyle name="WingdingsBlack 5 5" xfId="25001"/>
    <cellStyle name="WingdingsBlack 5 6" xfId="25002"/>
    <cellStyle name="WingdingsBlack 5 7" xfId="25003"/>
    <cellStyle name="WingdingsBlack 6" xfId="25004"/>
    <cellStyle name="WingdingsBlack 6 2" xfId="25005"/>
    <cellStyle name="WingdingsBlack 6 3" xfId="25006"/>
    <cellStyle name="WingdingsBlack 6 4" xfId="25007"/>
    <cellStyle name="WingdingsBlack 6 5" xfId="25008"/>
    <cellStyle name="WingdingsBlack 6 6" xfId="25009"/>
    <cellStyle name="WingdingsBlack 6 7" xfId="25010"/>
    <cellStyle name="WingdingsBlack 7" xfId="25011"/>
    <cellStyle name="WingdingsBlack 7 2" xfId="25012"/>
    <cellStyle name="WingdingsBlack 7 3" xfId="25013"/>
    <cellStyle name="WingdingsBlack 7 4" xfId="25014"/>
    <cellStyle name="WingdingsBlack 7 5" xfId="25015"/>
    <cellStyle name="WingdingsBlack 7 6" xfId="25016"/>
    <cellStyle name="WingdingsBlack 7 7" xfId="25017"/>
    <cellStyle name="WingdingsBlack 8" xfId="25018"/>
    <cellStyle name="WingdingsBlack 8 2" xfId="25019"/>
    <cellStyle name="WingdingsBlack 8 3" xfId="25020"/>
    <cellStyle name="WingdingsBlack 8 4" xfId="25021"/>
    <cellStyle name="WingdingsBlack 8 5" xfId="25022"/>
    <cellStyle name="WingdingsBlack 8 6" xfId="25023"/>
    <cellStyle name="WingdingsBlack 8 7" xfId="25024"/>
    <cellStyle name="WingdingsBlack 9" xfId="25025"/>
    <cellStyle name="WingdingsBlack 9 2" xfId="25026"/>
    <cellStyle name="WingdingsBlack 9 3" xfId="25027"/>
    <cellStyle name="WingdingsBlack 9 4" xfId="25028"/>
    <cellStyle name="WingdingsBlack 9 5" xfId="25029"/>
    <cellStyle name="WingdingsBlack 9 6" xfId="25030"/>
    <cellStyle name="WingdingsBlack 9 7" xfId="25031"/>
    <cellStyle name="WingdingsRed" xfId="25032"/>
    <cellStyle name="WingdingsRed 10" xfId="25033"/>
    <cellStyle name="WingdingsRed 10 2" xfId="25034"/>
    <cellStyle name="WingdingsRed 10 3" xfId="25035"/>
    <cellStyle name="WingdingsRed 10 4" xfId="25036"/>
    <cellStyle name="WingdingsRed 10 5" xfId="25037"/>
    <cellStyle name="WingdingsRed 10 6" xfId="25038"/>
    <cellStyle name="WingdingsRed 10 7" xfId="25039"/>
    <cellStyle name="WingdingsRed 11" xfId="25040"/>
    <cellStyle name="WingdingsRed 11 2" xfId="25041"/>
    <cellStyle name="WingdingsRed 11 3" xfId="25042"/>
    <cellStyle name="WingdingsRed 11 4" xfId="25043"/>
    <cellStyle name="WingdingsRed 11 5" xfId="25044"/>
    <cellStyle name="WingdingsRed 11 6" xfId="25045"/>
    <cellStyle name="WingdingsRed 12" xfId="25046"/>
    <cellStyle name="WingdingsRed 13" xfId="25047"/>
    <cellStyle name="WingdingsRed 14" xfId="25048"/>
    <cellStyle name="WingdingsRed 15" xfId="25049"/>
    <cellStyle name="WingdingsRed 16" xfId="25050"/>
    <cellStyle name="WingdingsRed 2" xfId="25051"/>
    <cellStyle name="WingdingsRed 2 10" xfId="25052"/>
    <cellStyle name="WingdingsRed 2 10 2" xfId="25053"/>
    <cellStyle name="WingdingsRed 2 10 3" xfId="25054"/>
    <cellStyle name="WingdingsRed 2 10 4" xfId="25055"/>
    <cellStyle name="WingdingsRed 2 10 5" xfId="25056"/>
    <cellStyle name="WingdingsRed 2 10 6" xfId="25057"/>
    <cellStyle name="WingdingsRed 2 11" xfId="25058"/>
    <cellStyle name="WingdingsRed 2 12" xfId="25059"/>
    <cellStyle name="WingdingsRed 2 13" xfId="25060"/>
    <cellStyle name="WingdingsRed 2 14" xfId="25061"/>
    <cellStyle name="WingdingsRed 2 15" xfId="25062"/>
    <cellStyle name="WingdingsRed 2 2" xfId="25063"/>
    <cellStyle name="WingdingsRed 2 2 2" xfId="25064"/>
    <cellStyle name="WingdingsRed 2 2 3" xfId="25065"/>
    <cellStyle name="WingdingsRed 2 2 4" xfId="25066"/>
    <cellStyle name="WingdingsRed 2 2 5" xfId="25067"/>
    <cellStyle name="WingdingsRed 2 2 6" xfId="25068"/>
    <cellStyle name="WingdingsRed 2 2 7" xfId="25069"/>
    <cellStyle name="WingdingsRed 2 3" xfId="25070"/>
    <cellStyle name="WingdingsRed 2 3 2" xfId="25071"/>
    <cellStyle name="WingdingsRed 2 3 3" xfId="25072"/>
    <cellStyle name="WingdingsRed 2 3 4" xfId="25073"/>
    <cellStyle name="WingdingsRed 2 3 5" xfId="25074"/>
    <cellStyle name="WingdingsRed 2 3 6" xfId="25075"/>
    <cellStyle name="WingdingsRed 2 3 7" xfId="25076"/>
    <cellStyle name="WingdingsRed 2 4" xfId="25077"/>
    <cellStyle name="WingdingsRed 2 4 2" xfId="25078"/>
    <cellStyle name="WingdingsRed 2 4 3" xfId="25079"/>
    <cellStyle name="WingdingsRed 2 4 4" xfId="25080"/>
    <cellStyle name="WingdingsRed 2 4 5" xfId="25081"/>
    <cellStyle name="WingdingsRed 2 4 6" xfId="25082"/>
    <cellStyle name="WingdingsRed 2 4 7" xfId="25083"/>
    <cellStyle name="WingdingsRed 2 5" xfId="25084"/>
    <cellStyle name="WingdingsRed 2 5 2" xfId="25085"/>
    <cellStyle name="WingdingsRed 2 5 3" xfId="25086"/>
    <cellStyle name="WingdingsRed 2 5 4" xfId="25087"/>
    <cellStyle name="WingdingsRed 2 5 5" xfId="25088"/>
    <cellStyle name="WingdingsRed 2 5 6" xfId="25089"/>
    <cellStyle name="WingdingsRed 2 5 7" xfId="25090"/>
    <cellStyle name="WingdingsRed 2 6" xfId="25091"/>
    <cellStyle name="WingdingsRed 2 6 2" xfId="25092"/>
    <cellStyle name="WingdingsRed 2 6 3" xfId="25093"/>
    <cellStyle name="WingdingsRed 2 6 4" xfId="25094"/>
    <cellStyle name="WingdingsRed 2 6 5" xfId="25095"/>
    <cellStyle name="WingdingsRed 2 6 6" xfId="25096"/>
    <cellStyle name="WingdingsRed 2 6 7" xfId="25097"/>
    <cellStyle name="WingdingsRed 2 7" xfId="25098"/>
    <cellStyle name="WingdingsRed 2 7 2" xfId="25099"/>
    <cellStyle name="WingdingsRed 2 7 3" xfId="25100"/>
    <cellStyle name="WingdingsRed 2 7 4" xfId="25101"/>
    <cellStyle name="WingdingsRed 2 7 5" xfId="25102"/>
    <cellStyle name="WingdingsRed 2 7 6" xfId="25103"/>
    <cellStyle name="WingdingsRed 2 7 7" xfId="25104"/>
    <cellStyle name="WingdingsRed 2 8" xfId="25105"/>
    <cellStyle name="WingdingsRed 2 8 2" xfId="25106"/>
    <cellStyle name="WingdingsRed 2 8 3" xfId="25107"/>
    <cellStyle name="WingdingsRed 2 8 4" xfId="25108"/>
    <cellStyle name="WingdingsRed 2 8 5" xfId="25109"/>
    <cellStyle name="WingdingsRed 2 8 6" xfId="25110"/>
    <cellStyle name="WingdingsRed 2 8 7" xfId="25111"/>
    <cellStyle name="WingdingsRed 2 9" xfId="25112"/>
    <cellStyle name="WingdingsRed 2 9 2" xfId="25113"/>
    <cellStyle name="WingdingsRed 2 9 3" xfId="25114"/>
    <cellStyle name="WingdingsRed 2 9 4" xfId="25115"/>
    <cellStyle name="WingdingsRed 2 9 5" xfId="25116"/>
    <cellStyle name="WingdingsRed 2 9 6" xfId="25117"/>
    <cellStyle name="WingdingsRed 2 9 7" xfId="25118"/>
    <cellStyle name="WingdingsRed 3" xfId="25119"/>
    <cellStyle name="WingdingsRed 3 2" xfId="25120"/>
    <cellStyle name="WingdingsRed 3 3" xfId="25121"/>
    <cellStyle name="WingdingsRed 3 4" xfId="25122"/>
    <cellStyle name="WingdingsRed 3 5" xfId="25123"/>
    <cellStyle name="WingdingsRed 3 6" xfId="25124"/>
    <cellStyle name="WingdingsRed 3 7" xfId="25125"/>
    <cellStyle name="WingdingsRed 4" xfId="25126"/>
    <cellStyle name="WingdingsRed 4 2" xfId="25127"/>
    <cellStyle name="WingdingsRed 4 3" xfId="25128"/>
    <cellStyle name="WingdingsRed 4 4" xfId="25129"/>
    <cellStyle name="WingdingsRed 4 5" xfId="25130"/>
    <cellStyle name="WingdingsRed 4 6" xfId="25131"/>
    <cellStyle name="WingdingsRed 4 7" xfId="25132"/>
    <cellStyle name="WingdingsRed 5" xfId="25133"/>
    <cellStyle name="WingdingsRed 5 2" xfId="25134"/>
    <cellStyle name="WingdingsRed 5 3" xfId="25135"/>
    <cellStyle name="WingdingsRed 5 4" xfId="25136"/>
    <cellStyle name="WingdingsRed 5 5" xfId="25137"/>
    <cellStyle name="WingdingsRed 5 6" xfId="25138"/>
    <cellStyle name="WingdingsRed 5 7" xfId="25139"/>
    <cellStyle name="WingdingsRed 6" xfId="25140"/>
    <cellStyle name="WingdingsRed 6 2" xfId="25141"/>
    <cellStyle name="WingdingsRed 6 3" xfId="25142"/>
    <cellStyle name="WingdingsRed 6 4" xfId="25143"/>
    <cellStyle name="WingdingsRed 6 5" xfId="25144"/>
    <cellStyle name="WingdingsRed 6 6" xfId="25145"/>
    <cellStyle name="WingdingsRed 6 7" xfId="25146"/>
    <cellStyle name="WingdingsRed 7" xfId="25147"/>
    <cellStyle name="WingdingsRed 7 2" xfId="25148"/>
    <cellStyle name="WingdingsRed 7 3" xfId="25149"/>
    <cellStyle name="WingdingsRed 7 4" xfId="25150"/>
    <cellStyle name="WingdingsRed 7 5" xfId="25151"/>
    <cellStyle name="WingdingsRed 7 6" xfId="25152"/>
    <cellStyle name="WingdingsRed 7 7" xfId="25153"/>
    <cellStyle name="WingdingsRed 8" xfId="25154"/>
    <cellStyle name="WingdingsRed 8 2" xfId="25155"/>
    <cellStyle name="WingdingsRed 8 3" xfId="25156"/>
    <cellStyle name="WingdingsRed 8 4" xfId="25157"/>
    <cellStyle name="WingdingsRed 8 5" xfId="25158"/>
    <cellStyle name="WingdingsRed 8 6" xfId="25159"/>
    <cellStyle name="WingdingsRed 8 7" xfId="25160"/>
    <cellStyle name="WingdingsRed 9" xfId="25161"/>
    <cellStyle name="WingdingsRed 9 2" xfId="25162"/>
    <cellStyle name="WingdingsRed 9 3" xfId="25163"/>
    <cellStyle name="WingdingsRed 9 4" xfId="25164"/>
    <cellStyle name="WingdingsRed 9 5" xfId="25165"/>
    <cellStyle name="WingdingsRed 9 6" xfId="25166"/>
    <cellStyle name="WingdingsRed 9 7" xfId="25167"/>
    <cellStyle name="WingdingsWhite" xfId="25168"/>
    <cellStyle name="WingdingsWhite 10" xfId="25169"/>
    <cellStyle name="WingdingsWhite 10 2" xfId="25170"/>
    <cellStyle name="WingdingsWhite 10 3" xfId="25171"/>
    <cellStyle name="WingdingsWhite 10 4" xfId="25172"/>
    <cellStyle name="WingdingsWhite 10 5" xfId="25173"/>
    <cellStyle name="WingdingsWhite 10 6" xfId="25174"/>
    <cellStyle name="WingdingsWhite 10 7" xfId="25175"/>
    <cellStyle name="WingdingsWhite 11" xfId="25176"/>
    <cellStyle name="WingdingsWhite 11 2" xfId="25177"/>
    <cellStyle name="WingdingsWhite 11 3" xfId="25178"/>
    <cellStyle name="WingdingsWhite 11 4" xfId="25179"/>
    <cellStyle name="WingdingsWhite 11 5" xfId="25180"/>
    <cellStyle name="WingdingsWhite 11 6" xfId="25181"/>
    <cellStyle name="WingdingsWhite 12" xfId="25182"/>
    <cellStyle name="WingdingsWhite 13" xfId="25183"/>
    <cellStyle name="WingdingsWhite 14" xfId="25184"/>
    <cellStyle name="WingdingsWhite 15" xfId="25185"/>
    <cellStyle name="WingdingsWhite 16" xfId="25186"/>
    <cellStyle name="WingdingsWhite 2" xfId="25187"/>
    <cellStyle name="WingdingsWhite 2 10" xfId="25188"/>
    <cellStyle name="WingdingsWhite 2 10 2" xfId="25189"/>
    <cellStyle name="WingdingsWhite 2 10 3" xfId="25190"/>
    <cellStyle name="WingdingsWhite 2 10 4" xfId="25191"/>
    <cellStyle name="WingdingsWhite 2 10 5" xfId="25192"/>
    <cellStyle name="WingdingsWhite 2 10 6" xfId="25193"/>
    <cellStyle name="WingdingsWhite 2 11" xfId="25194"/>
    <cellStyle name="WingdingsWhite 2 12" xfId="25195"/>
    <cellStyle name="WingdingsWhite 2 13" xfId="25196"/>
    <cellStyle name="WingdingsWhite 2 14" xfId="25197"/>
    <cellStyle name="WingdingsWhite 2 15" xfId="25198"/>
    <cellStyle name="WingdingsWhite 2 2" xfId="25199"/>
    <cellStyle name="WingdingsWhite 2 2 2" xfId="25200"/>
    <cellStyle name="WingdingsWhite 2 2 3" xfId="25201"/>
    <cellStyle name="WingdingsWhite 2 2 4" xfId="25202"/>
    <cellStyle name="WingdingsWhite 2 2 5" xfId="25203"/>
    <cellStyle name="WingdingsWhite 2 2 6" xfId="25204"/>
    <cellStyle name="WingdingsWhite 2 2 7" xfId="25205"/>
    <cellStyle name="WingdingsWhite 2 3" xfId="25206"/>
    <cellStyle name="WingdingsWhite 2 3 2" xfId="25207"/>
    <cellStyle name="WingdingsWhite 2 3 3" xfId="25208"/>
    <cellStyle name="WingdingsWhite 2 3 4" xfId="25209"/>
    <cellStyle name="WingdingsWhite 2 3 5" xfId="25210"/>
    <cellStyle name="WingdingsWhite 2 3 6" xfId="25211"/>
    <cellStyle name="WingdingsWhite 2 3 7" xfId="25212"/>
    <cellStyle name="WingdingsWhite 2 4" xfId="25213"/>
    <cellStyle name="WingdingsWhite 2 4 2" xfId="25214"/>
    <cellStyle name="WingdingsWhite 2 4 3" xfId="25215"/>
    <cellStyle name="WingdingsWhite 2 4 4" xfId="25216"/>
    <cellStyle name="WingdingsWhite 2 4 5" xfId="25217"/>
    <cellStyle name="WingdingsWhite 2 4 6" xfId="25218"/>
    <cellStyle name="WingdingsWhite 2 4 7" xfId="25219"/>
    <cellStyle name="WingdingsWhite 2 5" xfId="25220"/>
    <cellStyle name="WingdingsWhite 2 5 2" xfId="25221"/>
    <cellStyle name="WingdingsWhite 2 5 3" xfId="25222"/>
    <cellStyle name="WingdingsWhite 2 5 4" xfId="25223"/>
    <cellStyle name="WingdingsWhite 2 5 5" xfId="25224"/>
    <cellStyle name="WingdingsWhite 2 5 6" xfId="25225"/>
    <cellStyle name="WingdingsWhite 2 5 7" xfId="25226"/>
    <cellStyle name="WingdingsWhite 2 6" xfId="25227"/>
    <cellStyle name="WingdingsWhite 2 6 2" xfId="25228"/>
    <cellStyle name="WingdingsWhite 2 6 3" xfId="25229"/>
    <cellStyle name="WingdingsWhite 2 6 4" xfId="25230"/>
    <cellStyle name="WingdingsWhite 2 6 5" xfId="25231"/>
    <cellStyle name="WingdingsWhite 2 6 6" xfId="25232"/>
    <cellStyle name="WingdingsWhite 2 6 7" xfId="25233"/>
    <cellStyle name="WingdingsWhite 2 7" xfId="25234"/>
    <cellStyle name="WingdingsWhite 2 7 2" xfId="25235"/>
    <cellStyle name="WingdingsWhite 2 7 3" xfId="25236"/>
    <cellStyle name="WingdingsWhite 2 7 4" xfId="25237"/>
    <cellStyle name="WingdingsWhite 2 7 5" xfId="25238"/>
    <cellStyle name="WingdingsWhite 2 7 6" xfId="25239"/>
    <cellStyle name="WingdingsWhite 2 7 7" xfId="25240"/>
    <cellStyle name="WingdingsWhite 2 8" xfId="25241"/>
    <cellStyle name="WingdingsWhite 2 8 2" xfId="25242"/>
    <cellStyle name="WingdingsWhite 2 8 3" xfId="25243"/>
    <cellStyle name="WingdingsWhite 2 8 4" xfId="25244"/>
    <cellStyle name="WingdingsWhite 2 8 5" xfId="25245"/>
    <cellStyle name="WingdingsWhite 2 8 6" xfId="25246"/>
    <cellStyle name="WingdingsWhite 2 8 7" xfId="25247"/>
    <cellStyle name="WingdingsWhite 2 9" xfId="25248"/>
    <cellStyle name="WingdingsWhite 2 9 2" xfId="25249"/>
    <cellStyle name="WingdingsWhite 2 9 3" xfId="25250"/>
    <cellStyle name="WingdingsWhite 2 9 4" xfId="25251"/>
    <cellStyle name="WingdingsWhite 2 9 5" xfId="25252"/>
    <cellStyle name="WingdingsWhite 2 9 6" xfId="25253"/>
    <cellStyle name="WingdingsWhite 2 9 7" xfId="25254"/>
    <cellStyle name="WingdingsWhite 3" xfId="25255"/>
    <cellStyle name="WingdingsWhite 3 2" xfId="25256"/>
    <cellStyle name="WingdingsWhite 3 3" xfId="25257"/>
    <cellStyle name="WingdingsWhite 3 4" xfId="25258"/>
    <cellStyle name="WingdingsWhite 3 5" xfId="25259"/>
    <cellStyle name="WingdingsWhite 3 6" xfId="25260"/>
    <cellStyle name="WingdingsWhite 3 7" xfId="25261"/>
    <cellStyle name="WingdingsWhite 4" xfId="25262"/>
    <cellStyle name="WingdingsWhite 4 2" xfId="25263"/>
    <cellStyle name="WingdingsWhite 4 3" xfId="25264"/>
    <cellStyle name="WingdingsWhite 4 4" xfId="25265"/>
    <cellStyle name="WingdingsWhite 4 5" xfId="25266"/>
    <cellStyle name="WingdingsWhite 4 6" xfId="25267"/>
    <cellStyle name="WingdingsWhite 4 7" xfId="25268"/>
    <cellStyle name="WingdingsWhite 5" xfId="25269"/>
    <cellStyle name="WingdingsWhite 5 2" xfId="25270"/>
    <cellStyle name="WingdingsWhite 5 3" xfId="25271"/>
    <cellStyle name="WingdingsWhite 5 4" xfId="25272"/>
    <cellStyle name="WingdingsWhite 5 5" xfId="25273"/>
    <cellStyle name="WingdingsWhite 5 6" xfId="25274"/>
    <cellStyle name="WingdingsWhite 5 7" xfId="25275"/>
    <cellStyle name="WingdingsWhite 6" xfId="25276"/>
    <cellStyle name="WingdingsWhite 6 2" xfId="25277"/>
    <cellStyle name="WingdingsWhite 6 3" xfId="25278"/>
    <cellStyle name="WingdingsWhite 6 4" xfId="25279"/>
    <cellStyle name="WingdingsWhite 6 5" xfId="25280"/>
    <cellStyle name="WingdingsWhite 6 6" xfId="25281"/>
    <cellStyle name="WingdingsWhite 6 7" xfId="25282"/>
    <cellStyle name="WingdingsWhite 7" xfId="25283"/>
    <cellStyle name="WingdingsWhite 7 2" xfId="25284"/>
    <cellStyle name="WingdingsWhite 7 3" xfId="25285"/>
    <cellStyle name="WingdingsWhite 7 4" xfId="25286"/>
    <cellStyle name="WingdingsWhite 7 5" xfId="25287"/>
    <cellStyle name="WingdingsWhite 7 6" xfId="25288"/>
    <cellStyle name="WingdingsWhite 7 7" xfId="25289"/>
    <cellStyle name="WingdingsWhite 8" xfId="25290"/>
    <cellStyle name="WingdingsWhite 8 2" xfId="25291"/>
    <cellStyle name="WingdingsWhite 8 3" xfId="25292"/>
    <cellStyle name="WingdingsWhite 8 4" xfId="25293"/>
    <cellStyle name="WingdingsWhite 8 5" xfId="25294"/>
    <cellStyle name="WingdingsWhite 8 6" xfId="25295"/>
    <cellStyle name="WingdingsWhite 8 7" xfId="25296"/>
    <cellStyle name="WingdingsWhite 9" xfId="25297"/>
    <cellStyle name="WingdingsWhite 9 2" xfId="25298"/>
    <cellStyle name="WingdingsWhite 9 3" xfId="25299"/>
    <cellStyle name="WingdingsWhite 9 4" xfId="25300"/>
    <cellStyle name="WingdingsWhite 9 5" xfId="25301"/>
    <cellStyle name="WingdingsWhite 9 6" xfId="25302"/>
    <cellStyle name="WingdingsWhite 9 7" xfId="25303"/>
    <cellStyle name="XLS'|_x0005_t" xfId="25304"/>
    <cellStyle name="xstyle" xfId="25305"/>
    <cellStyle name="Y/N" xfId="25306"/>
    <cellStyle name="Year" xfId="25307"/>
    <cellStyle name="Year 2" xfId="25308"/>
    <cellStyle name="Year_FT Valuation " xfId="25309"/>
    <cellStyle name="YearEnd" xfId="25310"/>
    <cellStyle name="Years" xfId="25311"/>
    <cellStyle name="Years 2" xfId="25312"/>
    <cellStyle name="Years 2 2" xfId="25313"/>
    <cellStyle name="YearUpdate" xfId="25314"/>
    <cellStyle name="yyyy" xfId="25315"/>
    <cellStyle name="뷭?_BOOKSHIP_실적현황 " xfId="25316"/>
    <cellStyle name="셈迷?XLS!check_filesche|_x0005_" xfId="25317"/>
    <cellStyle name="쬞\?1@" xfId="25318"/>
    <cellStyle name="쬞\?1@ 2" xfId="25319"/>
    <cellStyle name="콤냡?&lt;_x000f_$??:_x0009_`1_1 " xfId="25320"/>
    <cellStyle name="콤마 [0]_   " xfId="25321"/>
    <cellStyle name="콤마,_x0005__x0014_" xfId="25322"/>
    <cellStyle name="콤마_   " xfId="25323"/>
    <cellStyle name="통화 [0]_1.24분기 평가표 " xfId="25324"/>
    <cellStyle name="통화_1.24분기 평가표 " xfId="25325"/>
    <cellStyle name="표준_0N-HANDLING " xfId="25326"/>
    <cellStyle name="一般_24991" xfId="25327"/>
    <cellStyle name="分级显示行_2_生产数据(99-1~12)" xfId="25328"/>
    <cellStyle name="千位[0]_BSTB" xfId="25329"/>
    <cellStyle name="千位_9802" xfId="25330"/>
    <cellStyle name="千位分隔" xfId="25331"/>
    <cellStyle name="千位分隔 2" xfId="25332"/>
    <cellStyle name="千位分隔 2 2" xfId="25333"/>
    <cellStyle name="千位分隔 2 2 2" xfId="25334"/>
    <cellStyle name="千位分隔 2 2 3" xfId="25335"/>
    <cellStyle name="千位分隔 2 2 4" xfId="25336"/>
    <cellStyle name="千位分隔 2 3" xfId="25337"/>
    <cellStyle name="千位分隔 2 4" xfId="25338"/>
    <cellStyle name="千位分隔 2 5" xfId="25339"/>
    <cellStyle name="千位分隔 3" xfId="25340"/>
    <cellStyle name="千位分隔 3 2" xfId="25341"/>
    <cellStyle name="千位分隔[0]_2003年推介表" xfId="25342"/>
    <cellStyle name="千位分隔_2001yy情况" xfId="25343"/>
    <cellStyle name="千分位[0]_laroux" xfId="25344"/>
    <cellStyle name="千分位_laroux" xfId="25345"/>
    <cellStyle name="好" xfId="25346"/>
    <cellStyle name="好 2" xfId="25347"/>
    <cellStyle name="好 3" xfId="25348"/>
    <cellStyle name="好_102710 QC materials" xfId="25349"/>
    <cellStyle name="好_Air China" xfId="25350"/>
    <cellStyle name="好_Airlines" xfId="25351"/>
    <cellStyle name="好_CA1008Result" xfId="25352"/>
    <cellStyle name="好_China Air Traffic" xfId="25353"/>
    <cellStyle name="好_China Air Traffic_A" xfId="25354"/>
    <cellStyle name="好_China Cargo" xfId="25355"/>
    <cellStyle name="好_China RFTK" xfId="25356"/>
    <cellStyle name="好_Chinese Airlines" xfId="25357"/>
    <cellStyle name="好_CSA" xfId="25358"/>
    <cellStyle name="好_Fuel" xfId="25359"/>
    <cellStyle name="好_RFTK (3airlines)" xfId="25360"/>
    <cellStyle name="好_RPK (3airlines)" xfId="25361"/>
    <cellStyle name="好_Sheet2" xfId="25362"/>
    <cellStyle name="好_Sheet4" xfId="25363"/>
    <cellStyle name="好_新建 Microsoft Excel 工作表" xfId="25364"/>
    <cellStyle name="差" xfId="25365"/>
    <cellStyle name="差 2" xfId="25366"/>
    <cellStyle name="差 3" xfId="25367"/>
    <cellStyle name="差_102710 QC materials" xfId="25368"/>
    <cellStyle name="差_Air China" xfId="25369"/>
    <cellStyle name="差_Airlines" xfId="25370"/>
    <cellStyle name="差_CA1008Result" xfId="25371"/>
    <cellStyle name="差_China Air Traffic" xfId="25372"/>
    <cellStyle name="差_China Air Traffic_A" xfId="25373"/>
    <cellStyle name="差_China Cargo" xfId="25374"/>
    <cellStyle name="差_China RFTK" xfId="25375"/>
    <cellStyle name="差_Chinese Airlines" xfId="25376"/>
    <cellStyle name="差_CSA" xfId="25377"/>
    <cellStyle name="差_Fuel" xfId="25378"/>
    <cellStyle name="差_RFTK (3airlines)" xfId="25379"/>
    <cellStyle name="差_RPK (3airlines)" xfId="25380"/>
    <cellStyle name="差_Sheet2" xfId="25381"/>
    <cellStyle name="差_Sheet4" xfId="25382"/>
    <cellStyle name="差_新建 Microsoft Excel 工作表" xfId="25383"/>
    <cellStyle name="已访问的超链接" xfId="25384"/>
    <cellStyle name="常规 10" xfId="25385"/>
    <cellStyle name="常规 10 2" xfId="25386"/>
    <cellStyle name="常规 10 2 2" xfId="25387"/>
    <cellStyle name="常规 10 2 2 2" xfId="25388"/>
    <cellStyle name="常规 10 2 2 3" xfId="25389"/>
    <cellStyle name="常规 10 2 2 3 2" xfId="25390"/>
    <cellStyle name="常规 10 2 2 3 2 2" xfId="25391"/>
    <cellStyle name="常规 10 2 2 3 2 3" xfId="25392"/>
    <cellStyle name="常规 10 2 2 3 2 4" xfId="25393"/>
    <cellStyle name="常规 10 2 2 3 3" xfId="25394"/>
    <cellStyle name="常规 10 2 2 3 4" xfId="25395"/>
    <cellStyle name="常规 10 2 2 3 5" xfId="25396"/>
    <cellStyle name="常规 10 2 2 4" xfId="25397"/>
    <cellStyle name="常规 10 2 2 4 2" xfId="25398"/>
    <cellStyle name="常规 10 2 2 4 3" xfId="25399"/>
    <cellStyle name="常规 10 2 2 4 4" xfId="25400"/>
    <cellStyle name="常规 10 2 2 5" xfId="25401"/>
    <cellStyle name="常规 10 2 2 6" xfId="25402"/>
    <cellStyle name="常规 10 2 3" xfId="25403"/>
    <cellStyle name="常规 10 3" xfId="25404"/>
    <cellStyle name="常规 10 3 2" xfId="25405"/>
    <cellStyle name="常规 10 3 2 2" xfId="25406"/>
    <cellStyle name="常规 10 3 2 2 2" xfId="25407"/>
    <cellStyle name="常规 10 3 2 2 2 2" xfId="25408"/>
    <cellStyle name="常规 10 3 2 2 2 3" xfId="25409"/>
    <cellStyle name="常规 10 3 2 2 2 4" xfId="25410"/>
    <cellStyle name="常规 10 3 2 2 3" xfId="25411"/>
    <cellStyle name="常规 10 3 2 2 4" xfId="25412"/>
    <cellStyle name="常规 10 3 2 2 5" xfId="25413"/>
    <cellStyle name="常规 10 3 2 3" xfId="25414"/>
    <cellStyle name="常规 10 3 2 3 2" xfId="25415"/>
    <cellStyle name="常规 10 3 2 3 3" xfId="25416"/>
    <cellStyle name="常规 10 3 2 3 4" xfId="25417"/>
    <cellStyle name="常规 10 3 2 4" xfId="25418"/>
    <cellStyle name="常规 10 3 2 5" xfId="25419"/>
    <cellStyle name="常规 10 3 2 6" xfId="25420"/>
    <cellStyle name="常规 10 4" xfId="25421"/>
    <cellStyle name="常规 10 4 2" xfId="25422"/>
    <cellStyle name="常规 10 4 2 2" xfId="25423"/>
    <cellStyle name="常规 10 4 2 3" xfId="25424"/>
    <cellStyle name="常规 10 4 2 4" xfId="25425"/>
    <cellStyle name="常规 10 4 3" xfId="25426"/>
    <cellStyle name="常规 10 4 4" xfId="25427"/>
    <cellStyle name="常规 10 4 5" xfId="25428"/>
    <cellStyle name="常规 10 5" xfId="25429"/>
    <cellStyle name="常规 10 5 2" xfId="25430"/>
    <cellStyle name="常规 10 5 3" xfId="25431"/>
    <cellStyle name="常规 10 5 4" xfId="25432"/>
    <cellStyle name="常规 10 6" xfId="25433"/>
    <cellStyle name="常规 10 7" xfId="25434"/>
    <cellStyle name="常规 11" xfId="25435"/>
    <cellStyle name="常规 11 2" xfId="25436"/>
    <cellStyle name="常规 11 3" xfId="25437"/>
    <cellStyle name="常规 12" xfId="25438"/>
    <cellStyle name="常规 12 2" xfId="25439"/>
    <cellStyle name="常规 12 3" xfId="25440"/>
    <cellStyle name="常规 13" xfId="25441"/>
    <cellStyle name="常规 13 2" xfId="25442"/>
    <cellStyle name="常规 13 2 2" xfId="25443"/>
    <cellStyle name="常规 13 2 2 2" xfId="25444"/>
    <cellStyle name="常规 13 2 2 3" xfId="25445"/>
    <cellStyle name="常规 13 2 2 4" xfId="25446"/>
    <cellStyle name="常规 13 2 3" xfId="25447"/>
    <cellStyle name="常规 13 2 4" xfId="25448"/>
    <cellStyle name="常规 13 2 5" xfId="25449"/>
    <cellStyle name="常规 13 3" xfId="25450"/>
    <cellStyle name="常规 13 3 2" xfId="25451"/>
    <cellStyle name="常规 13 3 2 3" xfId="25452"/>
    <cellStyle name="常规 13 3 3" xfId="25453"/>
    <cellStyle name="常规 13 3 4" xfId="25454"/>
    <cellStyle name="常规 13 4" xfId="25455"/>
    <cellStyle name="常规 13 5" xfId="25456"/>
    <cellStyle name="常规 13 6" xfId="25457"/>
    <cellStyle name="常规 14" xfId="25458"/>
    <cellStyle name="常规 15" xfId="25459"/>
    <cellStyle name="常规 15 2" xfId="25460"/>
    <cellStyle name="常规 15 2 2" xfId="25461"/>
    <cellStyle name="常规 15 2 2 2" xfId="25462"/>
    <cellStyle name="常规 15 2 2 3" xfId="25463"/>
    <cellStyle name="常规 15 2 2 4" xfId="25464"/>
    <cellStyle name="常规 15 2 3" xfId="25465"/>
    <cellStyle name="常规 15 2 4" xfId="25466"/>
    <cellStyle name="常规 15 2 5" xfId="25467"/>
    <cellStyle name="常规 15 3" xfId="25468"/>
    <cellStyle name="常规 15 3 2" xfId="25469"/>
    <cellStyle name="常规 15 3 3" xfId="25470"/>
    <cellStyle name="常规 15 3 4" xfId="25471"/>
    <cellStyle name="常规 15 4" xfId="25472"/>
    <cellStyle name="常规 15 5" xfId="25473"/>
    <cellStyle name="常规 15 6" xfId="25474"/>
    <cellStyle name="常规 16" xfId="25475"/>
    <cellStyle name="常规 16 2" xfId="25476"/>
    <cellStyle name="常规 16 2 2" xfId="25477"/>
    <cellStyle name="常规 16 2 2 2" xfId="25478"/>
    <cellStyle name="常规 16 2 2 3" xfId="25479"/>
    <cellStyle name="常规 16 2 2 4" xfId="25480"/>
    <cellStyle name="常规 16 2 3" xfId="25481"/>
    <cellStyle name="常规 16 2 4" xfId="25482"/>
    <cellStyle name="常规 16 2 5" xfId="25483"/>
    <cellStyle name="常规 16 3" xfId="25484"/>
    <cellStyle name="常规 16 3 2" xfId="25485"/>
    <cellStyle name="常规 16 3 3" xfId="25486"/>
    <cellStyle name="常规 16 3 4" xfId="25487"/>
    <cellStyle name="常规 16 4" xfId="25488"/>
    <cellStyle name="常规 16 5" xfId="25489"/>
    <cellStyle name="常规 16 6" xfId="25490"/>
    <cellStyle name="常规 16 7" xfId="25491"/>
    <cellStyle name="常规 17" xfId="25492"/>
    <cellStyle name="常规 17 2" xfId="25493"/>
    <cellStyle name="常规 17 2 2" xfId="25494"/>
    <cellStyle name="常规 17 2 2 2" xfId="25495"/>
    <cellStyle name="常规 17 2 2 3" xfId="25496"/>
    <cellStyle name="常规 17 2 2 4" xfId="25497"/>
    <cellStyle name="常规 17 2 3" xfId="25498"/>
    <cellStyle name="常规 17 2 4" xfId="25499"/>
    <cellStyle name="常规 17 2 5" xfId="25500"/>
    <cellStyle name="常规 17 3" xfId="25501"/>
    <cellStyle name="常规 17 3 2" xfId="25502"/>
    <cellStyle name="常规 17 3 3" xfId="25503"/>
    <cellStyle name="常规 17 3 4" xfId="25504"/>
    <cellStyle name="常规 17 4" xfId="25505"/>
    <cellStyle name="常规 17 5" xfId="25506"/>
    <cellStyle name="常规 17 6" xfId="25507"/>
    <cellStyle name="常规 18" xfId="25508"/>
    <cellStyle name="常规 18 2" xfId="25509"/>
    <cellStyle name="常规 18 2 2" xfId="25510"/>
    <cellStyle name="常规 18 2 2 2" xfId="25511"/>
    <cellStyle name="常规 18 2 2 3" xfId="25512"/>
    <cellStyle name="常规 18 2 2 4" xfId="25513"/>
    <cellStyle name="常规 18 2 3" xfId="25514"/>
    <cellStyle name="常规 18 2 4" xfId="25515"/>
    <cellStyle name="常规 18 2 5" xfId="25516"/>
    <cellStyle name="常规 18 3" xfId="25517"/>
    <cellStyle name="常规 18 3 2" xfId="25518"/>
    <cellStyle name="常规 18 3 3" xfId="25519"/>
    <cellStyle name="常规 18 3 4" xfId="25520"/>
    <cellStyle name="常规 18 4" xfId="25521"/>
    <cellStyle name="常规 18 5" xfId="25522"/>
    <cellStyle name="常规 18 6" xfId="25523"/>
    <cellStyle name="常规 19" xfId="25524"/>
    <cellStyle name="常规 19 2" xfId="25525"/>
    <cellStyle name="常规 19 2 2" xfId="25526"/>
    <cellStyle name="常规 19 2 2 2" xfId="25527"/>
    <cellStyle name="常规 19 2 2 3" xfId="25528"/>
    <cellStyle name="常规 19 2 2 4" xfId="25529"/>
    <cellStyle name="常规 19 2 3" xfId="25530"/>
    <cellStyle name="常规 19 2 4" xfId="25531"/>
    <cellStyle name="常规 19 2 5" xfId="25532"/>
    <cellStyle name="常规 19 3" xfId="25533"/>
    <cellStyle name="常规 19 3 2" xfId="25534"/>
    <cellStyle name="常规 19 3 3" xfId="25535"/>
    <cellStyle name="常规 19 3 4" xfId="25536"/>
    <cellStyle name="常规 19 4" xfId="25537"/>
    <cellStyle name="常规 19 5" xfId="25538"/>
    <cellStyle name="常规 19 6" xfId="25539"/>
    <cellStyle name="常规 2" xfId="25540"/>
    <cellStyle name="常规 2 10" xfId="25541"/>
    <cellStyle name="常规 2 11" xfId="25542"/>
    <cellStyle name="常规 2 2" xfId="25543"/>
    <cellStyle name="常规 2 2 2" xfId="25544"/>
    <cellStyle name="常规 2 2 2 2" xfId="25545"/>
    <cellStyle name="常规 2 2 2 2 2" xfId="25546"/>
    <cellStyle name="常规 2 2 2 2 3" xfId="25547"/>
    <cellStyle name="常规 2 2 2 2 4" xfId="25548"/>
    <cellStyle name="常规 2 2 2 2 5" xfId="25549"/>
    <cellStyle name="常规 2 2 2 3" xfId="25550"/>
    <cellStyle name="常规 2 2 2 3 2" xfId="25551"/>
    <cellStyle name="常规 2 2 2 3 2 2" xfId="25552"/>
    <cellStyle name="常规 2 2 2 3 2 2 2" xfId="25553"/>
    <cellStyle name="常规 2 2 2 3 2 3" xfId="25554"/>
    <cellStyle name="常规 2 2 2 3 2 3 2" xfId="25555"/>
    <cellStyle name="常规 2 2 2 3 3" xfId="25556"/>
    <cellStyle name="常规 2 2 2 3 4" xfId="25557"/>
    <cellStyle name="常规 2 2 2 4" xfId="25558"/>
    <cellStyle name="常规 2 2 2 5" xfId="25559"/>
    <cellStyle name="常规 2 2 2 6" xfId="25560"/>
    <cellStyle name="常规 2 2 2 7" xfId="25561"/>
    <cellStyle name="常规 2 2 3" xfId="25562"/>
    <cellStyle name="常规 2 2 3 2" xfId="25563"/>
    <cellStyle name="常规 2 2 3 2 2" xfId="25564"/>
    <cellStyle name="常规 2 2 3 2 2 2" xfId="25565"/>
    <cellStyle name="常规 2 2 3 2 3" xfId="25566"/>
    <cellStyle name="常规 2 2 3 2 4" xfId="25567"/>
    <cellStyle name="常规 2 2 3 3" xfId="25568"/>
    <cellStyle name="常规 2 2 3 3 2" xfId="25569"/>
    <cellStyle name="常规 2 2 3 4" xfId="25570"/>
    <cellStyle name="常规 2 2 3 5" xfId="25571"/>
    <cellStyle name="常规 2 2 3 6" xfId="25572"/>
    <cellStyle name="常规 2 2 4" xfId="25573"/>
    <cellStyle name="常规 2 2 4 2" xfId="25574"/>
    <cellStyle name="常规 2 2 4 3" xfId="25575"/>
    <cellStyle name="常规 2 2 4 4" xfId="25576"/>
    <cellStyle name="常规 2 2 5" xfId="25577"/>
    <cellStyle name="常规 2 2 6" xfId="25578"/>
    <cellStyle name="常规 2 2 7" xfId="25579"/>
    <cellStyle name="常规 2 2 8" xfId="25580"/>
    <cellStyle name="常规 2 2 9" xfId="25581"/>
    <cellStyle name="常规 2 3" xfId="25582"/>
    <cellStyle name="常规 2 3 2" xfId="25583"/>
    <cellStyle name="常规 2 3 2 2" xfId="25584"/>
    <cellStyle name="常规 2 3 2 3" xfId="25585"/>
    <cellStyle name="常规 2 3 2 4" xfId="25586"/>
    <cellStyle name="常规 2 3 2 5" xfId="25587"/>
    <cellStyle name="常规 2 3 3" xfId="25588"/>
    <cellStyle name="常规 2 3 3 2" xfId="25589"/>
    <cellStyle name="常规 2 3 3 2 2" xfId="25590"/>
    <cellStyle name="常规 2 3 3 3" xfId="25591"/>
    <cellStyle name="常规 2 3 3 4" xfId="25592"/>
    <cellStyle name="常规 2 3 4" xfId="25593"/>
    <cellStyle name="常规 2 3 5" xfId="25594"/>
    <cellStyle name="常规 2 3 6" xfId="25595"/>
    <cellStyle name="常规 2 3 7" xfId="25596"/>
    <cellStyle name="常规 2 3 8" xfId="25597"/>
    <cellStyle name="常规 2 3 9" xfId="25598"/>
    <cellStyle name="常规 2 4" xfId="25599"/>
    <cellStyle name="常规 2 4 2" xfId="25600"/>
    <cellStyle name="常规 2 5" xfId="25601"/>
    <cellStyle name="常规 2 5 2" xfId="25602"/>
    <cellStyle name="常规 2 5 2 2" xfId="25603"/>
    <cellStyle name="常规 2 5 2 3" xfId="25604"/>
    <cellStyle name="常规 2 5 2 4" xfId="25605"/>
    <cellStyle name="常规 2 5 2 5" xfId="25606"/>
    <cellStyle name="常规 2 5 3" xfId="25607"/>
    <cellStyle name="常规 2 5 4" xfId="25608"/>
    <cellStyle name="常规 2 5 5" xfId="25609"/>
    <cellStyle name="常规 2 5 6" xfId="25610"/>
    <cellStyle name="常规 2 5 7" xfId="25611"/>
    <cellStyle name="常规 2 6" xfId="25612"/>
    <cellStyle name="常规 2 6 10" xfId="25613"/>
    <cellStyle name="常规 2 6 29" xfId="25614"/>
    <cellStyle name="常规 2 6 30" xfId="25615"/>
    <cellStyle name="常规 2 7" xfId="25616"/>
    <cellStyle name="常规 2 7 2" xfId="25617"/>
    <cellStyle name="常规 2 7 3" xfId="25618"/>
    <cellStyle name="常规 2 7 4" xfId="25619"/>
    <cellStyle name="常规 2 7 4 2" xfId="25620"/>
    <cellStyle name="常规 2 7 5" xfId="25621"/>
    <cellStyle name="常规 2 8" xfId="25622"/>
    <cellStyle name="常规 2 9" xfId="25623"/>
    <cellStyle name="常规 20" xfId="25624"/>
    <cellStyle name="常规 20 2" xfId="25625"/>
    <cellStyle name="常规 20 2 2" xfId="25626"/>
    <cellStyle name="常规 20 2 3" xfId="25627"/>
    <cellStyle name="常规 20 2 4" xfId="25628"/>
    <cellStyle name="常规 20 3" xfId="25629"/>
    <cellStyle name="常规 20 4" xfId="25630"/>
    <cellStyle name="常规 20 5" xfId="25631"/>
    <cellStyle name="常规 21" xfId="25632"/>
    <cellStyle name="常规 21 2" xfId="25633"/>
    <cellStyle name="常规 21 2 2" xfId="25634"/>
    <cellStyle name="常规 21 2 3" xfId="25635"/>
    <cellStyle name="常规 21 2 4" xfId="25636"/>
    <cellStyle name="常规 21 3" xfId="25637"/>
    <cellStyle name="常规 21 3 2" xfId="25638"/>
    <cellStyle name="常规 21 3 2 2" xfId="25639"/>
    <cellStyle name="常规 21 3 3" xfId="25640"/>
    <cellStyle name="常规 21 3 3 2" xfId="25641"/>
    <cellStyle name="常规 21 4" xfId="25642"/>
    <cellStyle name="常规 21 5" xfId="25643"/>
    <cellStyle name="常规 22" xfId="25644"/>
    <cellStyle name="常规 23" xfId="25645"/>
    <cellStyle name="常规 24" xfId="25646"/>
    <cellStyle name="常规 25" xfId="25647"/>
    <cellStyle name="常规 26" xfId="25648"/>
    <cellStyle name="常规 27" xfId="25649"/>
    <cellStyle name="常规 28" xfId="25650"/>
    <cellStyle name="常规 29" xfId="25651"/>
    <cellStyle name="常规 3" xfId="25652"/>
    <cellStyle name="常规 3 10" xfId="25653"/>
    <cellStyle name="常规 3 10 2" xfId="25654"/>
    <cellStyle name="常规 3 10 2 2" xfId="25655"/>
    <cellStyle name="常规 3 10 2 2 2" xfId="25656"/>
    <cellStyle name="常规 3 10 2 2 3" xfId="25657"/>
    <cellStyle name="常规 3 10 2 2 4" xfId="25658"/>
    <cellStyle name="常规 3 10 2 3" xfId="25659"/>
    <cellStyle name="常规 3 10 2 4" xfId="25660"/>
    <cellStyle name="常规 3 10 2 5" xfId="25661"/>
    <cellStyle name="常规 3 10 3" xfId="25662"/>
    <cellStyle name="常规 3 10 3 2" xfId="25663"/>
    <cellStyle name="常规 3 10 3 3" xfId="25664"/>
    <cellStyle name="常规 3 10 3 4" xfId="25665"/>
    <cellStyle name="常规 3 10 4" xfId="25666"/>
    <cellStyle name="常规 3 10 5" xfId="25667"/>
    <cellStyle name="常规 3 10 6" xfId="25668"/>
    <cellStyle name="常规 3 11" xfId="25669"/>
    <cellStyle name="常规 3 12" xfId="25670"/>
    <cellStyle name="常规 3 13" xfId="25671"/>
    <cellStyle name="常规 3 2" xfId="25672"/>
    <cellStyle name="常规 3 2 2" xfId="25673"/>
    <cellStyle name="常规 3 2 2 2" xfId="25674"/>
    <cellStyle name="常规 3 2 2 2 2" xfId="25675"/>
    <cellStyle name="常规 3 2 2 2 3" xfId="25676"/>
    <cellStyle name="常规 3 2 2 2 4" xfId="25677"/>
    <cellStyle name="常规 3 2 2 3" xfId="25678"/>
    <cellStyle name="常规 3 2 2 4" xfId="25679"/>
    <cellStyle name="常规 3 2 2 5" xfId="25680"/>
    <cellStyle name="常规 3 2 3" xfId="25681"/>
    <cellStyle name="常规 3 2 3 2" xfId="25682"/>
    <cellStyle name="常规 3 2 3 3" xfId="25683"/>
    <cellStyle name="常规 3 2 3 4" xfId="25684"/>
    <cellStyle name="常规 3 2 4" xfId="25685"/>
    <cellStyle name="常规 3 2 4 2" xfId="25686"/>
    <cellStyle name="常规 3 2 4 3" xfId="25687"/>
    <cellStyle name="常规 3 2 4 4" xfId="25688"/>
    <cellStyle name="常规 3 2 5" xfId="25689"/>
    <cellStyle name="常规 3 2 6" xfId="25690"/>
    <cellStyle name="常规 3 2 7" xfId="25691"/>
    <cellStyle name="常规 3 3" xfId="25692"/>
    <cellStyle name="常规 3 3 2" xfId="25693"/>
    <cellStyle name="常规 3 3 2 2" xfId="25694"/>
    <cellStyle name="常规 3 3 2 2 2" xfId="25695"/>
    <cellStyle name="常规 3 3 2 2 3" xfId="25696"/>
    <cellStyle name="常规 3 3 2 2 4" xfId="25697"/>
    <cellStyle name="常规 3 3 2 3" xfId="25698"/>
    <cellStyle name="常规 3 3 2 4" xfId="25699"/>
    <cellStyle name="常规 3 3 2 5" xfId="25700"/>
    <cellStyle name="常规 3 3 3" xfId="25701"/>
    <cellStyle name="常规 3 3 4" xfId="25702"/>
    <cellStyle name="常规 3 3 4 2" xfId="25703"/>
    <cellStyle name="常规 3 3 4 3" xfId="25704"/>
    <cellStyle name="常规 3 3 4 4" xfId="25705"/>
    <cellStyle name="常规 3 3 5" xfId="25706"/>
    <cellStyle name="常规 3 3 6" xfId="25707"/>
    <cellStyle name="常规 3 4" xfId="25708"/>
    <cellStyle name="常规 3 4 2" xfId="25709"/>
    <cellStyle name="常规 3 4 2 2" xfId="25710"/>
    <cellStyle name="常规 3 4 2 2 2" xfId="25711"/>
    <cellStyle name="常规 3 4 2 2 3" xfId="25712"/>
    <cellStyle name="常规 3 4 2 2 4" xfId="25713"/>
    <cellStyle name="常规 3 4 2 3" xfId="25714"/>
    <cellStyle name="常规 3 4 2 4" xfId="25715"/>
    <cellStyle name="常规 3 4 2 5" xfId="25716"/>
    <cellStyle name="常规 3 4 3" xfId="25717"/>
    <cellStyle name="常规 3 4 3 2" xfId="25718"/>
    <cellStyle name="常规 3 4 3 3" xfId="25719"/>
    <cellStyle name="常规 3 4 3 4" xfId="25720"/>
    <cellStyle name="常规 3 4 4" xfId="25721"/>
    <cellStyle name="常规 3 4 5" xfId="25722"/>
    <cellStyle name="常规 3 4 6" xfId="25723"/>
    <cellStyle name="常规 3 5" xfId="25724"/>
    <cellStyle name="常规 3 5 2" xfId="25725"/>
    <cellStyle name="常规 3 5 2 2" xfId="25726"/>
    <cellStyle name="常规 3 5 2 2 2" xfId="25727"/>
    <cellStyle name="常规 3 5 2 2 3" xfId="25728"/>
    <cellStyle name="常规 3 5 2 2 4" xfId="25729"/>
    <cellStyle name="常规 3 5 2 3" xfId="25730"/>
    <cellStyle name="常规 3 5 2 4" xfId="25731"/>
    <cellStyle name="常规 3 5 2 5" xfId="25732"/>
    <cellStyle name="常规 3 5 3" xfId="25733"/>
    <cellStyle name="常规 3 5 3 2" xfId="25734"/>
    <cellStyle name="常规 3 5 3 3" xfId="25735"/>
    <cellStyle name="常规 3 5 3 4" xfId="25736"/>
    <cellStyle name="常规 3 5 4" xfId="25737"/>
    <cellStyle name="常规 3 5 5" xfId="25738"/>
    <cellStyle name="常规 3 5 6" xfId="25739"/>
    <cellStyle name="常规 3 6" xfId="25740"/>
    <cellStyle name="常规 3 6 2" xfId="25741"/>
    <cellStyle name="常规 3 6 2 2" xfId="25742"/>
    <cellStyle name="常规 3 6 2 2 2" xfId="25743"/>
    <cellStyle name="常规 3 6 2 2 3" xfId="25744"/>
    <cellStyle name="常规 3 6 2 2 4" xfId="25745"/>
    <cellStyle name="常规 3 6 2 3" xfId="25746"/>
    <cellStyle name="常规 3 6 2 4" xfId="25747"/>
    <cellStyle name="常规 3 6 2 5" xfId="25748"/>
    <cellStyle name="常规 3 6 3" xfId="25749"/>
    <cellStyle name="常规 3 6 3 2" xfId="25750"/>
    <cellStyle name="常规 3 6 3 3" xfId="25751"/>
    <cellStyle name="常规 3 6 3 4" xfId="25752"/>
    <cellStyle name="常规 3 6 4" xfId="25753"/>
    <cellStyle name="常规 3 6 5" xfId="25754"/>
    <cellStyle name="常规 3 6 6" xfId="25755"/>
    <cellStyle name="常规 3 7" xfId="25756"/>
    <cellStyle name="常规 3 7 2" xfId="25757"/>
    <cellStyle name="常规 3 7 2 2" xfId="25758"/>
    <cellStyle name="常规 3 7 2 2 2" xfId="25759"/>
    <cellStyle name="常规 3 7 2 2 3" xfId="25760"/>
    <cellStyle name="常规 3 7 2 2 4" xfId="25761"/>
    <cellStyle name="常规 3 7 2 3" xfId="25762"/>
    <cellStyle name="常规 3 7 2 4" xfId="25763"/>
    <cellStyle name="常规 3 7 2 5" xfId="25764"/>
    <cellStyle name="常规 3 7 3" xfId="25765"/>
    <cellStyle name="常规 3 7 3 2" xfId="25766"/>
    <cellStyle name="常规 3 7 3 3" xfId="25767"/>
    <cellStyle name="常规 3 7 3 4" xfId="25768"/>
    <cellStyle name="常规 3 7 4" xfId="25769"/>
    <cellStyle name="常规 3 7 5" xfId="25770"/>
    <cellStyle name="常规 3 7 6" xfId="25771"/>
    <cellStyle name="常规 3 8" xfId="25772"/>
    <cellStyle name="常规 3 8 2" xfId="25773"/>
    <cellStyle name="常规 3 8 2 2" xfId="25774"/>
    <cellStyle name="常规 3 8 2 2 2" xfId="25775"/>
    <cellStyle name="常规 3 8 2 2 3" xfId="25776"/>
    <cellStyle name="常规 3 8 2 2 4" xfId="25777"/>
    <cellStyle name="常规 3 8 2 3" xfId="25778"/>
    <cellStyle name="常规 3 8 2 4" xfId="25779"/>
    <cellStyle name="常规 3 8 2 5" xfId="25780"/>
    <cellStyle name="常规 3 8 3" xfId="25781"/>
    <cellStyle name="常规 3 8 3 2" xfId="25782"/>
    <cellStyle name="常规 3 8 3 3" xfId="25783"/>
    <cellStyle name="常规 3 8 3 4" xfId="25784"/>
    <cellStyle name="常规 3 8 4" xfId="25785"/>
    <cellStyle name="常规 3 8 5" xfId="25786"/>
    <cellStyle name="常规 3 8 6" xfId="25787"/>
    <cellStyle name="常规 3 9" xfId="25788"/>
    <cellStyle name="常规 3 9 2" xfId="25789"/>
    <cellStyle name="常规 3 9 2 2" xfId="25790"/>
    <cellStyle name="常规 3 9 2 2 2" xfId="25791"/>
    <cellStyle name="常规 3 9 2 2 3" xfId="25792"/>
    <cellStyle name="常规 3 9 2 2 4" xfId="25793"/>
    <cellStyle name="常规 3 9 2 3" xfId="25794"/>
    <cellStyle name="常规 3 9 2 4" xfId="25795"/>
    <cellStyle name="常规 3 9 2 5" xfId="25796"/>
    <cellStyle name="常规 3 9 3" xfId="25797"/>
    <cellStyle name="常规 3 9 3 2" xfId="25798"/>
    <cellStyle name="常规 3 9 3 3" xfId="25799"/>
    <cellStyle name="常规 3 9 3 4" xfId="25800"/>
    <cellStyle name="常规 3 9 4" xfId="25801"/>
    <cellStyle name="常规 3 9 5" xfId="25802"/>
    <cellStyle name="常规 3 9 6" xfId="25803"/>
    <cellStyle name="常规 30" xfId="25804"/>
    <cellStyle name="常规 31" xfId="25805"/>
    <cellStyle name="常规 32" xfId="25806"/>
    <cellStyle name="常规 33" xfId="25807"/>
    <cellStyle name="常规 34" xfId="25808"/>
    <cellStyle name="常规 35" xfId="25809"/>
    <cellStyle name="常规 36" xfId="25810"/>
    <cellStyle name="常规 37" xfId="25811"/>
    <cellStyle name="常规 38" xfId="25812"/>
    <cellStyle name="常规 39" xfId="25813"/>
    <cellStyle name="常规 4" xfId="25814"/>
    <cellStyle name="常规 4 10" xfId="25815"/>
    <cellStyle name="常规 4 11" xfId="25816"/>
    <cellStyle name="常规 4 12" xfId="25817"/>
    <cellStyle name="常规 4 13" xfId="25818"/>
    <cellStyle name="常规 4 14" xfId="25819"/>
    <cellStyle name="常规 4 15" xfId="25820"/>
    <cellStyle name="常规 4 16" xfId="25821"/>
    <cellStyle name="常规 4 17" xfId="25822"/>
    <cellStyle name="常规 4 2" xfId="25823"/>
    <cellStyle name="常规 4 2 10" xfId="25824"/>
    <cellStyle name="常规 4 2 10 2" xfId="25825"/>
    <cellStyle name="常规 4 2 10 2 2" xfId="25826"/>
    <cellStyle name="常规 4 2 10 2 3" xfId="25827"/>
    <cellStyle name="常规 4 2 10 2 4" xfId="25828"/>
    <cellStyle name="常规 4 2 10 3" xfId="25829"/>
    <cellStyle name="常规 4 2 10 4" xfId="25830"/>
    <cellStyle name="常规 4 2 10 5" xfId="25831"/>
    <cellStyle name="常规 4 2 2" xfId="25832"/>
    <cellStyle name="常规 4 3" xfId="25833"/>
    <cellStyle name="常规 4 3 2" xfId="25834"/>
    <cellStyle name="常规 4 4" xfId="25835"/>
    <cellStyle name="常规 4 5" xfId="25836"/>
    <cellStyle name="常规 4 6" xfId="25837"/>
    <cellStyle name="常规 4 7" xfId="25838"/>
    <cellStyle name="常规 4 8" xfId="25839"/>
    <cellStyle name="常规 4 9" xfId="25840"/>
    <cellStyle name="常规 40" xfId="25841"/>
    <cellStyle name="常规 41" xfId="25842"/>
    <cellStyle name="常规 42" xfId="25843"/>
    <cellStyle name="常规 43" xfId="25844"/>
    <cellStyle name="常规 44" xfId="25845"/>
    <cellStyle name="常规 45" xfId="25846"/>
    <cellStyle name="常规 46" xfId="25847"/>
    <cellStyle name="常规 47" xfId="25848"/>
    <cellStyle name="常规 48" xfId="25849"/>
    <cellStyle name="常规 48 2" xfId="25850"/>
    <cellStyle name="常规 48 2 2" xfId="25851"/>
    <cellStyle name="常规 49" xfId="25852"/>
    <cellStyle name="常规 5" xfId="25853"/>
    <cellStyle name="常规 5 10" xfId="25854"/>
    <cellStyle name="常规 5 11" xfId="25855"/>
    <cellStyle name="常规 5 12" xfId="25856"/>
    <cellStyle name="常规 5 12 2" xfId="25857"/>
    <cellStyle name="常规 5 12 3" xfId="25858"/>
    <cellStyle name="常规 5 12 4" xfId="25859"/>
    <cellStyle name="常规 5 12 4 2" xfId="25860"/>
    <cellStyle name="常规 5 12 5" xfId="25861"/>
    <cellStyle name="常规 5 12 5 2" xfId="25862"/>
    <cellStyle name="常规 5 12 6" xfId="25863"/>
    <cellStyle name="常规 5 13" xfId="25864"/>
    <cellStyle name="常规 5 14" xfId="25865"/>
    <cellStyle name="常规 5 2" xfId="25866"/>
    <cellStyle name="常规 5 2 2" xfId="25867"/>
    <cellStyle name="常规 5 3" xfId="25868"/>
    <cellStyle name="常规 5 4" xfId="25869"/>
    <cellStyle name="常规 5 5" xfId="25870"/>
    <cellStyle name="常规 5 6" xfId="25871"/>
    <cellStyle name="常规 5 7" xfId="25872"/>
    <cellStyle name="常规 5 8" xfId="25873"/>
    <cellStyle name="常规 5 9" xfId="25874"/>
    <cellStyle name="常规 50" xfId="25875"/>
    <cellStyle name="常规 51" xfId="25876"/>
    <cellStyle name="常规 6" xfId="25877"/>
    <cellStyle name="常规 6 10" xfId="25878"/>
    <cellStyle name="常规 6 10 2" xfId="25879"/>
    <cellStyle name="常规 6 10 2 2" xfId="25880"/>
    <cellStyle name="常规 6 11" xfId="25881"/>
    <cellStyle name="常规 6 12" xfId="25882"/>
    <cellStyle name="常规 6 13" xfId="25883"/>
    <cellStyle name="常规 6 2" xfId="25884"/>
    <cellStyle name="常规 6 2 2" xfId="25885"/>
    <cellStyle name="常规 6 2 2 2" xfId="25886"/>
    <cellStyle name="常规 6 2 2 2 2" xfId="25887"/>
    <cellStyle name="常规 6 2 2 2 3" xfId="25888"/>
    <cellStyle name="常规 6 2 2 2 4" xfId="25889"/>
    <cellStyle name="常规 6 2 2 3" xfId="25890"/>
    <cellStyle name="常规 6 2 2 4" xfId="25891"/>
    <cellStyle name="常规 6 2 2 5" xfId="25892"/>
    <cellStyle name="常规 6 2 3" xfId="25893"/>
    <cellStyle name="常规 6 2 3 2" xfId="25894"/>
    <cellStyle name="常规 6 2 3 3" xfId="25895"/>
    <cellStyle name="常规 6 2 3 4" xfId="25896"/>
    <cellStyle name="常规 6 2 4" xfId="25897"/>
    <cellStyle name="常规 6 2 5" xfId="25898"/>
    <cellStyle name="常规 6 2 6" xfId="25899"/>
    <cellStyle name="常规 6 3" xfId="25900"/>
    <cellStyle name="常规 6 3 2" xfId="25901"/>
    <cellStyle name="常规 6 3 2 2" xfId="25902"/>
    <cellStyle name="常规 6 3 2 2 2" xfId="25903"/>
    <cellStyle name="常规 6 3 2 2 3" xfId="25904"/>
    <cellStyle name="常规 6 3 2 2 4" xfId="25905"/>
    <cellStyle name="常规 6 3 2 3" xfId="25906"/>
    <cellStyle name="常规 6 3 2 4" xfId="25907"/>
    <cellStyle name="常规 6 3 2 5" xfId="25908"/>
    <cellStyle name="常规 6 3 3" xfId="25909"/>
    <cellStyle name="常规 6 3 3 2" xfId="25910"/>
    <cellStyle name="常规 6 3 3 3" xfId="25911"/>
    <cellStyle name="常规 6 3 3 4" xfId="25912"/>
    <cellStyle name="常规 6 3 4" xfId="25913"/>
    <cellStyle name="常规 6 3 5" xfId="25914"/>
    <cellStyle name="常规 6 3 6" xfId="25915"/>
    <cellStyle name="常规 6 4" xfId="25916"/>
    <cellStyle name="常规 6 4 2" xfId="25917"/>
    <cellStyle name="常规 6 4 2 2" xfId="25918"/>
    <cellStyle name="常规 6 4 2 2 2" xfId="25919"/>
    <cellStyle name="常规 6 4 2 2 3" xfId="25920"/>
    <cellStyle name="常规 6 4 2 2 4" xfId="25921"/>
    <cellStyle name="常规 6 4 2 3" xfId="25922"/>
    <cellStyle name="常规 6 4 2 4" xfId="25923"/>
    <cellStyle name="常规 6 4 2 5" xfId="25924"/>
    <cellStyle name="常规 6 4 3" xfId="25925"/>
    <cellStyle name="常规 6 4 3 2" xfId="25926"/>
    <cellStyle name="常规 6 4 3 3" xfId="25927"/>
    <cellStyle name="常规 6 4 3 4" xfId="25928"/>
    <cellStyle name="常规 6 4 4" xfId="25929"/>
    <cellStyle name="常规 6 4 5" xfId="25930"/>
    <cellStyle name="常规 6 4 6" xfId="25931"/>
    <cellStyle name="常规 6 5" xfId="25932"/>
    <cellStyle name="常规 6 5 2" xfId="25933"/>
    <cellStyle name="常规 6 5 2 2" xfId="25934"/>
    <cellStyle name="常规 6 5 2 2 2" xfId="25935"/>
    <cellStyle name="常规 6 5 2 2 3" xfId="25936"/>
    <cellStyle name="常规 6 5 2 2 4" xfId="25937"/>
    <cellStyle name="常规 6 5 2 3" xfId="25938"/>
    <cellStyle name="常规 6 5 2 4" xfId="25939"/>
    <cellStyle name="常规 6 5 2 5" xfId="25940"/>
    <cellStyle name="常规 6 5 3" xfId="25941"/>
    <cellStyle name="常规 6 5 3 2" xfId="25942"/>
    <cellStyle name="常规 6 5 3 3" xfId="25943"/>
    <cellStyle name="常规 6 5 3 4" xfId="25944"/>
    <cellStyle name="常规 6 5 4" xfId="25945"/>
    <cellStyle name="常规 6 5 5" xfId="25946"/>
    <cellStyle name="常规 6 5 6" xfId="25947"/>
    <cellStyle name="常规 6 6" xfId="25948"/>
    <cellStyle name="常规 6 6 2" xfId="25949"/>
    <cellStyle name="常规 6 6 2 2" xfId="25950"/>
    <cellStyle name="常规 6 6 2 2 2" xfId="25951"/>
    <cellStyle name="常规 6 6 2 2 3" xfId="25952"/>
    <cellStyle name="常规 6 6 2 2 4" xfId="25953"/>
    <cellStyle name="常规 6 6 2 3" xfId="25954"/>
    <cellStyle name="常规 6 6 2 4" xfId="25955"/>
    <cellStyle name="常规 6 6 2 5" xfId="25956"/>
    <cellStyle name="常规 6 6 3" xfId="25957"/>
    <cellStyle name="常规 6 6 3 2" xfId="25958"/>
    <cellStyle name="常规 6 6 3 3" xfId="25959"/>
    <cellStyle name="常规 6 6 3 4" xfId="25960"/>
    <cellStyle name="常规 6 6 4" xfId="25961"/>
    <cellStyle name="常规 6 6 5" xfId="25962"/>
    <cellStyle name="常规 6 6 6" xfId="25963"/>
    <cellStyle name="常规 6 7" xfId="25964"/>
    <cellStyle name="常规 6 7 2" xfId="25965"/>
    <cellStyle name="常规 6 7 2 2" xfId="25966"/>
    <cellStyle name="常规 6 7 2 2 2" xfId="25967"/>
    <cellStyle name="常规 6 7 2 2 3" xfId="25968"/>
    <cellStyle name="常规 6 7 2 2 4" xfId="25969"/>
    <cellStyle name="常规 6 7 2 3" xfId="25970"/>
    <cellStyle name="常规 6 7 2 4" xfId="25971"/>
    <cellStyle name="常规 6 7 2 5" xfId="25972"/>
    <cellStyle name="常规 6 7 3" xfId="25973"/>
    <cellStyle name="常规 6 7 3 2" xfId="25974"/>
    <cellStyle name="常规 6 7 3 3" xfId="25975"/>
    <cellStyle name="常规 6 7 3 4" xfId="25976"/>
    <cellStyle name="常规 6 7 4" xfId="25977"/>
    <cellStyle name="常规 6 7 5" xfId="25978"/>
    <cellStyle name="常规 6 7 6" xfId="25979"/>
    <cellStyle name="常规 6 8" xfId="25980"/>
    <cellStyle name="常规 6 8 2" xfId="25981"/>
    <cellStyle name="常规 6 8 2 2" xfId="25982"/>
    <cellStyle name="常规 6 8 2 3" xfId="25983"/>
    <cellStyle name="常规 6 8 2 4" xfId="25984"/>
    <cellStyle name="常规 6 8 3" xfId="25985"/>
    <cellStyle name="常规 6 8 4" xfId="25986"/>
    <cellStyle name="常规 6 8 5" xfId="25987"/>
    <cellStyle name="常规 6 9" xfId="25988"/>
    <cellStyle name="常规 6 9 2" xfId="25989"/>
    <cellStyle name="常规 6 9 3" xfId="25990"/>
    <cellStyle name="常规 6 9 4" xfId="25991"/>
    <cellStyle name="常规 7" xfId="25992"/>
    <cellStyle name="常规 7 2" xfId="25993"/>
    <cellStyle name="常规 7 3" xfId="25994"/>
    <cellStyle name="常规 7 4" xfId="25995"/>
    <cellStyle name="常规 7 5" xfId="25996"/>
    <cellStyle name="常规 7 5 2" xfId="25997"/>
    <cellStyle name="常规 7 5 3" xfId="25998"/>
    <cellStyle name="常规 7 6" xfId="25999"/>
    <cellStyle name="常规 7 7" xfId="26000"/>
    <cellStyle name="常规 8" xfId="26001"/>
    <cellStyle name="常规 8 2" xfId="26002"/>
    <cellStyle name="常规 8 3" xfId="26003"/>
    <cellStyle name="常规 8 4" xfId="26004"/>
    <cellStyle name="常规 8 5" xfId="26005"/>
    <cellStyle name="常规 8 5 2" xfId="26006"/>
    <cellStyle name="常规 8 5 3" xfId="26007"/>
    <cellStyle name="常规 8 6" xfId="26008"/>
    <cellStyle name="常规 8 7" xfId="26009"/>
    <cellStyle name="常规 9" xfId="26010"/>
    <cellStyle name="常规 9 10" xfId="26011"/>
    <cellStyle name="常规 9 2" xfId="26012"/>
    <cellStyle name="常规 9 2 2" xfId="26013"/>
    <cellStyle name="常规 9 2 2 2" xfId="26014"/>
    <cellStyle name="常规 9 2 2 2 2" xfId="26015"/>
    <cellStyle name="常规 9 2 2 2 2 2" xfId="26016"/>
    <cellStyle name="常规 9 2 2 2 2 3" xfId="26017"/>
    <cellStyle name="常规 9 2 2 2 2 3 2" xfId="26018"/>
    <cellStyle name="常规 9 2 2 2 2 3 2 2" xfId="26019"/>
    <cellStyle name="常规 9 2 2 2 2 3 2 3" xfId="26020"/>
    <cellStyle name="常规 9 2 2 2 2 3 2 4" xfId="26021"/>
    <cellStyle name="常规 9 2 2 2 2 3 3" xfId="26022"/>
    <cellStyle name="常规 9 2 2 2 2 3 4" xfId="26023"/>
    <cellStyle name="常规 9 2 2 2 2 3 5" xfId="26024"/>
    <cellStyle name="常规 9 2 2 2 2 4" xfId="26025"/>
    <cellStyle name="常规 9 2 2 2 2 4 2" xfId="26026"/>
    <cellStyle name="常规 9 2 2 2 2 4 3" xfId="26027"/>
    <cellStyle name="常规 9 2 2 2 2 4 4" xfId="26028"/>
    <cellStyle name="常规 9 2 2 2 2 5" xfId="26029"/>
    <cellStyle name="常规 9 2 2 2 2 6" xfId="26030"/>
    <cellStyle name="常规 9 2 2 2 3" xfId="26031"/>
    <cellStyle name="常规 9 2 2 3" xfId="26032"/>
    <cellStyle name="常规 9 2 2 3 2" xfId="26033"/>
    <cellStyle name="常规 9 2 2 3 2 2" xfId="26034"/>
    <cellStyle name="常规 9 2 2 3 2 2 2" xfId="26035"/>
    <cellStyle name="常规 9 2 2 3 2 2 2 2" xfId="26036"/>
    <cellStyle name="常规 9 2 2 3 2 2 2 3" xfId="26037"/>
    <cellStyle name="常规 9 2 2 3 2 2 2 4" xfId="26038"/>
    <cellStyle name="常规 9 2 2 3 2 2 3" xfId="26039"/>
    <cellStyle name="常规 9 2 2 3 2 2 4" xfId="26040"/>
    <cellStyle name="常规 9 2 2 3 2 2 5" xfId="26041"/>
    <cellStyle name="常规 9 2 2 3 2 3" xfId="26042"/>
    <cellStyle name="常规 9 2 2 3 2 3 2" xfId="26043"/>
    <cellStyle name="常规 9 2 2 3 2 3 3" xfId="26044"/>
    <cellStyle name="常规 9 2 2 3 2 3 4" xfId="26045"/>
    <cellStyle name="常规 9 2 2 3 2 4" xfId="26046"/>
    <cellStyle name="常规 9 2 2 3 2 5" xfId="26047"/>
    <cellStyle name="常规 9 2 2 3 2 6" xfId="26048"/>
    <cellStyle name="常规 9 2 2 4" xfId="26049"/>
    <cellStyle name="常规 9 2 2 4 2" xfId="26050"/>
    <cellStyle name="常规 9 2 2 4 2 2" xfId="26051"/>
    <cellStyle name="常规 9 2 2 4 2 3" xfId="26052"/>
    <cellStyle name="常规 9 2 2 4 2 4" xfId="26053"/>
    <cellStyle name="常规 9 2 2 4 3" xfId="26054"/>
    <cellStyle name="常规 9 2 2 4 4" xfId="26055"/>
    <cellStyle name="常规 9 2 2 4 5" xfId="26056"/>
    <cellStyle name="常规 9 2 2 5" xfId="26057"/>
    <cellStyle name="常规 9 2 2 5 2" xfId="26058"/>
    <cellStyle name="常规 9 2 2 5 3" xfId="26059"/>
    <cellStyle name="常规 9 2 2 5 4" xfId="26060"/>
    <cellStyle name="常规 9 2 2 6" xfId="26061"/>
    <cellStyle name="常规 9 2 2 7" xfId="26062"/>
    <cellStyle name="常规 9 2 3" xfId="26063"/>
    <cellStyle name="常规 9 2 4" xfId="26064"/>
    <cellStyle name="常规 9 2 5" xfId="26065"/>
    <cellStyle name="常规 9 2 5 2" xfId="26066"/>
    <cellStyle name="常规 9 2 5 3" xfId="26067"/>
    <cellStyle name="常规 9 2 5 3 2" xfId="26068"/>
    <cellStyle name="常规 9 2 5 3 2 2" xfId="26069"/>
    <cellStyle name="常规 9 2 5 3 2 3" xfId="26070"/>
    <cellStyle name="常规 9 2 5 3 2 4" xfId="26071"/>
    <cellStyle name="常规 9 2 5 3 3" xfId="26072"/>
    <cellStyle name="常规 9 2 5 3 4" xfId="26073"/>
    <cellStyle name="常规 9 2 5 3 5" xfId="26074"/>
    <cellStyle name="常规 9 2 5 4" xfId="26075"/>
    <cellStyle name="常规 9 2 5 4 2" xfId="26076"/>
    <cellStyle name="常规 9 2 5 4 3" xfId="26077"/>
    <cellStyle name="常规 9 2 5 4 4" xfId="26078"/>
    <cellStyle name="常规 9 2 5 5" xfId="26079"/>
    <cellStyle name="常规 9 2 5 6" xfId="26080"/>
    <cellStyle name="常规 9 2 6" xfId="26081"/>
    <cellStyle name="常规 9 3" xfId="26082"/>
    <cellStyle name="常规 9 3 2" xfId="26083"/>
    <cellStyle name="常规 9 3 2 2" xfId="26084"/>
    <cellStyle name="常规 9 3 2 2 2" xfId="26085"/>
    <cellStyle name="常规 9 3 2 2 2 2" xfId="26086"/>
    <cellStyle name="常规 9 3 2 2 2 2 2" xfId="26087"/>
    <cellStyle name="常规 9 3 2 2 2 2 2 2" xfId="26088"/>
    <cellStyle name="常规 9 3 2 2 2 2 2 3" xfId="26089"/>
    <cellStyle name="常规 9 3 2 2 2 2 2 4" xfId="26090"/>
    <cellStyle name="常规 9 3 2 2 2 2 3" xfId="26091"/>
    <cellStyle name="常规 9 3 2 2 2 2 4" xfId="26092"/>
    <cellStyle name="常规 9 3 2 2 2 2 5" xfId="26093"/>
    <cellStyle name="常规 9 3 2 2 2 3" xfId="26094"/>
    <cellStyle name="常规 9 3 2 2 2 3 2" xfId="26095"/>
    <cellStyle name="常规 9 3 2 2 2 3 3" xfId="26096"/>
    <cellStyle name="常规 9 3 2 2 2 3 4" xfId="26097"/>
    <cellStyle name="常规 9 3 2 2 2 4" xfId="26098"/>
    <cellStyle name="常规 9 3 2 2 2 5" xfId="26099"/>
    <cellStyle name="常规 9 3 2 2 2 6" xfId="26100"/>
    <cellStyle name="常规 9 3 2 3" xfId="26101"/>
    <cellStyle name="常规 9 3 2 3 2" xfId="26102"/>
    <cellStyle name="常规 9 3 2 3 2 2" xfId="26103"/>
    <cellStyle name="常规 9 3 2 3 2 2 2" xfId="26104"/>
    <cellStyle name="常规 9 3 2 3 2 2 3" xfId="26105"/>
    <cellStyle name="常规 9 3 2 3 2 2 4" xfId="26106"/>
    <cellStyle name="常规 9 3 2 3 2 3" xfId="26107"/>
    <cellStyle name="常规 9 3 2 3 2 4" xfId="26108"/>
    <cellStyle name="常规 9 3 2 3 2 5" xfId="26109"/>
    <cellStyle name="常规 9 3 2 3 3" xfId="26110"/>
    <cellStyle name="常规 9 3 2 3 3 2" xfId="26111"/>
    <cellStyle name="常规 9 3 2 3 3 3" xfId="26112"/>
    <cellStyle name="常规 9 3 2 3 3 4" xfId="26113"/>
    <cellStyle name="常规 9 3 2 3 4" xfId="26114"/>
    <cellStyle name="常规 9 3 2 3 5" xfId="26115"/>
    <cellStyle name="常规 9 3 2 3 6" xfId="26116"/>
    <cellStyle name="常规 9 3 2 4" xfId="26117"/>
    <cellStyle name="常规 9 3 2 4 2" xfId="26118"/>
    <cellStyle name="常规 9 3 2 4 2 2" xfId="26119"/>
    <cellStyle name="常规 9 3 2 4 2 3" xfId="26120"/>
    <cellStyle name="常规 9 3 2 4 2 4" xfId="26121"/>
    <cellStyle name="常规 9 3 2 4 3" xfId="26122"/>
    <cellStyle name="常规 9 3 2 4 4" xfId="26123"/>
    <cellStyle name="常规 9 3 2 4 5" xfId="26124"/>
    <cellStyle name="常规 9 3 2 5" xfId="26125"/>
    <cellStyle name="常规 9 3 2 5 2" xfId="26126"/>
    <cellStyle name="常规 9 3 2 5 3" xfId="26127"/>
    <cellStyle name="常规 9 3 2 5 4" xfId="26128"/>
    <cellStyle name="常规 9 3 2 6" xfId="26129"/>
    <cellStyle name="常规 9 3 2 7" xfId="26130"/>
    <cellStyle name="常规 9 3 3" xfId="26131"/>
    <cellStyle name="常规 9 3 3 2" xfId="26132"/>
    <cellStyle name="常规 9 3 3 3" xfId="26133"/>
    <cellStyle name="常规 9 3 3 3 2" xfId="26134"/>
    <cellStyle name="常规 9 3 3 3 2 2" xfId="26135"/>
    <cellStyle name="常规 9 3 3 3 2 3" xfId="26136"/>
    <cellStyle name="常规 9 3 3 3 2 4" xfId="26137"/>
    <cellStyle name="常规 9 3 3 3 3" xfId="26138"/>
    <cellStyle name="常规 9 3 3 3 4" xfId="26139"/>
    <cellStyle name="常规 9 3 3 3 5" xfId="26140"/>
    <cellStyle name="常规 9 3 3 4" xfId="26141"/>
    <cellStyle name="常规 9 3 3 4 2" xfId="26142"/>
    <cellStyle name="常规 9 3 3 4 3" xfId="26143"/>
    <cellStyle name="常规 9 3 3 4 4" xfId="26144"/>
    <cellStyle name="常规 9 3 3 5" xfId="26145"/>
    <cellStyle name="常规 9 3 3 6" xfId="26146"/>
    <cellStyle name="常规 9 4" xfId="26147"/>
    <cellStyle name="常规 9 4 2" xfId="26148"/>
    <cellStyle name="常规 9 4 2 2" xfId="26149"/>
    <cellStyle name="常规 9 4 2 2 2" xfId="26150"/>
    <cellStyle name="常规 9 4 2 2 3" xfId="26151"/>
    <cellStyle name="常规 9 4 2 2 4" xfId="26152"/>
    <cellStyle name="常规 9 4 2 3" xfId="26153"/>
    <cellStyle name="常规 9 4 2 4" xfId="26154"/>
    <cellStyle name="常规 9 4 2 5" xfId="26155"/>
    <cellStyle name="常规 9 4 3" xfId="26156"/>
    <cellStyle name="常规 9 4 3 2" xfId="26157"/>
    <cellStyle name="常规 9 4 3 3" xfId="26158"/>
    <cellStyle name="常规 9 4 3 4" xfId="26159"/>
    <cellStyle name="常规 9 4 4" xfId="26160"/>
    <cellStyle name="常规 9 4 5" xfId="26161"/>
    <cellStyle name="常规 9 4 6" xfId="26162"/>
    <cellStyle name="常规 9 5" xfId="26163"/>
    <cellStyle name="常规 9 5 2" xfId="26164"/>
    <cellStyle name="常规 9 5 2 2" xfId="26165"/>
    <cellStyle name="常规 9 5 2 2 2" xfId="26166"/>
    <cellStyle name="常规 9 5 2 2 2 2" xfId="26167"/>
    <cellStyle name="常规 9 5 2 2 2 3" xfId="26168"/>
    <cellStyle name="常规 9 5 2 2 2 4" xfId="26169"/>
    <cellStyle name="常规 9 5 2 2 3" xfId="26170"/>
    <cellStyle name="常规 9 5 2 2 4" xfId="26171"/>
    <cellStyle name="常规 9 5 2 2 5" xfId="26172"/>
    <cellStyle name="常规 9 5 2 3" xfId="26173"/>
    <cellStyle name="常规 9 5 2 3 2" xfId="26174"/>
    <cellStyle name="常规 9 5 2 3 3" xfId="26175"/>
    <cellStyle name="常规 9 5 2 3 4" xfId="26176"/>
    <cellStyle name="常规 9 5 2 4" xfId="26177"/>
    <cellStyle name="常规 9 5 2 5" xfId="26178"/>
    <cellStyle name="常规 9 5 2 6" xfId="26179"/>
    <cellStyle name="常规 9 6" xfId="26180"/>
    <cellStyle name="常规 9 6 2" xfId="26181"/>
    <cellStyle name="常规 9 6 2 2" xfId="26182"/>
    <cellStyle name="常规 9 6 2 2 2" xfId="26183"/>
    <cellStyle name="常规 9 6 2 2 3" xfId="26184"/>
    <cellStyle name="常规 9 6 2 2 4" xfId="26185"/>
    <cellStyle name="常规 9 6 2 3" xfId="26186"/>
    <cellStyle name="常规 9 6 2 4" xfId="26187"/>
    <cellStyle name="常规 9 6 2 5" xfId="26188"/>
    <cellStyle name="常规 9 6 3" xfId="26189"/>
    <cellStyle name="常规 9 6 3 2" xfId="26190"/>
    <cellStyle name="常规 9 6 3 3" xfId="26191"/>
    <cellStyle name="常规 9 6 3 4" xfId="26192"/>
    <cellStyle name="常规 9 6 4" xfId="26193"/>
    <cellStyle name="常规 9 6 5" xfId="26194"/>
    <cellStyle name="常规 9 6 6" xfId="26195"/>
    <cellStyle name="常规 9 7" xfId="26196"/>
    <cellStyle name="常规 9 7 2" xfId="26197"/>
    <cellStyle name="常规 9 7 2 2" xfId="26198"/>
    <cellStyle name="常规 9 7 2 3" xfId="26199"/>
    <cellStyle name="常规 9 7 2 4" xfId="26200"/>
    <cellStyle name="常规 9 7 3" xfId="26201"/>
    <cellStyle name="常规 9 7 4" xfId="26202"/>
    <cellStyle name="常规 9 7 5" xfId="26203"/>
    <cellStyle name="常规 9 8" xfId="26204"/>
    <cellStyle name="常规 9 8 2" xfId="26205"/>
    <cellStyle name="常规 9 8 3" xfId="26206"/>
    <cellStyle name="常规 9 8 4" xfId="26207"/>
    <cellStyle name="常规 9 9" xfId="26208"/>
    <cellStyle name="常规_03-----2010年度财务汇总表20110705（最终）" xfId="26209"/>
    <cellStyle name="强调文字颜色 1" xfId="26210"/>
    <cellStyle name="强调文字颜色 1 2" xfId="26211"/>
    <cellStyle name="强调文字颜色 1 3" xfId="26212"/>
    <cellStyle name="强调文字颜色 2" xfId="26213"/>
    <cellStyle name="强调文字颜色 2 2" xfId="26214"/>
    <cellStyle name="强调文字颜色 2 3" xfId="26215"/>
    <cellStyle name="强调文字颜色 3" xfId="26216"/>
    <cellStyle name="强调文字颜色 3 2" xfId="26217"/>
    <cellStyle name="强调文字颜色 3 3" xfId="26218"/>
    <cellStyle name="强调文字颜色 4" xfId="26219"/>
    <cellStyle name="强调文字颜色 4 2" xfId="26220"/>
    <cellStyle name="强调文字颜色 4 3" xfId="26221"/>
    <cellStyle name="强调文字颜色 5" xfId="26222"/>
    <cellStyle name="强调文字颜色 6" xfId="26223"/>
    <cellStyle name="强调文字颜色 6 2" xfId="26224"/>
    <cellStyle name="强调文字颜色 6 3" xfId="26225"/>
    <cellStyle name="普通_Chart1" xfId="26226"/>
    <cellStyle name="未定義" xfId="26227"/>
    <cellStyle name="标题" xfId="26228"/>
    <cellStyle name="标题 1" xfId="26229"/>
    <cellStyle name="标题 1 2" xfId="26230"/>
    <cellStyle name="标题 1 3" xfId="26231"/>
    <cellStyle name="标题 2" xfId="26232"/>
    <cellStyle name="标题 2 2" xfId="26233"/>
    <cellStyle name="标题 2 3" xfId="26234"/>
    <cellStyle name="标题 3" xfId="26235"/>
    <cellStyle name="标题 3 2" xfId="26236"/>
    <cellStyle name="标题 3 3" xfId="26237"/>
    <cellStyle name="标题 4" xfId="26238"/>
    <cellStyle name="标题 4 2" xfId="26239"/>
    <cellStyle name="标题 4 3" xfId="26240"/>
    <cellStyle name="标题 5" xfId="26241"/>
    <cellStyle name="标题 6" xfId="26242"/>
    <cellStyle name="标题_102710 QC materials" xfId="26243"/>
    <cellStyle name="样式 1" xfId="26244"/>
    <cellStyle name="样式 1 2" xfId="26245"/>
    <cellStyle name="桁区切り [0.00]_Modelware Template 2004-02-12" xfId="26246"/>
    <cellStyle name="桁区切り_modelware trial" xfId="26247"/>
    <cellStyle name="检查单元格" xfId="26248"/>
    <cellStyle name="標準_5401a" xfId="26249"/>
    <cellStyle name="汇总" xfId="26250"/>
    <cellStyle name="汇总 10" xfId="26251"/>
    <cellStyle name="汇总 10 2" xfId="26252"/>
    <cellStyle name="汇总 10 3" xfId="26253"/>
    <cellStyle name="汇总 10 4" xfId="26254"/>
    <cellStyle name="汇总 10 5" xfId="26255"/>
    <cellStyle name="汇总 10 6" xfId="26256"/>
    <cellStyle name="汇总 10 7" xfId="26257"/>
    <cellStyle name="汇总 11" xfId="26258"/>
    <cellStyle name="汇总 11 2" xfId="26259"/>
    <cellStyle name="汇总 11 3" xfId="26260"/>
    <cellStyle name="汇总 11 4" xfId="26261"/>
    <cellStyle name="汇总 11 5" xfId="26262"/>
    <cellStyle name="汇总 11 6" xfId="26263"/>
    <cellStyle name="汇总 11 7" xfId="26264"/>
    <cellStyle name="汇总 12" xfId="26265"/>
    <cellStyle name="汇总 12 2" xfId="26266"/>
    <cellStyle name="汇总 12 3" xfId="26267"/>
    <cellStyle name="汇总 12 4" xfId="26268"/>
    <cellStyle name="汇总 12 5" xfId="26269"/>
    <cellStyle name="汇总 12 6" xfId="26270"/>
    <cellStyle name="汇总 13" xfId="26271"/>
    <cellStyle name="汇总 14" xfId="26272"/>
    <cellStyle name="汇总 15" xfId="26273"/>
    <cellStyle name="汇总 16" xfId="26274"/>
    <cellStyle name="汇总 17" xfId="26275"/>
    <cellStyle name="汇总 2" xfId="26276"/>
    <cellStyle name="汇总 2 10" xfId="26277"/>
    <cellStyle name="汇总 2 10 2" xfId="26278"/>
    <cellStyle name="汇总 2 10 3" xfId="26279"/>
    <cellStyle name="汇总 2 10 4" xfId="26280"/>
    <cellStyle name="汇总 2 10 5" xfId="26281"/>
    <cellStyle name="汇总 2 10 6" xfId="26282"/>
    <cellStyle name="汇总 2 11" xfId="26283"/>
    <cellStyle name="汇总 2 12" xfId="26284"/>
    <cellStyle name="汇总 2 13" xfId="26285"/>
    <cellStyle name="汇总 2 14" xfId="26286"/>
    <cellStyle name="汇总 2 15" xfId="26287"/>
    <cellStyle name="汇总 2 2" xfId="26288"/>
    <cellStyle name="汇总 2 2 10" xfId="26289"/>
    <cellStyle name="汇总 2 2 11" xfId="26290"/>
    <cellStyle name="汇总 2 2 12" xfId="26291"/>
    <cellStyle name="汇总 2 2 13" xfId="26292"/>
    <cellStyle name="汇总 2 2 14" xfId="26293"/>
    <cellStyle name="汇总 2 2 2" xfId="26294"/>
    <cellStyle name="汇总 2 2 2 2" xfId="26295"/>
    <cellStyle name="汇总 2 2 2 3" xfId="26296"/>
    <cellStyle name="汇总 2 2 2 4" xfId="26297"/>
    <cellStyle name="汇总 2 2 2 5" xfId="26298"/>
    <cellStyle name="汇总 2 2 2 6" xfId="26299"/>
    <cellStyle name="汇总 2 2 2 7" xfId="26300"/>
    <cellStyle name="汇总 2 2 3" xfId="26301"/>
    <cellStyle name="汇总 2 2 3 2" xfId="26302"/>
    <cellStyle name="汇总 2 2 3 3" xfId="26303"/>
    <cellStyle name="汇总 2 2 3 4" xfId="26304"/>
    <cellStyle name="汇总 2 2 3 5" xfId="26305"/>
    <cellStyle name="汇总 2 2 3 6" xfId="26306"/>
    <cellStyle name="汇总 2 2 3 7" xfId="26307"/>
    <cellStyle name="汇总 2 2 4" xfId="26308"/>
    <cellStyle name="汇总 2 2 4 2" xfId="26309"/>
    <cellStyle name="汇总 2 2 4 3" xfId="26310"/>
    <cellStyle name="汇总 2 2 4 4" xfId="26311"/>
    <cellStyle name="汇总 2 2 4 5" xfId="26312"/>
    <cellStyle name="汇总 2 2 4 6" xfId="26313"/>
    <cellStyle name="汇总 2 2 4 7" xfId="26314"/>
    <cellStyle name="汇总 2 2 5" xfId="26315"/>
    <cellStyle name="汇总 2 2 5 2" xfId="26316"/>
    <cellStyle name="汇总 2 2 5 3" xfId="26317"/>
    <cellStyle name="汇总 2 2 5 4" xfId="26318"/>
    <cellStyle name="汇总 2 2 5 5" xfId="26319"/>
    <cellStyle name="汇总 2 2 5 6" xfId="26320"/>
    <cellStyle name="汇总 2 2 5 7" xfId="26321"/>
    <cellStyle name="汇总 2 2 6" xfId="26322"/>
    <cellStyle name="汇总 2 2 6 2" xfId="26323"/>
    <cellStyle name="汇总 2 2 6 3" xfId="26324"/>
    <cellStyle name="汇总 2 2 6 4" xfId="26325"/>
    <cellStyle name="汇总 2 2 6 5" xfId="26326"/>
    <cellStyle name="汇总 2 2 6 6" xfId="26327"/>
    <cellStyle name="汇总 2 2 6 7" xfId="26328"/>
    <cellStyle name="汇总 2 2 7" xfId="26329"/>
    <cellStyle name="汇总 2 2 7 2" xfId="26330"/>
    <cellStyle name="汇总 2 2 7 3" xfId="26331"/>
    <cellStyle name="汇总 2 2 7 4" xfId="26332"/>
    <cellStyle name="汇总 2 2 7 5" xfId="26333"/>
    <cellStyle name="汇总 2 2 7 6" xfId="26334"/>
    <cellStyle name="汇总 2 2 7 7" xfId="26335"/>
    <cellStyle name="汇总 2 2 8" xfId="26336"/>
    <cellStyle name="汇总 2 2 8 2" xfId="26337"/>
    <cellStyle name="汇总 2 2 8 3" xfId="26338"/>
    <cellStyle name="汇总 2 2 8 4" xfId="26339"/>
    <cellStyle name="汇总 2 2 8 5" xfId="26340"/>
    <cellStyle name="汇总 2 2 8 6" xfId="26341"/>
    <cellStyle name="汇总 2 2 8 7" xfId="26342"/>
    <cellStyle name="汇总 2 2 9" xfId="26343"/>
    <cellStyle name="汇总 2 2 9 2" xfId="26344"/>
    <cellStyle name="汇总 2 2 9 3" xfId="26345"/>
    <cellStyle name="汇总 2 2 9 4" xfId="26346"/>
    <cellStyle name="汇总 2 2 9 5" xfId="26347"/>
    <cellStyle name="汇总 2 2 9 6" xfId="26348"/>
    <cellStyle name="汇总 2 3" xfId="26349"/>
    <cellStyle name="汇总 2 3 2" xfId="26350"/>
    <cellStyle name="汇总 2 3 3" xfId="26351"/>
    <cellStyle name="汇总 2 3 4" xfId="26352"/>
    <cellStyle name="汇总 2 3 5" xfId="26353"/>
    <cellStyle name="汇总 2 3 6" xfId="26354"/>
    <cellStyle name="汇总 2 3 7" xfId="26355"/>
    <cellStyle name="汇总 2 4" xfId="26356"/>
    <cellStyle name="汇总 2 4 2" xfId="26357"/>
    <cellStyle name="汇总 2 4 3" xfId="26358"/>
    <cellStyle name="汇总 2 4 4" xfId="26359"/>
    <cellStyle name="汇总 2 4 5" xfId="26360"/>
    <cellStyle name="汇总 2 4 6" xfId="26361"/>
    <cellStyle name="汇总 2 4 7" xfId="26362"/>
    <cellStyle name="汇总 2 5" xfId="26363"/>
    <cellStyle name="汇总 2 5 2" xfId="26364"/>
    <cellStyle name="汇总 2 5 3" xfId="26365"/>
    <cellStyle name="汇总 2 5 4" xfId="26366"/>
    <cellStyle name="汇总 2 5 5" xfId="26367"/>
    <cellStyle name="汇总 2 5 6" xfId="26368"/>
    <cellStyle name="汇总 2 5 7" xfId="26369"/>
    <cellStyle name="汇总 2 6" xfId="26370"/>
    <cellStyle name="汇总 2 6 2" xfId="26371"/>
    <cellStyle name="汇总 2 6 3" xfId="26372"/>
    <cellStyle name="汇总 2 6 4" xfId="26373"/>
    <cellStyle name="汇总 2 6 5" xfId="26374"/>
    <cellStyle name="汇总 2 6 6" xfId="26375"/>
    <cellStyle name="汇总 2 6 7" xfId="26376"/>
    <cellStyle name="汇总 2 7" xfId="26377"/>
    <cellStyle name="汇总 2 7 2" xfId="26378"/>
    <cellStyle name="汇总 2 7 3" xfId="26379"/>
    <cellStyle name="汇总 2 7 4" xfId="26380"/>
    <cellStyle name="汇总 2 7 5" xfId="26381"/>
    <cellStyle name="汇总 2 7 6" xfId="26382"/>
    <cellStyle name="汇总 2 7 7" xfId="26383"/>
    <cellStyle name="汇总 2 8" xfId="26384"/>
    <cellStyle name="汇总 2 8 2" xfId="26385"/>
    <cellStyle name="汇总 2 8 3" xfId="26386"/>
    <cellStyle name="汇总 2 8 4" xfId="26387"/>
    <cellStyle name="汇总 2 8 5" xfId="26388"/>
    <cellStyle name="汇总 2 8 6" xfId="26389"/>
    <cellStyle name="汇总 2 8 7" xfId="26390"/>
    <cellStyle name="汇总 2 9" xfId="26391"/>
    <cellStyle name="汇总 2 9 2" xfId="26392"/>
    <cellStyle name="汇总 2 9 3" xfId="26393"/>
    <cellStyle name="汇总 2 9 4" xfId="26394"/>
    <cellStyle name="汇总 2 9 5" xfId="26395"/>
    <cellStyle name="汇总 2 9 6" xfId="26396"/>
    <cellStyle name="汇总 2 9 7" xfId="26397"/>
    <cellStyle name="汇总 3" xfId="26398"/>
    <cellStyle name="汇总 3 10" xfId="26399"/>
    <cellStyle name="汇总 3 10 2" xfId="26400"/>
    <cellStyle name="汇总 3 10 3" xfId="26401"/>
    <cellStyle name="汇总 3 10 4" xfId="26402"/>
    <cellStyle name="汇总 3 10 5" xfId="26403"/>
    <cellStyle name="汇总 3 10 6" xfId="26404"/>
    <cellStyle name="汇总 3 11" xfId="26405"/>
    <cellStyle name="汇总 3 12" xfId="26406"/>
    <cellStyle name="汇总 3 13" xfId="26407"/>
    <cellStyle name="汇总 3 14" xfId="26408"/>
    <cellStyle name="汇总 3 15" xfId="26409"/>
    <cellStyle name="汇总 3 2" xfId="26410"/>
    <cellStyle name="汇总 3 2 10" xfId="26411"/>
    <cellStyle name="汇总 3 2 11" xfId="26412"/>
    <cellStyle name="汇总 3 2 12" xfId="26413"/>
    <cellStyle name="汇总 3 2 13" xfId="26414"/>
    <cellStyle name="汇总 3 2 14" xfId="26415"/>
    <cellStyle name="汇总 3 2 2" xfId="26416"/>
    <cellStyle name="汇总 3 2 2 2" xfId="26417"/>
    <cellStyle name="汇总 3 2 2 3" xfId="26418"/>
    <cellStyle name="汇总 3 2 2 4" xfId="26419"/>
    <cellStyle name="汇总 3 2 2 5" xfId="26420"/>
    <cellStyle name="汇总 3 2 2 6" xfId="26421"/>
    <cellStyle name="汇总 3 2 2 7" xfId="26422"/>
    <cellStyle name="汇总 3 2 3" xfId="26423"/>
    <cellStyle name="汇总 3 2 3 2" xfId="26424"/>
    <cellStyle name="汇总 3 2 3 3" xfId="26425"/>
    <cellStyle name="汇总 3 2 3 4" xfId="26426"/>
    <cellStyle name="汇总 3 2 3 5" xfId="26427"/>
    <cellStyle name="汇总 3 2 3 6" xfId="26428"/>
    <cellStyle name="汇总 3 2 3 7" xfId="26429"/>
    <cellStyle name="汇总 3 2 4" xfId="26430"/>
    <cellStyle name="汇总 3 2 4 2" xfId="26431"/>
    <cellStyle name="汇总 3 2 4 3" xfId="26432"/>
    <cellStyle name="汇总 3 2 4 4" xfId="26433"/>
    <cellStyle name="汇总 3 2 4 5" xfId="26434"/>
    <cellStyle name="汇总 3 2 4 6" xfId="26435"/>
    <cellStyle name="汇总 3 2 4 7" xfId="26436"/>
    <cellStyle name="汇总 3 2 5" xfId="26437"/>
    <cellStyle name="汇总 3 2 5 2" xfId="26438"/>
    <cellStyle name="汇总 3 2 5 3" xfId="26439"/>
    <cellStyle name="汇总 3 2 5 4" xfId="26440"/>
    <cellStyle name="汇总 3 2 5 5" xfId="26441"/>
    <cellStyle name="汇总 3 2 5 6" xfId="26442"/>
    <cellStyle name="汇总 3 2 5 7" xfId="26443"/>
    <cellStyle name="汇总 3 2 6" xfId="26444"/>
    <cellStyle name="汇总 3 2 6 2" xfId="26445"/>
    <cellStyle name="汇总 3 2 6 3" xfId="26446"/>
    <cellStyle name="汇总 3 2 6 4" xfId="26447"/>
    <cellStyle name="汇总 3 2 6 5" xfId="26448"/>
    <cellStyle name="汇总 3 2 6 6" xfId="26449"/>
    <cellStyle name="汇总 3 2 6 7" xfId="26450"/>
    <cellStyle name="汇总 3 2 7" xfId="26451"/>
    <cellStyle name="汇总 3 2 7 2" xfId="26452"/>
    <cellStyle name="汇总 3 2 7 3" xfId="26453"/>
    <cellStyle name="汇总 3 2 7 4" xfId="26454"/>
    <cellStyle name="汇总 3 2 7 5" xfId="26455"/>
    <cellStyle name="汇总 3 2 7 6" xfId="26456"/>
    <cellStyle name="汇总 3 2 7 7" xfId="26457"/>
    <cellStyle name="汇总 3 2 8" xfId="26458"/>
    <cellStyle name="汇总 3 2 8 2" xfId="26459"/>
    <cellStyle name="汇总 3 2 8 3" xfId="26460"/>
    <cellStyle name="汇总 3 2 8 4" xfId="26461"/>
    <cellStyle name="汇总 3 2 8 5" xfId="26462"/>
    <cellStyle name="汇总 3 2 8 6" xfId="26463"/>
    <cellStyle name="汇总 3 2 8 7" xfId="26464"/>
    <cellStyle name="汇总 3 2 9" xfId="26465"/>
    <cellStyle name="汇总 3 2 9 2" xfId="26466"/>
    <cellStyle name="汇总 3 2 9 3" xfId="26467"/>
    <cellStyle name="汇总 3 2 9 4" xfId="26468"/>
    <cellStyle name="汇总 3 2 9 5" xfId="26469"/>
    <cellStyle name="汇总 3 2 9 6" xfId="26470"/>
    <cellStyle name="汇总 3 3" xfId="26471"/>
    <cellStyle name="汇总 3 3 2" xfId="26472"/>
    <cellStyle name="汇总 3 3 3" xfId="26473"/>
    <cellStyle name="汇总 3 3 4" xfId="26474"/>
    <cellStyle name="汇总 3 3 5" xfId="26475"/>
    <cellStyle name="汇总 3 3 6" xfId="26476"/>
    <cellStyle name="汇总 3 3 7" xfId="26477"/>
    <cellStyle name="汇总 3 4" xfId="26478"/>
    <cellStyle name="汇总 3 4 2" xfId="26479"/>
    <cellStyle name="汇总 3 4 3" xfId="26480"/>
    <cellStyle name="汇总 3 4 4" xfId="26481"/>
    <cellStyle name="汇总 3 4 5" xfId="26482"/>
    <cellStyle name="汇总 3 4 6" xfId="26483"/>
    <cellStyle name="汇总 3 4 7" xfId="26484"/>
    <cellStyle name="汇总 3 5" xfId="26485"/>
    <cellStyle name="汇总 3 5 2" xfId="26486"/>
    <cellStyle name="汇总 3 5 3" xfId="26487"/>
    <cellStyle name="汇总 3 5 4" xfId="26488"/>
    <cellStyle name="汇总 3 5 5" xfId="26489"/>
    <cellStyle name="汇总 3 5 6" xfId="26490"/>
    <cellStyle name="汇总 3 5 7" xfId="26491"/>
    <cellStyle name="汇总 3 6" xfId="26492"/>
    <cellStyle name="汇总 3 6 2" xfId="26493"/>
    <cellStyle name="汇总 3 6 3" xfId="26494"/>
    <cellStyle name="汇总 3 6 4" xfId="26495"/>
    <cellStyle name="汇总 3 6 5" xfId="26496"/>
    <cellStyle name="汇总 3 6 6" xfId="26497"/>
    <cellStyle name="汇总 3 6 7" xfId="26498"/>
    <cellStyle name="汇总 3 7" xfId="26499"/>
    <cellStyle name="汇总 3 7 2" xfId="26500"/>
    <cellStyle name="汇总 3 7 3" xfId="26501"/>
    <cellStyle name="汇总 3 7 4" xfId="26502"/>
    <cellStyle name="汇总 3 7 5" xfId="26503"/>
    <cellStyle name="汇总 3 7 6" xfId="26504"/>
    <cellStyle name="汇总 3 7 7" xfId="26505"/>
    <cellStyle name="汇总 3 8" xfId="26506"/>
    <cellStyle name="汇总 3 8 2" xfId="26507"/>
    <cellStyle name="汇总 3 8 3" xfId="26508"/>
    <cellStyle name="汇总 3 8 4" xfId="26509"/>
    <cellStyle name="汇总 3 8 5" xfId="26510"/>
    <cellStyle name="汇总 3 8 6" xfId="26511"/>
    <cellStyle name="汇总 3 8 7" xfId="26512"/>
    <cellStyle name="汇总 3 9" xfId="26513"/>
    <cellStyle name="汇总 3 9 2" xfId="26514"/>
    <cellStyle name="汇总 3 9 3" xfId="26515"/>
    <cellStyle name="汇总 3 9 4" xfId="26516"/>
    <cellStyle name="汇总 3 9 5" xfId="26517"/>
    <cellStyle name="汇总 3 9 6" xfId="26518"/>
    <cellStyle name="汇总 3 9 7" xfId="26519"/>
    <cellStyle name="汇总 4" xfId="26520"/>
    <cellStyle name="汇总 4 10" xfId="26521"/>
    <cellStyle name="汇总 4 11" xfId="26522"/>
    <cellStyle name="汇总 4 12" xfId="26523"/>
    <cellStyle name="汇总 4 13" xfId="26524"/>
    <cellStyle name="汇总 4 14" xfId="26525"/>
    <cellStyle name="汇总 4 2" xfId="26526"/>
    <cellStyle name="汇总 4 2 2" xfId="26527"/>
    <cellStyle name="汇总 4 2 3" xfId="26528"/>
    <cellStyle name="汇总 4 2 4" xfId="26529"/>
    <cellStyle name="汇总 4 2 5" xfId="26530"/>
    <cellStyle name="汇总 4 2 6" xfId="26531"/>
    <cellStyle name="汇总 4 2 7" xfId="26532"/>
    <cellStyle name="汇总 4 3" xfId="26533"/>
    <cellStyle name="汇总 4 3 2" xfId="26534"/>
    <cellStyle name="汇总 4 3 3" xfId="26535"/>
    <cellStyle name="汇总 4 3 4" xfId="26536"/>
    <cellStyle name="汇总 4 3 5" xfId="26537"/>
    <cellStyle name="汇总 4 3 6" xfId="26538"/>
    <cellStyle name="汇总 4 3 7" xfId="26539"/>
    <cellStyle name="汇总 4 4" xfId="26540"/>
    <cellStyle name="汇总 4 4 2" xfId="26541"/>
    <cellStyle name="汇总 4 4 3" xfId="26542"/>
    <cellStyle name="汇总 4 4 4" xfId="26543"/>
    <cellStyle name="汇总 4 4 5" xfId="26544"/>
    <cellStyle name="汇总 4 4 6" xfId="26545"/>
    <cellStyle name="汇总 4 4 7" xfId="26546"/>
    <cellStyle name="汇总 4 5" xfId="26547"/>
    <cellStyle name="汇总 4 5 2" xfId="26548"/>
    <cellStyle name="汇总 4 5 3" xfId="26549"/>
    <cellStyle name="汇总 4 5 4" xfId="26550"/>
    <cellStyle name="汇总 4 5 5" xfId="26551"/>
    <cellStyle name="汇总 4 5 6" xfId="26552"/>
    <cellStyle name="汇总 4 5 7" xfId="26553"/>
    <cellStyle name="汇总 4 6" xfId="26554"/>
    <cellStyle name="汇总 4 6 2" xfId="26555"/>
    <cellStyle name="汇总 4 6 3" xfId="26556"/>
    <cellStyle name="汇总 4 6 4" xfId="26557"/>
    <cellStyle name="汇总 4 6 5" xfId="26558"/>
    <cellStyle name="汇总 4 6 6" xfId="26559"/>
    <cellStyle name="汇总 4 6 7" xfId="26560"/>
    <cellStyle name="汇总 4 7" xfId="26561"/>
    <cellStyle name="汇总 4 7 2" xfId="26562"/>
    <cellStyle name="汇总 4 7 3" xfId="26563"/>
    <cellStyle name="汇总 4 7 4" xfId="26564"/>
    <cellStyle name="汇总 4 7 5" xfId="26565"/>
    <cellStyle name="汇总 4 7 6" xfId="26566"/>
    <cellStyle name="汇总 4 7 7" xfId="26567"/>
    <cellStyle name="汇总 4 8" xfId="26568"/>
    <cellStyle name="汇总 4 8 2" xfId="26569"/>
    <cellStyle name="汇总 4 8 3" xfId="26570"/>
    <cellStyle name="汇总 4 8 4" xfId="26571"/>
    <cellStyle name="汇总 4 8 5" xfId="26572"/>
    <cellStyle name="汇总 4 8 6" xfId="26573"/>
    <cellStyle name="汇总 4 8 7" xfId="26574"/>
    <cellStyle name="汇总 4 9" xfId="26575"/>
    <cellStyle name="汇总 4 9 2" xfId="26576"/>
    <cellStyle name="汇总 4 9 3" xfId="26577"/>
    <cellStyle name="汇总 4 9 4" xfId="26578"/>
    <cellStyle name="汇总 4 9 5" xfId="26579"/>
    <cellStyle name="汇总 4 9 6" xfId="26580"/>
    <cellStyle name="汇总 5" xfId="26581"/>
    <cellStyle name="汇总 5 2" xfId="26582"/>
    <cellStyle name="汇总 5 3" xfId="26583"/>
    <cellStyle name="汇总 5 4" xfId="26584"/>
    <cellStyle name="汇总 5 5" xfId="26585"/>
    <cellStyle name="汇总 5 6" xfId="26586"/>
    <cellStyle name="汇总 5 7" xfId="26587"/>
    <cellStyle name="汇总 6" xfId="26588"/>
    <cellStyle name="汇总 6 2" xfId="26589"/>
    <cellStyle name="汇总 6 3" xfId="26590"/>
    <cellStyle name="汇总 6 4" xfId="26591"/>
    <cellStyle name="汇总 6 5" xfId="26592"/>
    <cellStyle name="汇总 6 6" xfId="26593"/>
    <cellStyle name="汇总 6 7" xfId="26594"/>
    <cellStyle name="汇总 7" xfId="26595"/>
    <cellStyle name="汇总 7 2" xfId="26596"/>
    <cellStyle name="汇总 7 3" xfId="26597"/>
    <cellStyle name="汇总 7 4" xfId="26598"/>
    <cellStyle name="汇总 7 5" xfId="26599"/>
    <cellStyle name="汇总 7 6" xfId="26600"/>
    <cellStyle name="汇总 7 7" xfId="26601"/>
    <cellStyle name="汇总 8" xfId="26602"/>
    <cellStyle name="汇总 8 2" xfId="26603"/>
    <cellStyle name="汇总 8 3" xfId="26604"/>
    <cellStyle name="汇总 8 4" xfId="26605"/>
    <cellStyle name="汇总 8 5" xfId="26606"/>
    <cellStyle name="汇总 8 6" xfId="26607"/>
    <cellStyle name="汇总 8 7" xfId="26608"/>
    <cellStyle name="汇总 9" xfId="26609"/>
    <cellStyle name="汇总 9 2" xfId="26610"/>
    <cellStyle name="汇总 9 3" xfId="26611"/>
    <cellStyle name="汇总 9 4" xfId="26612"/>
    <cellStyle name="汇总 9 5" xfId="26613"/>
    <cellStyle name="汇总 9 6" xfId="26614"/>
    <cellStyle name="汇总 9 7" xfId="26615"/>
    <cellStyle name="注释" xfId="26616"/>
    <cellStyle name="注释 10" xfId="26617"/>
    <cellStyle name="注释 10 2" xfId="26618"/>
    <cellStyle name="注释 10 3" xfId="26619"/>
    <cellStyle name="注释 10 4" xfId="26620"/>
    <cellStyle name="注释 10 5" xfId="26621"/>
    <cellStyle name="注释 10 6" xfId="26622"/>
    <cellStyle name="注释 10 7" xfId="26623"/>
    <cellStyle name="注释 11" xfId="26624"/>
    <cellStyle name="注释 11 2" xfId="26625"/>
    <cellStyle name="注释 11 3" xfId="26626"/>
    <cellStyle name="注释 11 4" xfId="26627"/>
    <cellStyle name="注释 11 5" xfId="26628"/>
    <cellStyle name="注释 11 6" xfId="26629"/>
    <cellStyle name="注释 11 7" xfId="26630"/>
    <cellStyle name="注释 12" xfId="26631"/>
    <cellStyle name="注释 12 2" xfId="26632"/>
    <cellStyle name="注释 12 3" xfId="26633"/>
    <cellStyle name="注释 12 4" xfId="26634"/>
    <cellStyle name="注释 12 5" xfId="26635"/>
    <cellStyle name="注释 12 6" xfId="26636"/>
    <cellStyle name="注释 12 7" xfId="26637"/>
    <cellStyle name="注释 13" xfId="26638"/>
    <cellStyle name="注释 13 2" xfId="26639"/>
    <cellStyle name="注释 13 3" xfId="26640"/>
    <cellStyle name="注释 13 4" xfId="26641"/>
    <cellStyle name="注释 13 5" xfId="26642"/>
    <cellStyle name="注释 13 6" xfId="26643"/>
    <cellStyle name="注释 14" xfId="26644"/>
    <cellStyle name="注释 15" xfId="26645"/>
    <cellStyle name="注释 16" xfId="26646"/>
    <cellStyle name="注释 17" xfId="26647"/>
    <cellStyle name="注释 18" xfId="26648"/>
    <cellStyle name="注释 2" xfId="26649"/>
    <cellStyle name="注释 2 10" xfId="26650"/>
    <cellStyle name="注释 2 10 2" xfId="26651"/>
    <cellStyle name="注释 2 10 3" xfId="26652"/>
    <cellStyle name="注释 2 10 4" xfId="26653"/>
    <cellStyle name="注释 2 10 5" xfId="26654"/>
    <cellStyle name="注释 2 10 6" xfId="26655"/>
    <cellStyle name="注释 2 10 7" xfId="26656"/>
    <cellStyle name="注释 2 11" xfId="26657"/>
    <cellStyle name="注释 2 11 2" xfId="26658"/>
    <cellStyle name="注释 2 11 3" xfId="26659"/>
    <cellStyle name="注释 2 11 4" xfId="26660"/>
    <cellStyle name="注释 2 11 5" xfId="26661"/>
    <cellStyle name="注释 2 11 6" xfId="26662"/>
    <cellStyle name="注释 2 12" xfId="26663"/>
    <cellStyle name="注释 2 13" xfId="26664"/>
    <cellStyle name="注释 2 14" xfId="26665"/>
    <cellStyle name="注释 2 15" xfId="26666"/>
    <cellStyle name="注释 2 16" xfId="26667"/>
    <cellStyle name="注释 2 2" xfId="26668"/>
    <cellStyle name="注释 2 2 10" xfId="26669"/>
    <cellStyle name="注释 2 2 10 2" xfId="26670"/>
    <cellStyle name="注释 2 2 10 3" xfId="26671"/>
    <cellStyle name="注释 2 2 10 4" xfId="26672"/>
    <cellStyle name="注释 2 2 10 5" xfId="26673"/>
    <cellStyle name="注释 2 2 10 6" xfId="26674"/>
    <cellStyle name="注释 2 2 11" xfId="26675"/>
    <cellStyle name="注释 2 2 12" xfId="26676"/>
    <cellStyle name="注释 2 2 13" xfId="26677"/>
    <cellStyle name="注释 2 2 14" xfId="26678"/>
    <cellStyle name="注释 2 2 15" xfId="26679"/>
    <cellStyle name="注释 2 2 2" xfId="26680"/>
    <cellStyle name="注释 2 2 2 2" xfId="26681"/>
    <cellStyle name="注释 2 2 2 3" xfId="26682"/>
    <cellStyle name="注释 2 2 2 4" xfId="26683"/>
    <cellStyle name="注释 2 2 2 5" xfId="26684"/>
    <cellStyle name="注释 2 2 2 6" xfId="26685"/>
    <cellStyle name="注释 2 2 2 7" xfId="26686"/>
    <cellStyle name="注释 2 2 3" xfId="26687"/>
    <cellStyle name="注释 2 2 3 2" xfId="26688"/>
    <cellStyle name="注释 2 2 3 3" xfId="26689"/>
    <cellStyle name="注释 2 2 3 4" xfId="26690"/>
    <cellStyle name="注释 2 2 3 5" xfId="26691"/>
    <cellStyle name="注释 2 2 3 6" xfId="26692"/>
    <cellStyle name="注释 2 2 3 7" xfId="26693"/>
    <cellStyle name="注释 2 2 4" xfId="26694"/>
    <cellStyle name="注释 2 2 4 2" xfId="26695"/>
    <cellStyle name="注释 2 2 4 3" xfId="26696"/>
    <cellStyle name="注释 2 2 4 4" xfId="26697"/>
    <cellStyle name="注释 2 2 4 5" xfId="26698"/>
    <cellStyle name="注释 2 2 4 6" xfId="26699"/>
    <cellStyle name="注释 2 2 4 7" xfId="26700"/>
    <cellStyle name="注释 2 2 5" xfId="26701"/>
    <cellStyle name="注释 2 2 5 2" xfId="26702"/>
    <cellStyle name="注释 2 2 5 3" xfId="26703"/>
    <cellStyle name="注释 2 2 5 4" xfId="26704"/>
    <cellStyle name="注释 2 2 5 5" xfId="26705"/>
    <cellStyle name="注释 2 2 5 6" xfId="26706"/>
    <cellStyle name="注释 2 2 5 7" xfId="26707"/>
    <cellStyle name="注释 2 2 6" xfId="26708"/>
    <cellStyle name="注释 2 2 6 2" xfId="26709"/>
    <cellStyle name="注释 2 2 6 3" xfId="26710"/>
    <cellStyle name="注释 2 2 6 4" xfId="26711"/>
    <cellStyle name="注释 2 2 6 5" xfId="26712"/>
    <cellStyle name="注释 2 2 6 6" xfId="26713"/>
    <cellStyle name="注释 2 2 6 7" xfId="26714"/>
    <cellStyle name="注释 2 2 7" xfId="26715"/>
    <cellStyle name="注释 2 2 7 2" xfId="26716"/>
    <cellStyle name="注释 2 2 7 3" xfId="26717"/>
    <cellStyle name="注释 2 2 7 4" xfId="26718"/>
    <cellStyle name="注释 2 2 7 5" xfId="26719"/>
    <cellStyle name="注释 2 2 7 6" xfId="26720"/>
    <cellStyle name="注释 2 2 7 7" xfId="26721"/>
    <cellStyle name="注释 2 2 8" xfId="26722"/>
    <cellStyle name="注释 2 2 8 2" xfId="26723"/>
    <cellStyle name="注释 2 2 8 3" xfId="26724"/>
    <cellStyle name="注释 2 2 8 4" xfId="26725"/>
    <cellStyle name="注释 2 2 8 5" xfId="26726"/>
    <cellStyle name="注释 2 2 8 6" xfId="26727"/>
    <cellStyle name="注释 2 2 8 7" xfId="26728"/>
    <cellStyle name="注释 2 2 9" xfId="26729"/>
    <cellStyle name="注释 2 2 9 2" xfId="26730"/>
    <cellStyle name="注释 2 2 9 3" xfId="26731"/>
    <cellStyle name="注释 2 2 9 4" xfId="26732"/>
    <cellStyle name="注释 2 2 9 5" xfId="26733"/>
    <cellStyle name="注释 2 2 9 6" xfId="26734"/>
    <cellStyle name="注释 2 2 9 7" xfId="26735"/>
    <cellStyle name="注释 2 3" xfId="26736"/>
    <cellStyle name="注释 2 3 2" xfId="26737"/>
    <cellStyle name="注释 2 3 3" xfId="26738"/>
    <cellStyle name="注释 2 3 4" xfId="26739"/>
    <cellStyle name="注释 2 3 5" xfId="26740"/>
    <cellStyle name="注释 2 3 6" xfId="26741"/>
    <cellStyle name="注释 2 3 7" xfId="26742"/>
    <cellStyle name="注释 2 4" xfId="26743"/>
    <cellStyle name="注释 2 4 2" xfId="26744"/>
    <cellStyle name="注释 2 4 3" xfId="26745"/>
    <cellStyle name="注释 2 4 4" xfId="26746"/>
    <cellStyle name="注释 2 4 5" xfId="26747"/>
    <cellStyle name="注释 2 4 6" xfId="26748"/>
    <cellStyle name="注释 2 4 7" xfId="26749"/>
    <cellStyle name="注释 2 5" xfId="26750"/>
    <cellStyle name="注释 2 5 2" xfId="26751"/>
    <cellStyle name="注释 2 5 3" xfId="26752"/>
    <cellStyle name="注释 2 5 4" xfId="26753"/>
    <cellStyle name="注释 2 5 5" xfId="26754"/>
    <cellStyle name="注释 2 5 6" xfId="26755"/>
    <cellStyle name="注释 2 5 7" xfId="26756"/>
    <cellStyle name="注释 2 6" xfId="26757"/>
    <cellStyle name="注释 2 6 2" xfId="26758"/>
    <cellStyle name="注释 2 6 3" xfId="26759"/>
    <cellStyle name="注释 2 6 4" xfId="26760"/>
    <cellStyle name="注释 2 6 5" xfId="26761"/>
    <cellStyle name="注释 2 6 6" xfId="26762"/>
    <cellStyle name="注释 2 6 7" xfId="26763"/>
    <cellStyle name="注释 2 7" xfId="26764"/>
    <cellStyle name="注释 2 7 2" xfId="26765"/>
    <cellStyle name="注释 2 7 3" xfId="26766"/>
    <cellStyle name="注释 2 7 4" xfId="26767"/>
    <cellStyle name="注释 2 7 5" xfId="26768"/>
    <cellStyle name="注释 2 7 6" xfId="26769"/>
    <cellStyle name="注释 2 7 7" xfId="26770"/>
    <cellStyle name="注释 2 8" xfId="26771"/>
    <cellStyle name="注释 2 8 2" xfId="26772"/>
    <cellStyle name="注释 2 8 3" xfId="26773"/>
    <cellStyle name="注释 2 8 4" xfId="26774"/>
    <cellStyle name="注释 2 8 5" xfId="26775"/>
    <cellStyle name="注释 2 8 6" xfId="26776"/>
    <cellStyle name="注释 2 8 7" xfId="26777"/>
    <cellStyle name="注释 2 9" xfId="26778"/>
    <cellStyle name="注释 2 9 2" xfId="26779"/>
    <cellStyle name="注释 2 9 3" xfId="26780"/>
    <cellStyle name="注释 2 9 4" xfId="26781"/>
    <cellStyle name="注释 2 9 5" xfId="26782"/>
    <cellStyle name="注释 2 9 6" xfId="26783"/>
    <cellStyle name="注释 2 9 7" xfId="26784"/>
    <cellStyle name="注释 3" xfId="26785"/>
    <cellStyle name="注释 3 10" xfId="26786"/>
    <cellStyle name="注释 3 10 2" xfId="26787"/>
    <cellStyle name="注释 3 10 3" xfId="26788"/>
    <cellStyle name="注释 3 10 4" xfId="26789"/>
    <cellStyle name="注释 3 10 5" xfId="26790"/>
    <cellStyle name="注释 3 10 6" xfId="26791"/>
    <cellStyle name="注释 3 10 7" xfId="26792"/>
    <cellStyle name="注释 3 11" xfId="26793"/>
    <cellStyle name="注释 3 11 2" xfId="26794"/>
    <cellStyle name="注释 3 11 3" xfId="26795"/>
    <cellStyle name="注释 3 11 4" xfId="26796"/>
    <cellStyle name="注释 3 11 5" xfId="26797"/>
    <cellStyle name="注释 3 11 6" xfId="26798"/>
    <cellStyle name="注释 3 12" xfId="26799"/>
    <cellStyle name="注释 3 13" xfId="26800"/>
    <cellStyle name="注释 3 14" xfId="26801"/>
    <cellStyle name="注释 3 15" xfId="26802"/>
    <cellStyle name="注释 3 16" xfId="26803"/>
    <cellStyle name="注释 3 2" xfId="26804"/>
    <cellStyle name="注释 3 2 10" xfId="26805"/>
    <cellStyle name="注释 3 2 10 2" xfId="26806"/>
    <cellStyle name="注释 3 2 10 3" xfId="26807"/>
    <cellStyle name="注释 3 2 10 4" xfId="26808"/>
    <cellStyle name="注释 3 2 10 5" xfId="26809"/>
    <cellStyle name="注释 3 2 10 6" xfId="26810"/>
    <cellStyle name="注释 3 2 11" xfId="26811"/>
    <cellStyle name="注释 3 2 12" xfId="26812"/>
    <cellStyle name="注释 3 2 13" xfId="26813"/>
    <cellStyle name="注释 3 2 14" xfId="26814"/>
    <cellStyle name="注释 3 2 15" xfId="26815"/>
    <cellStyle name="注释 3 2 2" xfId="26816"/>
    <cellStyle name="注释 3 2 2 2" xfId="26817"/>
    <cellStyle name="注释 3 2 2 3" xfId="26818"/>
    <cellStyle name="注释 3 2 2 4" xfId="26819"/>
    <cellStyle name="注释 3 2 2 5" xfId="26820"/>
    <cellStyle name="注释 3 2 2 6" xfId="26821"/>
    <cellStyle name="注释 3 2 2 7" xfId="26822"/>
    <cellStyle name="注释 3 2 3" xfId="26823"/>
    <cellStyle name="注释 3 2 3 2" xfId="26824"/>
    <cellStyle name="注释 3 2 3 3" xfId="26825"/>
    <cellStyle name="注释 3 2 3 4" xfId="26826"/>
    <cellStyle name="注释 3 2 3 5" xfId="26827"/>
    <cellStyle name="注释 3 2 3 6" xfId="26828"/>
    <cellStyle name="注释 3 2 3 7" xfId="26829"/>
    <cellStyle name="注释 3 2 4" xfId="26830"/>
    <cellStyle name="注释 3 2 4 2" xfId="26831"/>
    <cellStyle name="注释 3 2 4 3" xfId="26832"/>
    <cellStyle name="注释 3 2 4 4" xfId="26833"/>
    <cellStyle name="注释 3 2 4 5" xfId="26834"/>
    <cellStyle name="注释 3 2 4 6" xfId="26835"/>
    <cellStyle name="注释 3 2 4 7" xfId="26836"/>
    <cellStyle name="注释 3 2 5" xfId="26837"/>
    <cellStyle name="注释 3 2 5 2" xfId="26838"/>
    <cellStyle name="注释 3 2 5 3" xfId="26839"/>
    <cellStyle name="注释 3 2 5 4" xfId="26840"/>
    <cellStyle name="注释 3 2 5 5" xfId="26841"/>
    <cellStyle name="注释 3 2 5 6" xfId="26842"/>
    <cellStyle name="注释 3 2 5 7" xfId="26843"/>
    <cellStyle name="注释 3 2 6" xfId="26844"/>
    <cellStyle name="注释 3 2 6 2" xfId="26845"/>
    <cellStyle name="注释 3 2 6 3" xfId="26846"/>
    <cellStyle name="注释 3 2 6 4" xfId="26847"/>
    <cellStyle name="注释 3 2 6 5" xfId="26848"/>
    <cellStyle name="注释 3 2 6 6" xfId="26849"/>
    <cellStyle name="注释 3 2 6 7" xfId="26850"/>
    <cellStyle name="注释 3 2 7" xfId="26851"/>
    <cellStyle name="注释 3 2 7 2" xfId="26852"/>
    <cellStyle name="注释 3 2 7 3" xfId="26853"/>
    <cellStyle name="注释 3 2 7 4" xfId="26854"/>
    <cellStyle name="注释 3 2 7 5" xfId="26855"/>
    <cellStyle name="注释 3 2 7 6" xfId="26856"/>
    <cellStyle name="注释 3 2 7 7" xfId="26857"/>
    <cellStyle name="注释 3 2 8" xfId="26858"/>
    <cellStyle name="注释 3 2 8 2" xfId="26859"/>
    <cellStyle name="注释 3 2 8 3" xfId="26860"/>
    <cellStyle name="注释 3 2 8 4" xfId="26861"/>
    <cellStyle name="注释 3 2 8 5" xfId="26862"/>
    <cellStyle name="注释 3 2 8 6" xfId="26863"/>
    <cellStyle name="注释 3 2 8 7" xfId="26864"/>
    <cellStyle name="注释 3 2 9" xfId="26865"/>
    <cellStyle name="注释 3 2 9 2" xfId="26866"/>
    <cellStyle name="注释 3 2 9 3" xfId="26867"/>
    <cellStyle name="注释 3 2 9 4" xfId="26868"/>
    <cellStyle name="注释 3 2 9 5" xfId="26869"/>
    <cellStyle name="注释 3 2 9 6" xfId="26870"/>
    <cellStyle name="注释 3 2 9 7" xfId="26871"/>
    <cellStyle name="注释 3 3" xfId="26872"/>
    <cellStyle name="注释 3 3 2" xfId="26873"/>
    <cellStyle name="注释 3 3 3" xfId="26874"/>
    <cellStyle name="注释 3 3 4" xfId="26875"/>
    <cellStyle name="注释 3 3 5" xfId="26876"/>
    <cellStyle name="注释 3 3 6" xfId="26877"/>
    <cellStyle name="注释 3 3 7" xfId="26878"/>
    <cellStyle name="注释 3 4" xfId="26879"/>
    <cellStyle name="注释 3 4 2" xfId="26880"/>
    <cellStyle name="注释 3 4 3" xfId="26881"/>
    <cellStyle name="注释 3 4 4" xfId="26882"/>
    <cellStyle name="注释 3 4 5" xfId="26883"/>
    <cellStyle name="注释 3 4 6" xfId="26884"/>
    <cellStyle name="注释 3 4 7" xfId="26885"/>
    <cellStyle name="注释 3 5" xfId="26886"/>
    <cellStyle name="注释 3 5 2" xfId="26887"/>
    <cellStyle name="注释 3 5 3" xfId="26888"/>
    <cellStyle name="注释 3 5 4" xfId="26889"/>
    <cellStyle name="注释 3 5 5" xfId="26890"/>
    <cellStyle name="注释 3 5 6" xfId="26891"/>
    <cellStyle name="注释 3 5 7" xfId="26892"/>
    <cellStyle name="注释 3 6" xfId="26893"/>
    <cellStyle name="注释 3 6 2" xfId="26894"/>
    <cellStyle name="注释 3 6 3" xfId="26895"/>
    <cellStyle name="注释 3 6 4" xfId="26896"/>
    <cellStyle name="注释 3 6 5" xfId="26897"/>
    <cellStyle name="注释 3 6 6" xfId="26898"/>
    <cellStyle name="注释 3 6 7" xfId="26899"/>
    <cellStyle name="注释 3 7" xfId="26900"/>
    <cellStyle name="注释 3 7 2" xfId="26901"/>
    <cellStyle name="注释 3 7 3" xfId="26902"/>
    <cellStyle name="注释 3 7 4" xfId="26903"/>
    <cellStyle name="注释 3 7 5" xfId="26904"/>
    <cellStyle name="注释 3 7 6" xfId="26905"/>
    <cellStyle name="注释 3 7 7" xfId="26906"/>
    <cellStyle name="注释 3 8" xfId="26907"/>
    <cellStyle name="注释 3 8 2" xfId="26908"/>
    <cellStyle name="注释 3 8 3" xfId="26909"/>
    <cellStyle name="注释 3 8 4" xfId="26910"/>
    <cellStyle name="注释 3 8 5" xfId="26911"/>
    <cellStyle name="注释 3 8 6" xfId="26912"/>
    <cellStyle name="注释 3 8 7" xfId="26913"/>
    <cellStyle name="注释 3 9" xfId="26914"/>
    <cellStyle name="注释 3 9 2" xfId="26915"/>
    <cellStyle name="注释 3 9 3" xfId="26916"/>
    <cellStyle name="注释 3 9 4" xfId="26917"/>
    <cellStyle name="注释 3 9 5" xfId="26918"/>
    <cellStyle name="注释 3 9 6" xfId="26919"/>
    <cellStyle name="注释 3 9 7" xfId="26920"/>
    <cellStyle name="注释 4" xfId="26921"/>
    <cellStyle name="注释 4 10" xfId="26922"/>
    <cellStyle name="注释 4 10 2" xfId="26923"/>
    <cellStyle name="注释 4 10 3" xfId="26924"/>
    <cellStyle name="注释 4 10 4" xfId="26925"/>
    <cellStyle name="注释 4 10 5" xfId="26926"/>
    <cellStyle name="注释 4 10 6" xfId="26927"/>
    <cellStyle name="注释 4 11" xfId="26928"/>
    <cellStyle name="注释 4 12" xfId="26929"/>
    <cellStyle name="注释 4 13" xfId="26930"/>
    <cellStyle name="注释 4 14" xfId="26931"/>
    <cellStyle name="注释 4 15" xfId="26932"/>
    <cellStyle name="注释 4 2" xfId="26933"/>
    <cellStyle name="注释 4 2 2" xfId="26934"/>
    <cellStyle name="注释 4 2 3" xfId="26935"/>
    <cellStyle name="注释 4 2 4" xfId="26936"/>
    <cellStyle name="注释 4 2 5" xfId="26937"/>
    <cellStyle name="注释 4 2 6" xfId="26938"/>
    <cellStyle name="注释 4 2 7" xfId="26939"/>
    <cellStyle name="注释 4 3" xfId="26940"/>
    <cellStyle name="注释 4 3 2" xfId="26941"/>
    <cellStyle name="注释 4 3 3" xfId="26942"/>
    <cellStyle name="注释 4 3 4" xfId="26943"/>
    <cellStyle name="注释 4 3 5" xfId="26944"/>
    <cellStyle name="注释 4 3 6" xfId="26945"/>
    <cellStyle name="注释 4 3 7" xfId="26946"/>
    <cellStyle name="注释 4 4" xfId="26947"/>
    <cellStyle name="注释 4 4 2" xfId="26948"/>
    <cellStyle name="注释 4 4 3" xfId="26949"/>
    <cellStyle name="注释 4 4 4" xfId="26950"/>
    <cellStyle name="注释 4 4 5" xfId="26951"/>
    <cellStyle name="注释 4 4 6" xfId="26952"/>
    <cellStyle name="注释 4 4 7" xfId="26953"/>
    <cellStyle name="注释 4 5" xfId="26954"/>
    <cellStyle name="注释 4 5 2" xfId="26955"/>
    <cellStyle name="注释 4 5 3" xfId="26956"/>
    <cellStyle name="注释 4 5 4" xfId="26957"/>
    <cellStyle name="注释 4 5 5" xfId="26958"/>
    <cellStyle name="注释 4 5 6" xfId="26959"/>
    <cellStyle name="注释 4 5 7" xfId="26960"/>
    <cellStyle name="注释 4 6" xfId="26961"/>
    <cellStyle name="注释 4 6 2" xfId="26962"/>
    <cellStyle name="注释 4 6 3" xfId="26963"/>
    <cellStyle name="注释 4 6 4" xfId="26964"/>
    <cellStyle name="注释 4 6 5" xfId="26965"/>
    <cellStyle name="注释 4 6 6" xfId="26966"/>
    <cellStyle name="注释 4 6 7" xfId="26967"/>
    <cellStyle name="注释 4 7" xfId="26968"/>
    <cellStyle name="注释 4 7 2" xfId="26969"/>
    <cellStyle name="注释 4 7 3" xfId="26970"/>
    <cellStyle name="注释 4 7 4" xfId="26971"/>
    <cellStyle name="注释 4 7 5" xfId="26972"/>
    <cellStyle name="注释 4 7 6" xfId="26973"/>
    <cellStyle name="注释 4 7 7" xfId="26974"/>
    <cellStyle name="注释 4 8" xfId="26975"/>
    <cellStyle name="注释 4 8 2" xfId="26976"/>
    <cellStyle name="注释 4 8 3" xfId="26977"/>
    <cellStyle name="注释 4 8 4" xfId="26978"/>
    <cellStyle name="注释 4 8 5" xfId="26979"/>
    <cellStyle name="注释 4 8 6" xfId="26980"/>
    <cellStyle name="注释 4 8 7" xfId="26981"/>
    <cellStyle name="注释 4 9" xfId="26982"/>
    <cellStyle name="注释 4 9 2" xfId="26983"/>
    <cellStyle name="注释 4 9 3" xfId="26984"/>
    <cellStyle name="注释 4 9 4" xfId="26985"/>
    <cellStyle name="注释 4 9 5" xfId="26986"/>
    <cellStyle name="注释 4 9 6" xfId="26987"/>
    <cellStyle name="注释 4 9 7" xfId="26988"/>
    <cellStyle name="注释 5" xfId="26989"/>
    <cellStyle name="注释 5 2" xfId="26990"/>
    <cellStyle name="注释 5 3" xfId="26991"/>
    <cellStyle name="注释 5 4" xfId="26992"/>
    <cellStyle name="注释 5 5" xfId="26993"/>
    <cellStyle name="注释 5 6" xfId="26994"/>
    <cellStyle name="注释 5 7" xfId="26995"/>
    <cellStyle name="注释 6" xfId="26996"/>
    <cellStyle name="注释 6 2" xfId="26997"/>
    <cellStyle name="注释 6 3" xfId="26998"/>
    <cellStyle name="注释 6 4" xfId="26999"/>
    <cellStyle name="注释 6 5" xfId="27000"/>
    <cellStyle name="注释 6 6" xfId="27001"/>
    <cellStyle name="注释 6 7" xfId="27002"/>
    <cellStyle name="注释 7" xfId="27003"/>
    <cellStyle name="注释 7 2" xfId="27004"/>
    <cellStyle name="注释 7 3" xfId="27005"/>
    <cellStyle name="注释 7 4" xfId="27006"/>
    <cellStyle name="注释 7 5" xfId="27007"/>
    <cellStyle name="注释 7 6" xfId="27008"/>
    <cellStyle name="注释 7 7" xfId="27009"/>
    <cellStyle name="注释 8" xfId="27010"/>
    <cellStyle name="注释 8 2" xfId="27011"/>
    <cellStyle name="注释 8 3" xfId="27012"/>
    <cellStyle name="注释 8 4" xfId="27013"/>
    <cellStyle name="注释 8 5" xfId="27014"/>
    <cellStyle name="注释 8 6" xfId="27015"/>
    <cellStyle name="注释 8 7" xfId="27016"/>
    <cellStyle name="注释 9" xfId="27017"/>
    <cellStyle name="注释 9 2" xfId="27018"/>
    <cellStyle name="注释 9 3" xfId="27019"/>
    <cellStyle name="注释 9 4" xfId="27020"/>
    <cellStyle name="注释 9 5" xfId="27021"/>
    <cellStyle name="注释 9 6" xfId="27022"/>
    <cellStyle name="注释 9 7" xfId="27023"/>
    <cellStyle name="百分比" xfId="27024"/>
    <cellStyle name="百分比 11 2" xfId="27025"/>
    <cellStyle name="百分比 2" xfId="27026"/>
    <cellStyle name="百分比 2 10" xfId="27027"/>
    <cellStyle name="百分比 2 11" xfId="27028"/>
    <cellStyle name="百分比 2 2" xfId="27029"/>
    <cellStyle name="百分比 2 2 2" xfId="27030"/>
    <cellStyle name="百分比 2 2 2 2" xfId="27031"/>
    <cellStyle name="百分比 2 2 2 3" xfId="27032"/>
    <cellStyle name="百分比 2 2 2 4" xfId="27033"/>
    <cellStyle name="百分比 2 2 3" xfId="27034"/>
    <cellStyle name="百分比 2 2 3 2" xfId="27035"/>
    <cellStyle name="百分比 2 2 3 2 2" xfId="27036"/>
    <cellStyle name="百分比 2 2 3 2 2 2" xfId="27037"/>
    <cellStyle name="百分比 2 2 3 2 3" xfId="27038"/>
    <cellStyle name="百分比 2 2 3 2 3 2" xfId="27039"/>
    <cellStyle name="百分比 2 2 3 3" xfId="27040"/>
    <cellStyle name="百分比 2 2 3 4" xfId="27041"/>
    <cellStyle name="百分比 2 2 4" xfId="27042"/>
    <cellStyle name="百分比 2 2 4 2" xfId="27043"/>
    <cellStyle name="百分比 2 2 4 3" xfId="27044"/>
    <cellStyle name="百分比 2 2 5" xfId="27045"/>
    <cellStyle name="百分比 2 2 6" xfId="27046"/>
    <cellStyle name="百分比 2 2 7" xfId="27047"/>
    <cellStyle name="百分比 2 2 8" xfId="27048"/>
    <cellStyle name="百分比 2 3" xfId="27049"/>
    <cellStyle name="百分比 2 3 2" xfId="27050"/>
    <cellStyle name="百分比 2 3 2 2" xfId="27051"/>
    <cellStyle name="百分比 2 3 2 3" xfId="27052"/>
    <cellStyle name="百分比 2 3 3" xfId="27053"/>
    <cellStyle name="百分比 2 3 4" xfId="27054"/>
    <cellStyle name="百分比 2 3 5" xfId="27055"/>
    <cellStyle name="百分比 2 4" xfId="27056"/>
    <cellStyle name="百分比 2 5" xfId="27057"/>
    <cellStyle name="百分比 2 6" xfId="27058"/>
    <cellStyle name="百分比 2 7" xfId="27059"/>
    <cellStyle name="百分比 2 8" xfId="27060"/>
    <cellStyle name="百分比 2 9" xfId="27061"/>
    <cellStyle name="百分比 3" xfId="27062"/>
    <cellStyle name="百分比 3 2" xfId="27063"/>
    <cellStyle name="百分比 3 2 2" xfId="27064"/>
    <cellStyle name="百分比 3 2 3" xfId="27065"/>
    <cellStyle name="百分比 3 2 4" xfId="27066"/>
    <cellStyle name="百分比 3 3" xfId="27067"/>
    <cellStyle name="百分比 3 3 2" xfId="27068"/>
    <cellStyle name="百分比 3 4" xfId="27069"/>
    <cellStyle name="百分比 3 5" xfId="27070"/>
    <cellStyle name="百分比 3 5 2" xfId="27071"/>
    <cellStyle name="百分比 3 6" xfId="27072"/>
    <cellStyle name="百分比 3 7" xfId="27073"/>
    <cellStyle name="百分比 3 8" xfId="27074"/>
    <cellStyle name="百分比 4" xfId="27075"/>
    <cellStyle name="百分比 4 2" xfId="27076"/>
    <cellStyle name="百分比 4 3" xfId="27077"/>
    <cellStyle name="百分比 4 4" xfId="27078"/>
    <cellStyle name="百分比 5" xfId="27079"/>
    <cellStyle name="百分比 5 2" xfId="27080"/>
    <cellStyle name="百分比 5 3" xfId="27081"/>
    <cellStyle name="百分比 5 4" xfId="27082"/>
    <cellStyle name="百分比 6" xfId="27083"/>
    <cellStyle name="百分比 7" xfId="27084"/>
    <cellStyle name="百分比 8" xfId="27085"/>
    <cellStyle name="百分比 9" xfId="27086"/>
    <cellStyle name="解释性文本" xfId="27087"/>
    <cellStyle name="警告文本" xfId="27088"/>
    <cellStyle name="计算" xfId="27089"/>
    <cellStyle name="计算 10" xfId="27090"/>
    <cellStyle name="计算 10 2" xfId="27091"/>
    <cellStyle name="计算 10 3" xfId="27092"/>
    <cellStyle name="计算 10 4" xfId="27093"/>
    <cellStyle name="计算 10 5" xfId="27094"/>
    <cellStyle name="计算 10 6" xfId="27095"/>
    <cellStyle name="计算 10 7" xfId="27096"/>
    <cellStyle name="计算 11" xfId="27097"/>
    <cellStyle name="计算 11 2" xfId="27098"/>
    <cellStyle name="计算 11 3" xfId="27099"/>
    <cellStyle name="计算 11 4" xfId="27100"/>
    <cellStyle name="计算 11 5" xfId="27101"/>
    <cellStyle name="计算 11 6" xfId="27102"/>
    <cellStyle name="计算 11 7" xfId="27103"/>
    <cellStyle name="计算 12" xfId="27104"/>
    <cellStyle name="计算 12 2" xfId="27105"/>
    <cellStyle name="计算 12 3" xfId="27106"/>
    <cellStyle name="计算 12 4" xfId="27107"/>
    <cellStyle name="计算 12 5" xfId="27108"/>
    <cellStyle name="计算 12 6" xfId="27109"/>
    <cellStyle name="计算 12 7" xfId="27110"/>
    <cellStyle name="计算 13" xfId="27111"/>
    <cellStyle name="计算 13 2" xfId="27112"/>
    <cellStyle name="计算 13 3" xfId="27113"/>
    <cellStyle name="计算 13 4" xfId="27114"/>
    <cellStyle name="计算 13 5" xfId="27115"/>
    <cellStyle name="计算 13 6" xfId="27116"/>
    <cellStyle name="计算 14" xfId="27117"/>
    <cellStyle name="计算 14 2" xfId="27118"/>
    <cellStyle name="计算 14 3" xfId="27119"/>
    <cellStyle name="计算 14 4" xfId="27120"/>
    <cellStyle name="计算 14 5" xfId="27121"/>
    <cellStyle name="计算 14 6" xfId="27122"/>
    <cellStyle name="计算 15" xfId="27123"/>
    <cellStyle name="计算 16" xfId="27124"/>
    <cellStyle name="计算 17" xfId="27125"/>
    <cellStyle name="计算 18" xfId="27126"/>
    <cellStyle name="计算 2" xfId="27127"/>
    <cellStyle name="计算 2 10" xfId="27128"/>
    <cellStyle name="计算 2 10 2" xfId="27129"/>
    <cellStyle name="计算 2 10 3" xfId="27130"/>
    <cellStyle name="计算 2 10 4" xfId="27131"/>
    <cellStyle name="计算 2 10 5" xfId="27132"/>
    <cellStyle name="计算 2 10 6" xfId="27133"/>
    <cellStyle name="计算 2 10 7" xfId="27134"/>
    <cellStyle name="计算 2 11" xfId="27135"/>
    <cellStyle name="计算 2 11 2" xfId="27136"/>
    <cellStyle name="计算 2 11 3" xfId="27137"/>
    <cellStyle name="计算 2 11 4" xfId="27138"/>
    <cellStyle name="计算 2 11 5" xfId="27139"/>
    <cellStyle name="计算 2 11 6" xfId="27140"/>
    <cellStyle name="计算 2 12" xfId="27141"/>
    <cellStyle name="计算 2 12 2" xfId="27142"/>
    <cellStyle name="计算 2 12 3" xfId="27143"/>
    <cellStyle name="计算 2 12 4" xfId="27144"/>
    <cellStyle name="计算 2 12 5" xfId="27145"/>
    <cellStyle name="计算 2 12 6" xfId="27146"/>
    <cellStyle name="计算 2 13" xfId="27147"/>
    <cellStyle name="计算 2 14" xfId="27148"/>
    <cellStyle name="计算 2 15" xfId="27149"/>
    <cellStyle name="计算 2 16" xfId="27150"/>
    <cellStyle name="计算 2 2" xfId="27151"/>
    <cellStyle name="计算 2 2 10" xfId="27152"/>
    <cellStyle name="计算 2 2 10 2" xfId="27153"/>
    <cellStyle name="计算 2 2 10 3" xfId="27154"/>
    <cellStyle name="计算 2 2 10 4" xfId="27155"/>
    <cellStyle name="计算 2 2 10 5" xfId="27156"/>
    <cellStyle name="计算 2 2 10 6" xfId="27157"/>
    <cellStyle name="计算 2 2 11" xfId="27158"/>
    <cellStyle name="计算 2 2 12" xfId="27159"/>
    <cellStyle name="计算 2 2 13" xfId="27160"/>
    <cellStyle name="计算 2 2 14" xfId="27161"/>
    <cellStyle name="计算 2 2 2" xfId="27162"/>
    <cellStyle name="计算 2 2 2 2" xfId="27163"/>
    <cellStyle name="计算 2 2 2 3" xfId="27164"/>
    <cellStyle name="计算 2 2 2 4" xfId="27165"/>
    <cellStyle name="计算 2 2 2 5" xfId="27166"/>
    <cellStyle name="计算 2 2 2 6" xfId="27167"/>
    <cellStyle name="计算 2 2 2 7" xfId="27168"/>
    <cellStyle name="计算 2 2 3" xfId="27169"/>
    <cellStyle name="计算 2 2 3 2" xfId="27170"/>
    <cellStyle name="计算 2 2 3 3" xfId="27171"/>
    <cellStyle name="计算 2 2 3 4" xfId="27172"/>
    <cellStyle name="计算 2 2 3 5" xfId="27173"/>
    <cellStyle name="计算 2 2 3 6" xfId="27174"/>
    <cellStyle name="计算 2 2 3 7" xfId="27175"/>
    <cellStyle name="计算 2 2 4" xfId="27176"/>
    <cellStyle name="计算 2 2 4 2" xfId="27177"/>
    <cellStyle name="计算 2 2 4 3" xfId="27178"/>
    <cellStyle name="计算 2 2 4 4" xfId="27179"/>
    <cellStyle name="计算 2 2 4 5" xfId="27180"/>
    <cellStyle name="计算 2 2 4 6" xfId="27181"/>
    <cellStyle name="计算 2 2 4 7" xfId="27182"/>
    <cellStyle name="计算 2 2 5" xfId="27183"/>
    <cellStyle name="计算 2 2 5 2" xfId="27184"/>
    <cellStyle name="计算 2 2 5 3" xfId="27185"/>
    <cellStyle name="计算 2 2 5 4" xfId="27186"/>
    <cellStyle name="计算 2 2 5 5" xfId="27187"/>
    <cellStyle name="计算 2 2 5 6" xfId="27188"/>
    <cellStyle name="计算 2 2 5 7" xfId="27189"/>
    <cellStyle name="计算 2 2 6" xfId="27190"/>
    <cellStyle name="计算 2 2 6 2" xfId="27191"/>
    <cellStyle name="计算 2 2 6 3" xfId="27192"/>
    <cellStyle name="计算 2 2 6 4" xfId="27193"/>
    <cellStyle name="计算 2 2 6 5" xfId="27194"/>
    <cellStyle name="计算 2 2 6 6" xfId="27195"/>
    <cellStyle name="计算 2 2 6 7" xfId="27196"/>
    <cellStyle name="计算 2 2 7" xfId="27197"/>
    <cellStyle name="计算 2 2 7 2" xfId="27198"/>
    <cellStyle name="计算 2 2 7 3" xfId="27199"/>
    <cellStyle name="计算 2 2 7 4" xfId="27200"/>
    <cellStyle name="计算 2 2 7 5" xfId="27201"/>
    <cellStyle name="计算 2 2 7 6" xfId="27202"/>
    <cellStyle name="计算 2 2 7 7" xfId="27203"/>
    <cellStyle name="计算 2 2 8" xfId="27204"/>
    <cellStyle name="计算 2 2 8 2" xfId="27205"/>
    <cellStyle name="计算 2 2 8 3" xfId="27206"/>
    <cellStyle name="计算 2 2 8 4" xfId="27207"/>
    <cellStyle name="计算 2 2 8 5" xfId="27208"/>
    <cellStyle name="计算 2 2 8 6" xfId="27209"/>
    <cellStyle name="计算 2 2 8 7" xfId="27210"/>
    <cellStyle name="计算 2 2 9" xfId="27211"/>
    <cellStyle name="计算 2 2 9 2" xfId="27212"/>
    <cellStyle name="计算 2 2 9 3" xfId="27213"/>
    <cellStyle name="计算 2 2 9 4" xfId="27214"/>
    <cellStyle name="计算 2 2 9 5" xfId="27215"/>
    <cellStyle name="计算 2 2 9 6" xfId="27216"/>
    <cellStyle name="计算 2 3" xfId="27217"/>
    <cellStyle name="计算 2 3 10" xfId="27218"/>
    <cellStyle name="计算 2 3 10 2" xfId="27219"/>
    <cellStyle name="计算 2 3 10 3" xfId="27220"/>
    <cellStyle name="计算 2 3 10 4" xfId="27221"/>
    <cellStyle name="计算 2 3 10 5" xfId="27222"/>
    <cellStyle name="计算 2 3 10 6" xfId="27223"/>
    <cellStyle name="计算 2 3 11" xfId="27224"/>
    <cellStyle name="计算 2 3 12" xfId="27225"/>
    <cellStyle name="计算 2 3 13" xfId="27226"/>
    <cellStyle name="计算 2 3 14" xfId="27227"/>
    <cellStyle name="计算 2 3 2" xfId="27228"/>
    <cellStyle name="计算 2 3 2 2" xfId="27229"/>
    <cellStyle name="计算 2 3 2 3" xfId="27230"/>
    <cellStyle name="计算 2 3 2 4" xfId="27231"/>
    <cellStyle name="计算 2 3 2 5" xfId="27232"/>
    <cellStyle name="计算 2 3 2 6" xfId="27233"/>
    <cellStyle name="计算 2 3 2 7" xfId="27234"/>
    <cellStyle name="计算 2 3 3" xfId="27235"/>
    <cellStyle name="计算 2 3 3 2" xfId="27236"/>
    <cellStyle name="计算 2 3 3 3" xfId="27237"/>
    <cellStyle name="计算 2 3 3 4" xfId="27238"/>
    <cellStyle name="计算 2 3 3 5" xfId="27239"/>
    <cellStyle name="计算 2 3 3 6" xfId="27240"/>
    <cellStyle name="计算 2 3 3 7" xfId="27241"/>
    <cellStyle name="计算 2 3 4" xfId="27242"/>
    <cellStyle name="计算 2 3 4 2" xfId="27243"/>
    <cellStyle name="计算 2 3 4 3" xfId="27244"/>
    <cellStyle name="计算 2 3 4 4" xfId="27245"/>
    <cellStyle name="计算 2 3 4 5" xfId="27246"/>
    <cellStyle name="计算 2 3 4 6" xfId="27247"/>
    <cellStyle name="计算 2 3 4 7" xfId="27248"/>
    <cellStyle name="计算 2 3 5" xfId="27249"/>
    <cellStyle name="计算 2 3 5 2" xfId="27250"/>
    <cellStyle name="计算 2 3 5 3" xfId="27251"/>
    <cellStyle name="计算 2 3 5 4" xfId="27252"/>
    <cellStyle name="计算 2 3 5 5" xfId="27253"/>
    <cellStyle name="计算 2 3 5 6" xfId="27254"/>
    <cellStyle name="计算 2 3 5 7" xfId="27255"/>
    <cellStyle name="计算 2 3 6" xfId="27256"/>
    <cellStyle name="计算 2 3 6 2" xfId="27257"/>
    <cellStyle name="计算 2 3 6 3" xfId="27258"/>
    <cellStyle name="计算 2 3 6 4" xfId="27259"/>
    <cellStyle name="计算 2 3 6 5" xfId="27260"/>
    <cellStyle name="计算 2 3 6 6" xfId="27261"/>
    <cellStyle name="计算 2 3 6 7" xfId="27262"/>
    <cellStyle name="计算 2 3 7" xfId="27263"/>
    <cellStyle name="计算 2 3 7 2" xfId="27264"/>
    <cellStyle name="计算 2 3 7 3" xfId="27265"/>
    <cellStyle name="计算 2 3 7 4" xfId="27266"/>
    <cellStyle name="计算 2 3 7 5" xfId="27267"/>
    <cellStyle name="计算 2 3 7 6" xfId="27268"/>
    <cellStyle name="计算 2 3 7 7" xfId="27269"/>
    <cellStyle name="计算 2 3 8" xfId="27270"/>
    <cellStyle name="计算 2 3 8 2" xfId="27271"/>
    <cellStyle name="计算 2 3 8 3" xfId="27272"/>
    <cellStyle name="计算 2 3 8 4" xfId="27273"/>
    <cellStyle name="计算 2 3 8 5" xfId="27274"/>
    <cellStyle name="计算 2 3 8 6" xfId="27275"/>
    <cellStyle name="计算 2 3 8 7" xfId="27276"/>
    <cellStyle name="计算 2 3 9" xfId="27277"/>
    <cellStyle name="计算 2 3 9 2" xfId="27278"/>
    <cellStyle name="计算 2 3 9 3" xfId="27279"/>
    <cellStyle name="计算 2 3 9 4" xfId="27280"/>
    <cellStyle name="计算 2 3 9 5" xfId="27281"/>
    <cellStyle name="计算 2 3 9 6" xfId="27282"/>
    <cellStyle name="计算 2 4" xfId="27283"/>
    <cellStyle name="计算 2 4 2" xfId="27284"/>
    <cellStyle name="计算 2 4 3" xfId="27285"/>
    <cellStyle name="计算 2 4 4" xfId="27286"/>
    <cellStyle name="计算 2 4 5" xfId="27287"/>
    <cellStyle name="计算 2 4 6" xfId="27288"/>
    <cellStyle name="计算 2 4 7" xfId="27289"/>
    <cellStyle name="计算 2 5" xfId="27290"/>
    <cellStyle name="计算 2 5 2" xfId="27291"/>
    <cellStyle name="计算 2 5 3" xfId="27292"/>
    <cellStyle name="计算 2 5 4" xfId="27293"/>
    <cellStyle name="计算 2 5 5" xfId="27294"/>
    <cellStyle name="计算 2 5 6" xfId="27295"/>
    <cellStyle name="计算 2 5 7" xfId="27296"/>
    <cellStyle name="计算 2 6" xfId="27297"/>
    <cellStyle name="计算 2 6 2" xfId="27298"/>
    <cellStyle name="计算 2 6 3" xfId="27299"/>
    <cellStyle name="计算 2 6 4" xfId="27300"/>
    <cellStyle name="计算 2 6 5" xfId="27301"/>
    <cellStyle name="计算 2 6 6" xfId="27302"/>
    <cellStyle name="计算 2 6 7" xfId="27303"/>
    <cellStyle name="计算 2 7" xfId="27304"/>
    <cellStyle name="计算 2 7 2" xfId="27305"/>
    <cellStyle name="计算 2 7 3" xfId="27306"/>
    <cellStyle name="计算 2 7 4" xfId="27307"/>
    <cellStyle name="计算 2 7 5" xfId="27308"/>
    <cellStyle name="计算 2 7 6" xfId="27309"/>
    <cellStyle name="计算 2 7 7" xfId="27310"/>
    <cellStyle name="计算 2 8" xfId="27311"/>
    <cellStyle name="计算 2 8 2" xfId="27312"/>
    <cellStyle name="计算 2 8 3" xfId="27313"/>
    <cellStyle name="计算 2 8 4" xfId="27314"/>
    <cellStyle name="计算 2 8 5" xfId="27315"/>
    <cellStyle name="计算 2 8 6" xfId="27316"/>
    <cellStyle name="计算 2 8 7" xfId="27317"/>
    <cellStyle name="计算 2 9" xfId="27318"/>
    <cellStyle name="计算 2 9 2" xfId="27319"/>
    <cellStyle name="计算 2 9 3" xfId="27320"/>
    <cellStyle name="计算 2 9 4" xfId="27321"/>
    <cellStyle name="计算 2 9 5" xfId="27322"/>
    <cellStyle name="计算 2 9 6" xfId="27323"/>
    <cellStyle name="计算 2 9 7" xfId="27324"/>
    <cellStyle name="计算 3" xfId="27325"/>
    <cellStyle name="计算 3 10" xfId="27326"/>
    <cellStyle name="计算 3 10 2" xfId="27327"/>
    <cellStyle name="计算 3 10 3" xfId="27328"/>
    <cellStyle name="计算 3 10 4" xfId="27329"/>
    <cellStyle name="计算 3 10 5" xfId="27330"/>
    <cellStyle name="计算 3 10 6" xfId="27331"/>
    <cellStyle name="计算 3 10 7" xfId="27332"/>
    <cellStyle name="计算 3 11" xfId="27333"/>
    <cellStyle name="计算 3 11 2" xfId="27334"/>
    <cellStyle name="计算 3 11 3" xfId="27335"/>
    <cellStyle name="计算 3 11 4" xfId="27336"/>
    <cellStyle name="计算 3 11 5" xfId="27337"/>
    <cellStyle name="计算 3 11 6" xfId="27338"/>
    <cellStyle name="计算 3 12" xfId="27339"/>
    <cellStyle name="计算 3 12 2" xfId="27340"/>
    <cellStyle name="计算 3 12 3" xfId="27341"/>
    <cellStyle name="计算 3 12 4" xfId="27342"/>
    <cellStyle name="计算 3 12 5" xfId="27343"/>
    <cellStyle name="计算 3 12 6" xfId="27344"/>
    <cellStyle name="计算 3 13" xfId="27345"/>
    <cellStyle name="计算 3 14" xfId="27346"/>
    <cellStyle name="计算 3 15" xfId="27347"/>
    <cellStyle name="计算 3 16" xfId="27348"/>
    <cellStyle name="计算 3 2" xfId="27349"/>
    <cellStyle name="计算 3 2 10" xfId="27350"/>
    <cellStyle name="计算 3 2 10 2" xfId="27351"/>
    <cellStyle name="计算 3 2 10 3" xfId="27352"/>
    <cellStyle name="计算 3 2 10 4" xfId="27353"/>
    <cellStyle name="计算 3 2 10 5" xfId="27354"/>
    <cellStyle name="计算 3 2 10 6" xfId="27355"/>
    <cellStyle name="计算 3 2 11" xfId="27356"/>
    <cellStyle name="计算 3 2 12" xfId="27357"/>
    <cellStyle name="计算 3 2 13" xfId="27358"/>
    <cellStyle name="计算 3 2 14" xfId="27359"/>
    <cellStyle name="计算 3 2 2" xfId="27360"/>
    <cellStyle name="计算 3 2 2 2" xfId="27361"/>
    <cellStyle name="计算 3 2 2 3" xfId="27362"/>
    <cellStyle name="计算 3 2 2 4" xfId="27363"/>
    <cellStyle name="计算 3 2 2 5" xfId="27364"/>
    <cellStyle name="计算 3 2 2 6" xfId="27365"/>
    <cellStyle name="计算 3 2 2 7" xfId="27366"/>
    <cellStyle name="计算 3 2 3" xfId="27367"/>
    <cellStyle name="计算 3 2 3 2" xfId="27368"/>
    <cellStyle name="计算 3 2 3 3" xfId="27369"/>
    <cellStyle name="计算 3 2 3 4" xfId="27370"/>
    <cellStyle name="计算 3 2 3 5" xfId="27371"/>
    <cellStyle name="计算 3 2 3 6" xfId="27372"/>
    <cellStyle name="计算 3 2 3 7" xfId="27373"/>
    <cellStyle name="计算 3 2 4" xfId="27374"/>
    <cellStyle name="计算 3 2 4 2" xfId="27375"/>
    <cellStyle name="计算 3 2 4 3" xfId="27376"/>
    <cellStyle name="计算 3 2 4 4" xfId="27377"/>
    <cellStyle name="计算 3 2 4 5" xfId="27378"/>
    <cellStyle name="计算 3 2 4 6" xfId="27379"/>
    <cellStyle name="计算 3 2 4 7" xfId="27380"/>
    <cellStyle name="计算 3 2 5" xfId="27381"/>
    <cellStyle name="计算 3 2 5 2" xfId="27382"/>
    <cellStyle name="计算 3 2 5 3" xfId="27383"/>
    <cellStyle name="计算 3 2 5 4" xfId="27384"/>
    <cellStyle name="计算 3 2 5 5" xfId="27385"/>
    <cellStyle name="计算 3 2 5 6" xfId="27386"/>
    <cellStyle name="计算 3 2 5 7" xfId="27387"/>
    <cellStyle name="计算 3 2 6" xfId="27388"/>
    <cellStyle name="计算 3 2 6 2" xfId="27389"/>
    <cellStyle name="计算 3 2 6 3" xfId="27390"/>
    <cellStyle name="计算 3 2 6 4" xfId="27391"/>
    <cellStyle name="计算 3 2 6 5" xfId="27392"/>
    <cellStyle name="计算 3 2 6 6" xfId="27393"/>
    <cellStyle name="计算 3 2 6 7" xfId="27394"/>
    <cellStyle name="计算 3 2 7" xfId="27395"/>
    <cellStyle name="计算 3 2 7 2" xfId="27396"/>
    <cellStyle name="计算 3 2 7 3" xfId="27397"/>
    <cellStyle name="计算 3 2 7 4" xfId="27398"/>
    <cellStyle name="计算 3 2 7 5" xfId="27399"/>
    <cellStyle name="计算 3 2 7 6" xfId="27400"/>
    <cellStyle name="计算 3 2 7 7" xfId="27401"/>
    <cellStyle name="计算 3 2 8" xfId="27402"/>
    <cellStyle name="计算 3 2 8 2" xfId="27403"/>
    <cellStyle name="计算 3 2 8 3" xfId="27404"/>
    <cellStyle name="计算 3 2 8 4" xfId="27405"/>
    <cellStyle name="计算 3 2 8 5" xfId="27406"/>
    <cellStyle name="计算 3 2 8 6" xfId="27407"/>
    <cellStyle name="计算 3 2 8 7" xfId="27408"/>
    <cellStyle name="计算 3 2 9" xfId="27409"/>
    <cellStyle name="计算 3 2 9 2" xfId="27410"/>
    <cellStyle name="计算 3 2 9 3" xfId="27411"/>
    <cellStyle name="计算 3 2 9 4" xfId="27412"/>
    <cellStyle name="计算 3 2 9 5" xfId="27413"/>
    <cellStyle name="计算 3 2 9 6" xfId="27414"/>
    <cellStyle name="计算 3 3" xfId="27415"/>
    <cellStyle name="计算 3 3 10" xfId="27416"/>
    <cellStyle name="计算 3 3 10 2" xfId="27417"/>
    <cellStyle name="计算 3 3 10 3" xfId="27418"/>
    <cellStyle name="计算 3 3 10 4" xfId="27419"/>
    <cellStyle name="计算 3 3 10 5" xfId="27420"/>
    <cellStyle name="计算 3 3 10 6" xfId="27421"/>
    <cellStyle name="计算 3 3 11" xfId="27422"/>
    <cellStyle name="计算 3 3 12" xfId="27423"/>
    <cellStyle name="计算 3 3 13" xfId="27424"/>
    <cellStyle name="计算 3 3 14" xfId="27425"/>
    <cellStyle name="计算 3 3 2" xfId="27426"/>
    <cellStyle name="计算 3 3 2 2" xfId="27427"/>
    <cellStyle name="计算 3 3 2 3" xfId="27428"/>
    <cellStyle name="计算 3 3 2 4" xfId="27429"/>
    <cellStyle name="计算 3 3 2 5" xfId="27430"/>
    <cellStyle name="计算 3 3 2 6" xfId="27431"/>
    <cellStyle name="计算 3 3 2 7" xfId="27432"/>
    <cellStyle name="计算 3 3 3" xfId="27433"/>
    <cellStyle name="计算 3 3 3 2" xfId="27434"/>
    <cellStyle name="计算 3 3 3 3" xfId="27435"/>
    <cellStyle name="计算 3 3 3 4" xfId="27436"/>
    <cellStyle name="计算 3 3 3 5" xfId="27437"/>
    <cellStyle name="计算 3 3 3 6" xfId="27438"/>
    <cellStyle name="计算 3 3 3 7" xfId="27439"/>
    <cellStyle name="计算 3 3 4" xfId="27440"/>
    <cellStyle name="计算 3 3 4 2" xfId="27441"/>
    <cellStyle name="计算 3 3 4 3" xfId="27442"/>
    <cellStyle name="计算 3 3 4 4" xfId="27443"/>
    <cellStyle name="计算 3 3 4 5" xfId="27444"/>
    <cellStyle name="计算 3 3 4 6" xfId="27445"/>
    <cellStyle name="计算 3 3 4 7" xfId="27446"/>
    <cellStyle name="计算 3 3 5" xfId="27447"/>
    <cellStyle name="计算 3 3 5 2" xfId="27448"/>
    <cellStyle name="计算 3 3 5 3" xfId="27449"/>
    <cellStyle name="计算 3 3 5 4" xfId="27450"/>
    <cellStyle name="计算 3 3 5 5" xfId="27451"/>
    <cellStyle name="计算 3 3 5 6" xfId="27452"/>
    <cellStyle name="计算 3 3 5 7" xfId="27453"/>
    <cellStyle name="计算 3 3 6" xfId="27454"/>
    <cellStyle name="计算 3 3 6 2" xfId="27455"/>
    <cellStyle name="计算 3 3 6 3" xfId="27456"/>
    <cellStyle name="计算 3 3 6 4" xfId="27457"/>
    <cellStyle name="计算 3 3 6 5" xfId="27458"/>
    <cellStyle name="计算 3 3 6 6" xfId="27459"/>
    <cellStyle name="计算 3 3 6 7" xfId="27460"/>
    <cellStyle name="计算 3 3 7" xfId="27461"/>
    <cellStyle name="计算 3 3 7 2" xfId="27462"/>
    <cellStyle name="计算 3 3 7 3" xfId="27463"/>
    <cellStyle name="计算 3 3 7 4" xfId="27464"/>
    <cellStyle name="计算 3 3 7 5" xfId="27465"/>
    <cellStyle name="计算 3 3 7 6" xfId="27466"/>
    <cellStyle name="计算 3 3 7 7" xfId="27467"/>
    <cellStyle name="计算 3 3 8" xfId="27468"/>
    <cellStyle name="计算 3 3 8 2" xfId="27469"/>
    <cellStyle name="计算 3 3 8 3" xfId="27470"/>
    <cellStyle name="计算 3 3 8 4" xfId="27471"/>
    <cellStyle name="计算 3 3 8 5" xfId="27472"/>
    <cellStyle name="计算 3 3 8 6" xfId="27473"/>
    <cellStyle name="计算 3 3 8 7" xfId="27474"/>
    <cellStyle name="计算 3 3 9" xfId="27475"/>
    <cellStyle name="计算 3 3 9 2" xfId="27476"/>
    <cellStyle name="计算 3 3 9 3" xfId="27477"/>
    <cellStyle name="计算 3 3 9 4" xfId="27478"/>
    <cellStyle name="计算 3 3 9 5" xfId="27479"/>
    <cellStyle name="计算 3 3 9 6" xfId="27480"/>
    <cellStyle name="计算 3 4" xfId="27481"/>
    <cellStyle name="计算 3 4 2" xfId="27482"/>
    <cellStyle name="计算 3 4 3" xfId="27483"/>
    <cellStyle name="计算 3 4 4" xfId="27484"/>
    <cellStyle name="计算 3 4 5" xfId="27485"/>
    <cellStyle name="计算 3 4 6" xfId="27486"/>
    <cellStyle name="计算 3 4 7" xfId="27487"/>
    <cellStyle name="计算 3 5" xfId="27488"/>
    <cellStyle name="计算 3 5 2" xfId="27489"/>
    <cellStyle name="计算 3 5 3" xfId="27490"/>
    <cellStyle name="计算 3 5 4" xfId="27491"/>
    <cellStyle name="计算 3 5 5" xfId="27492"/>
    <cellStyle name="计算 3 5 6" xfId="27493"/>
    <cellStyle name="计算 3 5 7" xfId="27494"/>
    <cellStyle name="计算 3 6" xfId="27495"/>
    <cellStyle name="计算 3 6 2" xfId="27496"/>
    <cellStyle name="计算 3 6 3" xfId="27497"/>
    <cellStyle name="计算 3 6 4" xfId="27498"/>
    <cellStyle name="计算 3 6 5" xfId="27499"/>
    <cellStyle name="计算 3 6 6" xfId="27500"/>
    <cellStyle name="计算 3 6 7" xfId="27501"/>
    <cellStyle name="计算 3 7" xfId="27502"/>
    <cellStyle name="计算 3 7 2" xfId="27503"/>
    <cellStyle name="计算 3 7 3" xfId="27504"/>
    <cellStyle name="计算 3 7 4" xfId="27505"/>
    <cellStyle name="计算 3 7 5" xfId="27506"/>
    <cellStyle name="计算 3 7 6" xfId="27507"/>
    <cellStyle name="计算 3 7 7" xfId="27508"/>
    <cellStyle name="计算 3 8" xfId="27509"/>
    <cellStyle name="计算 3 8 2" xfId="27510"/>
    <cellStyle name="计算 3 8 3" xfId="27511"/>
    <cellStyle name="计算 3 8 4" xfId="27512"/>
    <cellStyle name="计算 3 8 5" xfId="27513"/>
    <cellStyle name="计算 3 8 6" xfId="27514"/>
    <cellStyle name="计算 3 8 7" xfId="27515"/>
    <cellStyle name="计算 3 9" xfId="27516"/>
    <cellStyle name="计算 3 9 2" xfId="27517"/>
    <cellStyle name="计算 3 9 3" xfId="27518"/>
    <cellStyle name="计算 3 9 4" xfId="27519"/>
    <cellStyle name="计算 3 9 5" xfId="27520"/>
    <cellStyle name="计算 3 9 6" xfId="27521"/>
    <cellStyle name="计算 3 9 7" xfId="27522"/>
    <cellStyle name="计算 4" xfId="27523"/>
    <cellStyle name="计算 4 10" xfId="27524"/>
    <cellStyle name="计算 4 10 2" xfId="27525"/>
    <cellStyle name="计算 4 10 3" xfId="27526"/>
    <cellStyle name="计算 4 10 4" xfId="27527"/>
    <cellStyle name="计算 4 10 5" xfId="27528"/>
    <cellStyle name="计算 4 10 6" xfId="27529"/>
    <cellStyle name="计算 4 11" xfId="27530"/>
    <cellStyle name="计算 4 12" xfId="27531"/>
    <cellStyle name="计算 4 13" xfId="27532"/>
    <cellStyle name="计算 4 14" xfId="27533"/>
    <cellStyle name="计算 4 2" xfId="27534"/>
    <cellStyle name="计算 4 2 2" xfId="27535"/>
    <cellStyle name="计算 4 2 3" xfId="27536"/>
    <cellStyle name="计算 4 2 4" xfId="27537"/>
    <cellStyle name="计算 4 2 5" xfId="27538"/>
    <cellStyle name="计算 4 2 6" xfId="27539"/>
    <cellStyle name="计算 4 2 7" xfId="27540"/>
    <cellStyle name="计算 4 3" xfId="27541"/>
    <cellStyle name="计算 4 3 2" xfId="27542"/>
    <cellStyle name="计算 4 3 3" xfId="27543"/>
    <cellStyle name="计算 4 3 4" xfId="27544"/>
    <cellStyle name="计算 4 3 5" xfId="27545"/>
    <cellStyle name="计算 4 3 6" xfId="27546"/>
    <cellStyle name="计算 4 3 7" xfId="27547"/>
    <cellStyle name="计算 4 4" xfId="27548"/>
    <cellStyle name="计算 4 4 2" xfId="27549"/>
    <cellStyle name="计算 4 4 3" xfId="27550"/>
    <cellStyle name="计算 4 4 4" xfId="27551"/>
    <cellStyle name="计算 4 4 5" xfId="27552"/>
    <cellStyle name="计算 4 4 6" xfId="27553"/>
    <cellStyle name="计算 4 4 7" xfId="27554"/>
    <cellStyle name="计算 4 5" xfId="27555"/>
    <cellStyle name="计算 4 5 2" xfId="27556"/>
    <cellStyle name="计算 4 5 3" xfId="27557"/>
    <cellStyle name="计算 4 5 4" xfId="27558"/>
    <cellStyle name="计算 4 5 5" xfId="27559"/>
    <cellStyle name="计算 4 5 6" xfId="27560"/>
    <cellStyle name="计算 4 5 7" xfId="27561"/>
    <cellStyle name="计算 4 6" xfId="27562"/>
    <cellStyle name="计算 4 6 2" xfId="27563"/>
    <cellStyle name="计算 4 6 3" xfId="27564"/>
    <cellStyle name="计算 4 6 4" xfId="27565"/>
    <cellStyle name="计算 4 6 5" xfId="27566"/>
    <cellStyle name="计算 4 6 6" xfId="27567"/>
    <cellStyle name="计算 4 6 7" xfId="27568"/>
    <cellStyle name="计算 4 7" xfId="27569"/>
    <cellStyle name="计算 4 7 2" xfId="27570"/>
    <cellStyle name="计算 4 7 3" xfId="27571"/>
    <cellStyle name="计算 4 7 4" xfId="27572"/>
    <cellStyle name="计算 4 7 5" xfId="27573"/>
    <cellStyle name="计算 4 7 6" xfId="27574"/>
    <cellStyle name="计算 4 7 7" xfId="27575"/>
    <cellStyle name="计算 4 8" xfId="27576"/>
    <cellStyle name="计算 4 8 2" xfId="27577"/>
    <cellStyle name="计算 4 8 3" xfId="27578"/>
    <cellStyle name="计算 4 8 4" xfId="27579"/>
    <cellStyle name="计算 4 8 5" xfId="27580"/>
    <cellStyle name="计算 4 8 6" xfId="27581"/>
    <cellStyle name="计算 4 8 7" xfId="27582"/>
    <cellStyle name="计算 4 9" xfId="27583"/>
    <cellStyle name="计算 4 9 2" xfId="27584"/>
    <cellStyle name="计算 4 9 3" xfId="27585"/>
    <cellStyle name="计算 4 9 4" xfId="27586"/>
    <cellStyle name="计算 4 9 5" xfId="27587"/>
    <cellStyle name="计算 4 9 6" xfId="27588"/>
    <cellStyle name="计算 5" xfId="27589"/>
    <cellStyle name="计算 5 10" xfId="27590"/>
    <cellStyle name="计算 5 10 2" xfId="27591"/>
    <cellStyle name="计算 5 10 3" xfId="27592"/>
    <cellStyle name="计算 5 10 4" xfId="27593"/>
    <cellStyle name="计算 5 10 5" xfId="27594"/>
    <cellStyle name="计算 5 10 6" xfId="27595"/>
    <cellStyle name="计算 5 11" xfId="27596"/>
    <cellStyle name="计算 5 12" xfId="27597"/>
    <cellStyle name="计算 5 13" xfId="27598"/>
    <cellStyle name="计算 5 14" xfId="27599"/>
    <cellStyle name="计算 5 2" xfId="27600"/>
    <cellStyle name="计算 5 2 2" xfId="27601"/>
    <cellStyle name="计算 5 2 3" xfId="27602"/>
    <cellStyle name="计算 5 2 4" xfId="27603"/>
    <cellStyle name="计算 5 2 5" xfId="27604"/>
    <cellStyle name="计算 5 2 6" xfId="27605"/>
    <cellStyle name="计算 5 2 7" xfId="27606"/>
    <cellStyle name="计算 5 3" xfId="27607"/>
    <cellStyle name="计算 5 3 2" xfId="27608"/>
    <cellStyle name="计算 5 3 3" xfId="27609"/>
    <cellStyle name="计算 5 3 4" xfId="27610"/>
    <cellStyle name="计算 5 3 5" xfId="27611"/>
    <cellStyle name="计算 5 3 6" xfId="27612"/>
    <cellStyle name="计算 5 3 7" xfId="27613"/>
    <cellStyle name="计算 5 4" xfId="27614"/>
    <cellStyle name="计算 5 4 2" xfId="27615"/>
    <cellStyle name="计算 5 4 3" xfId="27616"/>
    <cellStyle name="计算 5 4 4" xfId="27617"/>
    <cellStyle name="计算 5 4 5" xfId="27618"/>
    <cellStyle name="计算 5 4 6" xfId="27619"/>
    <cellStyle name="计算 5 4 7" xfId="27620"/>
    <cellStyle name="计算 5 5" xfId="27621"/>
    <cellStyle name="计算 5 5 2" xfId="27622"/>
    <cellStyle name="计算 5 5 3" xfId="27623"/>
    <cellStyle name="计算 5 5 4" xfId="27624"/>
    <cellStyle name="计算 5 5 5" xfId="27625"/>
    <cellStyle name="计算 5 5 6" xfId="27626"/>
    <cellStyle name="计算 5 5 7" xfId="27627"/>
    <cellStyle name="计算 5 6" xfId="27628"/>
    <cellStyle name="计算 5 6 2" xfId="27629"/>
    <cellStyle name="计算 5 6 3" xfId="27630"/>
    <cellStyle name="计算 5 6 4" xfId="27631"/>
    <cellStyle name="计算 5 6 5" xfId="27632"/>
    <cellStyle name="计算 5 6 6" xfId="27633"/>
    <cellStyle name="计算 5 6 7" xfId="27634"/>
    <cellStyle name="计算 5 7" xfId="27635"/>
    <cellStyle name="计算 5 7 2" xfId="27636"/>
    <cellStyle name="计算 5 7 3" xfId="27637"/>
    <cellStyle name="计算 5 7 4" xfId="27638"/>
    <cellStyle name="计算 5 7 5" xfId="27639"/>
    <cellStyle name="计算 5 7 6" xfId="27640"/>
    <cellStyle name="计算 5 7 7" xfId="27641"/>
    <cellStyle name="计算 5 8" xfId="27642"/>
    <cellStyle name="计算 5 8 2" xfId="27643"/>
    <cellStyle name="计算 5 8 3" xfId="27644"/>
    <cellStyle name="计算 5 8 4" xfId="27645"/>
    <cellStyle name="计算 5 8 5" xfId="27646"/>
    <cellStyle name="计算 5 8 6" xfId="27647"/>
    <cellStyle name="计算 5 8 7" xfId="27648"/>
    <cellStyle name="计算 5 9" xfId="27649"/>
    <cellStyle name="计算 5 9 2" xfId="27650"/>
    <cellStyle name="计算 5 9 3" xfId="27651"/>
    <cellStyle name="计算 5 9 4" xfId="27652"/>
    <cellStyle name="计算 5 9 5" xfId="27653"/>
    <cellStyle name="计算 5 9 6" xfId="27654"/>
    <cellStyle name="计算 6" xfId="27655"/>
    <cellStyle name="计算 6 2" xfId="27656"/>
    <cellStyle name="计算 6 3" xfId="27657"/>
    <cellStyle name="计算 6 4" xfId="27658"/>
    <cellStyle name="计算 6 5" xfId="27659"/>
    <cellStyle name="计算 6 6" xfId="27660"/>
    <cellStyle name="计算 6 7" xfId="27661"/>
    <cellStyle name="计算 7" xfId="27662"/>
    <cellStyle name="计算 7 2" xfId="27663"/>
    <cellStyle name="计算 7 3" xfId="27664"/>
    <cellStyle name="计算 7 4" xfId="27665"/>
    <cellStyle name="计算 7 5" xfId="27666"/>
    <cellStyle name="计算 7 6" xfId="27667"/>
    <cellStyle name="计算 7 7" xfId="27668"/>
    <cellStyle name="计算 8" xfId="27669"/>
    <cellStyle name="计算 8 2" xfId="27670"/>
    <cellStyle name="计算 8 3" xfId="27671"/>
    <cellStyle name="计算 8 4" xfId="27672"/>
    <cellStyle name="计算 8 5" xfId="27673"/>
    <cellStyle name="计算 8 6" xfId="27674"/>
    <cellStyle name="计算 8 7" xfId="27675"/>
    <cellStyle name="计算 9" xfId="27676"/>
    <cellStyle name="计算 9 2" xfId="27677"/>
    <cellStyle name="计算 9 3" xfId="27678"/>
    <cellStyle name="计算 9 4" xfId="27679"/>
    <cellStyle name="计算 9 5" xfId="27680"/>
    <cellStyle name="计算 9 6" xfId="27681"/>
    <cellStyle name="计算 9 7" xfId="27682"/>
    <cellStyle name="货币[0]_2003年推介表" xfId="27683"/>
    <cellStyle name="货币_10-Q1-2005 supporting " xfId="27684"/>
    <cellStyle name="超链接" xfId="27685"/>
    <cellStyle name="超链接 10" xfId="27686"/>
    <cellStyle name="超链接 100" xfId="27687"/>
    <cellStyle name="超链接 101" xfId="27688"/>
    <cellStyle name="超链接 102" xfId="27689"/>
    <cellStyle name="超链接 103" xfId="27690"/>
    <cellStyle name="超链接 104" xfId="27691"/>
    <cellStyle name="超链接 105" xfId="27692"/>
    <cellStyle name="超链接 106" xfId="27693"/>
    <cellStyle name="超链接 107" xfId="27694"/>
    <cellStyle name="超链接 108" xfId="27695"/>
    <cellStyle name="超链接 109" xfId="27696"/>
    <cellStyle name="超链接 11" xfId="27697"/>
    <cellStyle name="超链接 110" xfId="27698"/>
    <cellStyle name="超链接 111" xfId="27699"/>
    <cellStyle name="超链接 112" xfId="27700"/>
    <cellStyle name="超链接 113" xfId="27701"/>
    <cellStyle name="超链接 114" xfId="27702"/>
    <cellStyle name="超链接 115" xfId="27703"/>
    <cellStyle name="超链接 116" xfId="27704"/>
    <cellStyle name="超链接 117" xfId="27705"/>
    <cellStyle name="超链接 118" xfId="27706"/>
    <cellStyle name="超链接 119" xfId="27707"/>
    <cellStyle name="超链接 12" xfId="27708"/>
    <cellStyle name="超链接 120" xfId="27709"/>
    <cellStyle name="超链接 121" xfId="27710"/>
    <cellStyle name="超链接 122" xfId="27711"/>
    <cellStyle name="超链接 123" xfId="27712"/>
    <cellStyle name="超链接 124" xfId="27713"/>
    <cellStyle name="超链接 125" xfId="27714"/>
    <cellStyle name="超链接 126" xfId="27715"/>
    <cellStyle name="超链接 127" xfId="27716"/>
    <cellStyle name="超链接 128" xfId="27717"/>
    <cellStyle name="超链接 129" xfId="27718"/>
    <cellStyle name="超链接 13" xfId="27719"/>
    <cellStyle name="超链接 130" xfId="27720"/>
    <cellStyle name="超链接 131" xfId="27721"/>
    <cellStyle name="超链接 132" xfId="27722"/>
    <cellStyle name="超链接 133" xfId="27723"/>
    <cellStyle name="超链接 134" xfId="27724"/>
    <cellStyle name="超链接 135" xfId="27725"/>
    <cellStyle name="超链接 136" xfId="27726"/>
    <cellStyle name="超链接 137" xfId="27727"/>
    <cellStyle name="超链接 138" xfId="27728"/>
    <cellStyle name="超链接 139" xfId="27729"/>
    <cellStyle name="超链接 14" xfId="27730"/>
    <cellStyle name="超链接 140" xfId="27731"/>
    <cellStyle name="超链接 141" xfId="27732"/>
    <cellStyle name="超链接 142" xfId="27733"/>
    <cellStyle name="超链接 143" xfId="27734"/>
    <cellStyle name="超链接 144" xfId="27735"/>
    <cellStyle name="超链接 145" xfId="27736"/>
    <cellStyle name="超链接 146" xfId="27737"/>
    <cellStyle name="超链接 147" xfId="27738"/>
    <cellStyle name="超链接 148" xfId="27739"/>
    <cellStyle name="超链接 149" xfId="27740"/>
    <cellStyle name="超链接 15" xfId="27741"/>
    <cellStyle name="超链接 150" xfId="27742"/>
    <cellStyle name="超链接 151" xfId="27743"/>
    <cellStyle name="超链接 152" xfId="27744"/>
    <cellStyle name="超链接 153" xfId="27745"/>
    <cellStyle name="超链接 154" xfId="27746"/>
    <cellStyle name="超链接 155" xfId="27747"/>
    <cellStyle name="超链接 156" xfId="27748"/>
    <cellStyle name="超链接 157" xfId="27749"/>
    <cellStyle name="超链接 158" xfId="27750"/>
    <cellStyle name="超链接 159" xfId="27751"/>
    <cellStyle name="超链接 16" xfId="27752"/>
    <cellStyle name="超链接 160" xfId="27753"/>
    <cellStyle name="超链接 161" xfId="27754"/>
    <cellStyle name="超链接 162" xfId="27755"/>
    <cellStyle name="超链接 163" xfId="27756"/>
    <cellStyle name="超链接 164" xfId="27757"/>
    <cellStyle name="超链接 165" xfId="27758"/>
    <cellStyle name="超链接 166" xfId="27759"/>
    <cellStyle name="超链接 167" xfId="27760"/>
    <cellStyle name="超链接 168" xfId="27761"/>
    <cellStyle name="超链接 169" xfId="27762"/>
    <cellStyle name="超链接 17" xfId="27763"/>
    <cellStyle name="超链接 170" xfId="27764"/>
    <cellStyle name="超链接 171" xfId="27765"/>
    <cellStyle name="超链接 172" xfId="27766"/>
    <cellStyle name="超链接 173" xfId="27767"/>
    <cellStyle name="超链接 174" xfId="27768"/>
    <cellStyle name="超链接 175" xfId="27769"/>
    <cellStyle name="超链接 176" xfId="27770"/>
    <cellStyle name="超链接 177" xfId="27771"/>
    <cellStyle name="超链接 178" xfId="27772"/>
    <cellStyle name="超链接 179" xfId="27773"/>
    <cellStyle name="超链接 18" xfId="27774"/>
    <cellStyle name="超链接 180" xfId="27775"/>
    <cellStyle name="超链接 181" xfId="27776"/>
    <cellStyle name="超链接 182" xfId="27777"/>
    <cellStyle name="超链接 183" xfId="27778"/>
    <cellStyle name="超链接 184" xfId="27779"/>
    <cellStyle name="超链接 185" xfId="27780"/>
    <cellStyle name="超链接 186" xfId="27781"/>
    <cellStyle name="超链接 187" xfId="27782"/>
    <cellStyle name="超链接 188" xfId="27783"/>
    <cellStyle name="超链接 189" xfId="27784"/>
    <cellStyle name="超链接 19" xfId="27785"/>
    <cellStyle name="超链接 190" xfId="27786"/>
    <cellStyle name="超链接 191" xfId="27787"/>
    <cellStyle name="超链接 192" xfId="27788"/>
    <cellStyle name="超链接 193" xfId="27789"/>
    <cellStyle name="超链接 194" xfId="27790"/>
    <cellStyle name="超链接 195" xfId="27791"/>
    <cellStyle name="超链接 196" xfId="27792"/>
    <cellStyle name="超链接 197" xfId="27793"/>
    <cellStyle name="超链接 198" xfId="27794"/>
    <cellStyle name="超链接 199" xfId="27795"/>
    <cellStyle name="超链接 2" xfId="27796"/>
    <cellStyle name="超链接 2 2" xfId="27797"/>
    <cellStyle name="超链接 20" xfId="27798"/>
    <cellStyle name="超链接 200" xfId="27799"/>
    <cellStyle name="超链接 201" xfId="27800"/>
    <cellStyle name="超链接 202" xfId="27801"/>
    <cellStyle name="超链接 203" xfId="27802"/>
    <cellStyle name="超链接 204" xfId="27803"/>
    <cellStyle name="超链接 205" xfId="27804"/>
    <cellStyle name="超链接 206" xfId="27805"/>
    <cellStyle name="超链接 207" xfId="27806"/>
    <cellStyle name="超链接 208" xfId="27807"/>
    <cellStyle name="超链接 209" xfId="27808"/>
    <cellStyle name="超链接 21" xfId="27809"/>
    <cellStyle name="超链接 210" xfId="27810"/>
    <cellStyle name="超链接 211" xfId="27811"/>
    <cellStyle name="超链接 212" xfId="27812"/>
    <cellStyle name="超链接 213" xfId="27813"/>
    <cellStyle name="超链接 214" xfId="27814"/>
    <cellStyle name="超链接 215" xfId="27815"/>
    <cellStyle name="超链接 216" xfId="27816"/>
    <cellStyle name="超链接 217" xfId="27817"/>
    <cellStyle name="超链接 218" xfId="27818"/>
    <cellStyle name="超链接 219" xfId="27819"/>
    <cellStyle name="超链接 22" xfId="27820"/>
    <cellStyle name="超链接 220" xfId="27821"/>
    <cellStyle name="超链接 221" xfId="27822"/>
    <cellStyle name="超链接 222" xfId="27823"/>
    <cellStyle name="超链接 223" xfId="27824"/>
    <cellStyle name="超链接 224" xfId="27825"/>
    <cellStyle name="超链接 225" xfId="27826"/>
    <cellStyle name="超链接 226" xfId="27827"/>
    <cellStyle name="超链接 227" xfId="27828"/>
    <cellStyle name="超链接 228" xfId="27829"/>
    <cellStyle name="超链接 229" xfId="27830"/>
    <cellStyle name="超链接 23" xfId="27831"/>
    <cellStyle name="超链接 230" xfId="27832"/>
    <cellStyle name="超链接 231" xfId="27833"/>
    <cellStyle name="超链接 232" xfId="27834"/>
    <cellStyle name="超链接 233" xfId="27835"/>
    <cellStyle name="超链接 234" xfId="27836"/>
    <cellStyle name="超链接 235" xfId="27837"/>
    <cellStyle name="超链接 236" xfId="27838"/>
    <cellStyle name="超链接 237" xfId="27839"/>
    <cellStyle name="超链接 238" xfId="27840"/>
    <cellStyle name="超链接 239" xfId="27841"/>
    <cellStyle name="超链接 24" xfId="27842"/>
    <cellStyle name="超链接 240" xfId="27843"/>
    <cellStyle name="超链接 241" xfId="27844"/>
    <cellStyle name="超链接 242" xfId="27845"/>
    <cellStyle name="超链接 243" xfId="27846"/>
    <cellStyle name="超链接 244" xfId="27847"/>
    <cellStyle name="超链接 245" xfId="27848"/>
    <cellStyle name="超链接 246" xfId="27849"/>
    <cellStyle name="超链接 247" xfId="27850"/>
    <cellStyle name="超链接 248" xfId="27851"/>
    <cellStyle name="超链接 249" xfId="27852"/>
    <cellStyle name="超链接 25" xfId="27853"/>
    <cellStyle name="超链接 250" xfId="27854"/>
    <cellStyle name="超链接 251" xfId="27855"/>
    <cellStyle name="超链接 252" xfId="27856"/>
    <cellStyle name="超链接 253" xfId="27857"/>
    <cellStyle name="超链接 254" xfId="27858"/>
    <cellStyle name="超链接 255" xfId="27859"/>
    <cellStyle name="超链接 256" xfId="27860"/>
    <cellStyle name="超链接 257" xfId="27861"/>
    <cellStyle name="超链接 258" xfId="27862"/>
    <cellStyle name="超链接 259" xfId="27863"/>
    <cellStyle name="超链接 26" xfId="27864"/>
    <cellStyle name="超链接 260" xfId="27865"/>
    <cellStyle name="超链接 261" xfId="27866"/>
    <cellStyle name="超链接 262" xfId="27867"/>
    <cellStyle name="超链接 263" xfId="27868"/>
    <cellStyle name="超链接 264" xfId="27869"/>
    <cellStyle name="超链接 265" xfId="27870"/>
    <cellStyle name="超链接 266" xfId="27871"/>
    <cellStyle name="超链接 267" xfId="27872"/>
    <cellStyle name="超链接 268" xfId="27873"/>
    <cellStyle name="超链接 269" xfId="27874"/>
    <cellStyle name="超链接 27" xfId="27875"/>
    <cellStyle name="超链接 270" xfId="27876"/>
    <cellStyle name="超链接 271" xfId="27877"/>
    <cellStyle name="超链接 272" xfId="27878"/>
    <cellStyle name="超链接 273" xfId="27879"/>
    <cellStyle name="超链接 274" xfId="27880"/>
    <cellStyle name="超链接 275" xfId="27881"/>
    <cellStyle name="超链接 276" xfId="27882"/>
    <cellStyle name="超链接 277" xfId="27883"/>
    <cellStyle name="超链接 278" xfId="27884"/>
    <cellStyle name="超链接 279" xfId="27885"/>
    <cellStyle name="超链接 28" xfId="27886"/>
    <cellStyle name="超链接 280" xfId="27887"/>
    <cellStyle name="超链接 281" xfId="27888"/>
    <cellStyle name="超链接 282" xfId="27889"/>
    <cellStyle name="超链接 283" xfId="27890"/>
    <cellStyle name="超链接 284" xfId="27891"/>
    <cellStyle name="超链接 285" xfId="27892"/>
    <cellStyle name="超链接 286" xfId="27893"/>
    <cellStyle name="超链接 287" xfId="27894"/>
    <cellStyle name="超链接 288" xfId="27895"/>
    <cellStyle name="超链接 289" xfId="27896"/>
    <cellStyle name="超链接 29" xfId="27897"/>
    <cellStyle name="超链接 290" xfId="27898"/>
    <cellStyle name="超链接 291" xfId="27899"/>
    <cellStyle name="超链接 292" xfId="27900"/>
    <cellStyle name="超链接 293" xfId="27901"/>
    <cellStyle name="超链接 294" xfId="27902"/>
    <cellStyle name="超链接 295" xfId="27903"/>
    <cellStyle name="超链接 296" xfId="27904"/>
    <cellStyle name="超链接 297" xfId="27905"/>
    <cellStyle name="超链接 298" xfId="27906"/>
    <cellStyle name="超链接 299" xfId="27907"/>
    <cellStyle name="超链接 3" xfId="27908"/>
    <cellStyle name="超链接 30" xfId="27909"/>
    <cellStyle name="超链接 300" xfId="27910"/>
    <cellStyle name="超链接 301" xfId="27911"/>
    <cellStyle name="超链接 302" xfId="27912"/>
    <cellStyle name="超链接 303" xfId="27913"/>
    <cellStyle name="超链接 304" xfId="27914"/>
    <cellStyle name="超链接 305" xfId="27915"/>
    <cellStyle name="超链接 306" xfId="27916"/>
    <cellStyle name="超链接 307" xfId="27917"/>
    <cellStyle name="超链接 308" xfId="27918"/>
    <cellStyle name="超链接 309" xfId="27919"/>
    <cellStyle name="超链接 31" xfId="27920"/>
    <cellStyle name="超链接 310" xfId="27921"/>
    <cellStyle name="超链接 311" xfId="27922"/>
    <cellStyle name="超链接 312" xfId="27923"/>
    <cellStyle name="超链接 313" xfId="27924"/>
    <cellStyle name="超链接 314" xfId="27925"/>
    <cellStyle name="超链接 315" xfId="27926"/>
    <cellStyle name="超链接 316" xfId="27927"/>
    <cellStyle name="超链接 317" xfId="27928"/>
    <cellStyle name="超链接 318" xfId="27929"/>
    <cellStyle name="超链接 319" xfId="27930"/>
    <cellStyle name="超链接 32" xfId="27931"/>
    <cellStyle name="超链接 320" xfId="27932"/>
    <cellStyle name="超链接 321" xfId="27933"/>
    <cellStyle name="超链接 322" xfId="27934"/>
    <cellStyle name="超链接 323" xfId="27935"/>
    <cellStyle name="超链接 324" xfId="27936"/>
    <cellStyle name="超链接 325" xfId="27937"/>
    <cellStyle name="超链接 326" xfId="27938"/>
    <cellStyle name="超链接 327" xfId="27939"/>
    <cellStyle name="超链接 328" xfId="27940"/>
    <cellStyle name="超链接 329" xfId="27941"/>
    <cellStyle name="超链接 33" xfId="27942"/>
    <cellStyle name="超链接 330" xfId="27943"/>
    <cellStyle name="超链接 331" xfId="27944"/>
    <cellStyle name="超链接 332" xfId="27945"/>
    <cellStyle name="超链接 333" xfId="27946"/>
    <cellStyle name="超链接 334" xfId="27947"/>
    <cellStyle name="超链接 335" xfId="27948"/>
    <cellStyle name="超链接 336" xfId="27949"/>
    <cellStyle name="超链接 337" xfId="27950"/>
    <cellStyle name="超链接 338" xfId="27951"/>
    <cellStyle name="超链接 339" xfId="27952"/>
    <cellStyle name="超链接 34" xfId="27953"/>
    <cellStyle name="超链接 340" xfId="27954"/>
    <cellStyle name="超链接 341" xfId="27955"/>
    <cellStyle name="超链接 342" xfId="27956"/>
    <cellStyle name="超链接 343" xfId="27957"/>
    <cellStyle name="超链接 344" xfId="27958"/>
    <cellStyle name="超链接 345" xfId="27959"/>
    <cellStyle name="超链接 346" xfId="27960"/>
    <cellStyle name="超链接 347" xfId="27961"/>
    <cellStyle name="超链接 348" xfId="27962"/>
    <cellStyle name="超链接 349" xfId="27963"/>
    <cellStyle name="超链接 35" xfId="27964"/>
    <cellStyle name="超链接 350" xfId="27965"/>
    <cellStyle name="超链接 351" xfId="27966"/>
    <cellStyle name="超链接 352" xfId="27967"/>
    <cellStyle name="超链接 353" xfId="27968"/>
    <cellStyle name="超链接 354" xfId="27969"/>
    <cellStyle name="超链接 355" xfId="27970"/>
    <cellStyle name="超链接 356" xfId="27971"/>
    <cellStyle name="超链接 357" xfId="27972"/>
    <cellStyle name="超链接 358" xfId="27973"/>
    <cellStyle name="超链接 359" xfId="27974"/>
    <cellStyle name="超链接 36" xfId="27975"/>
    <cellStyle name="超链接 360" xfId="27976"/>
    <cellStyle name="超链接 361" xfId="27977"/>
    <cellStyle name="超链接 362" xfId="27978"/>
    <cellStyle name="超链接 363" xfId="27979"/>
    <cellStyle name="超链接 364" xfId="27980"/>
    <cellStyle name="超链接 365" xfId="27981"/>
    <cellStyle name="超链接 366" xfId="27982"/>
    <cellStyle name="超链接 367" xfId="27983"/>
    <cellStyle name="超链接 368" xfId="27984"/>
    <cellStyle name="超链接 369" xfId="27985"/>
    <cellStyle name="超链接 37" xfId="27986"/>
    <cellStyle name="超链接 370" xfId="27987"/>
    <cellStyle name="超链接 371" xfId="27988"/>
    <cellStyle name="超链接 372" xfId="27989"/>
    <cellStyle name="超链接 373" xfId="27990"/>
    <cellStyle name="超链接 374" xfId="27991"/>
    <cellStyle name="超链接 375" xfId="27992"/>
    <cellStyle name="超链接 376" xfId="27993"/>
    <cellStyle name="超链接 377" xfId="27994"/>
    <cellStyle name="超链接 378" xfId="27995"/>
    <cellStyle name="超链接 379" xfId="27996"/>
    <cellStyle name="超链接 38" xfId="27997"/>
    <cellStyle name="超链接 380" xfId="27998"/>
    <cellStyle name="超链接 381" xfId="27999"/>
    <cellStyle name="超链接 382" xfId="28000"/>
    <cellStyle name="超链接 383" xfId="28001"/>
    <cellStyle name="超链接 384" xfId="28002"/>
    <cellStyle name="超链接 385" xfId="28003"/>
    <cellStyle name="超链接 386" xfId="28004"/>
    <cellStyle name="超链接 387" xfId="28005"/>
    <cellStyle name="超链接 388" xfId="28006"/>
    <cellStyle name="超链接 389" xfId="28007"/>
    <cellStyle name="超链接 39" xfId="28008"/>
    <cellStyle name="超链接 390" xfId="28009"/>
    <cellStyle name="超链接 391" xfId="28010"/>
    <cellStyle name="超链接 392" xfId="28011"/>
    <cellStyle name="超链接 393" xfId="28012"/>
    <cellStyle name="超链接 394" xfId="28013"/>
    <cellStyle name="超链接 395" xfId="28014"/>
    <cellStyle name="超链接 396" xfId="28015"/>
    <cellStyle name="超链接 397" xfId="28016"/>
    <cellStyle name="超链接 398" xfId="28017"/>
    <cellStyle name="超链接 399" xfId="28018"/>
    <cellStyle name="超链接 4" xfId="28019"/>
    <cellStyle name="超链接 40" xfId="28020"/>
    <cellStyle name="超链接 400" xfId="28021"/>
    <cellStyle name="超链接 401" xfId="28022"/>
    <cellStyle name="超链接 402" xfId="28023"/>
    <cellStyle name="超链接 403" xfId="28024"/>
    <cellStyle name="超链接 404" xfId="28025"/>
    <cellStyle name="超链接 405" xfId="28026"/>
    <cellStyle name="超链接 406" xfId="28027"/>
    <cellStyle name="超链接 407" xfId="28028"/>
    <cellStyle name="超链接 408" xfId="28029"/>
    <cellStyle name="超链接 409" xfId="28030"/>
    <cellStyle name="超链接 41" xfId="28031"/>
    <cellStyle name="超链接 410" xfId="28032"/>
    <cellStyle name="超链接 411" xfId="28033"/>
    <cellStyle name="超链接 412" xfId="28034"/>
    <cellStyle name="超链接 413" xfId="28035"/>
    <cellStyle name="超链接 414" xfId="28036"/>
    <cellStyle name="超链接 415" xfId="28037"/>
    <cellStyle name="超链接 416" xfId="28038"/>
    <cellStyle name="超链接 417" xfId="28039"/>
    <cellStyle name="超链接 418" xfId="28040"/>
    <cellStyle name="超链接 419" xfId="28041"/>
    <cellStyle name="超链接 42" xfId="28042"/>
    <cellStyle name="超链接 420" xfId="28043"/>
    <cellStyle name="超链接 421" xfId="28044"/>
    <cellStyle name="超链接 422" xfId="28045"/>
    <cellStyle name="超链接 423" xfId="28046"/>
    <cellStyle name="超链接 424" xfId="28047"/>
    <cellStyle name="超链接 425" xfId="28048"/>
    <cellStyle name="超链接 426" xfId="28049"/>
    <cellStyle name="超链接 427" xfId="28050"/>
    <cellStyle name="超链接 428" xfId="28051"/>
    <cellStyle name="超链接 429" xfId="28052"/>
    <cellStyle name="超链接 43" xfId="28053"/>
    <cellStyle name="超链接 430" xfId="28054"/>
    <cellStyle name="超链接 431" xfId="28055"/>
    <cellStyle name="超链接 432" xfId="28056"/>
    <cellStyle name="超链接 433" xfId="28057"/>
    <cellStyle name="超链接 434" xfId="28058"/>
    <cellStyle name="超链接 435" xfId="28059"/>
    <cellStyle name="超链接 436" xfId="28060"/>
    <cellStyle name="超链接 437" xfId="28061"/>
    <cellStyle name="超链接 438" xfId="28062"/>
    <cellStyle name="超链接 439" xfId="28063"/>
    <cellStyle name="超链接 44" xfId="28064"/>
    <cellStyle name="超链接 440" xfId="28065"/>
    <cellStyle name="超链接 441" xfId="28066"/>
    <cellStyle name="超链接 442" xfId="28067"/>
    <cellStyle name="超链接 443" xfId="28068"/>
    <cellStyle name="超链接 444" xfId="28069"/>
    <cellStyle name="超链接 445" xfId="28070"/>
    <cellStyle name="超链接 446" xfId="28071"/>
    <cellStyle name="超链接 447" xfId="28072"/>
    <cellStyle name="超链接 448" xfId="28073"/>
    <cellStyle name="超链接 449" xfId="28074"/>
    <cellStyle name="超链接 45" xfId="28075"/>
    <cellStyle name="超链接 450" xfId="28076"/>
    <cellStyle name="超链接 451" xfId="28077"/>
    <cellStyle name="超链接 452" xfId="28078"/>
    <cellStyle name="超链接 453" xfId="28079"/>
    <cellStyle name="超链接 454" xfId="28080"/>
    <cellStyle name="超链接 455" xfId="28081"/>
    <cellStyle name="超链接 456" xfId="28082"/>
    <cellStyle name="超链接 457" xfId="28083"/>
    <cellStyle name="超链接 458" xfId="28084"/>
    <cellStyle name="超链接 459" xfId="28085"/>
    <cellStyle name="超链接 46" xfId="28086"/>
    <cellStyle name="超链接 460" xfId="28087"/>
    <cellStyle name="超链接 461" xfId="28088"/>
    <cellStyle name="超链接 462" xfId="28089"/>
    <cellStyle name="超链接 463" xfId="28090"/>
    <cellStyle name="超链接 464" xfId="28091"/>
    <cellStyle name="超链接 465" xfId="28092"/>
    <cellStyle name="超链接 466" xfId="28093"/>
    <cellStyle name="超链接 467" xfId="28094"/>
    <cellStyle name="超链接 468" xfId="28095"/>
    <cellStyle name="超链接 469" xfId="28096"/>
    <cellStyle name="超链接 47" xfId="28097"/>
    <cellStyle name="超链接 470" xfId="28098"/>
    <cellStyle name="超链接 471" xfId="28099"/>
    <cellStyle name="超链接 472" xfId="28100"/>
    <cellStyle name="超链接 473" xfId="28101"/>
    <cellStyle name="超链接 474" xfId="28102"/>
    <cellStyle name="超链接 475" xfId="28103"/>
    <cellStyle name="超链接 476" xfId="28104"/>
    <cellStyle name="超链接 477" xfId="28105"/>
    <cellStyle name="超链接 478" xfId="28106"/>
    <cellStyle name="超链接 479" xfId="28107"/>
    <cellStyle name="超链接 48" xfId="28108"/>
    <cellStyle name="超链接 480" xfId="28109"/>
    <cellStyle name="超链接 481" xfId="28110"/>
    <cellStyle name="超链接 482" xfId="28111"/>
    <cellStyle name="超链接 483" xfId="28112"/>
    <cellStyle name="超链接 484" xfId="28113"/>
    <cellStyle name="超链接 485" xfId="28114"/>
    <cellStyle name="超链接 486" xfId="28115"/>
    <cellStyle name="超链接 487" xfId="28116"/>
    <cellStyle name="超链接 488" xfId="28117"/>
    <cellStyle name="超链接 489" xfId="28118"/>
    <cellStyle name="超链接 49" xfId="28119"/>
    <cellStyle name="超链接 490" xfId="28120"/>
    <cellStyle name="超链接 491" xfId="28121"/>
    <cellStyle name="超链接 492" xfId="28122"/>
    <cellStyle name="超链接 493" xfId="28123"/>
    <cellStyle name="超链接 494" xfId="28124"/>
    <cellStyle name="超链接 495" xfId="28125"/>
    <cellStyle name="超链接 496" xfId="28126"/>
    <cellStyle name="超链接 497" xfId="28127"/>
    <cellStyle name="超链接 498" xfId="28128"/>
    <cellStyle name="超链接 499" xfId="28129"/>
    <cellStyle name="超链接 5" xfId="28130"/>
    <cellStyle name="超链接 50" xfId="28131"/>
    <cellStyle name="超链接 500" xfId="28132"/>
    <cellStyle name="超链接 501" xfId="28133"/>
    <cellStyle name="超链接 502" xfId="28134"/>
    <cellStyle name="超链接 503" xfId="28135"/>
    <cellStyle name="超链接 504" xfId="28136"/>
    <cellStyle name="超链接 505" xfId="28137"/>
    <cellStyle name="超链接 506" xfId="28138"/>
    <cellStyle name="超链接 507" xfId="28139"/>
    <cellStyle name="超链接 508" xfId="28140"/>
    <cellStyle name="超链接 509" xfId="28141"/>
    <cellStyle name="超链接 51" xfId="28142"/>
    <cellStyle name="超链接 510" xfId="28143"/>
    <cellStyle name="超链接 511" xfId="28144"/>
    <cellStyle name="超链接 512" xfId="28145"/>
    <cellStyle name="超链接 513" xfId="28146"/>
    <cellStyle name="超链接 514" xfId="28147"/>
    <cellStyle name="超链接 515" xfId="28148"/>
    <cellStyle name="超链接 516" xfId="28149"/>
    <cellStyle name="超链接 517" xfId="28150"/>
    <cellStyle name="超链接 518" xfId="28151"/>
    <cellStyle name="超链接 519" xfId="28152"/>
    <cellStyle name="超链接 52" xfId="28153"/>
    <cellStyle name="超链接 520" xfId="28154"/>
    <cellStyle name="超链接 521" xfId="28155"/>
    <cellStyle name="超链接 522" xfId="28156"/>
    <cellStyle name="超链接 523" xfId="28157"/>
    <cellStyle name="超链接 524" xfId="28158"/>
    <cellStyle name="超链接 525" xfId="28159"/>
    <cellStyle name="超链接 526" xfId="28160"/>
    <cellStyle name="超链接 527" xfId="28161"/>
    <cellStyle name="超链接 528" xfId="28162"/>
    <cellStyle name="超链接 529" xfId="28163"/>
    <cellStyle name="超链接 53" xfId="28164"/>
    <cellStyle name="超链接 530" xfId="28165"/>
    <cellStyle name="超链接 531" xfId="28166"/>
    <cellStyle name="超链接 532" xfId="28167"/>
    <cellStyle name="超链接 533" xfId="28168"/>
    <cellStyle name="超链接 534" xfId="28169"/>
    <cellStyle name="超链接 535" xfId="28170"/>
    <cellStyle name="超链接 536" xfId="28171"/>
    <cellStyle name="超链接 537" xfId="28172"/>
    <cellStyle name="超链接 538" xfId="28173"/>
    <cellStyle name="超链接 539" xfId="28174"/>
    <cellStyle name="超链接 54" xfId="28175"/>
    <cellStyle name="超链接 540" xfId="28176"/>
    <cellStyle name="超链接 541" xfId="28177"/>
    <cellStyle name="超链接 542" xfId="28178"/>
    <cellStyle name="超链接 543" xfId="28179"/>
    <cellStyle name="超链接 544" xfId="28180"/>
    <cellStyle name="超链接 545" xfId="28181"/>
    <cellStyle name="超链接 546" xfId="28182"/>
    <cellStyle name="超链接 547" xfId="28183"/>
    <cellStyle name="超链接 548" xfId="28184"/>
    <cellStyle name="超链接 549" xfId="28185"/>
    <cellStyle name="超链接 55" xfId="28186"/>
    <cellStyle name="超链接 550" xfId="28187"/>
    <cellStyle name="超链接 551" xfId="28188"/>
    <cellStyle name="超链接 552" xfId="28189"/>
    <cellStyle name="超链接 553" xfId="28190"/>
    <cellStyle name="超链接 554" xfId="28191"/>
    <cellStyle name="超链接 555" xfId="28192"/>
    <cellStyle name="超链接 556" xfId="28193"/>
    <cellStyle name="超链接 557" xfId="28194"/>
    <cellStyle name="超链接 558" xfId="28195"/>
    <cellStyle name="超链接 559" xfId="28196"/>
    <cellStyle name="超链接 56" xfId="28197"/>
    <cellStyle name="超链接 560" xfId="28198"/>
    <cellStyle name="超链接 561" xfId="28199"/>
    <cellStyle name="超链接 562" xfId="28200"/>
    <cellStyle name="超链接 563" xfId="28201"/>
    <cellStyle name="超链接 564" xfId="28202"/>
    <cellStyle name="超链接 565" xfId="28203"/>
    <cellStyle name="超链接 566" xfId="28204"/>
    <cellStyle name="超链接 567" xfId="28205"/>
    <cellStyle name="超链接 568" xfId="28206"/>
    <cellStyle name="超链接 569" xfId="28207"/>
    <cellStyle name="超链接 57" xfId="28208"/>
    <cellStyle name="超链接 570" xfId="28209"/>
    <cellStyle name="超链接 571" xfId="28210"/>
    <cellStyle name="超链接 572" xfId="28211"/>
    <cellStyle name="超链接 573" xfId="28212"/>
    <cellStyle name="超链接 574" xfId="28213"/>
    <cellStyle name="超链接 575" xfId="28214"/>
    <cellStyle name="超链接 576" xfId="28215"/>
    <cellStyle name="超链接 577" xfId="28216"/>
    <cellStyle name="超链接 578" xfId="28217"/>
    <cellStyle name="超链接 579" xfId="28218"/>
    <cellStyle name="超链接 58" xfId="28219"/>
    <cellStyle name="超链接 580" xfId="28220"/>
    <cellStyle name="超链接 581" xfId="28221"/>
    <cellStyle name="超链接 582" xfId="28222"/>
    <cellStyle name="超链接 583" xfId="28223"/>
    <cellStyle name="超链接 584" xfId="28224"/>
    <cellStyle name="超链接 585" xfId="28225"/>
    <cellStyle name="超链接 586" xfId="28226"/>
    <cellStyle name="超链接 587" xfId="28227"/>
    <cellStyle name="超链接 588" xfId="28228"/>
    <cellStyle name="超链接 589" xfId="28229"/>
    <cellStyle name="超链接 59" xfId="28230"/>
    <cellStyle name="超链接 590" xfId="28231"/>
    <cellStyle name="超链接 591" xfId="28232"/>
    <cellStyle name="超链接 592" xfId="28233"/>
    <cellStyle name="超链接 593" xfId="28234"/>
    <cellStyle name="超链接 594" xfId="28235"/>
    <cellStyle name="超链接 595" xfId="28236"/>
    <cellStyle name="超链接 596" xfId="28237"/>
    <cellStyle name="超链接 597" xfId="28238"/>
    <cellStyle name="超链接 598" xfId="28239"/>
    <cellStyle name="超链接 599" xfId="28240"/>
    <cellStyle name="超链接 6" xfId="28241"/>
    <cellStyle name="超链接 60" xfId="28242"/>
    <cellStyle name="超链接 600" xfId="28243"/>
    <cellStyle name="超链接 601" xfId="28244"/>
    <cellStyle name="超链接 602" xfId="28245"/>
    <cellStyle name="超链接 603" xfId="28246"/>
    <cellStyle name="超链接 604" xfId="28247"/>
    <cellStyle name="超链接 605" xfId="28248"/>
    <cellStyle name="超链接 606" xfId="28249"/>
    <cellStyle name="超链接 607" xfId="28250"/>
    <cellStyle name="超链接 608" xfId="28251"/>
    <cellStyle name="超链接 609" xfId="28252"/>
    <cellStyle name="超链接 61" xfId="28253"/>
    <cellStyle name="超链接 610" xfId="28254"/>
    <cellStyle name="超链接 611" xfId="28255"/>
    <cellStyle name="超链接 612" xfId="28256"/>
    <cellStyle name="超链接 613" xfId="28257"/>
    <cellStyle name="超链接 614" xfId="28258"/>
    <cellStyle name="超链接 615" xfId="28259"/>
    <cellStyle name="超链接 616" xfId="28260"/>
    <cellStyle name="超链接 617" xfId="28261"/>
    <cellStyle name="超链接 618" xfId="28262"/>
    <cellStyle name="超链接 619" xfId="28263"/>
    <cellStyle name="超链接 62" xfId="28264"/>
    <cellStyle name="超链接 620" xfId="28265"/>
    <cellStyle name="超链接 621" xfId="28266"/>
    <cellStyle name="超链接 622" xfId="28267"/>
    <cellStyle name="超链接 623" xfId="28268"/>
    <cellStyle name="超链接 624" xfId="28269"/>
    <cellStyle name="超链接 625" xfId="28270"/>
    <cellStyle name="超链接 626" xfId="28271"/>
    <cellStyle name="超链接 627" xfId="28272"/>
    <cellStyle name="超链接 628" xfId="28273"/>
    <cellStyle name="超链接 629" xfId="28274"/>
    <cellStyle name="超链接 63" xfId="28275"/>
    <cellStyle name="超链接 630" xfId="28276"/>
    <cellStyle name="超链接 631" xfId="28277"/>
    <cellStyle name="超链接 632" xfId="28278"/>
    <cellStyle name="超链接 633" xfId="28279"/>
    <cellStyle name="超链接 634" xfId="28280"/>
    <cellStyle name="超链接 635" xfId="28281"/>
    <cellStyle name="超链接 636" xfId="28282"/>
    <cellStyle name="超链接 637" xfId="28283"/>
    <cellStyle name="超链接 638" xfId="28284"/>
    <cellStyle name="超链接 639" xfId="28285"/>
    <cellStyle name="超链接 64" xfId="28286"/>
    <cellStyle name="超链接 640" xfId="28287"/>
    <cellStyle name="超链接 641" xfId="28288"/>
    <cellStyle name="超链接 642" xfId="28289"/>
    <cellStyle name="超链接 643" xfId="28290"/>
    <cellStyle name="超链接 644" xfId="28291"/>
    <cellStyle name="超链接 645" xfId="28292"/>
    <cellStyle name="超链接 646" xfId="28293"/>
    <cellStyle name="超链接 647" xfId="28294"/>
    <cellStyle name="超链接 648" xfId="28295"/>
    <cellStyle name="超链接 649" xfId="28296"/>
    <cellStyle name="超链接 65" xfId="28297"/>
    <cellStyle name="超链接 650" xfId="28298"/>
    <cellStyle name="超链接 651" xfId="28299"/>
    <cellStyle name="超链接 652" xfId="28300"/>
    <cellStyle name="超链接 653" xfId="28301"/>
    <cellStyle name="超链接 654" xfId="28302"/>
    <cellStyle name="超链接 655" xfId="28303"/>
    <cellStyle name="超链接 656" xfId="28304"/>
    <cellStyle name="超链接 657" xfId="28305"/>
    <cellStyle name="超链接 658" xfId="28306"/>
    <cellStyle name="超链接 659" xfId="28307"/>
    <cellStyle name="超链接 66" xfId="28308"/>
    <cellStyle name="超链接 660" xfId="28309"/>
    <cellStyle name="超链接 661" xfId="28310"/>
    <cellStyle name="超链接 662" xfId="28311"/>
    <cellStyle name="超链接 663" xfId="28312"/>
    <cellStyle name="超链接 664" xfId="28313"/>
    <cellStyle name="超链接 665" xfId="28314"/>
    <cellStyle name="超链接 666" xfId="28315"/>
    <cellStyle name="超链接 667" xfId="28316"/>
    <cellStyle name="超链接 668" xfId="28317"/>
    <cellStyle name="超链接 669" xfId="28318"/>
    <cellStyle name="超链接 67" xfId="28319"/>
    <cellStyle name="超链接 670" xfId="28320"/>
    <cellStyle name="超链接 671" xfId="28321"/>
    <cellStyle name="超链接 672" xfId="28322"/>
    <cellStyle name="超链接 673" xfId="28323"/>
    <cellStyle name="超链接 674" xfId="28324"/>
    <cellStyle name="超链接 675" xfId="28325"/>
    <cellStyle name="超链接 676" xfId="28326"/>
    <cellStyle name="超链接 677" xfId="28327"/>
    <cellStyle name="超链接 678" xfId="28328"/>
    <cellStyle name="超链接 679" xfId="28329"/>
    <cellStyle name="超链接 68" xfId="28330"/>
    <cellStyle name="超链接 680" xfId="28331"/>
    <cellStyle name="超链接 681" xfId="28332"/>
    <cellStyle name="超链接 682" xfId="28333"/>
    <cellStyle name="超链接 683" xfId="28334"/>
    <cellStyle name="超链接 684" xfId="28335"/>
    <cellStyle name="超链接 685" xfId="28336"/>
    <cellStyle name="超链接 686" xfId="28337"/>
    <cellStyle name="超链接 687" xfId="28338"/>
    <cellStyle name="超链接 688" xfId="28339"/>
    <cellStyle name="超链接 689" xfId="28340"/>
    <cellStyle name="超链接 69" xfId="28341"/>
    <cellStyle name="超链接 690" xfId="28342"/>
    <cellStyle name="超链接 691" xfId="28343"/>
    <cellStyle name="超链接 692" xfId="28344"/>
    <cellStyle name="超链接 693" xfId="28345"/>
    <cellStyle name="超链接 694" xfId="28346"/>
    <cellStyle name="超链接 695" xfId="28347"/>
    <cellStyle name="超链接 696" xfId="28348"/>
    <cellStyle name="超链接 697" xfId="28349"/>
    <cellStyle name="超链接 698" xfId="28350"/>
    <cellStyle name="超链接 699" xfId="28351"/>
    <cellStyle name="超链接 7" xfId="28352"/>
    <cellStyle name="超链接 70" xfId="28353"/>
    <cellStyle name="超链接 700" xfId="28354"/>
    <cellStyle name="超链接 701" xfId="28355"/>
    <cellStyle name="超链接 702" xfId="28356"/>
    <cellStyle name="超链接 703" xfId="28357"/>
    <cellStyle name="超链接 704" xfId="28358"/>
    <cellStyle name="超链接 705" xfId="28359"/>
    <cellStyle name="超链接 706" xfId="28360"/>
    <cellStyle name="超链接 707" xfId="28361"/>
    <cellStyle name="超链接 708" xfId="28362"/>
    <cellStyle name="超链接 709" xfId="28363"/>
    <cellStyle name="超链接 71" xfId="28364"/>
    <cellStyle name="超链接 710" xfId="28365"/>
    <cellStyle name="超链接 711" xfId="28366"/>
    <cellStyle name="超链接 712" xfId="28367"/>
    <cellStyle name="超链接 713" xfId="28368"/>
    <cellStyle name="超链接 714" xfId="28369"/>
    <cellStyle name="超链接 715" xfId="28370"/>
    <cellStyle name="超链接 716" xfId="28371"/>
    <cellStyle name="超链接 717" xfId="28372"/>
    <cellStyle name="超链接 718" xfId="28373"/>
    <cellStyle name="超链接 719" xfId="28374"/>
    <cellStyle name="超链接 72" xfId="28375"/>
    <cellStyle name="超链接 720" xfId="28376"/>
    <cellStyle name="超链接 721" xfId="28377"/>
    <cellStyle name="超链接 722" xfId="28378"/>
    <cellStyle name="超链接 723" xfId="28379"/>
    <cellStyle name="超链接 724" xfId="28380"/>
    <cellStyle name="超链接 725" xfId="28381"/>
    <cellStyle name="超链接 726" xfId="28382"/>
    <cellStyle name="超链接 727" xfId="28383"/>
    <cellStyle name="超链接 728" xfId="28384"/>
    <cellStyle name="超链接 729" xfId="28385"/>
    <cellStyle name="超链接 73" xfId="28386"/>
    <cellStyle name="超链接 730" xfId="28387"/>
    <cellStyle name="超链接 731" xfId="28388"/>
    <cellStyle name="超链接 732" xfId="28389"/>
    <cellStyle name="超链接 733" xfId="28390"/>
    <cellStyle name="超链接 734" xfId="28391"/>
    <cellStyle name="超链接 735" xfId="28392"/>
    <cellStyle name="超链接 736" xfId="28393"/>
    <cellStyle name="超链接 737" xfId="28394"/>
    <cellStyle name="超链接 738" xfId="28395"/>
    <cellStyle name="超链接 739" xfId="28396"/>
    <cellStyle name="超链接 74" xfId="28397"/>
    <cellStyle name="超链接 740" xfId="28398"/>
    <cellStyle name="超链接 741" xfId="28399"/>
    <cellStyle name="超链接 742" xfId="28400"/>
    <cellStyle name="超链接 743" xfId="28401"/>
    <cellStyle name="超链接 744" xfId="28402"/>
    <cellStyle name="超链接 745" xfId="28403"/>
    <cellStyle name="超链接 746" xfId="28404"/>
    <cellStyle name="超链接 747" xfId="28405"/>
    <cellStyle name="超链接 748" xfId="28406"/>
    <cellStyle name="超链接 749" xfId="28407"/>
    <cellStyle name="超链接 75" xfId="28408"/>
    <cellStyle name="超链接 750" xfId="28409"/>
    <cellStyle name="超链接 751" xfId="28410"/>
    <cellStyle name="超链接 752" xfId="28411"/>
    <cellStyle name="超链接 753" xfId="28412"/>
    <cellStyle name="超链接 754" xfId="28413"/>
    <cellStyle name="超链接 755" xfId="28414"/>
    <cellStyle name="超链接 756" xfId="28415"/>
    <cellStyle name="超链接 757" xfId="28416"/>
    <cellStyle name="超链接 758" xfId="28417"/>
    <cellStyle name="超链接 759" xfId="28418"/>
    <cellStyle name="超链接 76" xfId="28419"/>
    <cellStyle name="超链接 760" xfId="28420"/>
    <cellStyle name="超链接 761" xfId="28421"/>
    <cellStyle name="超链接 762" xfId="28422"/>
    <cellStyle name="超链接 763" xfId="28423"/>
    <cellStyle name="超链接 764" xfId="28424"/>
    <cellStyle name="超链接 765" xfId="28425"/>
    <cellStyle name="超链接 766" xfId="28426"/>
    <cellStyle name="超链接 767" xfId="28427"/>
    <cellStyle name="超链接 768" xfId="28428"/>
    <cellStyle name="超链接 769" xfId="28429"/>
    <cellStyle name="超链接 77" xfId="28430"/>
    <cellStyle name="超链接 770" xfId="28431"/>
    <cellStyle name="超链接 771" xfId="28432"/>
    <cellStyle name="超链接 772" xfId="28433"/>
    <cellStyle name="超链接 773" xfId="28434"/>
    <cellStyle name="超链接 774" xfId="28435"/>
    <cellStyle name="超链接 775" xfId="28436"/>
    <cellStyle name="超链接 776" xfId="28437"/>
    <cellStyle name="超链接 777" xfId="28438"/>
    <cellStyle name="超链接 778" xfId="28439"/>
    <cellStyle name="超链接 779" xfId="28440"/>
    <cellStyle name="超链接 78" xfId="28441"/>
    <cellStyle name="超链接 780" xfId="28442"/>
    <cellStyle name="超链接 781" xfId="28443"/>
    <cellStyle name="超链接 782" xfId="28444"/>
    <cellStyle name="超链接 783" xfId="28445"/>
    <cellStyle name="超链接 784" xfId="28446"/>
    <cellStyle name="超链接 785" xfId="28447"/>
    <cellStyle name="超链接 786" xfId="28448"/>
    <cellStyle name="超链接 787" xfId="28449"/>
    <cellStyle name="超链接 788" xfId="28450"/>
    <cellStyle name="超链接 789" xfId="28451"/>
    <cellStyle name="超链接 79" xfId="28452"/>
    <cellStyle name="超链接 790" xfId="28453"/>
    <cellStyle name="超链接 791" xfId="28454"/>
    <cellStyle name="超链接 792" xfId="28455"/>
    <cellStyle name="超链接 793" xfId="28456"/>
    <cellStyle name="超链接 794" xfId="28457"/>
    <cellStyle name="超链接 795" xfId="28458"/>
    <cellStyle name="超链接 796" xfId="28459"/>
    <cellStyle name="超链接 797" xfId="28460"/>
    <cellStyle name="超链接 798" xfId="28461"/>
    <cellStyle name="超链接 799" xfId="28462"/>
    <cellStyle name="超链接 8" xfId="28463"/>
    <cellStyle name="超链接 80" xfId="28464"/>
    <cellStyle name="超链接 800" xfId="28465"/>
    <cellStyle name="超链接 801" xfId="28466"/>
    <cellStyle name="超链接 802" xfId="28467"/>
    <cellStyle name="超链接 803" xfId="28468"/>
    <cellStyle name="超链接 804" xfId="28469"/>
    <cellStyle name="超链接 805" xfId="28470"/>
    <cellStyle name="超链接 806" xfId="28471"/>
    <cellStyle name="超链接 807" xfId="28472"/>
    <cellStyle name="超链接 808" xfId="28473"/>
    <cellStyle name="超链接 809" xfId="28474"/>
    <cellStyle name="超链接 81" xfId="28475"/>
    <cellStyle name="超链接 810" xfId="28476"/>
    <cellStyle name="超链接 811" xfId="28477"/>
    <cellStyle name="超链接 812" xfId="28478"/>
    <cellStyle name="超链接 813" xfId="28479"/>
    <cellStyle name="超链接 814" xfId="28480"/>
    <cellStyle name="超链接 815" xfId="28481"/>
    <cellStyle name="超链接 816" xfId="28482"/>
    <cellStyle name="超链接 817" xfId="28483"/>
    <cellStyle name="超链接 818" xfId="28484"/>
    <cellStyle name="超链接 819" xfId="28485"/>
    <cellStyle name="超链接 82" xfId="28486"/>
    <cellStyle name="超链接 820" xfId="28487"/>
    <cellStyle name="超链接 821" xfId="28488"/>
    <cellStyle name="超链接 822" xfId="28489"/>
    <cellStyle name="超链接 823" xfId="28490"/>
    <cellStyle name="超链接 824" xfId="28491"/>
    <cellStyle name="超链接 825" xfId="28492"/>
    <cellStyle name="超链接 826" xfId="28493"/>
    <cellStyle name="超链接 827" xfId="28494"/>
    <cellStyle name="超链接 828" xfId="28495"/>
    <cellStyle name="超链接 829" xfId="28496"/>
    <cellStyle name="超链接 83" xfId="28497"/>
    <cellStyle name="超链接 830" xfId="28498"/>
    <cellStyle name="超链接 831" xfId="28499"/>
    <cellStyle name="超链接 832" xfId="28500"/>
    <cellStyle name="超链接 833" xfId="28501"/>
    <cellStyle name="超链接 834" xfId="28502"/>
    <cellStyle name="超链接 835" xfId="28503"/>
    <cellStyle name="超链接 836" xfId="28504"/>
    <cellStyle name="超链接 837" xfId="28505"/>
    <cellStyle name="超链接 838" xfId="28506"/>
    <cellStyle name="超链接 839" xfId="28507"/>
    <cellStyle name="超链接 84" xfId="28508"/>
    <cellStyle name="超链接 840" xfId="28509"/>
    <cellStyle name="超链接 841" xfId="28510"/>
    <cellStyle name="超链接 842" xfId="28511"/>
    <cellStyle name="超链接 843" xfId="28512"/>
    <cellStyle name="超链接 844" xfId="28513"/>
    <cellStyle name="超链接 845" xfId="28514"/>
    <cellStyle name="超链接 846" xfId="28515"/>
    <cellStyle name="超链接 847" xfId="28516"/>
    <cellStyle name="超链接 848" xfId="28517"/>
    <cellStyle name="超链接 849" xfId="28518"/>
    <cellStyle name="超链接 85" xfId="28519"/>
    <cellStyle name="超链接 850" xfId="28520"/>
    <cellStyle name="超链接 851" xfId="28521"/>
    <cellStyle name="超链接 852" xfId="28522"/>
    <cellStyle name="超链接 853" xfId="28523"/>
    <cellStyle name="超链接 854" xfId="28524"/>
    <cellStyle name="超链接 855" xfId="28525"/>
    <cellStyle name="超链接 856" xfId="28526"/>
    <cellStyle name="超链接 857" xfId="28527"/>
    <cellStyle name="超链接 858" xfId="28528"/>
    <cellStyle name="超链接 859" xfId="28529"/>
    <cellStyle name="超链接 86" xfId="28530"/>
    <cellStyle name="超链接 860" xfId="28531"/>
    <cellStyle name="超链接 861" xfId="28532"/>
    <cellStyle name="超链接 862" xfId="28533"/>
    <cellStyle name="超链接 863" xfId="28534"/>
    <cellStyle name="超链接 864" xfId="28535"/>
    <cellStyle name="超链接 865" xfId="28536"/>
    <cellStyle name="超链接 866" xfId="28537"/>
    <cellStyle name="超链接 867" xfId="28538"/>
    <cellStyle name="超链接 868" xfId="28539"/>
    <cellStyle name="超链接 869" xfId="28540"/>
    <cellStyle name="超链接 87" xfId="28541"/>
    <cellStyle name="超链接 870" xfId="28542"/>
    <cellStyle name="超链接 871" xfId="28543"/>
    <cellStyle name="超链接 872" xfId="28544"/>
    <cellStyle name="超链接 873" xfId="28545"/>
    <cellStyle name="超链接 874" xfId="28546"/>
    <cellStyle name="超链接 875" xfId="28547"/>
    <cellStyle name="超链接 876" xfId="28548"/>
    <cellStyle name="超链接 877" xfId="28549"/>
    <cellStyle name="超链接 878" xfId="28550"/>
    <cellStyle name="超链接 879" xfId="28551"/>
    <cellStyle name="超链接 88" xfId="28552"/>
    <cellStyle name="超链接 880" xfId="28553"/>
    <cellStyle name="超链接 881" xfId="28554"/>
    <cellStyle name="超链接 882" xfId="28555"/>
    <cellStyle name="超链接 883" xfId="28556"/>
    <cellStyle name="超链接 884" xfId="28557"/>
    <cellStyle name="超链接 885" xfId="28558"/>
    <cellStyle name="超链接 886" xfId="28559"/>
    <cellStyle name="超链接 887" xfId="28560"/>
    <cellStyle name="超链接 888" xfId="28561"/>
    <cellStyle name="超链接 889" xfId="28562"/>
    <cellStyle name="超链接 89" xfId="28563"/>
    <cellStyle name="超链接 890" xfId="28564"/>
    <cellStyle name="超链接 891" xfId="28565"/>
    <cellStyle name="超链接 892" xfId="28566"/>
    <cellStyle name="超链接 893" xfId="28567"/>
    <cellStyle name="超链接 894" xfId="28568"/>
    <cellStyle name="超链接 895" xfId="28569"/>
    <cellStyle name="超链接 896" xfId="28570"/>
    <cellStyle name="超链接 897" xfId="28571"/>
    <cellStyle name="超链接 898" xfId="28572"/>
    <cellStyle name="超链接 899" xfId="28573"/>
    <cellStyle name="超链接 9" xfId="28574"/>
    <cellStyle name="超链接 90" xfId="28575"/>
    <cellStyle name="超链接 900" xfId="28576"/>
    <cellStyle name="超链接 901" xfId="28577"/>
    <cellStyle name="超链接 902" xfId="28578"/>
    <cellStyle name="超链接 903" xfId="28579"/>
    <cellStyle name="超链接 904" xfId="28580"/>
    <cellStyle name="超链接 905" xfId="28581"/>
    <cellStyle name="超链接 906" xfId="28582"/>
    <cellStyle name="超链接 907" xfId="28583"/>
    <cellStyle name="超链接 908" xfId="28584"/>
    <cellStyle name="超链接 909" xfId="28585"/>
    <cellStyle name="超链接 91" xfId="28586"/>
    <cellStyle name="超链接 910" xfId="28587"/>
    <cellStyle name="超链接 911" xfId="28588"/>
    <cellStyle name="超链接 912" xfId="28589"/>
    <cellStyle name="超链接 913" xfId="28590"/>
    <cellStyle name="超链接 914" xfId="28591"/>
    <cellStyle name="超链接 915" xfId="28592"/>
    <cellStyle name="超链接 916" xfId="28593"/>
    <cellStyle name="超链接 917" xfId="28594"/>
    <cellStyle name="超链接 918" xfId="28595"/>
    <cellStyle name="超链接 919" xfId="28596"/>
    <cellStyle name="超链接 92" xfId="28597"/>
    <cellStyle name="超链接 920" xfId="28598"/>
    <cellStyle name="超链接 921" xfId="28599"/>
    <cellStyle name="超链接 922" xfId="28600"/>
    <cellStyle name="超链接 923" xfId="28601"/>
    <cellStyle name="超链接 924" xfId="28602"/>
    <cellStyle name="超链接 925" xfId="28603"/>
    <cellStyle name="超链接 926" xfId="28604"/>
    <cellStyle name="超链接 927" xfId="28605"/>
    <cellStyle name="超链接 928" xfId="28606"/>
    <cellStyle name="超链接 929" xfId="28607"/>
    <cellStyle name="超链接 93" xfId="28608"/>
    <cellStyle name="超链接 930" xfId="28609"/>
    <cellStyle name="超链接 931" xfId="28610"/>
    <cellStyle name="超链接 932" xfId="28611"/>
    <cellStyle name="超链接 933" xfId="28612"/>
    <cellStyle name="超链接 934" xfId="28613"/>
    <cellStyle name="超链接 935" xfId="28614"/>
    <cellStyle name="超链接 936" xfId="28615"/>
    <cellStyle name="超链接 937" xfId="28616"/>
    <cellStyle name="超链接 938" xfId="28617"/>
    <cellStyle name="超链接 939" xfId="28618"/>
    <cellStyle name="超链接 94" xfId="28619"/>
    <cellStyle name="超链接 940" xfId="28620"/>
    <cellStyle name="超链接 941" xfId="28621"/>
    <cellStyle name="超链接 942" xfId="28622"/>
    <cellStyle name="超链接 943" xfId="28623"/>
    <cellStyle name="超链接 944" xfId="28624"/>
    <cellStyle name="超链接 945" xfId="28625"/>
    <cellStyle name="超链接 946" xfId="28626"/>
    <cellStyle name="超链接 947" xfId="28627"/>
    <cellStyle name="超链接 948" xfId="28628"/>
    <cellStyle name="超链接 949" xfId="28629"/>
    <cellStyle name="超链接 95" xfId="28630"/>
    <cellStyle name="超链接 950" xfId="28631"/>
    <cellStyle name="超链接 951" xfId="28632"/>
    <cellStyle name="超链接 952" xfId="28633"/>
    <cellStyle name="超链接 953" xfId="28634"/>
    <cellStyle name="超链接 954" xfId="28635"/>
    <cellStyle name="超链接 955" xfId="28636"/>
    <cellStyle name="超链接 956" xfId="28637"/>
    <cellStyle name="超链接 957" xfId="28638"/>
    <cellStyle name="超链接 958" xfId="28639"/>
    <cellStyle name="超链接 959" xfId="28640"/>
    <cellStyle name="超链接 96" xfId="28641"/>
    <cellStyle name="超链接 960" xfId="28642"/>
    <cellStyle name="超链接 961" xfId="28643"/>
    <cellStyle name="超链接 962" xfId="28644"/>
    <cellStyle name="超链接 963" xfId="28645"/>
    <cellStyle name="超链接 964" xfId="28646"/>
    <cellStyle name="超链接 965" xfId="28647"/>
    <cellStyle name="超链接 966" xfId="28648"/>
    <cellStyle name="超链接 967" xfId="28649"/>
    <cellStyle name="超链接 968" xfId="28650"/>
    <cellStyle name="超链接 969" xfId="28651"/>
    <cellStyle name="超链接 97" xfId="28652"/>
    <cellStyle name="超链接 970" xfId="28653"/>
    <cellStyle name="超链接 971" xfId="28654"/>
    <cellStyle name="超链接 972" xfId="28655"/>
    <cellStyle name="超链接 973" xfId="28656"/>
    <cellStyle name="超链接 974" xfId="28657"/>
    <cellStyle name="超链接 975" xfId="28658"/>
    <cellStyle name="超链接 976" xfId="28659"/>
    <cellStyle name="超链接 977" xfId="28660"/>
    <cellStyle name="超链接 978" xfId="28661"/>
    <cellStyle name="超链接 979" xfId="28662"/>
    <cellStyle name="超链接 98" xfId="28663"/>
    <cellStyle name="超链接 980" xfId="28664"/>
    <cellStyle name="超链接 981" xfId="28665"/>
    <cellStyle name="超链接 982" xfId="28666"/>
    <cellStyle name="超链接 983" xfId="28667"/>
    <cellStyle name="超链接 984" xfId="28668"/>
    <cellStyle name="超链接 985" xfId="28669"/>
    <cellStyle name="超链接 986" xfId="28670"/>
    <cellStyle name="超链接 987" xfId="28671"/>
    <cellStyle name="超链接 988" xfId="28672"/>
    <cellStyle name="超链接 989" xfId="28673"/>
    <cellStyle name="超链接 99" xfId="28674"/>
    <cellStyle name="超链接 990" xfId="28675"/>
    <cellStyle name="超链接 991" xfId="28676"/>
    <cellStyle name="超链接 992" xfId="28677"/>
    <cellStyle name="超链接 993" xfId="28678"/>
    <cellStyle name="超链接 994" xfId="28679"/>
    <cellStyle name="超链接 995" xfId="28680"/>
    <cellStyle name="超链接 996" xfId="28681"/>
    <cellStyle name="超链接 997" xfId="28682"/>
    <cellStyle name="超链接 998" xfId="28683"/>
    <cellStyle name="超链接 999" xfId="28684"/>
    <cellStyle name="输入" xfId="28685"/>
    <cellStyle name="输入 10" xfId="28686"/>
    <cellStyle name="输入 10 2" xfId="28687"/>
    <cellStyle name="输入 10 3" xfId="28688"/>
    <cellStyle name="输入 10 4" xfId="28689"/>
    <cellStyle name="输入 10 5" xfId="28690"/>
    <cellStyle name="输入 10 6" xfId="28691"/>
    <cellStyle name="输入 10 7" xfId="28692"/>
    <cellStyle name="输入 11" xfId="28693"/>
    <cellStyle name="输入 11 2" xfId="28694"/>
    <cellStyle name="输入 11 3" xfId="28695"/>
    <cellStyle name="输入 11 4" xfId="28696"/>
    <cellStyle name="输入 11 5" xfId="28697"/>
    <cellStyle name="输入 11 6" xfId="28698"/>
    <cellStyle name="输入 11 7" xfId="28699"/>
    <cellStyle name="输入 12" xfId="28700"/>
    <cellStyle name="输入 12 2" xfId="28701"/>
    <cellStyle name="输入 12 3" xfId="28702"/>
    <cellStyle name="输入 12 4" xfId="28703"/>
    <cellStyle name="输入 12 5" xfId="28704"/>
    <cellStyle name="输入 12 6" xfId="28705"/>
    <cellStyle name="输入 12 7" xfId="28706"/>
    <cellStyle name="输入 13" xfId="28707"/>
    <cellStyle name="输入 13 2" xfId="28708"/>
    <cellStyle name="输入 13 3" xfId="28709"/>
    <cellStyle name="输入 13 4" xfId="28710"/>
    <cellStyle name="输入 13 5" xfId="28711"/>
    <cellStyle name="输入 13 6" xfId="28712"/>
    <cellStyle name="输入 14" xfId="28713"/>
    <cellStyle name="输入 14 2" xfId="28714"/>
    <cellStyle name="输入 14 3" xfId="28715"/>
    <cellStyle name="输入 14 4" xfId="28716"/>
    <cellStyle name="输入 14 5" xfId="28717"/>
    <cellStyle name="输入 14 6" xfId="28718"/>
    <cellStyle name="输入 15" xfId="28719"/>
    <cellStyle name="输入 16" xfId="28720"/>
    <cellStyle name="输入 17" xfId="28721"/>
    <cellStyle name="输入 18" xfId="28722"/>
    <cellStyle name="输入 2" xfId="28723"/>
    <cellStyle name="输入 2 10" xfId="28724"/>
    <cellStyle name="输入 2 10 2" xfId="28725"/>
    <cellStyle name="输入 2 10 3" xfId="28726"/>
    <cellStyle name="输入 2 10 4" xfId="28727"/>
    <cellStyle name="输入 2 10 5" xfId="28728"/>
    <cellStyle name="输入 2 10 6" xfId="28729"/>
    <cellStyle name="输入 2 10 7" xfId="28730"/>
    <cellStyle name="输入 2 11" xfId="28731"/>
    <cellStyle name="输入 2 11 2" xfId="28732"/>
    <cellStyle name="输入 2 11 3" xfId="28733"/>
    <cellStyle name="输入 2 11 4" xfId="28734"/>
    <cellStyle name="输入 2 11 5" xfId="28735"/>
    <cellStyle name="输入 2 11 6" xfId="28736"/>
    <cellStyle name="输入 2 12" xfId="28737"/>
    <cellStyle name="输入 2 12 2" xfId="28738"/>
    <cellStyle name="输入 2 12 3" xfId="28739"/>
    <cellStyle name="输入 2 12 4" xfId="28740"/>
    <cellStyle name="输入 2 12 5" xfId="28741"/>
    <cellStyle name="输入 2 12 6" xfId="28742"/>
    <cellStyle name="输入 2 13" xfId="28743"/>
    <cellStyle name="输入 2 14" xfId="28744"/>
    <cellStyle name="输入 2 15" xfId="28745"/>
    <cellStyle name="输入 2 16" xfId="28746"/>
    <cellStyle name="输入 2 2" xfId="28747"/>
    <cellStyle name="输入 2 2 10" xfId="28748"/>
    <cellStyle name="输入 2 2 10 2" xfId="28749"/>
    <cellStyle name="输入 2 2 10 3" xfId="28750"/>
    <cellStyle name="输入 2 2 10 4" xfId="28751"/>
    <cellStyle name="输入 2 2 10 5" xfId="28752"/>
    <cellStyle name="输入 2 2 10 6" xfId="28753"/>
    <cellStyle name="输入 2 2 11" xfId="28754"/>
    <cellStyle name="输入 2 2 12" xfId="28755"/>
    <cellStyle name="输入 2 2 13" xfId="28756"/>
    <cellStyle name="输入 2 2 14" xfId="28757"/>
    <cellStyle name="输入 2 2 2" xfId="28758"/>
    <cellStyle name="输入 2 2 2 2" xfId="28759"/>
    <cellStyle name="输入 2 2 2 3" xfId="28760"/>
    <cellStyle name="输入 2 2 2 4" xfId="28761"/>
    <cellStyle name="输入 2 2 2 5" xfId="28762"/>
    <cellStyle name="输入 2 2 2 6" xfId="28763"/>
    <cellStyle name="输入 2 2 2 7" xfId="28764"/>
    <cellStyle name="输入 2 2 3" xfId="28765"/>
    <cellStyle name="输入 2 2 3 2" xfId="28766"/>
    <cellStyle name="输入 2 2 3 3" xfId="28767"/>
    <cellStyle name="输入 2 2 3 4" xfId="28768"/>
    <cellStyle name="输入 2 2 3 5" xfId="28769"/>
    <cellStyle name="输入 2 2 3 6" xfId="28770"/>
    <cellStyle name="输入 2 2 3 7" xfId="28771"/>
    <cellStyle name="输入 2 2 4" xfId="28772"/>
    <cellStyle name="输入 2 2 4 2" xfId="28773"/>
    <cellStyle name="输入 2 2 4 3" xfId="28774"/>
    <cellStyle name="输入 2 2 4 4" xfId="28775"/>
    <cellStyle name="输入 2 2 4 5" xfId="28776"/>
    <cellStyle name="输入 2 2 4 6" xfId="28777"/>
    <cellStyle name="输入 2 2 4 7" xfId="28778"/>
    <cellStyle name="输入 2 2 5" xfId="28779"/>
    <cellStyle name="输入 2 2 5 2" xfId="28780"/>
    <cellStyle name="输入 2 2 5 3" xfId="28781"/>
    <cellStyle name="输入 2 2 5 4" xfId="28782"/>
    <cellStyle name="输入 2 2 5 5" xfId="28783"/>
    <cellStyle name="输入 2 2 5 6" xfId="28784"/>
    <cellStyle name="输入 2 2 5 7" xfId="28785"/>
    <cellStyle name="输入 2 2 6" xfId="28786"/>
    <cellStyle name="输入 2 2 6 2" xfId="28787"/>
    <cellStyle name="输入 2 2 6 3" xfId="28788"/>
    <cellStyle name="输入 2 2 6 4" xfId="28789"/>
    <cellStyle name="输入 2 2 6 5" xfId="28790"/>
    <cellStyle name="输入 2 2 6 6" xfId="28791"/>
    <cellStyle name="输入 2 2 6 7" xfId="28792"/>
    <cellStyle name="输入 2 2 7" xfId="28793"/>
    <cellStyle name="输入 2 2 7 2" xfId="28794"/>
    <cellStyle name="输入 2 2 7 3" xfId="28795"/>
    <cellStyle name="输入 2 2 7 4" xfId="28796"/>
    <cellStyle name="输入 2 2 7 5" xfId="28797"/>
    <cellStyle name="输入 2 2 7 6" xfId="28798"/>
    <cellStyle name="输入 2 2 7 7" xfId="28799"/>
    <cellStyle name="输入 2 2 8" xfId="28800"/>
    <cellStyle name="输入 2 2 8 2" xfId="28801"/>
    <cellStyle name="输入 2 2 8 3" xfId="28802"/>
    <cellStyle name="输入 2 2 8 4" xfId="28803"/>
    <cellStyle name="输入 2 2 8 5" xfId="28804"/>
    <cellStyle name="输入 2 2 8 6" xfId="28805"/>
    <cellStyle name="输入 2 2 8 7" xfId="28806"/>
    <cellStyle name="输入 2 2 9" xfId="28807"/>
    <cellStyle name="输入 2 2 9 2" xfId="28808"/>
    <cellStyle name="输入 2 2 9 3" xfId="28809"/>
    <cellStyle name="输入 2 2 9 4" xfId="28810"/>
    <cellStyle name="输入 2 2 9 5" xfId="28811"/>
    <cellStyle name="输入 2 2 9 6" xfId="28812"/>
    <cellStyle name="输入 2 3" xfId="28813"/>
    <cellStyle name="输入 2 3 10" xfId="28814"/>
    <cellStyle name="输入 2 3 10 2" xfId="28815"/>
    <cellStyle name="输入 2 3 10 3" xfId="28816"/>
    <cellStyle name="输入 2 3 10 4" xfId="28817"/>
    <cellStyle name="输入 2 3 10 5" xfId="28818"/>
    <cellStyle name="输入 2 3 10 6" xfId="28819"/>
    <cellStyle name="输入 2 3 11" xfId="28820"/>
    <cellStyle name="输入 2 3 12" xfId="28821"/>
    <cellStyle name="输入 2 3 13" xfId="28822"/>
    <cellStyle name="输入 2 3 14" xfId="28823"/>
    <cellStyle name="输入 2 3 2" xfId="28824"/>
    <cellStyle name="输入 2 3 2 2" xfId="28825"/>
    <cellStyle name="输入 2 3 2 3" xfId="28826"/>
    <cellStyle name="输入 2 3 2 4" xfId="28827"/>
    <cellStyle name="输入 2 3 2 5" xfId="28828"/>
    <cellStyle name="输入 2 3 2 6" xfId="28829"/>
    <cellStyle name="输入 2 3 2 7" xfId="28830"/>
    <cellStyle name="输入 2 3 3" xfId="28831"/>
    <cellStyle name="输入 2 3 3 2" xfId="28832"/>
    <cellStyle name="输入 2 3 3 3" xfId="28833"/>
    <cellStyle name="输入 2 3 3 4" xfId="28834"/>
    <cellStyle name="输入 2 3 3 5" xfId="28835"/>
    <cellStyle name="输入 2 3 3 6" xfId="28836"/>
    <cellStyle name="输入 2 3 3 7" xfId="28837"/>
    <cellStyle name="输入 2 3 4" xfId="28838"/>
    <cellStyle name="输入 2 3 4 2" xfId="28839"/>
    <cellStyle name="输入 2 3 4 3" xfId="28840"/>
    <cellStyle name="输入 2 3 4 4" xfId="28841"/>
    <cellStyle name="输入 2 3 4 5" xfId="28842"/>
    <cellStyle name="输入 2 3 4 6" xfId="28843"/>
    <cellStyle name="输入 2 3 4 7" xfId="28844"/>
    <cellStyle name="输入 2 3 5" xfId="28845"/>
    <cellStyle name="输入 2 3 5 2" xfId="28846"/>
    <cellStyle name="输入 2 3 5 3" xfId="28847"/>
    <cellStyle name="输入 2 3 5 4" xfId="28848"/>
    <cellStyle name="输入 2 3 5 5" xfId="28849"/>
    <cellStyle name="输入 2 3 5 6" xfId="28850"/>
    <cellStyle name="输入 2 3 5 7" xfId="28851"/>
    <cellStyle name="输入 2 3 6" xfId="28852"/>
    <cellStyle name="输入 2 3 6 2" xfId="28853"/>
    <cellStyle name="输入 2 3 6 3" xfId="28854"/>
    <cellStyle name="输入 2 3 6 4" xfId="28855"/>
    <cellStyle name="输入 2 3 6 5" xfId="28856"/>
    <cellStyle name="输入 2 3 6 6" xfId="28857"/>
    <cellStyle name="输入 2 3 6 7" xfId="28858"/>
    <cellStyle name="输入 2 3 7" xfId="28859"/>
    <cellStyle name="输入 2 3 7 2" xfId="28860"/>
    <cellStyle name="输入 2 3 7 3" xfId="28861"/>
    <cellStyle name="输入 2 3 7 4" xfId="28862"/>
    <cellStyle name="输入 2 3 7 5" xfId="28863"/>
    <cellStyle name="输入 2 3 7 6" xfId="28864"/>
    <cellStyle name="输入 2 3 7 7" xfId="28865"/>
    <cellStyle name="输入 2 3 8" xfId="28866"/>
    <cellStyle name="输入 2 3 8 2" xfId="28867"/>
    <cellStyle name="输入 2 3 8 3" xfId="28868"/>
    <cellStyle name="输入 2 3 8 4" xfId="28869"/>
    <cellStyle name="输入 2 3 8 5" xfId="28870"/>
    <cellStyle name="输入 2 3 8 6" xfId="28871"/>
    <cellStyle name="输入 2 3 8 7" xfId="28872"/>
    <cellStyle name="输入 2 3 9" xfId="28873"/>
    <cellStyle name="输入 2 3 9 2" xfId="28874"/>
    <cellStyle name="输入 2 3 9 3" xfId="28875"/>
    <cellStyle name="输入 2 3 9 4" xfId="28876"/>
    <cellStyle name="输入 2 3 9 5" xfId="28877"/>
    <cellStyle name="输入 2 3 9 6" xfId="28878"/>
    <cellStyle name="输入 2 4" xfId="28879"/>
    <cellStyle name="输入 2 4 2" xfId="28880"/>
    <cellStyle name="输入 2 4 3" xfId="28881"/>
    <cellStyle name="输入 2 4 4" xfId="28882"/>
    <cellStyle name="输入 2 4 5" xfId="28883"/>
    <cellStyle name="输入 2 4 6" xfId="28884"/>
    <cellStyle name="输入 2 4 7" xfId="28885"/>
    <cellStyle name="输入 2 5" xfId="28886"/>
    <cellStyle name="输入 2 5 2" xfId="28887"/>
    <cellStyle name="输入 2 5 3" xfId="28888"/>
    <cellStyle name="输入 2 5 4" xfId="28889"/>
    <cellStyle name="输入 2 5 5" xfId="28890"/>
    <cellStyle name="输入 2 5 6" xfId="28891"/>
    <cellStyle name="输入 2 5 7" xfId="28892"/>
    <cellStyle name="输入 2 6" xfId="28893"/>
    <cellStyle name="输入 2 6 2" xfId="28894"/>
    <cellStyle name="输入 2 6 3" xfId="28895"/>
    <cellStyle name="输入 2 6 4" xfId="28896"/>
    <cellStyle name="输入 2 6 5" xfId="28897"/>
    <cellStyle name="输入 2 6 6" xfId="28898"/>
    <cellStyle name="输入 2 6 7" xfId="28899"/>
    <cellStyle name="输入 2 7" xfId="28900"/>
    <cellStyle name="输入 2 7 2" xfId="28901"/>
    <cellStyle name="输入 2 7 3" xfId="28902"/>
    <cellStyle name="输入 2 7 4" xfId="28903"/>
    <cellStyle name="输入 2 7 5" xfId="28904"/>
    <cellStyle name="输入 2 7 6" xfId="28905"/>
    <cellStyle name="输入 2 7 7" xfId="28906"/>
    <cellStyle name="输入 2 8" xfId="28907"/>
    <cellStyle name="输入 2 8 2" xfId="28908"/>
    <cellStyle name="输入 2 8 3" xfId="28909"/>
    <cellStyle name="输入 2 8 4" xfId="28910"/>
    <cellStyle name="输入 2 8 5" xfId="28911"/>
    <cellStyle name="输入 2 8 6" xfId="28912"/>
    <cellStyle name="输入 2 8 7" xfId="28913"/>
    <cellStyle name="输入 2 9" xfId="28914"/>
    <cellStyle name="输入 2 9 2" xfId="28915"/>
    <cellStyle name="输入 2 9 3" xfId="28916"/>
    <cellStyle name="输入 2 9 4" xfId="28917"/>
    <cellStyle name="输入 2 9 5" xfId="28918"/>
    <cellStyle name="输入 2 9 6" xfId="28919"/>
    <cellStyle name="输入 2 9 7" xfId="28920"/>
    <cellStyle name="输入 3" xfId="28921"/>
    <cellStyle name="输入 3 10" xfId="28922"/>
    <cellStyle name="输入 3 10 2" xfId="28923"/>
    <cellStyle name="输入 3 10 3" xfId="28924"/>
    <cellStyle name="输入 3 10 4" xfId="28925"/>
    <cellStyle name="输入 3 10 5" xfId="28926"/>
    <cellStyle name="输入 3 10 6" xfId="28927"/>
    <cellStyle name="输入 3 10 7" xfId="28928"/>
    <cellStyle name="输入 3 11" xfId="28929"/>
    <cellStyle name="输入 3 11 2" xfId="28930"/>
    <cellStyle name="输入 3 11 3" xfId="28931"/>
    <cellStyle name="输入 3 11 4" xfId="28932"/>
    <cellStyle name="输入 3 11 5" xfId="28933"/>
    <cellStyle name="输入 3 11 6" xfId="28934"/>
    <cellStyle name="输入 3 12" xfId="28935"/>
    <cellStyle name="输入 3 12 2" xfId="28936"/>
    <cellStyle name="输入 3 12 3" xfId="28937"/>
    <cellStyle name="输入 3 12 4" xfId="28938"/>
    <cellStyle name="输入 3 12 5" xfId="28939"/>
    <cellStyle name="输入 3 12 6" xfId="28940"/>
    <cellStyle name="输入 3 13" xfId="28941"/>
    <cellStyle name="输入 3 14" xfId="28942"/>
    <cellStyle name="输入 3 15" xfId="28943"/>
    <cellStyle name="输入 3 16" xfId="28944"/>
    <cellStyle name="输入 3 2" xfId="28945"/>
    <cellStyle name="输入 3 2 10" xfId="28946"/>
    <cellStyle name="输入 3 2 10 2" xfId="28947"/>
    <cellStyle name="输入 3 2 10 3" xfId="28948"/>
    <cellStyle name="输入 3 2 10 4" xfId="28949"/>
    <cellStyle name="输入 3 2 10 5" xfId="28950"/>
    <cellStyle name="输入 3 2 10 6" xfId="28951"/>
    <cellStyle name="输入 3 2 11" xfId="28952"/>
    <cellStyle name="输入 3 2 12" xfId="28953"/>
    <cellStyle name="输入 3 2 13" xfId="28954"/>
    <cellStyle name="输入 3 2 14" xfId="28955"/>
    <cellStyle name="输入 3 2 2" xfId="28956"/>
    <cellStyle name="输入 3 2 2 2" xfId="28957"/>
    <cellStyle name="输入 3 2 2 3" xfId="28958"/>
    <cellStyle name="输入 3 2 2 4" xfId="28959"/>
    <cellStyle name="输入 3 2 2 5" xfId="28960"/>
    <cellStyle name="输入 3 2 2 6" xfId="28961"/>
    <cellStyle name="输入 3 2 2 7" xfId="28962"/>
    <cellStyle name="输入 3 2 3" xfId="28963"/>
    <cellStyle name="输入 3 2 3 2" xfId="28964"/>
    <cellStyle name="输入 3 2 3 3" xfId="28965"/>
    <cellStyle name="输入 3 2 3 4" xfId="28966"/>
    <cellStyle name="输入 3 2 3 5" xfId="28967"/>
    <cellStyle name="输入 3 2 3 6" xfId="28968"/>
    <cellStyle name="输入 3 2 3 7" xfId="28969"/>
    <cellStyle name="输入 3 2 4" xfId="28970"/>
    <cellStyle name="输入 3 2 4 2" xfId="28971"/>
    <cellStyle name="输入 3 2 4 3" xfId="28972"/>
    <cellStyle name="输入 3 2 4 4" xfId="28973"/>
    <cellStyle name="输入 3 2 4 5" xfId="28974"/>
    <cellStyle name="输入 3 2 4 6" xfId="28975"/>
    <cellStyle name="输入 3 2 4 7" xfId="28976"/>
    <cellStyle name="输入 3 2 5" xfId="28977"/>
    <cellStyle name="输入 3 2 5 2" xfId="28978"/>
    <cellStyle name="输入 3 2 5 3" xfId="28979"/>
    <cellStyle name="输入 3 2 5 4" xfId="28980"/>
    <cellStyle name="输入 3 2 5 5" xfId="28981"/>
    <cellStyle name="输入 3 2 5 6" xfId="28982"/>
    <cellStyle name="输入 3 2 5 7" xfId="28983"/>
    <cellStyle name="输入 3 2 6" xfId="28984"/>
    <cellStyle name="输入 3 2 6 2" xfId="28985"/>
    <cellStyle name="输入 3 2 6 3" xfId="28986"/>
    <cellStyle name="输入 3 2 6 4" xfId="28987"/>
    <cellStyle name="输入 3 2 6 5" xfId="28988"/>
    <cellStyle name="输入 3 2 6 6" xfId="28989"/>
    <cellStyle name="输入 3 2 6 7" xfId="28990"/>
    <cellStyle name="输入 3 2 7" xfId="28991"/>
    <cellStyle name="输入 3 2 7 2" xfId="28992"/>
    <cellStyle name="输入 3 2 7 3" xfId="28993"/>
    <cellStyle name="输入 3 2 7 4" xfId="28994"/>
    <cellStyle name="输入 3 2 7 5" xfId="28995"/>
    <cellStyle name="输入 3 2 7 6" xfId="28996"/>
    <cellStyle name="输入 3 2 7 7" xfId="28997"/>
    <cellStyle name="输入 3 2 8" xfId="28998"/>
    <cellStyle name="输入 3 2 8 2" xfId="28999"/>
    <cellStyle name="输入 3 2 8 3" xfId="29000"/>
    <cellStyle name="输入 3 2 8 4" xfId="29001"/>
    <cellStyle name="输入 3 2 8 5" xfId="29002"/>
    <cellStyle name="输入 3 2 8 6" xfId="29003"/>
    <cellStyle name="输入 3 2 8 7" xfId="29004"/>
    <cellStyle name="输入 3 2 9" xfId="29005"/>
    <cellStyle name="输入 3 2 9 2" xfId="29006"/>
    <cellStyle name="输入 3 2 9 3" xfId="29007"/>
    <cellStyle name="输入 3 2 9 4" xfId="29008"/>
    <cellStyle name="输入 3 2 9 5" xfId="29009"/>
    <cellStyle name="输入 3 2 9 6" xfId="29010"/>
    <cellStyle name="输入 3 3" xfId="29011"/>
    <cellStyle name="输入 3 3 10" xfId="29012"/>
    <cellStyle name="输入 3 3 10 2" xfId="29013"/>
    <cellStyle name="输入 3 3 10 3" xfId="29014"/>
    <cellStyle name="输入 3 3 10 4" xfId="29015"/>
    <cellStyle name="输入 3 3 10 5" xfId="29016"/>
    <cellStyle name="输入 3 3 10 6" xfId="29017"/>
    <cellStyle name="输入 3 3 11" xfId="29018"/>
    <cellStyle name="输入 3 3 12" xfId="29019"/>
    <cellStyle name="输入 3 3 13" xfId="29020"/>
    <cellStyle name="输入 3 3 14" xfId="29021"/>
    <cellStyle name="输入 3 3 2" xfId="29022"/>
    <cellStyle name="输入 3 3 2 2" xfId="29023"/>
    <cellStyle name="输入 3 3 2 3" xfId="29024"/>
    <cellStyle name="输入 3 3 2 4" xfId="29025"/>
    <cellStyle name="输入 3 3 2 5" xfId="29026"/>
    <cellStyle name="输入 3 3 2 6" xfId="29027"/>
    <cellStyle name="输入 3 3 2 7" xfId="29028"/>
    <cellStyle name="输入 3 3 3" xfId="29029"/>
    <cellStyle name="输入 3 3 3 2" xfId="29030"/>
    <cellStyle name="输入 3 3 3 3" xfId="29031"/>
    <cellStyle name="输入 3 3 3 4" xfId="29032"/>
    <cellStyle name="输入 3 3 3 5" xfId="29033"/>
    <cellStyle name="输入 3 3 3 6" xfId="29034"/>
    <cellStyle name="输入 3 3 3 7" xfId="29035"/>
    <cellStyle name="输入 3 3 4" xfId="29036"/>
    <cellStyle name="输入 3 3 4 2" xfId="29037"/>
    <cellStyle name="输入 3 3 4 3" xfId="29038"/>
    <cellStyle name="输入 3 3 4 4" xfId="29039"/>
    <cellStyle name="输入 3 3 4 5" xfId="29040"/>
    <cellStyle name="输入 3 3 4 6" xfId="29041"/>
    <cellStyle name="输入 3 3 4 7" xfId="29042"/>
    <cellStyle name="输入 3 3 5" xfId="29043"/>
    <cellStyle name="输入 3 3 5 2" xfId="29044"/>
    <cellStyle name="输入 3 3 5 3" xfId="29045"/>
    <cellStyle name="输入 3 3 5 4" xfId="29046"/>
    <cellStyle name="输入 3 3 5 5" xfId="29047"/>
    <cellStyle name="输入 3 3 5 6" xfId="29048"/>
    <cellStyle name="输入 3 3 5 7" xfId="29049"/>
    <cellStyle name="输入 3 3 6" xfId="29050"/>
    <cellStyle name="输入 3 3 6 2" xfId="29051"/>
    <cellStyle name="输入 3 3 6 3" xfId="29052"/>
    <cellStyle name="输入 3 3 6 4" xfId="29053"/>
    <cellStyle name="输入 3 3 6 5" xfId="29054"/>
    <cellStyle name="输入 3 3 6 6" xfId="29055"/>
    <cellStyle name="输入 3 3 6 7" xfId="29056"/>
    <cellStyle name="输入 3 3 7" xfId="29057"/>
    <cellStyle name="输入 3 3 7 2" xfId="29058"/>
    <cellStyle name="输入 3 3 7 3" xfId="29059"/>
    <cellStyle name="输入 3 3 7 4" xfId="29060"/>
    <cellStyle name="输入 3 3 7 5" xfId="29061"/>
    <cellStyle name="输入 3 3 7 6" xfId="29062"/>
    <cellStyle name="输入 3 3 7 7" xfId="29063"/>
    <cellStyle name="输入 3 3 8" xfId="29064"/>
    <cellStyle name="输入 3 3 8 2" xfId="29065"/>
    <cellStyle name="输入 3 3 8 3" xfId="29066"/>
    <cellStyle name="输入 3 3 8 4" xfId="29067"/>
    <cellStyle name="输入 3 3 8 5" xfId="29068"/>
    <cellStyle name="输入 3 3 8 6" xfId="29069"/>
    <cellStyle name="输入 3 3 8 7" xfId="29070"/>
    <cellStyle name="输入 3 3 9" xfId="29071"/>
    <cellStyle name="输入 3 3 9 2" xfId="29072"/>
    <cellStyle name="输入 3 3 9 3" xfId="29073"/>
    <cellStyle name="输入 3 3 9 4" xfId="29074"/>
    <cellStyle name="输入 3 3 9 5" xfId="29075"/>
    <cellStyle name="输入 3 3 9 6" xfId="29076"/>
    <cellStyle name="输入 3 4" xfId="29077"/>
    <cellStyle name="输入 3 4 2" xfId="29078"/>
    <cellStyle name="输入 3 4 3" xfId="29079"/>
    <cellStyle name="输入 3 4 4" xfId="29080"/>
    <cellStyle name="输入 3 4 5" xfId="29081"/>
    <cellStyle name="输入 3 4 6" xfId="29082"/>
    <cellStyle name="输入 3 4 7" xfId="29083"/>
    <cellStyle name="输入 3 5" xfId="29084"/>
    <cellStyle name="输入 3 5 2" xfId="29085"/>
    <cellStyle name="输入 3 5 3" xfId="29086"/>
    <cellStyle name="输入 3 5 4" xfId="29087"/>
    <cellStyle name="输入 3 5 5" xfId="29088"/>
    <cellStyle name="输入 3 5 6" xfId="29089"/>
    <cellStyle name="输入 3 5 7" xfId="29090"/>
    <cellStyle name="输入 3 6" xfId="29091"/>
    <cellStyle name="输入 3 6 2" xfId="29092"/>
    <cellStyle name="输入 3 6 3" xfId="29093"/>
    <cellStyle name="输入 3 6 4" xfId="29094"/>
    <cellStyle name="输入 3 6 5" xfId="29095"/>
    <cellStyle name="输入 3 6 6" xfId="29096"/>
    <cellStyle name="输入 3 6 7" xfId="29097"/>
    <cellStyle name="输入 3 7" xfId="29098"/>
    <cellStyle name="输入 3 7 2" xfId="29099"/>
    <cellStyle name="输入 3 7 3" xfId="29100"/>
    <cellStyle name="输入 3 7 4" xfId="29101"/>
    <cellStyle name="输入 3 7 5" xfId="29102"/>
    <cellStyle name="输入 3 7 6" xfId="29103"/>
    <cellStyle name="输入 3 7 7" xfId="29104"/>
    <cellStyle name="输入 3 8" xfId="29105"/>
    <cellStyle name="输入 3 8 2" xfId="29106"/>
    <cellStyle name="输入 3 8 3" xfId="29107"/>
    <cellStyle name="输入 3 8 4" xfId="29108"/>
    <cellStyle name="输入 3 8 5" xfId="29109"/>
    <cellStyle name="输入 3 8 6" xfId="29110"/>
    <cellStyle name="输入 3 8 7" xfId="29111"/>
    <cellStyle name="输入 3 9" xfId="29112"/>
    <cellStyle name="输入 3 9 2" xfId="29113"/>
    <cellStyle name="输入 3 9 3" xfId="29114"/>
    <cellStyle name="输入 3 9 4" xfId="29115"/>
    <cellStyle name="输入 3 9 5" xfId="29116"/>
    <cellStyle name="输入 3 9 6" xfId="29117"/>
    <cellStyle name="输入 3 9 7" xfId="29118"/>
    <cellStyle name="输入 4" xfId="29119"/>
    <cellStyle name="输入 4 10" xfId="29120"/>
    <cellStyle name="输入 4 10 2" xfId="29121"/>
    <cellStyle name="输入 4 10 3" xfId="29122"/>
    <cellStyle name="输入 4 10 4" xfId="29123"/>
    <cellStyle name="输入 4 10 5" xfId="29124"/>
    <cellStyle name="输入 4 10 6" xfId="29125"/>
    <cellStyle name="输入 4 11" xfId="29126"/>
    <cellStyle name="输入 4 12" xfId="29127"/>
    <cellStyle name="输入 4 13" xfId="29128"/>
    <cellStyle name="输入 4 14" xfId="29129"/>
    <cellStyle name="输入 4 2" xfId="29130"/>
    <cellStyle name="输入 4 2 2" xfId="29131"/>
    <cellStyle name="输入 4 2 3" xfId="29132"/>
    <cellStyle name="输入 4 2 4" xfId="29133"/>
    <cellStyle name="输入 4 2 5" xfId="29134"/>
    <cellStyle name="输入 4 2 6" xfId="29135"/>
    <cellStyle name="输入 4 2 7" xfId="29136"/>
    <cellStyle name="输入 4 3" xfId="29137"/>
    <cellStyle name="输入 4 3 2" xfId="29138"/>
    <cellStyle name="输入 4 3 3" xfId="29139"/>
    <cellStyle name="输入 4 3 4" xfId="29140"/>
    <cellStyle name="输入 4 3 5" xfId="29141"/>
    <cellStyle name="输入 4 3 6" xfId="29142"/>
    <cellStyle name="输入 4 3 7" xfId="29143"/>
    <cellStyle name="输入 4 4" xfId="29144"/>
    <cellStyle name="输入 4 4 2" xfId="29145"/>
    <cellStyle name="输入 4 4 3" xfId="29146"/>
    <cellStyle name="输入 4 4 4" xfId="29147"/>
    <cellStyle name="输入 4 4 5" xfId="29148"/>
    <cellStyle name="输入 4 4 6" xfId="29149"/>
    <cellStyle name="输入 4 4 7" xfId="29150"/>
    <cellStyle name="输入 4 5" xfId="29151"/>
    <cellStyle name="输入 4 5 2" xfId="29152"/>
    <cellStyle name="输入 4 5 3" xfId="29153"/>
    <cellStyle name="输入 4 5 4" xfId="29154"/>
    <cellStyle name="输入 4 5 5" xfId="29155"/>
    <cellStyle name="输入 4 5 6" xfId="29156"/>
    <cellStyle name="输入 4 5 7" xfId="29157"/>
    <cellStyle name="输入 4 6" xfId="29158"/>
    <cellStyle name="输入 4 6 2" xfId="29159"/>
    <cellStyle name="输入 4 6 3" xfId="29160"/>
    <cellStyle name="输入 4 6 4" xfId="29161"/>
    <cellStyle name="输入 4 6 5" xfId="29162"/>
    <cellStyle name="输入 4 6 6" xfId="29163"/>
    <cellStyle name="输入 4 6 7" xfId="29164"/>
    <cellStyle name="输入 4 7" xfId="29165"/>
    <cellStyle name="输入 4 7 2" xfId="29166"/>
    <cellStyle name="输入 4 7 3" xfId="29167"/>
    <cellStyle name="输入 4 7 4" xfId="29168"/>
    <cellStyle name="输入 4 7 5" xfId="29169"/>
    <cellStyle name="输入 4 7 6" xfId="29170"/>
    <cellStyle name="输入 4 7 7" xfId="29171"/>
    <cellStyle name="输入 4 8" xfId="29172"/>
    <cellStyle name="输入 4 8 2" xfId="29173"/>
    <cellStyle name="输入 4 8 3" xfId="29174"/>
    <cellStyle name="输入 4 8 4" xfId="29175"/>
    <cellStyle name="输入 4 8 5" xfId="29176"/>
    <cellStyle name="输入 4 8 6" xfId="29177"/>
    <cellStyle name="输入 4 8 7" xfId="29178"/>
    <cellStyle name="输入 4 9" xfId="29179"/>
    <cellStyle name="输入 4 9 2" xfId="29180"/>
    <cellStyle name="输入 4 9 3" xfId="29181"/>
    <cellStyle name="输入 4 9 4" xfId="29182"/>
    <cellStyle name="输入 4 9 5" xfId="29183"/>
    <cellStyle name="输入 4 9 6" xfId="29184"/>
    <cellStyle name="输入 5" xfId="29185"/>
    <cellStyle name="输入 5 10" xfId="29186"/>
    <cellStyle name="输入 5 10 2" xfId="29187"/>
    <cellStyle name="输入 5 10 3" xfId="29188"/>
    <cellStyle name="输入 5 10 4" xfId="29189"/>
    <cellStyle name="输入 5 10 5" xfId="29190"/>
    <cellStyle name="输入 5 10 6" xfId="29191"/>
    <cellStyle name="输入 5 11" xfId="29192"/>
    <cellStyle name="输入 5 12" xfId="29193"/>
    <cellStyle name="输入 5 13" xfId="29194"/>
    <cellStyle name="输入 5 14" xfId="29195"/>
    <cellStyle name="输入 5 2" xfId="29196"/>
    <cellStyle name="输入 5 2 2" xfId="29197"/>
    <cellStyle name="输入 5 2 3" xfId="29198"/>
    <cellStyle name="输入 5 2 4" xfId="29199"/>
    <cellStyle name="输入 5 2 5" xfId="29200"/>
    <cellStyle name="输入 5 2 6" xfId="29201"/>
    <cellStyle name="输入 5 2 7" xfId="29202"/>
    <cellStyle name="输入 5 3" xfId="29203"/>
    <cellStyle name="输入 5 3 2" xfId="29204"/>
    <cellStyle name="输入 5 3 3" xfId="29205"/>
    <cellStyle name="输入 5 3 4" xfId="29206"/>
    <cellStyle name="输入 5 3 5" xfId="29207"/>
    <cellStyle name="输入 5 3 6" xfId="29208"/>
    <cellStyle name="输入 5 3 7" xfId="29209"/>
    <cellStyle name="输入 5 4" xfId="29210"/>
    <cellStyle name="输入 5 4 2" xfId="29211"/>
    <cellStyle name="输入 5 4 3" xfId="29212"/>
    <cellStyle name="输入 5 4 4" xfId="29213"/>
    <cellStyle name="输入 5 4 5" xfId="29214"/>
    <cellStyle name="输入 5 4 6" xfId="29215"/>
    <cellStyle name="输入 5 4 7" xfId="29216"/>
    <cellStyle name="输入 5 5" xfId="29217"/>
    <cellStyle name="输入 5 5 2" xfId="29218"/>
    <cellStyle name="输入 5 5 3" xfId="29219"/>
    <cellStyle name="输入 5 5 4" xfId="29220"/>
    <cellStyle name="输入 5 5 5" xfId="29221"/>
    <cellStyle name="输入 5 5 6" xfId="29222"/>
    <cellStyle name="输入 5 5 7" xfId="29223"/>
    <cellStyle name="输入 5 6" xfId="29224"/>
    <cellStyle name="输入 5 6 2" xfId="29225"/>
    <cellStyle name="输入 5 6 3" xfId="29226"/>
    <cellStyle name="输入 5 6 4" xfId="29227"/>
    <cellStyle name="输入 5 6 5" xfId="29228"/>
    <cellStyle name="输入 5 6 6" xfId="29229"/>
    <cellStyle name="输入 5 6 7" xfId="29230"/>
    <cellStyle name="输入 5 7" xfId="29231"/>
    <cellStyle name="输入 5 7 2" xfId="29232"/>
    <cellStyle name="输入 5 7 3" xfId="29233"/>
    <cellStyle name="输入 5 7 4" xfId="29234"/>
    <cellStyle name="输入 5 7 5" xfId="29235"/>
    <cellStyle name="输入 5 7 6" xfId="29236"/>
    <cellStyle name="输入 5 7 7" xfId="29237"/>
    <cellStyle name="输入 5 8" xfId="29238"/>
    <cellStyle name="输入 5 8 2" xfId="29239"/>
    <cellStyle name="输入 5 8 3" xfId="29240"/>
    <cellStyle name="输入 5 8 4" xfId="29241"/>
    <cellStyle name="输入 5 8 5" xfId="29242"/>
    <cellStyle name="输入 5 8 6" xfId="29243"/>
    <cellStyle name="输入 5 8 7" xfId="29244"/>
    <cellStyle name="输入 5 9" xfId="29245"/>
    <cellStyle name="输入 5 9 2" xfId="29246"/>
    <cellStyle name="输入 5 9 3" xfId="29247"/>
    <cellStyle name="输入 5 9 4" xfId="29248"/>
    <cellStyle name="输入 5 9 5" xfId="29249"/>
    <cellStyle name="输入 5 9 6" xfId="29250"/>
    <cellStyle name="输入 6" xfId="29251"/>
    <cellStyle name="输入 6 2" xfId="29252"/>
    <cellStyle name="输入 6 3" xfId="29253"/>
    <cellStyle name="输入 6 4" xfId="29254"/>
    <cellStyle name="输入 6 5" xfId="29255"/>
    <cellStyle name="输入 6 6" xfId="29256"/>
    <cellStyle name="输入 6 7" xfId="29257"/>
    <cellStyle name="输入 7" xfId="29258"/>
    <cellStyle name="输入 7 2" xfId="29259"/>
    <cellStyle name="输入 7 3" xfId="29260"/>
    <cellStyle name="输入 7 4" xfId="29261"/>
    <cellStyle name="输入 7 5" xfId="29262"/>
    <cellStyle name="输入 7 6" xfId="29263"/>
    <cellStyle name="输入 7 7" xfId="29264"/>
    <cellStyle name="输入 8" xfId="29265"/>
    <cellStyle name="输入 8 2" xfId="29266"/>
    <cellStyle name="输入 8 3" xfId="29267"/>
    <cellStyle name="输入 8 4" xfId="29268"/>
    <cellStyle name="输入 8 5" xfId="29269"/>
    <cellStyle name="输入 8 6" xfId="29270"/>
    <cellStyle name="输入 8 7" xfId="29271"/>
    <cellStyle name="输入 9" xfId="29272"/>
    <cellStyle name="输入 9 2" xfId="29273"/>
    <cellStyle name="输入 9 3" xfId="29274"/>
    <cellStyle name="输入 9 4" xfId="29275"/>
    <cellStyle name="输入 9 5" xfId="29276"/>
    <cellStyle name="输入 9 6" xfId="29277"/>
    <cellStyle name="输入 9 7" xfId="29278"/>
    <cellStyle name="输出" xfId="29279"/>
    <cellStyle name="输出 10" xfId="29280"/>
    <cellStyle name="输出 10 2" xfId="29281"/>
    <cellStyle name="输出 10 3" xfId="29282"/>
    <cellStyle name="输出 10 4" xfId="29283"/>
    <cellStyle name="输出 10 5" xfId="29284"/>
    <cellStyle name="输出 10 6" xfId="29285"/>
    <cellStyle name="输出 10 7" xfId="29286"/>
    <cellStyle name="输出 11" xfId="29287"/>
    <cellStyle name="输出 11 2" xfId="29288"/>
    <cellStyle name="输出 11 3" xfId="29289"/>
    <cellStyle name="输出 11 4" xfId="29290"/>
    <cellStyle name="输出 11 5" xfId="29291"/>
    <cellStyle name="输出 11 6" xfId="29292"/>
    <cellStyle name="输出 11 7" xfId="29293"/>
    <cellStyle name="输出 12" xfId="29294"/>
    <cellStyle name="输出 12 2" xfId="29295"/>
    <cellStyle name="输出 12 3" xfId="29296"/>
    <cellStyle name="输出 12 4" xfId="29297"/>
    <cellStyle name="输出 12 5" xfId="29298"/>
    <cellStyle name="输出 12 6" xfId="29299"/>
    <cellStyle name="输出 13" xfId="29300"/>
    <cellStyle name="输出 14" xfId="29301"/>
    <cellStyle name="输出 15" xfId="29302"/>
    <cellStyle name="输出 16" xfId="29303"/>
    <cellStyle name="输出 17" xfId="29304"/>
    <cellStyle name="输出 2" xfId="29305"/>
    <cellStyle name="输出 2 10" xfId="29306"/>
    <cellStyle name="输出 2 10 2" xfId="29307"/>
    <cellStyle name="输出 2 10 3" xfId="29308"/>
    <cellStyle name="输出 2 10 4" xfId="29309"/>
    <cellStyle name="输出 2 10 5" xfId="29310"/>
    <cellStyle name="输出 2 10 6" xfId="29311"/>
    <cellStyle name="输出 2 11" xfId="29312"/>
    <cellStyle name="输出 2 12" xfId="29313"/>
    <cellStyle name="输出 2 13" xfId="29314"/>
    <cellStyle name="输出 2 14" xfId="29315"/>
    <cellStyle name="输出 2 15" xfId="29316"/>
    <cellStyle name="输出 2 2" xfId="29317"/>
    <cellStyle name="输出 2 2 10" xfId="29318"/>
    <cellStyle name="输出 2 2 11" xfId="29319"/>
    <cellStyle name="输出 2 2 12" xfId="29320"/>
    <cellStyle name="输出 2 2 13" xfId="29321"/>
    <cellStyle name="输出 2 2 14" xfId="29322"/>
    <cellStyle name="输出 2 2 2" xfId="29323"/>
    <cellStyle name="输出 2 2 2 2" xfId="29324"/>
    <cellStyle name="输出 2 2 2 3" xfId="29325"/>
    <cellStyle name="输出 2 2 2 4" xfId="29326"/>
    <cellStyle name="输出 2 2 2 5" xfId="29327"/>
    <cellStyle name="输出 2 2 2 6" xfId="29328"/>
    <cellStyle name="输出 2 2 2 7" xfId="29329"/>
    <cellStyle name="输出 2 2 3" xfId="29330"/>
    <cellStyle name="输出 2 2 3 2" xfId="29331"/>
    <cellStyle name="输出 2 2 3 3" xfId="29332"/>
    <cellStyle name="输出 2 2 3 4" xfId="29333"/>
    <cellStyle name="输出 2 2 3 5" xfId="29334"/>
    <cellStyle name="输出 2 2 3 6" xfId="29335"/>
    <cellStyle name="输出 2 2 3 7" xfId="29336"/>
    <cellStyle name="输出 2 2 4" xfId="29337"/>
    <cellStyle name="输出 2 2 4 2" xfId="29338"/>
    <cellStyle name="输出 2 2 4 3" xfId="29339"/>
    <cellStyle name="输出 2 2 4 4" xfId="29340"/>
    <cellStyle name="输出 2 2 4 5" xfId="29341"/>
    <cellStyle name="输出 2 2 4 6" xfId="29342"/>
    <cellStyle name="输出 2 2 4 7" xfId="29343"/>
    <cellStyle name="输出 2 2 5" xfId="29344"/>
    <cellStyle name="输出 2 2 5 2" xfId="29345"/>
    <cellStyle name="输出 2 2 5 3" xfId="29346"/>
    <cellStyle name="输出 2 2 5 4" xfId="29347"/>
    <cellStyle name="输出 2 2 5 5" xfId="29348"/>
    <cellStyle name="输出 2 2 5 6" xfId="29349"/>
    <cellStyle name="输出 2 2 5 7" xfId="29350"/>
    <cellStyle name="输出 2 2 6" xfId="29351"/>
    <cellStyle name="输出 2 2 6 2" xfId="29352"/>
    <cellStyle name="输出 2 2 6 3" xfId="29353"/>
    <cellStyle name="输出 2 2 6 4" xfId="29354"/>
    <cellStyle name="输出 2 2 6 5" xfId="29355"/>
    <cellStyle name="输出 2 2 6 6" xfId="29356"/>
    <cellStyle name="输出 2 2 6 7" xfId="29357"/>
    <cellStyle name="输出 2 2 7" xfId="29358"/>
    <cellStyle name="输出 2 2 7 2" xfId="29359"/>
    <cellStyle name="输出 2 2 7 3" xfId="29360"/>
    <cellStyle name="输出 2 2 7 4" xfId="29361"/>
    <cellStyle name="输出 2 2 7 5" xfId="29362"/>
    <cellStyle name="输出 2 2 7 6" xfId="29363"/>
    <cellStyle name="输出 2 2 7 7" xfId="29364"/>
    <cellStyle name="输出 2 2 8" xfId="29365"/>
    <cellStyle name="输出 2 2 8 2" xfId="29366"/>
    <cellStyle name="输出 2 2 8 3" xfId="29367"/>
    <cellStyle name="输出 2 2 8 4" xfId="29368"/>
    <cellStyle name="输出 2 2 8 5" xfId="29369"/>
    <cellStyle name="输出 2 2 8 6" xfId="29370"/>
    <cellStyle name="输出 2 2 8 7" xfId="29371"/>
    <cellStyle name="输出 2 2 9" xfId="29372"/>
    <cellStyle name="输出 2 2 9 2" xfId="29373"/>
    <cellStyle name="输出 2 2 9 3" xfId="29374"/>
    <cellStyle name="输出 2 2 9 4" xfId="29375"/>
    <cellStyle name="输出 2 2 9 5" xfId="29376"/>
    <cellStyle name="输出 2 2 9 6" xfId="29377"/>
    <cellStyle name="输出 2 3" xfId="29378"/>
    <cellStyle name="输出 2 3 2" xfId="29379"/>
    <cellStyle name="输出 2 3 3" xfId="29380"/>
    <cellStyle name="输出 2 3 4" xfId="29381"/>
    <cellStyle name="输出 2 3 5" xfId="29382"/>
    <cellStyle name="输出 2 3 6" xfId="29383"/>
    <cellStyle name="输出 2 3 7" xfId="29384"/>
    <cellStyle name="输出 2 4" xfId="29385"/>
    <cellStyle name="输出 2 4 2" xfId="29386"/>
    <cellStyle name="输出 2 4 3" xfId="29387"/>
    <cellStyle name="输出 2 4 4" xfId="29388"/>
    <cellStyle name="输出 2 4 5" xfId="29389"/>
    <cellStyle name="输出 2 4 6" xfId="29390"/>
    <cellStyle name="输出 2 4 7" xfId="29391"/>
    <cellStyle name="输出 2 5" xfId="29392"/>
    <cellStyle name="输出 2 5 2" xfId="29393"/>
    <cellStyle name="输出 2 5 3" xfId="29394"/>
    <cellStyle name="输出 2 5 4" xfId="29395"/>
    <cellStyle name="输出 2 5 5" xfId="29396"/>
    <cellStyle name="输出 2 5 6" xfId="29397"/>
    <cellStyle name="输出 2 5 7" xfId="29398"/>
    <cellStyle name="输出 2 6" xfId="29399"/>
    <cellStyle name="输出 2 6 2" xfId="29400"/>
    <cellStyle name="输出 2 6 3" xfId="29401"/>
    <cellStyle name="输出 2 6 4" xfId="29402"/>
    <cellStyle name="输出 2 6 5" xfId="29403"/>
    <cellStyle name="输出 2 6 6" xfId="29404"/>
    <cellStyle name="输出 2 6 7" xfId="29405"/>
    <cellStyle name="输出 2 7" xfId="29406"/>
    <cellStyle name="输出 2 7 2" xfId="29407"/>
    <cellStyle name="输出 2 7 3" xfId="29408"/>
    <cellStyle name="输出 2 7 4" xfId="29409"/>
    <cellStyle name="输出 2 7 5" xfId="29410"/>
    <cellStyle name="输出 2 7 6" xfId="29411"/>
    <cellStyle name="输出 2 7 7" xfId="29412"/>
    <cellStyle name="输出 2 8" xfId="29413"/>
    <cellStyle name="输出 2 8 2" xfId="29414"/>
    <cellStyle name="输出 2 8 3" xfId="29415"/>
    <cellStyle name="输出 2 8 4" xfId="29416"/>
    <cellStyle name="输出 2 8 5" xfId="29417"/>
    <cellStyle name="输出 2 8 6" xfId="29418"/>
    <cellStyle name="输出 2 8 7" xfId="29419"/>
    <cellStyle name="输出 2 9" xfId="29420"/>
    <cellStyle name="输出 2 9 2" xfId="29421"/>
    <cellStyle name="输出 2 9 3" xfId="29422"/>
    <cellStyle name="输出 2 9 4" xfId="29423"/>
    <cellStyle name="输出 2 9 5" xfId="29424"/>
    <cellStyle name="输出 2 9 6" xfId="29425"/>
    <cellStyle name="输出 2 9 7" xfId="29426"/>
    <cellStyle name="输出 3" xfId="29427"/>
    <cellStyle name="输出 3 10" xfId="29428"/>
    <cellStyle name="输出 3 10 2" xfId="29429"/>
    <cellStyle name="输出 3 10 3" xfId="29430"/>
    <cellStyle name="输出 3 10 4" xfId="29431"/>
    <cellStyle name="输出 3 10 5" xfId="29432"/>
    <cellStyle name="输出 3 10 6" xfId="29433"/>
    <cellStyle name="输出 3 11" xfId="29434"/>
    <cellStyle name="输出 3 12" xfId="29435"/>
    <cellStyle name="输出 3 13" xfId="29436"/>
    <cellStyle name="输出 3 14" xfId="29437"/>
    <cellStyle name="输出 3 15" xfId="29438"/>
    <cellStyle name="输出 3 2" xfId="29439"/>
    <cellStyle name="输出 3 2 10" xfId="29440"/>
    <cellStyle name="输出 3 2 11" xfId="29441"/>
    <cellStyle name="输出 3 2 12" xfId="29442"/>
    <cellStyle name="输出 3 2 13" xfId="29443"/>
    <cellStyle name="输出 3 2 14" xfId="29444"/>
    <cellStyle name="输出 3 2 2" xfId="29445"/>
    <cellStyle name="输出 3 2 2 2" xfId="29446"/>
    <cellStyle name="输出 3 2 2 3" xfId="29447"/>
    <cellStyle name="输出 3 2 2 4" xfId="29448"/>
    <cellStyle name="输出 3 2 2 5" xfId="29449"/>
    <cellStyle name="输出 3 2 2 6" xfId="29450"/>
    <cellStyle name="输出 3 2 2 7" xfId="29451"/>
    <cellStyle name="输出 3 2 3" xfId="29452"/>
    <cellStyle name="输出 3 2 3 2" xfId="29453"/>
    <cellStyle name="输出 3 2 3 3" xfId="29454"/>
    <cellStyle name="输出 3 2 3 4" xfId="29455"/>
    <cellStyle name="输出 3 2 3 5" xfId="29456"/>
    <cellStyle name="输出 3 2 3 6" xfId="29457"/>
    <cellStyle name="输出 3 2 3 7" xfId="29458"/>
    <cellStyle name="输出 3 2 4" xfId="29459"/>
    <cellStyle name="输出 3 2 4 2" xfId="29460"/>
    <cellStyle name="输出 3 2 4 3" xfId="29461"/>
    <cellStyle name="输出 3 2 4 4" xfId="29462"/>
    <cellStyle name="输出 3 2 4 5" xfId="29463"/>
    <cellStyle name="输出 3 2 4 6" xfId="29464"/>
    <cellStyle name="输出 3 2 4 7" xfId="29465"/>
    <cellStyle name="输出 3 2 5" xfId="29466"/>
    <cellStyle name="输出 3 2 5 2" xfId="29467"/>
    <cellStyle name="输出 3 2 5 3" xfId="29468"/>
    <cellStyle name="输出 3 2 5 4" xfId="29469"/>
    <cellStyle name="输出 3 2 5 5" xfId="29470"/>
    <cellStyle name="输出 3 2 5 6" xfId="29471"/>
    <cellStyle name="输出 3 2 5 7" xfId="29472"/>
    <cellStyle name="输出 3 2 6" xfId="29473"/>
    <cellStyle name="输出 3 2 6 2" xfId="29474"/>
    <cellStyle name="输出 3 2 6 3" xfId="29475"/>
    <cellStyle name="输出 3 2 6 4" xfId="29476"/>
    <cellStyle name="输出 3 2 6 5" xfId="29477"/>
    <cellStyle name="输出 3 2 6 6" xfId="29478"/>
    <cellStyle name="输出 3 2 6 7" xfId="29479"/>
    <cellStyle name="输出 3 2 7" xfId="29480"/>
    <cellStyle name="输出 3 2 7 2" xfId="29481"/>
    <cellStyle name="输出 3 2 7 3" xfId="29482"/>
    <cellStyle name="输出 3 2 7 4" xfId="29483"/>
    <cellStyle name="输出 3 2 7 5" xfId="29484"/>
    <cellStyle name="输出 3 2 7 6" xfId="29485"/>
    <cellStyle name="输出 3 2 7 7" xfId="29486"/>
    <cellStyle name="输出 3 2 8" xfId="29487"/>
    <cellStyle name="输出 3 2 8 2" xfId="29488"/>
    <cellStyle name="输出 3 2 8 3" xfId="29489"/>
    <cellStyle name="输出 3 2 8 4" xfId="29490"/>
    <cellStyle name="输出 3 2 8 5" xfId="29491"/>
    <cellStyle name="输出 3 2 8 6" xfId="29492"/>
    <cellStyle name="输出 3 2 8 7" xfId="29493"/>
    <cellStyle name="输出 3 2 9" xfId="29494"/>
    <cellStyle name="输出 3 2 9 2" xfId="29495"/>
    <cellStyle name="输出 3 2 9 3" xfId="29496"/>
    <cellStyle name="输出 3 2 9 4" xfId="29497"/>
    <cellStyle name="输出 3 2 9 5" xfId="29498"/>
    <cellStyle name="输出 3 2 9 6" xfId="29499"/>
    <cellStyle name="输出 3 3" xfId="29500"/>
    <cellStyle name="输出 3 3 2" xfId="29501"/>
    <cellStyle name="输出 3 3 3" xfId="29502"/>
    <cellStyle name="输出 3 3 4" xfId="29503"/>
    <cellStyle name="输出 3 3 5" xfId="29504"/>
    <cellStyle name="输出 3 3 6" xfId="29505"/>
    <cellStyle name="输出 3 3 7" xfId="29506"/>
    <cellStyle name="输出 3 4" xfId="29507"/>
    <cellStyle name="输出 3 4 2" xfId="29508"/>
    <cellStyle name="输出 3 4 3" xfId="29509"/>
    <cellStyle name="输出 3 4 4" xfId="29510"/>
    <cellStyle name="输出 3 4 5" xfId="29511"/>
    <cellStyle name="输出 3 4 6" xfId="29512"/>
    <cellStyle name="输出 3 4 7" xfId="29513"/>
    <cellStyle name="输出 3 5" xfId="29514"/>
    <cellStyle name="输出 3 5 2" xfId="29515"/>
    <cellStyle name="输出 3 5 3" xfId="29516"/>
    <cellStyle name="输出 3 5 4" xfId="29517"/>
    <cellStyle name="输出 3 5 5" xfId="29518"/>
    <cellStyle name="输出 3 5 6" xfId="29519"/>
    <cellStyle name="输出 3 5 7" xfId="29520"/>
    <cellStyle name="输出 3 6" xfId="29521"/>
    <cellStyle name="输出 3 6 2" xfId="29522"/>
    <cellStyle name="输出 3 6 3" xfId="29523"/>
    <cellStyle name="输出 3 6 4" xfId="29524"/>
    <cellStyle name="输出 3 6 5" xfId="29525"/>
    <cellStyle name="输出 3 6 6" xfId="29526"/>
    <cellStyle name="输出 3 6 7" xfId="29527"/>
    <cellStyle name="输出 3 7" xfId="29528"/>
    <cellStyle name="输出 3 7 2" xfId="29529"/>
    <cellStyle name="输出 3 7 3" xfId="29530"/>
    <cellStyle name="输出 3 7 4" xfId="29531"/>
    <cellStyle name="输出 3 7 5" xfId="29532"/>
    <cellStyle name="输出 3 7 6" xfId="29533"/>
    <cellStyle name="输出 3 7 7" xfId="29534"/>
    <cellStyle name="输出 3 8" xfId="29535"/>
    <cellStyle name="输出 3 8 2" xfId="29536"/>
    <cellStyle name="输出 3 8 3" xfId="29537"/>
    <cellStyle name="输出 3 8 4" xfId="29538"/>
    <cellStyle name="输出 3 8 5" xfId="29539"/>
    <cellStyle name="输出 3 8 6" xfId="29540"/>
    <cellStyle name="输出 3 8 7" xfId="29541"/>
    <cellStyle name="输出 3 9" xfId="29542"/>
    <cellStyle name="输出 3 9 2" xfId="29543"/>
    <cellStyle name="输出 3 9 3" xfId="29544"/>
    <cellStyle name="输出 3 9 4" xfId="29545"/>
    <cellStyle name="输出 3 9 5" xfId="29546"/>
    <cellStyle name="输出 3 9 6" xfId="29547"/>
    <cellStyle name="输出 3 9 7" xfId="29548"/>
    <cellStyle name="输出 4" xfId="29549"/>
    <cellStyle name="输出 4 10" xfId="29550"/>
    <cellStyle name="输出 4 11" xfId="29551"/>
    <cellStyle name="输出 4 12" xfId="29552"/>
    <cellStyle name="输出 4 13" xfId="29553"/>
    <cellStyle name="输出 4 14" xfId="29554"/>
    <cellStyle name="输出 4 2" xfId="29555"/>
    <cellStyle name="输出 4 2 2" xfId="29556"/>
    <cellStyle name="输出 4 2 3" xfId="29557"/>
    <cellStyle name="输出 4 2 4" xfId="29558"/>
    <cellStyle name="输出 4 2 5" xfId="29559"/>
    <cellStyle name="输出 4 2 6" xfId="29560"/>
    <cellStyle name="输出 4 2 7" xfId="29561"/>
    <cellStyle name="输出 4 3" xfId="29562"/>
    <cellStyle name="输出 4 3 2" xfId="29563"/>
    <cellStyle name="输出 4 3 3" xfId="29564"/>
    <cellStyle name="输出 4 3 4" xfId="29565"/>
    <cellStyle name="输出 4 3 5" xfId="29566"/>
    <cellStyle name="输出 4 3 6" xfId="29567"/>
    <cellStyle name="输出 4 3 7" xfId="29568"/>
    <cellStyle name="输出 4 4" xfId="29569"/>
    <cellStyle name="输出 4 4 2" xfId="29570"/>
    <cellStyle name="输出 4 4 3" xfId="29571"/>
    <cellStyle name="输出 4 4 4" xfId="29572"/>
    <cellStyle name="输出 4 4 5" xfId="29573"/>
    <cellStyle name="输出 4 4 6" xfId="29574"/>
    <cellStyle name="输出 4 4 7" xfId="29575"/>
    <cellStyle name="输出 4 5" xfId="29576"/>
    <cellStyle name="输出 4 5 2" xfId="29577"/>
    <cellStyle name="输出 4 5 3" xfId="29578"/>
    <cellStyle name="输出 4 5 4" xfId="29579"/>
    <cellStyle name="输出 4 5 5" xfId="29580"/>
    <cellStyle name="输出 4 5 6" xfId="29581"/>
    <cellStyle name="输出 4 5 7" xfId="29582"/>
    <cellStyle name="输出 4 6" xfId="29583"/>
    <cellStyle name="输出 4 6 2" xfId="29584"/>
    <cellStyle name="输出 4 6 3" xfId="29585"/>
    <cellStyle name="输出 4 6 4" xfId="29586"/>
    <cellStyle name="输出 4 6 5" xfId="29587"/>
    <cellStyle name="输出 4 6 6" xfId="29588"/>
    <cellStyle name="输出 4 6 7" xfId="29589"/>
    <cellStyle name="输出 4 7" xfId="29590"/>
    <cellStyle name="输出 4 7 2" xfId="29591"/>
    <cellStyle name="输出 4 7 3" xfId="29592"/>
    <cellStyle name="输出 4 7 4" xfId="29593"/>
    <cellStyle name="输出 4 7 5" xfId="29594"/>
    <cellStyle name="输出 4 7 6" xfId="29595"/>
    <cellStyle name="输出 4 7 7" xfId="29596"/>
    <cellStyle name="输出 4 8" xfId="29597"/>
    <cellStyle name="输出 4 8 2" xfId="29598"/>
    <cellStyle name="输出 4 8 3" xfId="29599"/>
    <cellStyle name="输出 4 8 4" xfId="29600"/>
    <cellStyle name="输出 4 8 5" xfId="29601"/>
    <cellStyle name="输出 4 8 6" xfId="29602"/>
    <cellStyle name="输出 4 8 7" xfId="29603"/>
    <cellStyle name="输出 4 9" xfId="29604"/>
    <cellStyle name="输出 4 9 2" xfId="29605"/>
    <cellStyle name="输出 4 9 3" xfId="29606"/>
    <cellStyle name="输出 4 9 4" xfId="29607"/>
    <cellStyle name="输出 4 9 5" xfId="29608"/>
    <cellStyle name="输出 4 9 6" xfId="29609"/>
    <cellStyle name="输出 5" xfId="29610"/>
    <cellStyle name="输出 5 2" xfId="29611"/>
    <cellStyle name="输出 5 3" xfId="29612"/>
    <cellStyle name="输出 5 4" xfId="29613"/>
    <cellStyle name="输出 5 5" xfId="29614"/>
    <cellStyle name="输出 5 6" xfId="29615"/>
    <cellStyle name="输出 5 7" xfId="29616"/>
    <cellStyle name="输出 6" xfId="29617"/>
    <cellStyle name="输出 6 2" xfId="29618"/>
    <cellStyle name="输出 6 3" xfId="29619"/>
    <cellStyle name="输出 6 4" xfId="29620"/>
    <cellStyle name="输出 6 5" xfId="29621"/>
    <cellStyle name="输出 6 6" xfId="29622"/>
    <cellStyle name="输出 6 7" xfId="29623"/>
    <cellStyle name="输出 7" xfId="29624"/>
    <cellStyle name="输出 7 2" xfId="29625"/>
    <cellStyle name="输出 7 3" xfId="29626"/>
    <cellStyle name="输出 7 4" xfId="29627"/>
    <cellStyle name="输出 7 5" xfId="29628"/>
    <cellStyle name="输出 7 6" xfId="29629"/>
    <cellStyle name="输出 7 7" xfId="29630"/>
    <cellStyle name="输出 8" xfId="29631"/>
    <cellStyle name="输出 8 2" xfId="29632"/>
    <cellStyle name="输出 8 3" xfId="29633"/>
    <cellStyle name="输出 8 4" xfId="29634"/>
    <cellStyle name="输出 8 5" xfId="29635"/>
    <cellStyle name="输出 8 6" xfId="29636"/>
    <cellStyle name="输出 8 7" xfId="29637"/>
    <cellStyle name="输出 9" xfId="29638"/>
    <cellStyle name="输出 9 2" xfId="29639"/>
    <cellStyle name="输出 9 3" xfId="29640"/>
    <cellStyle name="输出 9 4" xfId="29641"/>
    <cellStyle name="输出 9 5" xfId="29642"/>
    <cellStyle name="输出 9 6" xfId="29643"/>
    <cellStyle name="输出 9 7" xfId="29644"/>
    <cellStyle name="适中" xfId="29645"/>
    <cellStyle name="适中 2" xfId="29646"/>
    <cellStyle name="适中 3" xfId="29647"/>
    <cellStyle name="通貨 [0.00]_modelware trial" xfId="29648"/>
    <cellStyle name="链接单元格" xfId="29649"/>
    <cellStyle name="链接单元格 2" xfId="29650"/>
    <cellStyle name="链接单元格 3" xfId="2965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sharedStrings.xml" Type="http://schemas.openxmlformats.org/officeDocument/2006/relationships/sharedStrings"/>
<Relationship Id="rId11" Target="calcChain.xml" Type="http://schemas.openxmlformats.org/officeDocument/2006/relationships/calcChain"/>
<Relationship Id="rId12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theme/theme1.xml" Type="http://schemas.openxmlformats.org/officeDocument/2006/relationships/theme"/>
<Relationship Id="rId9" Target="styles.xml" Type="http://schemas.openxmlformats.org/officeDocument/2006/relationships/styles"/>
</Relationships>

</file>

<file path=xl/activeX/_rels/activeX1.xml.rels><?xml version="1.0" encoding="UTF-8" standalone="yes"?>
<Relationships xmlns="http://schemas.openxmlformats.org/package/2006/relationships">
<Relationship Id="rId1" Target="activeX1.bin" Type="http://schemas.microsoft.com/office/2006/relationships/activeXControlBinary"/>
</Relationships>

</file>

<file path=xl/activeX/_rels/activeX2.xml.rels><?xml version="1.0" encoding="UTF-8" standalone="yes"?>
<Relationships xmlns="http://schemas.openxmlformats.org/package/2006/relationships">
<Relationship Id="rId1" Target="activeX2.bin" Type="http://schemas.microsoft.com/office/2006/relationships/activeXControlBinary"/>
</Relationships>

</file>

<file path=xl/activeX/_rels/activeX3.xml.rels><?xml version="1.0" encoding="UTF-8" standalone="yes"?>
<Relationships xmlns="http://schemas.openxmlformats.org/package/2006/relationships">
<Relationship Id="rId1" Target="activeX3.bin" Type="http://schemas.microsoft.com/office/2006/relationships/activeXControlBinary"/>
</Relationships>
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7.png" Type="http://schemas.openxmlformats.org/officeDocument/2006/relationships/image"/>
</Relationships>

</file>

<file path=xl/drawings/_rels/vmlDrawing2.vml.rels><?xml version="1.0" encoding="UTF-8" standalone="yes"?>
<Relationships xmlns="http://schemas.openxmlformats.org/package/2006/relationships">
<Relationship Id="rId1" Target="../media/image4.emf" Type="http://schemas.openxmlformats.org/officeDocument/2006/relationships/image"/>
</Relationships>

</file>

<file path=xl/drawings/_rels/vmlDrawing3.vml.rels><?xml version="1.0" encoding="UTF-8" standalone="yes"?>
<Relationships xmlns="http://schemas.openxmlformats.org/package/2006/relationships">
<Relationship Id="rId1" Target="../media/image5.emf" Type="http://schemas.openxmlformats.org/officeDocument/2006/relationships/image"/>
<Relationship Id="rId2" Target="../media/image6.em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190</xdr:row>
      <xdr:rowOff>0</xdr:rowOff>
    </xdr:from>
    <xdr:to>
      <xdr:col>7</xdr:col>
      <xdr:colOff>390525</xdr:colOff>
      <xdr:row>213</xdr:row>
      <xdr:rowOff>104775</xdr:rowOff>
    </xdr:to>
    <xdr:pic>
      <xdr:nvPicPr>
        <xdr:cNvPr id="66812929" name="Picture 1" descr="C:\Users\zhangela\AppData\Local\Temp\MercuryPriceRatingHistoryChart\CTRP.O_2018_04_22_18_47_54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0703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0</xdr:row>
          <xdr:rowOff>57150</xdr:rowOff>
        </xdr:from>
        <xdr:to>
          <xdr:col>1</xdr:col>
          <xdr:colOff>2838450</xdr:colOff>
          <xdr:row>1</xdr:row>
          <xdr:rowOff>152400</xdr:rowOff>
        </xdr:to>
        <xdr:sp macro="" textlink="">
          <xdr:nvSpPr>
            <xdr:cNvPr id="36996159" name="ComboBox1" hidden="1">
              <a:extLst>
                <a:ext uri="{63B3BB69-23CF-44E3-9099-C40C66FF867C}">
                  <a14:compatExt spid="_x0000_s3699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66675</xdr:rowOff>
    </xdr:from>
    <xdr:to>
      <xdr:col>1</xdr:col>
      <xdr:colOff>1238250</xdr:colOff>
      <xdr:row>3</xdr:row>
      <xdr:rowOff>104775</xdr:rowOff>
    </xdr:to>
    <xdr:pic>
      <xdr:nvPicPr>
        <xdr:cNvPr id="30697664" name="Picture 1" descr="http://logok.org/wp-content/uploads/2014/10/Ctrip-logo-and-wordmark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000" b="25000"/>
        <a:stretch>
          <a:fillRect/>
        </a:stretch>
      </xdr:blipFill>
      <xdr:spPr bwMode="auto">
        <a:xfrm>
          <a:off x="142875" y="66675"/>
          <a:ext cx="17049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0</xdr:row>
          <xdr:rowOff>38100</xdr:rowOff>
        </xdr:from>
        <xdr:to>
          <xdr:col>1</xdr:col>
          <xdr:colOff>19050</xdr:colOff>
          <xdr:row>0</xdr:row>
          <xdr:rowOff>76200</xdr:rowOff>
        </xdr:to>
        <xdr:sp macro="" textlink="">
          <xdr:nvSpPr>
            <xdr:cNvPr id="4905" name="ComboBox1" hidden="1">
              <a:extLst>
                <a:ext uri="{63B3BB69-23CF-44E3-9099-C40C66FF867C}">
                  <a14:compatExt spid="_x0000_s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9525</xdr:rowOff>
        </xdr:from>
        <xdr:to>
          <xdr:col>9</xdr:col>
          <xdr:colOff>295275</xdr:colOff>
          <xdr:row>4</xdr:row>
          <xdr:rowOff>9525</xdr:rowOff>
        </xdr:to>
        <xdr:sp macro="" textlink="">
          <xdr:nvSpPr>
            <xdr:cNvPr id="30696981" name="ComboBox2" hidden="1">
              <a:extLst>
                <a:ext uri="{63B3BB69-23CF-44E3-9099-C40C66FF867C}">
                  <a14:compatExt spid="_x0000_s3069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printerSettings/printerSettings2.bin" Type="http://schemas.openxmlformats.org/officeDocument/2006/relationships/printerSettings"/>
<Relationship Id="rId3" Target="../printerSettings/printerSettings3.bin" Type="http://schemas.openxmlformats.org/officeDocument/2006/relationships/printerSetting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printerSettings/printerSettings6.bin" Type="http://schemas.openxmlformats.org/officeDocument/2006/relationships/printerSettings"/>
<Relationship Id="rId3" Target="../printerSettings/printerSettings7.bin" Type="http://schemas.openxmlformats.org/officeDocument/2006/relationships/printerSettings"/>
<Relationship Id="rId4" Target="../drawings/vmlDrawing1.vml" Type="http://schemas.openxmlformats.org/officeDocument/2006/relationships/vmlDrawing"/>
<Relationship Id="rId5" Target="../comments1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10" Target="../media/image4.emf" Type="http://schemas.openxmlformats.org/officeDocument/2006/relationships/image"/>
<Relationship Id="rId11" Target="../comments2.xml" Type="http://schemas.openxmlformats.org/officeDocument/2006/relationships/comments"/>
<Relationship Id="rId2" Target="../printerSettings/printerSettings9.bin" Type="http://schemas.openxmlformats.org/officeDocument/2006/relationships/printerSettings"/>
<Relationship Id="rId3" Target="../printerSettings/printerSettings10.bin" Type="http://schemas.openxmlformats.org/officeDocument/2006/relationships/printerSettings"/>
<Relationship Id="rId4" Target="../printerSettings/printerSettings11.bin" Type="http://schemas.openxmlformats.org/officeDocument/2006/relationships/printerSettings"/>
<Relationship Id="rId5" Target="../printerSettings/printerSettings12.bin" Type="http://schemas.openxmlformats.org/officeDocument/2006/relationships/printerSettings"/>
<Relationship Id="rId6" Target="../printerSettings/printerSettings13.bin" Type="http://schemas.openxmlformats.org/officeDocument/2006/relationships/printerSettings"/>
<Relationship Id="rId7" Target="../drawings/drawing2.xml" Type="http://schemas.openxmlformats.org/officeDocument/2006/relationships/drawing"/>
<Relationship Id="rId8" Target="../drawings/vmlDrawing2.vml" Type="http://schemas.openxmlformats.org/officeDocument/2006/relationships/vmlDrawing"/>
<Relationship Id="rId9" Target="../activeX/activeX1.xml" Type="http://schemas.openxmlformats.org/officeDocument/2006/relationships/control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14.bin" Type="http://schemas.openxmlformats.org/officeDocument/2006/relationships/printerSettings"/>
<Relationship Id="rId10" Target="../media/image6.emf" Type="http://schemas.openxmlformats.org/officeDocument/2006/relationships/image"/>
<Relationship Id="rId11" Target="../comments3.xml" Type="http://schemas.openxmlformats.org/officeDocument/2006/relationships/comments"/>
<Relationship Id="rId2" Target="../printerSettings/printerSettings15.bin" Type="http://schemas.openxmlformats.org/officeDocument/2006/relationships/printerSettings"/>
<Relationship Id="rId3" Target="../printerSettings/printerSettings16.bin" Type="http://schemas.openxmlformats.org/officeDocument/2006/relationships/printerSettings"/>
<Relationship Id="rId4" Target="../printerSettings/printerSettings17.bin" Type="http://schemas.openxmlformats.org/officeDocument/2006/relationships/printerSettings"/>
<Relationship Id="rId5" Target="../drawings/drawing3.xml" Type="http://schemas.openxmlformats.org/officeDocument/2006/relationships/drawing"/>
<Relationship Id="rId6" Target="../drawings/vmlDrawing3.vml" Type="http://schemas.openxmlformats.org/officeDocument/2006/relationships/vmlDrawing"/>
<Relationship Id="rId7" Target="../activeX/activeX2.xml" Type="http://schemas.openxmlformats.org/officeDocument/2006/relationships/control"/>
<Relationship Id="rId8" Target="../media/image5.emf" Type="http://schemas.openxmlformats.org/officeDocument/2006/relationships/image"/>
<Relationship Id="rId9" Target="../activeX/activeX3.xml" Type="http://schemas.openxmlformats.org/officeDocument/2006/relationships/control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1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"/>
  <sheetViews>
    <sheetView workbookViewId="0"/>
  </sheetViews>
  <sheetFormatPr defaultRowHeight="12.75"/>
  <sheetData>
    <row r="1" spans="1:12">
      <c r="A1" t="s">
        <v>844</v>
      </c>
    </row>
    <row r="2" spans="1:12">
      <c r="A2" s="2" t="s">
        <v>842</v>
      </c>
      <c r="B2" s="2" t="s">
        <v>564</v>
      </c>
      <c r="C2" s="2" t="s">
        <v>430</v>
      </c>
      <c r="D2" s="2" t="s">
        <v>431</v>
      </c>
      <c r="E2" s="2" t="s">
        <v>429</v>
      </c>
      <c r="F2" s="2" t="s">
        <v>855</v>
      </c>
      <c r="G2" s="2" t="s">
        <v>428</v>
      </c>
      <c r="H2" s="2" t="s">
        <v>564</v>
      </c>
      <c r="I2" s="2" t="s">
        <v>843</v>
      </c>
      <c r="J2" s="2" t="s">
        <v>564</v>
      </c>
      <c r="K2" s="2" t="s">
        <v>427</v>
      </c>
      <c r="L2" s="2" t="s">
        <v>426</v>
      </c>
    </row>
  </sheetData>
  <customSheetViews>
    <customSheetView guid="{6ED7E203-3B12-4790-A9AD-D7EF4259F09D}" state="veryHidden">
      <pageMargins left="0.7" right="0.7" top="0.75" bottom="0.75" header="0.3" footer="0.3"/>
      <pageSetup paperSize="0" orientation="portrait" r:id="rId1"/>
    </customSheetView>
    <customSheetView guid="{B8862541-B9EF-4C0A-9660-E37FD3328D7C}" state="veryHidden">
      <pageMargins left="0.7" right="0.7" top="0.75" bottom="0.75" header="0.3" footer="0.3"/>
    </customSheetView>
    <customSheetView guid="{E131BE6B-79DB-46DB-B0E9-6B0271F9C8B0}" state="veryHidden">
      <pageMargins left="0.7" right="0.7" top="0.75" bottom="0.75" header="0.3" footer="0.3"/>
    </customSheetView>
    <customSheetView guid="{FB5A43A4-CF56-4312-A757-8F3AEABE0131}" state="veryHidden">
      <pageMargins left="0.7" right="0.7" top="0.75" bottom="0.75" header="0.3" footer="0.3"/>
      <pageSetup paperSize="0" orientation="portrait" r:id="rId2"/>
    </customSheetView>
  </customSheetView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10"/>
  <sheetViews>
    <sheetView showGridLines="0" tabSelected="1" workbookViewId="0">
      <selection activeCell="B25" sqref="B25"/>
    </sheetView>
  </sheetViews>
  <sheetFormatPr defaultRowHeight="12.75"/>
  <cols>
    <col min="1" max="1" width="25.7109375" style="683" customWidth="1"/>
    <col min="2" max="5" width="9.140625" style="683"/>
    <col min="6" max="6" width="18.7109375" style="683" customWidth="1"/>
    <col min="7" max="256" width="9.140625" style="683"/>
    <col min="257" max="257" width="100.7109375" style="683" customWidth="1"/>
    <col min="258" max="512" width="9.140625" style="683"/>
    <col min="513" max="513" width="100.7109375" style="683" customWidth="1"/>
    <col min="514" max="768" width="9.140625" style="683"/>
    <col min="769" max="769" width="100.7109375" style="683" customWidth="1"/>
    <col min="770" max="1024" width="9.140625" style="683"/>
    <col min="1025" max="1025" width="100.7109375" style="683" customWidth="1"/>
    <col min="1026" max="1280" width="9.140625" style="683"/>
    <col min="1281" max="1281" width="100.7109375" style="683" customWidth="1"/>
    <col min="1282" max="1536" width="9.140625" style="683"/>
    <col min="1537" max="1537" width="100.7109375" style="683" customWidth="1"/>
    <col min="1538" max="1792" width="9.140625" style="683"/>
    <col min="1793" max="1793" width="100.7109375" style="683" customWidth="1"/>
    <col min="1794" max="2048" width="9.140625" style="683"/>
    <col min="2049" max="2049" width="100.7109375" style="683" customWidth="1"/>
    <col min="2050" max="2304" width="9.140625" style="683"/>
    <col min="2305" max="2305" width="100.7109375" style="683" customWidth="1"/>
    <col min="2306" max="2560" width="9.140625" style="683"/>
    <col min="2561" max="2561" width="100.7109375" style="683" customWidth="1"/>
    <col min="2562" max="2816" width="9.140625" style="683"/>
    <col min="2817" max="2817" width="100.7109375" style="683" customWidth="1"/>
    <col min="2818" max="3072" width="9.140625" style="683"/>
    <col min="3073" max="3073" width="100.7109375" style="683" customWidth="1"/>
    <col min="3074" max="3328" width="9.140625" style="683"/>
    <col min="3329" max="3329" width="100.7109375" style="683" customWidth="1"/>
    <col min="3330" max="3584" width="9.140625" style="683"/>
    <col min="3585" max="3585" width="100.7109375" style="683" customWidth="1"/>
    <col min="3586" max="3840" width="9.140625" style="683"/>
    <col min="3841" max="3841" width="100.7109375" style="683" customWidth="1"/>
    <col min="3842" max="4096" width="9.140625" style="683"/>
    <col min="4097" max="4097" width="100.7109375" style="683" customWidth="1"/>
    <col min="4098" max="4352" width="9.140625" style="683"/>
    <col min="4353" max="4353" width="100.7109375" style="683" customWidth="1"/>
    <col min="4354" max="4608" width="9.140625" style="683"/>
    <col min="4609" max="4609" width="100.7109375" style="683" customWidth="1"/>
    <col min="4610" max="4864" width="9.140625" style="683"/>
    <col min="4865" max="4865" width="100.7109375" style="683" customWidth="1"/>
    <col min="4866" max="5120" width="9.140625" style="683"/>
    <col min="5121" max="5121" width="100.7109375" style="683" customWidth="1"/>
    <col min="5122" max="5376" width="9.140625" style="683"/>
    <col min="5377" max="5377" width="100.7109375" style="683" customWidth="1"/>
    <col min="5378" max="5632" width="9.140625" style="683"/>
    <col min="5633" max="5633" width="100.7109375" style="683" customWidth="1"/>
    <col min="5634" max="5888" width="9.140625" style="683"/>
    <col min="5889" max="5889" width="100.7109375" style="683" customWidth="1"/>
    <col min="5890" max="6144" width="9.140625" style="683"/>
    <col min="6145" max="6145" width="100.7109375" style="683" customWidth="1"/>
    <col min="6146" max="6400" width="9.140625" style="683"/>
    <col min="6401" max="6401" width="100.7109375" style="683" customWidth="1"/>
    <col min="6402" max="6656" width="9.140625" style="683"/>
    <col min="6657" max="6657" width="100.7109375" style="683" customWidth="1"/>
    <col min="6658" max="6912" width="9.140625" style="683"/>
    <col min="6913" max="6913" width="100.7109375" style="683" customWidth="1"/>
    <col min="6914" max="7168" width="9.140625" style="683"/>
    <col min="7169" max="7169" width="100.7109375" style="683" customWidth="1"/>
    <col min="7170" max="7424" width="9.140625" style="683"/>
    <col min="7425" max="7425" width="100.7109375" style="683" customWidth="1"/>
    <col min="7426" max="7680" width="9.140625" style="683"/>
    <col min="7681" max="7681" width="100.7109375" style="683" customWidth="1"/>
    <col min="7682" max="7936" width="9.140625" style="683"/>
    <col min="7937" max="7937" width="100.7109375" style="683" customWidth="1"/>
    <col min="7938" max="8192" width="9.140625" style="683"/>
    <col min="8193" max="8193" width="100.7109375" style="683" customWidth="1"/>
    <col min="8194" max="8448" width="9.140625" style="683"/>
    <col min="8449" max="8449" width="100.7109375" style="683" customWidth="1"/>
    <col min="8450" max="8704" width="9.140625" style="683"/>
    <col min="8705" max="8705" width="100.7109375" style="683" customWidth="1"/>
    <col min="8706" max="8960" width="9.140625" style="683"/>
    <col min="8961" max="8961" width="100.7109375" style="683" customWidth="1"/>
    <col min="8962" max="9216" width="9.140625" style="683"/>
    <col min="9217" max="9217" width="100.7109375" style="683" customWidth="1"/>
    <col min="9218" max="9472" width="9.140625" style="683"/>
    <col min="9473" max="9473" width="100.7109375" style="683" customWidth="1"/>
    <col min="9474" max="9728" width="9.140625" style="683"/>
    <col min="9729" max="9729" width="100.7109375" style="683" customWidth="1"/>
    <col min="9730" max="9984" width="9.140625" style="683"/>
    <col min="9985" max="9985" width="100.7109375" style="683" customWidth="1"/>
    <col min="9986" max="10240" width="9.140625" style="683"/>
    <col min="10241" max="10241" width="100.7109375" style="683" customWidth="1"/>
    <col min="10242" max="10496" width="9.140625" style="683"/>
    <col min="10497" max="10497" width="100.7109375" style="683" customWidth="1"/>
    <col min="10498" max="10752" width="9.140625" style="683"/>
    <col min="10753" max="10753" width="100.7109375" style="683" customWidth="1"/>
    <col min="10754" max="11008" width="9.140625" style="683"/>
    <col min="11009" max="11009" width="100.7109375" style="683" customWidth="1"/>
    <col min="11010" max="11264" width="9.140625" style="683"/>
    <col min="11265" max="11265" width="100.7109375" style="683" customWidth="1"/>
    <col min="11266" max="11520" width="9.140625" style="683"/>
    <col min="11521" max="11521" width="100.7109375" style="683" customWidth="1"/>
    <col min="11522" max="11776" width="9.140625" style="683"/>
    <col min="11777" max="11777" width="100.7109375" style="683" customWidth="1"/>
    <col min="11778" max="12032" width="9.140625" style="683"/>
    <col min="12033" max="12033" width="100.7109375" style="683" customWidth="1"/>
    <col min="12034" max="12288" width="9.140625" style="683"/>
    <col min="12289" max="12289" width="100.7109375" style="683" customWidth="1"/>
    <col min="12290" max="12544" width="9.140625" style="683"/>
    <col min="12545" max="12545" width="100.7109375" style="683" customWidth="1"/>
    <col min="12546" max="12800" width="9.140625" style="683"/>
    <col min="12801" max="12801" width="100.7109375" style="683" customWidth="1"/>
    <col min="12802" max="13056" width="9.140625" style="683"/>
    <col min="13057" max="13057" width="100.7109375" style="683" customWidth="1"/>
    <col min="13058" max="13312" width="9.140625" style="683"/>
    <col min="13313" max="13313" width="100.7109375" style="683" customWidth="1"/>
    <col min="13314" max="13568" width="9.140625" style="683"/>
    <col min="13569" max="13569" width="100.7109375" style="683" customWidth="1"/>
    <col min="13570" max="13824" width="9.140625" style="683"/>
    <col min="13825" max="13825" width="100.7109375" style="683" customWidth="1"/>
    <col min="13826" max="14080" width="9.140625" style="683"/>
    <col min="14081" max="14081" width="100.7109375" style="683" customWidth="1"/>
    <col min="14082" max="14336" width="9.140625" style="683"/>
    <col min="14337" max="14337" width="100.7109375" style="683" customWidth="1"/>
    <col min="14338" max="14592" width="9.140625" style="683"/>
    <col min="14593" max="14593" width="100.7109375" style="683" customWidth="1"/>
    <col min="14594" max="14848" width="9.140625" style="683"/>
    <col min="14849" max="14849" width="100.7109375" style="683" customWidth="1"/>
    <col min="14850" max="15104" width="9.140625" style="683"/>
    <col min="15105" max="15105" width="100.7109375" style="683" customWidth="1"/>
    <col min="15106" max="15360" width="9.140625" style="683"/>
    <col min="15361" max="15361" width="100.7109375" style="683" customWidth="1"/>
    <col min="15362" max="15616" width="9.140625" style="683"/>
    <col min="15617" max="15617" width="100.7109375" style="683" customWidth="1"/>
    <col min="15618" max="15872" width="9.140625" style="683"/>
    <col min="15873" max="15873" width="100.7109375" style="683" customWidth="1"/>
    <col min="15874" max="16128" width="9.140625" style="683"/>
    <col min="16129" max="16129" width="100.7109375" style="683" customWidth="1"/>
    <col min="16130" max="16384" width="9.140625" style="683"/>
  </cols>
  <sheetData>
    <row r="1" spans="1:8" ht="30" customHeight="1">
      <c r="A1" s="681"/>
      <c r="B1" s="682"/>
      <c r="C1" s="682"/>
      <c r="D1" s="682"/>
      <c r="E1" s="682"/>
      <c r="F1" s="682"/>
      <c r="G1" s="682"/>
      <c r="H1" s="682"/>
    </row>
    <row r="2" spans="1:8" ht="14.25">
      <c r="A2" s="684" t="s">
        <v>862</v>
      </c>
      <c r="B2" s="682"/>
      <c r="C2" s="682"/>
      <c r="D2" s="682"/>
      <c r="E2" s="682"/>
      <c r="F2" s="682"/>
      <c r="G2" s="682"/>
      <c r="H2" s="682"/>
    </row>
    <row r="3" spans="1:8" ht="14.25">
      <c r="A3" s="684" t="s">
        <v>863</v>
      </c>
      <c r="B3" s="682"/>
      <c r="C3" s="682"/>
      <c r="D3" s="682"/>
      <c r="E3" s="682"/>
      <c r="F3" s="682"/>
      <c r="G3" s="682"/>
      <c r="H3" s="682"/>
    </row>
    <row r="4" spans="1:8" ht="14.25">
      <c r="A4" s="684" t="s">
        <v>864</v>
      </c>
      <c r="B4" s="682"/>
      <c r="C4" s="682"/>
      <c r="D4" s="682"/>
      <c r="E4" s="682"/>
      <c r="F4" s="682"/>
      <c r="G4" s="682"/>
      <c r="H4" s="682"/>
    </row>
    <row r="5" spans="1:8" ht="14.25">
      <c r="A5" s="684" t="s">
        <v>865</v>
      </c>
      <c r="B5" s="682"/>
      <c r="C5" s="682"/>
      <c r="D5" s="682"/>
      <c r="E5" s="682"/>
      <c r="F5" s="682"/>
      <c r="G5" s="682"/>
      <c r="H5" s="682"/>
    </row>
    <row r="6" spans="1:8" ht="14.25">
      <c r="A6" s="684"/>
      <c r="B6" s="682"/>
      <c r="C6" s="682"/>
      <c r="D6" s="682"/>
      <c r="E6" s="682"/>
      <c r="F6" s="682"/>
      <c r="G6" s="682"/>
      <c r="H6" s="682"/>
    </row>
    <row r="7" spans="1:8">
      <c r="A7" s="681" t="s">
        <v>866</v>
      </c>
      <c r="B7" s="682"/>
      <c r="C7" s="682"/>
      <c r="D7" s="682"/>
      <c r="E7" s="682"/>
      <c r="F7" s="682"/>
      <c r="G7" s="682"/>
      <c r="H7" s="682"/>
    </row>
    <row r="8" spans="1:8">
      <c r="A8" s="681" t="s">
        <v>867</v>
      </c>
      <c r="B8" s="682"/>
      <c r="C8" s="682"/>
      <c r="D8" s="682"/>
      <c r="E8" s="682"/>
      <c r="F8" s="682"/>
      <c r="G8" s="682"/>
      <c r="H8" s="682"/>
    </row>
    <row r="9" spans="1:8">
      <c r="A9" s="681"/>
      <c r="B9" s="682"/>
      <c r="C9" s="682"/>
      <c r="D9" s="682"/>
      <c r="E9" s="682"/>
      <c r="F9" s="682"/>
      <c r="G9" s="682"/>
      <c r="H9" s="682"/>
    </row>
    <row r="10" spans="1:8">
      <c r="A10" s="685" t="s">
        <v>868</v>
      </c>
      <c r="B10" s="682"/>
      <c r="C10" s="682"/>
      <c r="D10" s="682"/>
      <c r="E10" s="682"/>
      <c r="F10" s="682"/>
      <c r="G10" s="682"/>
      <c r="H10" s="682"/>
    </row>
    <row r="11" spans="1:8">
      <c r="A11" s="685" t="s">
        <v>1242</v>
      </c>
      <c r="B11" s="682"/>
      <c r="C11" s="682"/>
      <c r="D11" s="682"/>
      <c r="E11" s="682"/>
      <c r="F11" s="682"/>
      <c r="G11" s="682"/>
      <c r="H11" s="682"/>
    </row>
    <row r="12" spans="1:8">
      <c r="A12" s="685" t="s">
        <v>869</v>
      </c>
      <c r="B12" s="682"/>
      <c r="C12" s="682"/>
      <c r="D12" s="682"/>
      <c r="E12" s="682"/>
      <c r="F12" s="682"/>
      <c r="G12" s="682"/>
      <c r="H12" s="682"/>
    </row>
    <row r="13" spans="1:8">
      <c r="A13" s="685" t="s">
        <v>870</v>
      </c>
      <c r="B13" s="682"/>
      <c r="C13" s="682"/>
      <c r="D13" s="682"/>
      <c r="E13" s="682"/>
      <c r="F13" s="682"/>
      <c r="G13" s="682"/>
      <c r="H13" s="682"/>
    </row>
    <row r="14" spans="1:8">
      <c r="A14" s="685" t="s">
        <v>871</v>
      </c>
      <c r="B14" s="682"/>
      <c r="C14" s="682"/>
      <c r="D14" s="682"/>
      <c r="E14" s="682"/>
      <c r="F14" s="682"/>
      <c r="G14" s="682"/>
      <c r="H14" s="682"/>
    </row>
    <row r="15" spans="1:8">
      <c r="A15" s="685" t="s">
        <v>872</v>
      </c>
      <c r="B15" s="682"/>
      <c r="C15" s="682"/>
      <c r="D15" s="682"/>
      <c r="E15" s="682"/>
      <c r="F15" s="682"/>
      <c r="G15" s="682"/>
      <c r="H15" s="682"/>
    </row>
    <row r="16" spans="1:8">
      <c r="A16" s="685"/>
      <c r="B16" s="682"/>
      <c r="C16" s="682"/>
      <c r="D16" s="682"/>
      <c r="E16" s="682"/>
      <c r="F16" s="682"/>
      <c r="G16" s="682"/>
      <c r="H16" s="682"/>
    </row>
    <row r="17" spans="1:8">
      <c r="A17" s="685" t="s">
        <v>859</v>
      </c>
      <c r="B17" s="682"/>
      <c r="C17" s="682"/>
      <c r="D17" s="682"/>
      <c r="E17" s="682"/>
      <c r="F17" s="682"/>
      <c r="G17" s="682"/>
      <c r="H17" s="682"/>
    </row>
    <row r="18" spans="1:8">
      <c r="A18" s="685"/>
      <c r="B18" s="682"/>
      <c r="C18" s="682"/>
      <c r="D18" s="682"/>
      <c r="E18" s="682"/>
      <c r="F18" s="682"/>
      <c r="G18" s="682"/>
      <c r="H18" s="682"/>
    </row>
    <row r="19" spans="1:8">
      <c r="A19" s="685" t="s">
        <v>860</v>
      </c>
      <c r="B19" s="682"/>
      <c r="C19" s="682"/>
      <c r="D19" s="682"/>
      <c r="E19" s="682"/>
      <c r="F19" s="682"/>
      <c r="G19" s="682"/>
      <c r="H19" s="682"/>
    </row>
    <row r="20" spans="1:8">
      <c r="A20" s="681"/>
      <c r="B20" s="682"/>
      <c r="C20" s="682"/>
      <c r="D20" s="682"/>
      <c r="E20" s="682"/>
      <c r="F20" s="682"/>
      <c r="G20" s="682"/>
      <c r="H20" s="682"/>
    </row>
    <row r="21" spans="1:8">
      <c r="A21" s="686" t="s">
        <v>861</v>
      </c>
      <c r="B21" s="682"/>
      <c r="C21" s="682"/>
      <c r="D21" s="682"/>
      <c r="E21" s="682"/>
      <c r="F21" s="682"/>
      <c r="G21" s="682"/>
      <c r="H21" s="682"/>
    </row>
    <row r="22" spans="1:8">
      <c r="A22" s="687"/>
      <c r="B22" s="687"/>
      <c r="C22" s="687"/>
      <c r="D22" s="687"/>
      <c r="E22" s="687"/>
      <c r="F22" s="687"/>
      <c r="G22" s="687"/>
      <c r="H22" s="687"/>
    </row>
    <row r="23" spans="1:8">
      <c r="A23" s="688" t="s">
        <v>1168</v>
      </c>
      <c r="B23" s="687"/>
      <c r="C23" s="687"/>
      <c r="D23" s="687"/>
      <c r="E23" s="687"/>
      <c r="F23" s="687"/>
      <c r="G23" s="687"/>
      <c r="H23" s="687"/>
    </row>
    <row r="24" spans="1:8">
      <c r="A24" s="688" t="s">
        <v>1169</v>
      </c>
      <c r="B24" s="687"/>
      <c r="C24" s="687"/>
      <c r="D24" s="687"/>
      <c r="E24" s="687"/>
      <c r="F24" s="687"/>
      <c r="G24" s="687"/>
      <c r="H24" s="687"/>
    </row>
    <row r="25" spans="1:8">
      <c r="A25" s="688" t="s">
        <v>1170</v>
      </c>
      <c r="B25" s="687"/>
      <c r="C25" s="687"/>
      <c r="D25" s="687"/>
      <c r="E25" s="687"/>
      <c r="F25" s="687"/>
      <c r="G25" s="687"/>
      <c r="H25" s="687"/>
    </row>
    <row r="26" spans="1:8">
      <c r="A26" s="688" t="s">
        <v>1171</v>
      </c>
      <c r="B26" s="687"/>
      <c r="C26" s="687"/>
      <c r="D26" s="687"/>
      <c r="E26" s="687"/>
      <c r="F26" s="687"/>
      <c r="G26" s="687"/>
      <c r="H26" s="687"/>
    </row>
    <row r="27" spans="1:8">
      <c r="A27" s="687"/>
      <c r="B27" s="687"/>
      <c r="C27" s="687"/>
      <c r="D27" s="687"/>
      <c r="E27" s="687"/>
      <c r="F27" s="687"/>
      <c r="G27" s="687"/>
      <c r="H27" s="687"/>
    </row>
    <row r="28" spans="1:8">
      <c r="A28" s="687"/>
      <c r="B28" s="687"/>
      <c r="C28" s="687"/>
      <c r="D28" s="687"/>
      <c r="E28" s="687"/>
      <c r="F28" s="687"/>
      <c r="G28" s="687"/>
      <c r="H28" s="687"/>
    </row>
    <row r="29" spans="1:8">
      <c r="A29" s="688" t="s">
        <v>1151</v>
      </c>
      <c r="B29" s="687"/>
      <c r="C29" s="687"/>
      <c r="D29" s="687"/>
      <c r="E29" s="687"/>
      <c r="F29" s="687"/>
      <c r="G29" s="687"/>
      <c r="H29" s="687"/>
    </row>
    <row r="30" spans="1:8">
      <c r="A30" s="688" t="s">
        <v>1152</v>
      </c>
      <c r="B30" s="687"/>
      <c r="C30" s="687"/>
      <c r="D30" s="687"/>
      <c r="E30" s="687"/>
      <c r="F30" s="687"/>
      <c r="G30" s="687"/>
      <c r="H30" s="687"/>
    </row>
    <row r="31" spans="1:8">
      <c r="A31" s="688" t="s">
        <v>1153</v>
      </c>
      <c r="B31" s="687"/>
      <c r="C31" s="687"/>
      <c r="D31" s="687"/>
      <c r="E31" s="687"/>
      <c r="F31" s="687"/>
      <c r="G31" s="687"/>
      <c r="H31" s="687"/>
    </row>
    <row r="32" spans="1:8">
      <c r="A32" s="688" t="s">
        <v>1154</v>
      </c>
      <c r="B32" s="687"/>
      <c r="C32" s="687"/>
      <c r="D32" s="687"/>
      <c r="E32" s="687"/>
      <c r="F32" s="687"/>
      <c r="G32" s="687"/>
      <c r="H32" s="687"/>
    </row>
    <row r="33" spans="1:8">
      <c r="A33" s="688" t="s">
        <v>1155</v>
      </c>
      <c r="B33" s="687"/>
      <c r="C33" s="687"/>
      <c r="D33" s="687"/>
      <c r="E33" s="687"/>
      <c r="F33" s="687"/>
      <c r="G33" s="687"/>
      <c r="H33" s="687"/>
    </row>
    <row r="34" spans="1:8">
      <c r="A34" s="688" t="s">
        <v>1156</v>
      </c>
      <c r="B34" s="687"/>
      <c r="C34" s="687"/>
      <c r="D34" s="687"/>
      <c r="E34" s="687"/>
      <c r="F34" s="687"/>
      <c r="G34" s="687"/>
      <c r="H34" s="687"/>
    </row>
    <row r="35" spans="1:8">
      <c r="A35" s="688" t="s">
        <v>1157</v>
      </c>
      <c r="B35" s="687"/>
      <c r="C35" s="687"/>
      <c r="D35" s="687"/>
      <c r="E35" s="687"/>
      <c r="F35" s="687"/>
      <c r="G35" s="687"/>
      <c r="H35" s="687"/>
    </row>
    <row r="36" spans="1:8">
      <c r="A36" s="688" t="s">
        <v>1158</v>
      </c>
      <c r="B36" s="687"/>
      <c r="C36" s="687"/>
      <c r="D36" s="687"/>
      <c r="E36" s="687"/>
      <c r="F36" s="687"/>
      <c r="G36" s="687"/>
      <c r="H36" s="687"/>
    </row>
    <row r="37" spans="1:8">
      <c r="A37" s="688" t="s">
        <v>1159</v>
      </c>
      <c r="B37" s="687"/>
      <c r="C37" s="687"/>
      <c r="D37" s="687"/>
      <c r="E37" s="687"/>
      <c r="F37" s="687"/>
      <c r="G37" s="687"/>
      <c r="H37" s="687"/>
    </row>
    <row r="38" spans="1:8">
      <c r="A38" s="688" t="s">
        <v>1160</v>
      </c>
      <c r="B38" s="687"/>
      <c r="C38" s="687"/>
      <c r="D38" s="687"/>
      <c r="E38" s="687"/>
      <c r="F38" s="687"/>
      <c r="G38" s="687"/>
      <c r="H38" s="687"/>
    </row>
    <row r="39" spans="1:8">
      <c r="A39" s="688" t="s">
        <v>1161</v>
      </c>
      <c r="B39" s="687"/>
      <c r="C39" s="687"/>
      <c r="D39" s="687"/>
      <c r="E39" s="687"/>
      <c r="F39" s="687"/>
      <c r="G39" s="687"/>
      <c r="H39" s="687"/>
    </row>
    <row r="40" spans="1:8">
      <c r="A40" s="688" t="s">
        <v>1162</v>
      </c>
      <c r="B40" s="687"/>
      <c r="C40" s="687"/>
      <c r="D40" s="687"/>
      <c r="E40" s="687"/>
      <c r="F40" s="687"/>
      <c r="G40" s="687"/>
      <c r="H40" s="687"/>
    </row>
    <row r="41" spans="1:8">
      <c r="A41" s="688" t="s">
        <v>1163</v>
      </c>
      <c r="B41" s="687"/>
      <c r="C41" s="687"/>
      <c r="D41" s="687"/>
      <c r="E41" s="687"/>
      <c r="F41" s="687"/>
      <c r="G41" s="687"/>
      <c r="H41" s="687"/>
    </row>
    <row r="42" spans="1:8">
      <c r="A42" s="688" t="s">
        <v>1164</v>
      </c>
      <c r="B42" s="687"/>
      <c r="C42" s="687"/>
      <c r="D42" s="687"/>
      <c r="E42" s="687"/>
      <c r="F42" s="687"/>
      <c r="G42" s="687"/>
      <c r="H42" s="687"/>
    </row>
    <row r="43" spans="1:8">
      <c r="A43" s="688" t="s">
        <v>1165</v>
      </c>
      <c r="B43" s="687"/>
      <c r="C43" s="687"/>
      <c r="D43" s="687"/>
      <c r="E43" s="687"/>
      <c r="F43" s="687"/>
      <c r="G43" s="687"/>
      <c r="H43" s="687"/>
    </row>
    <row r="44" spans="1:8">
      <c r="A44" s="688" t="s">
        <v>1166</v>
      </c>
      <c r="B44" s="687"/>
      <c r="C44" s="687"/>
      <c r="D44" s="687"/>
      <c r="E44" s="687"/>
      <c r="F44" s="687"/>
      <c r="G44" s="687"/>
      <c r="H44" s="687"/>
    </row>
    <row r="45" spans="1:8">
      <c r="A45" s="688" t="s">
        <v>1167</v>
      </c>
      <c r="B45" s="687"/>
      <c r="C45" s="687"/>
      <c r="D45" s="687"/>
      <c r="E45" s="687"/>
      <c r="F45" s="687"/>
      <c r="G45" s="687"/>
      <c r="H45" s="687"/>
    </row>
    <row r="46" spans="1:8">
      <c r="A46" s="687"/>
      <c r="B46" s="687"/>
      <c r="C46" s="687"/>
      <c r="D46" s="687"/>
      <c r="E46" s="687"/>
      <c r="F46" s="687"/>
      <c r="G46" s="687"/>
      <c r="H46" s="687"/>
    </row>
    <row r="47" spans="1:8">
      <c r="A47" s="688" t="s">
        <v>1147</v>
      </c>
      <c r="B47" s="687"/>
      <c r="C47" s="687"/>
      <c r="D47" s="687"/>
      <c r="E47" s="687"/>
      <c r="F47" s="687"/>
      <c r="G47" s="687"/>
      <c r="H47" s="687"/>
    </row>
    <row r="48" spans="1:8">
      <c r="A48" s="688" t="s">
        <v>1148</v>
      </c>
      <c r="B48" s="687"/>
      <c r="C48" s="687"/>
      <c r="D48" s="687"/>
      <c r="E48" s="687"/>
      <c r="F48" s="687"/>
      <c r="G48" s="687"/>
      <c r="H48" s="687"/>
    </row>
    <row r="49" spans="1:8">
      <c r="A49" s="688" t="s">
        <v>1149</v>
      </c>
      <c r="B49" s="687"/>
      <c r="C49" s="687"/>
      <c r="D49" s="687"/>
      <c r="E49" s="687"/>
      <c r="F49" s="687"/>
      <c r="G49" s="687"/>
      <c r="H49" s="687"/>
    </row>
    <row r="50" spans="1:8">
      <c r="A50" s="688" t="s">
        <v>1150</v>
      </c>
      <c r="B50" s="687"/>
      <c r="C50" s="687"/>
      <c r="D50" s="687"/>
      <c r="E50" s="687"/>
      <c r="F50" s="687"/>
      <c r="G50" s="687"/>
      <c r="H50" s="687"/>
    </row>
    <row r="51" spans="1:8">
      <c r="A51" s="687"/>
      <c r="B51" s="687"/>
      <c r="C51" s="687"/>
      <c r="D51" s="687"/>
      <c r="E51" s="687"/>
      <c r="F51" s="687"/>
      <c r="G51" s="687"/>
      <c r="H51" s="687"/>
    </row>
    <row r="52" spans="1:8">
      <c r="A52" s="688" t="s">
        <v>1141</v>
      </c>
      <c r="B52" s="687"/>
      <c r="C52" s="687"/>
      <c r="D52" s="687"/>
      <c r="E52" s="687"/>
      <c r="F52" s="687"/>
      <c r="G52" s="687"/>
      <c r="H52" s="687"/>
    </row>
    <row r="53" spans="1:8">
      <c r="A53" s="688" t="s">
        <v>1142</v>
      </c>
      <c r="B53" s="687"/>
      <c r="C53" s="687"/>
      <c r="D53" s="687"/>
      <c r="E53" s="687"/>
      <c r="F53" s="687"/>
      <c r="G53" s="687"/>
      <c r="H53" s="687"/>
    </row>
    <row r="54" spans="1:8">
      <c r="A54" s="688" t="s">
        <v>1143</v>
      </c>
      <c r="B54" s="687"/>
      <c r="C54" s="687"/>
      <c r="D54" s="687"/>
      <c r="E54" s="687"/>
      <c r="F54" s="687"/>
      <c r="G54" s="687"/>
      <c r="H54" s="687"/>
    </row>
    <row r="55" spans="1:8">
      <c r="A55" s="688" t="s">
        <v>1144</v>
      </c>
      <c r="B55" s="687"/>
      <c r="C55" s="687"/>
      <c r="D55" s="687"/>
      <c r="E55" s="687"/>
      <c r="F55" s="687"/>
      <c r="G55" s="687"/>
      <c r="H55" s="687"/>
    </row>
    <row r="56" spans="1:8">
      <c r="A56" s="688" t="s">
        <v>1145</v>
      </c>
      <c r="B56" s="687"/>
      <c r="C56" s="687"/>
      <c r="D56" s="687"/>
      <c r="E56" s="687"/>
      <c r="F56" s="687"/>
      <c r="G56" s="687"/>
      <c r="H56" s="687"/>
    </row>
    <row r="57" spans="1:8">
      <c r="A57" s="688" t="s">
        <v>1146</v>
      </c>
      <c r="B57" s="687"/>
      <c r="C57" s="687"/>
      <c r="D57" s="687"/>
      <c r="E57" s="687"/>
      <c r="F57" s="687"/>
      <c r="G57" s="687"/>
      <c r="H57" s="687"/>
    </row>
    <row r="58" spans="1:8">
      <c r="A58" s="687"/>
      <c r="B58" s="687"/>
      <c r="C58" s="687"/>
      <c r="D58" s="687"/>
      <c r="E58" s="687"/>
      <c r="F58" s="687"/>
      <c r="G58" s="687"/>
      <c r="H58" s="687"/>
    </row>
    <row r="59" spans="1:8" ht="15.75">
      <c r="A59" s="689" t="s">
        <v>873</v>
      </c>
      <c r="B59" s="687"/>
      <c r="C59" s="687"/>
      <c r="D59" s="687"/>
      <c r="E59" s="687"/>
      <c r="F59" s="687"/>
      <c r="G59" s="687"/>
      <c r="H59" s="687"/>
    </row>
    <row r="60" spans="1:8">
      <c r="A60" s="687"/>
      <c r="B60" s="687"/>
      <c r="C60" s="687"/>
      <c r="D60" s="687"/>
      <c r="E60" s="687"/>
      <c r="F60" s="687"/>
      <c r="G60" s="687"/>
      <c r="H60" s="687"/>
    </row>
    <row r="61" spans="1:8">
      <c r="A61" s="688" t="s">
        <v>1137</v>
      </c>
      <c r="B61" s="687"/>
      <c r="C61" s="687"/>
      <c r="D61" s="687"/>
      <c r="E61" s="687"/>
      <c r="F61" s="687"/>
      <c r="G61" s="687"/>
      <c r="H61" s="687"/>
    </row>
    <row r="62" spans="1:8">
      <c r="A62" s="688" t="s">
        <v>1138</v>
      </c>
      <c r="B62" s="687"/>
      <c r="C62" s="687"/>
      <c r="D62" s="687"/>
      <c r="E62" s="687"/>
      <c r="F62" s="687"/>
      <c r="G62" s="687"/>
      <c r="H62" s="687"/>
    </row>
    <row r="63" spans="1:8">
      <c r="A63" s="688" t="s">
        <v>1139</v>
      </c>
      <c r="B63" s="687"/>
      <c r="C63" s="687"/>
      <c r="D63" s="687"/>
      <c r="E63" s="687"/>
      <c r="F63" s="687"/>
      <c r="G63" s="687"/>
      <c r="H63" s="687"/>
    </row>
    <row r="64" spans="1:8">
      <c r="A64" s="688" t="s">
        <v>1140</v>
      </c>
      <c r="B64" s="687"/>
      <c r="C64" s="687"/>
      <c r="D64" s="687"/>
      <c r="E64" s="687"/>
      <c r="F64" s="687"/>
      <c r="G64" s="687"/>
      <c r="H64" s="687"/>
    </row>
    <row r="65" spans="1:8">
      <c r="A65" s="687"/>
      <c r="B65" s="687"/>
      <c r="C65" s="687"/>
      <c r="D65" s="687"/>
      <c r="E65" s="687"/>
      <c r="F65" s="687"/>
      <c r="G65" s="687"/>
      <c r="H65" s="687"/>
    </row>
    <row r="66" spans="1:8">
      <c r="A66" s="688" t="s">
        <v>874</v>
      </c>
      <c r="B66" s="687"/>
      <c r="C66" s="687"/>
      <c r="D66" s="687"/>
      <c r="E66" s="687"/>
      <c r="F66" s="687"/>
      <c r="G66" s="687"/>
      <c r="H66" s="687"/>
    </row>
    <row r="67" spans="1:8">
      <c r="A67" s="687"/>
      <c r="B67" s="687"/>
      <c r="C67" s="687"/>
      <c r="D67" s="687"/>
      <c r="E67" s="687"/>
      <c r="F67" s="687"/>
      <c r="G67" s="687"/>
      <c r="H67" s="687"/>
    </row>
    <row r="68" spans="1:8" ht="15.75">
      <c r="A68" s="689" t="s">
        <v>875</v>
      </c>
      <c r="B68" s="687"/>
      <c r="C68" s="687"/>
      <c r="D68" s="687"/>
      <c r="E68" s="687"/>
      <c r="F68" s="687"/>
      <c r="G68" s="687"/>
      <c r="H68" s="687"/>
    </row>
    <row r="69" spans="1:8">
      <c r="A69" s="687"/>
      <c r="B69" s="687"/>
      <c r="C69" s="687"/>
      <c r="D69" s="687"/>
      <c r="E69" s="687"/>
      <c r="F69" s="687"/>
      <c r="G69" s="687"/>
      <c r="H69" s="687"/>
    </row>
    <row r="70" spans="1:8">
      <c r="A70" s="688" t="s">
        <v>1135</v>
      </c>
      <c r="B70" s="687"/>
      <c r="C70" s="687"/>
      <c r="D70" s="687"/>
      <c r="E70" s="687"/>
      <c r="F70" s="687"/>
      <c r="G70" s="687"/>
      <c r="H70" s="687"/>
    </row>
    <row r="71" spans="1:8">
      <c r="A71" s="688" t="s">
        <v>1136</v>
      </c>
      <c r="B71" s="687"/>
      <c r="C71" s="687"/>
      <c r="D71" s="687"/>
      <c r="E71" s="687"/>
      <c r="F71" s="687"/>
      <c r="G71" s="687"/>
      <c r="H71" s="687"/>
    </row>
    <row r="72" spans="1:8">
      <c r="A72" s="687"/>
      <c r="B72" s="687"/>
      <c r="C72" s="687"/>
      <c r="D72" s="687"/>
      <c r="E72" s="687"/>
      <c r="F72" s="687"/>
      <c r="G72" s="687"/>
      <c r="H72" s="687"/>
    </row>
    <row r="73" spans="1:8" ht="15.75">
      <c r="A73" s="689" t="s">
        <v>876</v>
      </c>
      <c r="B73" s="687"/>
      <c r="C73" s="687"/>
      <c r="D73" s="687"/>
      <c r="E73" s="687"/>
      <c r="F73" s="687"/>
      <c r="G73" s="687"/>
      <c r="H73" s="687"/>
    </row>
    <row r="74" spans="1:8">
      <c r="A74" s="687"/>
      <c r="B74" s="687"/>
      <c r="C74" s="687"/>
      <c r="D74" s="687"/>
      <c r="E74" s="687"/>
      <c r="F74" s="687"/>
      <c r="G74" s="687"/>
      <c r="H74" s="687"/>
    </row>
    <row r="75" spans="1:8">
      <c r="A75" s="688" t="s">
        <v>1133</v>
      </c>
      <c r="B75" s="687"/>
      <c r="C75" s="687"/>
      <c r="D75" s="687"/>
      <c r="E75" s="687"/>
      <c r="F75" s="687"/>
      <c r="G75" s="687"/>
      <c r="H75" s="687"/>
    </row>
    <row r="76" spans="1:8">
      <c r="A76" s="688" t="s">
        <v>1134</v>
      </c>
      <c r="B76" s="687"/>
      <c r="C76" s="687"/>
      <c r="D76" s="687"/>
      <c r="E76" s="687"/>
      <c r="F76" s="687"/>
      <c r="G76" s="687"/>
      <c r="H76" s="687"/>
    </row>
    <row r="77" spans="1:8">
      <c r="A77" s="687"/>
      <c r="B77" s="687"/>
      <c r="C77" s="687"/>
      <c r="D77" s="687"/>
      <c r="E77" s="687"/>
      <c r="F77" s="687"/>
      <c r="G77" s="687"/>
      <c r="H77" s="687"/>
    </row>
    <row r="78" spans="1:8">
      <c r="A78" s="688" t="s">
        <v>1131</v>
      </c>
      <c r="B78" s="687"/>
      <c r="C78" s="687"/>
      <c r="D78" s="687"/>
      <c r="E78" s="687"/>
      <c r="F78" s="687"/>
      <c r="G78" s="687"/>
      <c r="H78" s="687"/>
    </row>
    <row r="79" spans="1:8">
      <c r="A79" s="688" t="s">
        <v>1132</v>
      </c>
      <c r="B79" s="687"/>
      <c r="C79" s="687"/>
      <c r="D79" s="687"/>
      <c r="E79" s="687"/>
      <c r="F79" s="687"/>
      <c r="G79" s="687"/>
      <c r="H79" s="687"/>
    </row>
    <row r="80" spans="1:8">
      <c r="A80" s="687"/>
      <c r="B80" s="687"/>
      <c r="C80" s="687"/>
      <c r="D80" s="687"/>
      <c r="E80" s="687"/>
      <c r="F80" s="687"/>
      <c r="G80" s="687"/>
      <c r="H80" s="687"/>
    </row>
    <row r="81" spans="1:8">
      <c r="A81" s="688" t="s">
        <v>1129</v>
      </c>
      <c r="B81" s="687"/>
      <c r="C81" s="687"/>
      <c r="D81" s="687"/>
      <c r="E81" s="687"/>
      <c r="F81" s="687"/>
      <c r="G81" s="687"/>
      <c r="H81" s="687"/>
    </row>
    <row r="82" spans="1:8">
      <c r="A82" s="688" t="s">
        <v>1130</v>
      </c>
      <c r="B82" s="687"/>
      <c r="C82" s="687"/>
      <c r="D82" s="687"/>
      <c r="E82" s="687"/>
      <c r="F82" s="687"/>
      <c r="G82" s="687"/>
      <c r="H82" s="687"/>
    </row>
    <row r="83" spans="1:8">
      <c r="A83" s="687"/>
      <c r="B83" s="687"/>
      <c r="C83" s="687"/>
      <c r="D83" s="687"/>
      <c r="E83" s="687"/>
      <c r="F83" s="687"/>
      <c r="G83" s="687"/>
      <c r="H83" s="687"/>
    </row>
    <row r="84" spans="1:8">
      <c r="A84" s="688" t="s">
        <v>1126</v>
      </c>
      <c r="B84" s="687"/>
      <c r="C84" s="687"/>
      <c r="D84" s="687"/>
      <c r="E84" s="687"/>
      <c r="F84" s="687"/>
      <c r="G84" s="687"/>
      <c r="H84" s="687"/>
    </row>
    <row r="85" spans="1:8">
      <c r="A85" s="688" t="s">
        <v>1127</v>
      </c>
      <c r="B85" s="687"/>
      <c r="C85" s="687"/>
      <c r="D85" s="687"/>
      <c r="E85" s="687"/>
      <c r="F85" s="687"/>
      <c r="G85" s="687"/>
      <c r="H85" s="687"/>
    </row>
    <row r="86" spans="1:8">
      <c r="A86" s="688" t="s">
        <v>1128</v>
      </c>
      <c r="B86" s="687"/>
      <c r="C86" s="687"/>
      <c r="D86" s="687"/>
      <c r="E86" s="687"/>
      <c r="F86" s="687"/>
      <c r="G86" s="687"/>
      <c r="H86" s="687"/>
    </row>
    <row r="87" spans="1:8">
      <c r="A87" s="687"/>
      <c r="B87" s="687"/>
      <c r="C87" s="687"/>
      <c r="D87" s="687"/>
      <c r="E87" s="687"/>
      <c r="F87" s="687"/>
      <c r="G87" s="687"/>
      <c r="H87" s="687"/>
    </row>
    <row r="88" spans="1:8">
      <c r="A88" s="688" t="s">
        <v>1123</v>
      </c>
      <c r="B88" s="687"/>
      <c r="C88" s="687"/>
      <c r="D88" s="687"/>
      <c r="E88" s="687"/>
      <c r="F88" s="687"/>
      <c r="G88" s="687"/>
      <c r="H88" s="687"/>
    </row>
    <row r="89" spans="1:8">
      <c r="A89" s="688" t="s">
        <v>1124</v>
      </c>
      <c r="B89" s="687"/>
      <c r="C89" s="687"/>
      <c r="D89" s="687"/>
      <c r="E89" s="687"/>
      <c r="F89" s="687"/>
      <c r="G89" s="687"/>
      <c r="H89" s="687"/>
    </row>
    <row r="90" spans="1:8">
      <c r="A90" s="688" t="s">
        <v>1125</v>
      </c>
      <c r="B90" s="687"/>
      <c r="C90" s="687"/>
      <c r="D90" s="687"/>
      <c r="E90" s="687"/>
      <c r="F90" s="687"/>
      <c r="G90" s="687"/>
      <c r="H90" s="687"/>
    </row>
    <row r="91" spans="1:8">
      <c r="A91" s="687"/>
      <c r="B91" s="687"/>
      <c r="C91" s="687"/>
      <c r="D91" s="687"/>
      <c r="E91" s="687"/>
      <c r="F91" s="687"/>
      <c r="G91" s="687"/>
      <c r="H91" s="687"/>
    </row>
    <row r="92" spans="1:8">
      <c r="A92" s="688" t="s">
        <v>877</v>
      </c>
      <c r="B92" s="687"/>
      <c r="C92" s="687"/>
      <c r="D92" s="687"/>
      <c r="E92" s="687"/>
      <c r="F92" s="687"/>
      <c r="G92" s="687"/>
      <c r="H92" s="687"/>
    </row>
    <row r="93" spans="1:8">
      <c r="A93" s="687"/>
      <c r="B93" s="687"/>
      <c r="C93" s="687"/>
      <c r="D93" s="687"/>
      <c r="E93" s="687"/>
      <c r="F93" s="687"/>
      <c r="G93" s="687"/>
      <c r="H93" s="687"/>
    </row>
    <row r="94" spans="1:8">
      <c r="A94" s="688" t="s">
        <v>1118</v>
      </c>
      <c r="B94" s="687"/>
      <c r="C94" s="687"/>
      <c r="D94" s="687"/>
      <c r="E94" s="687"/>
      <c r="F94" s="687"/>
      <c r="G94" s="687"/>
      <c r="H94" s="687"/>
    </row>
    <row r="95" spans="1:8">
      <c r="A95" s="688" t="s">
        <v>1119</v>
      </c>
      <c r="B95" s="687"/>
      <c r="C95" s="687"/>
      <c r="D95" s="687"/>
      <c r="E95" s="687"/>
      <c r="F95" s="687"/>
      <c r="G95" s="687"/>
      <c r="H95" s="687"/>
    </row>
    <row r="96" spans="1:8">
      <c r="A96" s="688" t="s">
        <v>1120</v>
      </c>
      <c r="B96" s="687"/>
      <c r="C96" s="687"/>
      <c r="D96" s="687"/>
      <c r="E96" s="687"/>
      <c r="F96" s="687"/>
      <c r="G96" s="687"/>
      <c r="H96" s="687"/>
    </row>
    <row r="97" spans="1:8">
      <c r="A97" s="688" t="s">
        <v>1121</v>
      </c>
      <c r="B97" s="687"/>
      <c r="C97" s="687"/>
      <c r="D97" s="687"/>
      <c r="E97" s="687"/>
      <c r="F97" s="687"/>
      <c r="G97" s="687"/>
      <c r="H97" s="687"/>
    </row>
    <row r="98" spans="1:8">
      <c r="A98" s="688" t="s">
        <v>1122</v>
      </c>
      <c r="B98" s="687"/>
      <c r="C98" s="687"/>
      <c r="D98" s="687"/>
      <c r="E98" s="687"/>
      <c r="F98" s="687"/>
      <c r="G98" s="687"/>
      <c r="H98" s="687"/>
    </row>
    <row r="99" spans="1:8">
      <c r="A99" s="688" t="s">
        <v>1005</v>
      </c>
      <c r="B99" s="687"/>
      <c r="C99" s="687"/>
      <c r="D99" s="687"/>
      <c r="E99" s="687"/>
      <c r="F99" s="687"/>
      <c r="G99" s="687"/>
      <c r="H99" s="687"/>
    </row>
    <row r="100" spans="1:8">
      <c r="A100" s="687"/>
      <c r="B100" s="687"/>
      <c r="C100" s="687"/>
      <c r="D100" s="687"/>
      <c r="E100" s="687"/>
      <c r="F100" s="687"/>
      <c r="G100" s="687"/>
      <c r="H100" s="687"/>
    </row>
    <row r="101" spans="1:8">
      <c r="A101" s="688" t="s">
        <v>1111</v>
      </c>
      <c r="B101" s="687"/>
      <c r="C101" s="687"/>
      <c r="D101" s="687"/>
      <c r="E101" s="687"/>
      <c r="F101" s="687"/>
      <c r="G101" s="687"/>
      <c r="H101" s="687"/>
    </row>
    <row r="102" spans="1:8">
      <c r="A102" s="688" t="s">
        <v>1112</v>
      </c>
      <c r="B102" s="687"/>
      <c r="C102" s="687"/>
      <c r="D102" s="687"/>
      <c r="E102" s="687"/>
      <c r="F102" s="687"/>
      <c r="G102" s="687"/>
      <c r="H102" s="687"/>
    </row>
    <row r="103" spans="1:8">
      <c r="A103" s="688" t="s">
        <v>1113</v>
      </c>
      <c r="B103" s="687"/>
      <c r="C103" s="687"/>
      <c r="D103" s="687"/>
      <c r="E103" s="687"/>
      <c r="F103" s="687"/>
      <c r="G103" s="687"/>
      <c r="H103" s="687"/>
    </row>
    <row r="104" spans="1:8">
      <c r="A104" s="688" t="s">
        <v>1114</v>
      </c>
      <c r="B104" s="687"/>
      <c r="C104" s="687"/>
      <c r="D104" s="687"/>
      <c r="E104" s="687"/>
      <c r="F104" s="687"/>
      <c r="G104" s="687"/>
      <c r="H104" s="687"/>
    </row>
    <row r="105" spans="1:8">
      <c r="A105" s="688" t="s">
        <v>1115</v>
      </c>
      <c r="B105" s="687"/>
      <c r="C105" s="687"/>
      <c r="D105" s="687"/>
      <c r="E105" s="687"/>
      <c r="F105" s="687"/>
      <c r="G105" s="687"/>
      <c r="H105" s="687"/>
    </row>
    <row r="106" spans="1:8">
      <c r="A106" s="688" t="s">
        <v>1116</v>
      </c>
      <c r="B106" s="687"/>
      <c r="C106" s="687"/>
      <c r="D106" s="687"/>
      <c r="E106" s="687"/>
      <c r="F106" s="687"/>
      <c r="G106" s="687"/>
      <c r="H106" s="687"/>
    </row>
    <row r="107" spans="1:8">
      <c r="A107" s="688" t="s">
        <v>1117</v>
      </c>
      <c r="B107" s="687"/>
      <c r="C107" s="687"/>
      <c r="D107" s="687"/>
      <c r="E107" s="687"/>
      <c r="F107" s="687"/>
      <c r="G107" s="687"/>
      <c r="H107" s="687"/>
    </row>
    <row r="108" spans="1:8">
      <c r="A108" s="687"/>
      <c r="B108" s="687"/>
      <c r="C108" s="687"/>
      <c r="D108" s="687"/>
      <c r="E108" s="687"/>
      <c r="F108" s="687"/>
      <c r="G108" s="687"/>
      <c r="H108" s="687"/>
    </row>
    <row r="109" spans="1:8">
      <c r="A109" s="688" t="s">
        <v>1109</v>
      </c>
      <c r="B109" s="687"/>
      <c r="C109" s="687"/>
      <c r="D109" s="687"/>
      <c r="E109" s="687"/>
      <c r="F109" s="687"/>
      <c r="G109" s="687"/>
      <c r="H109" s="687"/>
    </row>
    <row r="110" spans="1:8">
      <c r="A110" s="688" t="s">
        <v>1110</v>
      </c>
      <c r="B110" s="687"/>
      <c r="C110" s="687"/>
      <c r="D110" s="687"/>
      <c r="E110" s="687"/>
      <c r="F110" s="687"/>
      <c r="G110" s="687"/>
      <c r="H110" s="687"/>
    </row>
    <row r="111" spans="1:8">
      <c r="A111" s="687"/>
      <c r="B111" s="687"/>
      <c r="C111" s="687"/>
      <c r="D111" s="687"/>
      <c r="E111" s="687"/>
      <c r="F111" s="687"/>
      <c r="G111" s="687"/>
      <c r="H111" s="687"/>
    </row>
    <row r="112" spans="1:8" ht="15.75">
      <c r="A112" s="689" t="s">
        <v>878</v>
      </c>
      <c r="B112" s="687"/>
      <c r="C112" s="687"/>
      <c r="D112" s="687"/>
      <c r="E112" s="687"/>
      <c r="F112" s="687"/>
      <c r="G112" s="687"/>
      <c r="H112" s="687"/>
    </row>
    <row r="113" spans="1:8">
      <c r="A113" s="687"/>
      <c r="B113" s="687"/>
      <c r="C113" s="687"/>
      <c r="D113" s="687"/>
      <c r="E113" s="687"/>
      <c r="F113" s="687"/>
      <c r="G113" s="687"/>
      <c r="H113" s="687"/>
    </row>
    <row r="114" spans="1:8">
      <c r="A114" s="688" t="s">
        <v>1100</v>
      </c>
      <c r="B114" s="687"/>
      <c r="C114" s="687"/>
      <c r="D114" s="687"/>
      <c r="E114" s="687"/>
      <c r="F114" s="687"/>
      <c r="G114" s="687"/>
      <c r="H114" s="687"/>
    </row>
    <row r="115" spans="1:8">
      <c r="A115" s="688" t="s">
        <v>1101</v>
      </c>
      <c r="B115" s="687"/>
      <c r="C115" s="687"/>
      <c r="D115" s="687"/>
      <c r="E115" s="687"/>
      <c r="F115" s="687"/>
      <c r="G115" s="687"/>
      <c r="H115" s="687"/>
    </row>
    <row r="116" spans="1:8">
      <c r="A116" s="688" t="s">
        <v>1102</v>
      </c>
      <c r="B116" s="687"/>
      <c r="C116" s="687"/>
      <c r="D116" s="687"/>
      <c r="E116" s="687"/>
      <c r="F116" s="687"/>
      <c r="G116" s="687"/>
      <c r="H116" s="687"/>
    </row>
    <row r="117" spans="1:8">
      <c r="A117" s="688" t="s">
        <v>1103</v>
      </c>
      <c r="B117" s="687"/>
      <c r="C117" s="687"/>
      <c r="D117" s="687"/>
      <c r="E117" s="687"/>
      <c r="F117" s="687"/>
      <c r="G117" s="687"/>
      <c r="H117" s="687"/>
    </row>
    <row r="118" spans="1:8">
      <c r="A118" s="688" t="s">
        <v>1104</v>
      </c>
      <c r="B118" s="687"/>
      <c r="C118" s="687"/>
      <c r="D118" s="687"/>
      <c r="E118" s="687"/>
      <c r="F118" s="687"/>
      <c r="G118" s="687"/>
      <c r="H118" s="687"/>
    </row>
    <row r="119" spans="1:8">
      <c r="A119" s="688" t="s">
        <v>1105</v>
      </c>
      <c r="B119" s="687"/>
      <c r="C119" s="687"/>
      <c r="D119" s="687"/>
      <c r="E119" s="687"/>
      <c r="F119" s="687"/>
      <c r="G119" s="687"/>
      <c r="H119" s="687"/>
    </row>
    <row r="120" spans="1:8">
      <c r="A120" s="688" t="s">
        <v>1106</v>
      </c>
      <c r="B120" s="687"/>
      <c r="C120" s="687"/>
      <c r="D120" s="687"/>
      <c r="E120" s="687"/>
      <c r="F120" s="687"/>
      <c r="G120" s="687"/>
      <c r="H120" s="687"/>
    </row>
    <row r="121" spans="1:8">
      <c r="A121" s="688" t="s">
        <v>1107</v>
      </c>
      <c r="B121" s="687"/>
      <c r="C121" s="687"/>
      <c r="D121" s="687"/>
      <c r="E121" s="687"/>
      <c r="F121" s="687"/>
      <c r="G121" s="687"/>
      <c r="H121" s="687"/>
    </row>
    <row r="122" spans="1:8">
      <c r="A122" s="688" t="s">
        <v>1108</v>
      </c>
      <c r="B122" s="687"/>
      <c r="C122" s="687"/>
      <c r="D122" s="687"/>
      <c r="E122" s="687"/>
      <c r="F122" s="687"/>
      <c r="G122" s="687"/>
      <c r="H122" s="687"/>
    </row>
    <row r="123" spans="1:8">
      <c r="A123" s="687"/>
      <c r="B123" s="687"/>
      <c r="C123" s="687"/>
      <c r="D123" s="687"/>
      <c r="E123" s="687"/>
      <c r="F123" s="687"/>
      <c r="G123" s="687"/>
      <c r="H123" s="687"/>
    </row>
    <row r="124" spans="1:8" ht="15.75">
      <c r="A124" s="704" t="s">
        <v>879</v>
      </c>
      <c r="B124" s="704"/>
      <c r="C124" s="704"/>
      <c r="D124" s="704"/>
      <c r="E124" s="704"/>
      <c r="F124" s="704"/>
      <c r="G124" s="704"/>
      <c r="H124" s="704"/>
    </row>
    <row r="125" spans="1:8">
      <c r="A125" s="700" t="s">
        <v>880</v>
      </c>
      <c r="B125" s="700"/>
      <c r="C125" s="700"/>
      <c r="D125" s="700"/>
      <c r="E125" s="700"/>
      <c r="F125" s="700"/>
      <c r="G125" s="700"/>
      <c r="H125" s="700"/>
    </row>
    <row r="126" spans="1:8">
      <c r="A126" s="705"/>
      <c r="B126" s="705"/>
      <c r="C126" s="705"/>
      <c r="D126" s="705"/>
      <c r="E126" s="705"/>
      <c r="F126" s="705"/>
      <c r="G126" s="705"/>
      <c r="H126" s="705"/>
    </row>
    <row r="127" spans="1:8">
      <c r="A127" s="700" t="s">
        <v>1098</v>
      </c>
      <c r="B127" s="700"/>
      <c r="C127" s="700"/>
      <c r="D127" s="700"/>
      <c r="E127" s="700"/>
      <c r="F127" s="700"/>
      <c r="G127" s="700"/>
      <c r="H127" s="700"/>
    </row>
    <row r="128" spans="1:8">
      <c r="A128" s="688" t="s">
        <v>1099</v>
      </c>
      <c r="B128" s="688"/>
      <c r="C128" s="688"/>
      <c r="D128" s="688"/>
      <c r="E128" s="688"/>
      <c r="F128" s="688"/>
      <c r="G128" s="688"/>
      <c r="H128" s="688"/>
    </row>
    <row r="129" spans="1:8">
      <c r="A129" s="705"/>
      <c r="B129" s="705"/>
      <c r="C129" s="705"/>
      <c r="D129" s="705"/>
      <c r="E129" s="705"/>
      <c r="F129" s="705"/>
      <c r="G129" s="705"/>
      <c r="H129" s="705"/>
    </row>
    <row r="130" spans="1:8">
      <c r="A130" s="700" t="s">
        <v>1091</v>
      </c>
      <c r="B130" s="700"/>
      <c r="C130" s="700"/>
      <c r="D130" s="700"/>
      <c r="E130" s="700"/>
      <c r="F130" s="700"/>
      <c r="G130" s="700"/>
      <c r="H130" s="700"/>
    </row>
    <row r="131" spans="1:8">
      <c r="A131" s="688" t="s">
        <v>1092</v>
      </c>
      <c r="B131" s="688"/>
      <c r="C131" s="688"/>
      <c r="D131" s="688"/>
      <c r="E131" s="688"/>
      <c r="F131" s="688"/>
      <c r="G131" s="688"/>
      <c r="H131" s="688"/>
    </row>
    <row r="132" spans="1:8">
      <c r="A132" s="688" t="s">
        <v>1093</v>
      </c>
      <c r="B132" s="688"/>
      <c r="C132" s="688"/>
      <c r="D132" s="688"/>
      <c r="E132" s="688"/>
      <c r="F132" s="688"/>
      <c r="G132" s="688"/>
      <c r="H132" s="688"/>
    </row>
    <row r="133" spans="1:8">
      <c r="A133" s="688" t="s">
        <v>1094</v>
      </c>
      <c r="B133" s="688"/>
      <c r="C133" s="688"/>
      <c r="D133" s="688"/>
      <c r="E133" s="688"/>
      <c r="F133" s="688"/>
      <c r="G133" s="688"/>
      <c r="H133" s="688"/>
    </row>
    <row r="134" spans="1:8">
      <c r="A134" s="688" t="s">
        <v>1095</v>
      </c>
      <c r="B134" s="688"/>
      <c r="C134" s="688"/>
      <c r="D134" s="688"/>
      <c r="E134" s="688"/>
      <c r="F134" s="688"/>
      <c r="G134" s="688"/>
      <c r="H134" s="688"/>
    </row>
    <row r="135" spans="1:8">
      <c r="A135" s="688" t="s">
        <v>1096</v>
      </c>
      <c r="B135" s="688"/>
      <c r="C135" s="688"/>
      <c r="D135" s="688"/>
      <c r="E135" s="688"/>
      <c r="F135" s="688"/>
      <c r="G135" s="688"/>
      <c r="H135" s="688"/>
    </row>
    <row r="136" spans="1:8">
      <c r="A136" s="688" t="s">
        <v>1097</v>
      </c>
      <c r="B136" s="688"/>
      <c r="C136" s="688"/>
      <c r="D136" s="688"/>
      <c r="E136" s="688"/>
      <c r="F136" s="688"/>
      <c r="G136" s="688"/>
      <c r="H136" s="688"/>
    </row>
    <row r="137" spans="1:8">
      <c r="A137" s="706"/>
      <c r="B137" s="706"/>
      <c r="C137" s="706"/>
      <c r="D137" s="706"/>
      <c r="E137" s="706"/>
      <c r="F137" s="706"/>
      <c r="G137" s="706"/>
      <c r="H137" s="706"/>
    </row>
    <row r="138" spans="1:8">
      <c r="A138" s="690"/>
      <c r="B138" s="701" t="s">
        <v>881</v>
      </c>
      <c r="C138" s="702"/>
      <c r="D138" s="701" t="s">
        <v>882</v>
      </c>
      <c r="E138" s="703"/>
      <c r="F138" s="702"/>
      <c r="G138" s="701" t="s">
        <v>883</v>
      </c>
      <c r="H138" s="702"/>
    </row>
    <row r="139" spans="1:8">
      <c r="A139" s="690" t="s">
        <v>884</v>
      </c>
      <c r="B139" s="690" t="s">
        <v>425</v>
      </c>
      <c r="C139" s="690" t="s">
        <v>885</v>
      </c>
      <c r="D139" s="690" t="s">
        <v>425</v>
      </c>
      <c r="E139" s="690" t="s">
        <v>886</v>
      </c>
      <c r="F139" s="690" t="s">
        <v>887</v>
      </c>
      <c r="G139" s="690" t="s">
        <v>425</v>
      </c>
      <c r="H139" s="690" t="s">
        <v>888</v>
      </c>
    </row>
    <row r="140" spans="1:8">
      <c r="A140" s="690" t="s">
        <v>889</v>
      </c>
      <c r="B140" s="690">
        <v>1189</v>
      </c>
      <c r="C140" s="691">
        <v>0.38</v>
      </c>
      <c r="D140" s="690">
        <v>315</v>
      </c>
      <c r="E140" s="691">
        <v>0.41</v>
      </c>
      <c r="F140" s="691">
        <v>0.26</v>
      </c>
      <c r="G140" s="690">
        <v>555</v>
      </c>
      <c r="H140" s="691">
        <v>0.39</v>
      </c>
    </row>
    <row r="141" spans="1:8">
      <c r="A141" s="690" t="s">
        <v>890</v>
      </c>
      <c r="B141" s="690">
        <v>1355</v>
      </c>
      <c r="C141" s="691">
        <v>0.43</v>
      </c>
      <c r="D141" s="690">
        <v>364</v>
      </c>
      <c r="E141" s="691">
        <v>0.47</v>
      </c>
      <c r="F141" s="691">
        <v>0.27</v>
      </c>
      <c r="G141" s="690">
        <v>644</v>
      </c>
      <c r="H141" s="691">
        <v>0.45</v>
      </c>
    </row>
    <row r="142" spans="1:8">
      <c r="A142" s="690" t="s">
        <v>891</v>
      </c>
      <c r="B142" s="690">
        <v>53</v>
      </c>
      <c r="C142" s="691">
        <v>0.02</v>
      </c>
      <c r="D142" s="690">
        <v>4</v>
      </c>
      <c r="E142" s="691">
        <v>0.01</v>
      </c>
      <c r="F142" s="691">
        <v>0.08</v>
      </c>
      <c r="G142" s="690">
        <v>7</v>
      </c>
      <c r="H142" s="691">
        <v>0</v>
      </c>
    </row>
    <row r="143" spans="1:8">
      <c r="A143" s="690" t="s">
        <v>892</v>
      </c>
      <c r="B143" s="690">
        <v>545</v>
      </c>
      <c r="C143" s="691">
        <v>0.17</v>
      </c>
      <c r="D143" s="690">
        <v>84</v>
      </c>
      <c r="E143" s="691">
        <v>0.11</v>
      </c>
      <c r="F143" s="691">
        <v>0.15</v>
      </c>
      <c r="G143" s="690">
        <v>214</v>
      </c>
      <c r="H143" s="691">
        <v>0.15</v>
      </c>
    </row>
    <row r="144" spans="1:8">
      <c r="A144" s="690" t="s">
        <v>125</v>
      </c>
      <c r="B144" s="692">
        <v>3142</v>
      </c>
      <c r="C144" s="690"/>
      <c r="D144" s="690">
        <v>767</v>
      </c>
      <c r="E144" s="690"/>
      <c r="F144" s="690"/>
      <c r="G144" s="690">
        <v>1420</v>
      </c>
      <c r="H144" s="690"/>
    </row>
    <row r="145" spans="1:8">
      <c r="A145" s="699"/>
      <c r="B145" s="699"/>
      <c r="C145" s="699"/>
      <c r="D145" s="699"/>
      <c r="E145" s="699"/>
      <c r="F145" s="699"/>
      <c r="G145" s="699"/>
      <c r="H145" s="699"/>
    </row>
    <row r="146" spans="1:8">
      <c r="A146" s="700" t="s">
        <v>1087</v>
      </c>
      <c r="B146" s="700"/>
      <c r="C146" s="700"/>
      <c r="D146" s="700"/>
      <c r="E146" s="700"/>
      <c r="F146" s="700"/>
      <c r="G146" s="700"/>
      <c r="H146" s="700"/>
    </row>
    <row r="147" spans="1:8">
      <c r="A147" s="688" t="s">
        <v>1088</v>
      </c>
      <c r="B147" s="688"/>
      <c r="C147" s="688"/>
      <c r="D147" s="688"/>
      <c r="E147" s="688"/>
      <c r="F147" s="688"/>
      <c r="G147" s="688"/>
      <c r="H147" s="688"/>
    </row>
    <row r="148" spans="1:8">
      <c r="A148" s="688" t="s">
        <v>1089</v>
      </c>
      <c r="B148" s="688"/>
      <c r="C148" s="688"/>
      <c r="D148" s="688"/>
      <c r="E148" s="688"/>
      <c r="F148" s="688"/>
      <c r="G148" s="688"/>
      <c r="H148" s="688"/>
    </row>
    <row r="149" spans="1:8">
      <c r="A149" s="688" t="s">
        <v>1090</v>
      </c>
      <c r="B149" s="688"/>
      <c r="C149" s="688"/>
      <c r="D149" s="688"/>
      <c r="E149" s="688"/>
      <c r="F149" s="688"/>
      <c r="G149" s="688"/>
      <c r="H149" s="688"/>
    </row>
    <row r="150" spans="1:8">
      <c r="A150" s="687"/>
      <c r="B150" s="687"/>
      <c r="C150" s="687"/>
      <c r="D150" s="687"/>
      <c r="E150" s="687"/>
      <c r="F150" s="687"/>
      <c r="G150" s="687"/>
      <c r="H150" s="687"/>
    </row>
    <row r="151" spans="1:8" ht="15.75">
      <c r="A151" s="689" t="s">
        <v>893</v>
      </c>
      <c r="B151" s="687"/>
      <c r="C151" s="687"/>
      <c r="D151" s="687"/>
      <c r="E151" s="687"/>
      <c r="F151" s="687"/>
      <c r="G151" s="687"/>
      <c r="H151" s="687"/>
    </row>
    <row r="152" spans="1:8">
      <c r="A152" s="687"/>
      <c r="B152" s="687"/>
      <c r="C152" s="687"/>
      <c r="D152" s="687"/>
      <c r="E152" s="687"/>
      <c r="F152" s="687"/>
      <c r="G152" s="687"/>
      <c r="H152" s="687"/>
    </row>
    <row r="153" spans="1:8">
      <c r="A153" s="688" t="s">
        <v>1085</v>
      </c>
      <c r="B153" s="687"/>
      <c r="C153" s="687"/>
      <c r="D153" s="687"/>
      <c r="E153" s="687"/>
      <c r="F153" s="687"/>
      <c r="G153" s="687"/>
      <c r="H153" s="687"/>
    </row>
    <row r="154" spans="1:8">
      <c r="A154" s="688" t="s">
        <v>1086</v>
      </c>
      <c r="B154" s="687"/>
      <c r="C154" s="687"/>
      <c r="D154" s="687"/>
      <c r="E154" s="687"/>
      <c r="F154" s="687"/>
      <c r="G154" s="687"/>
      <c r="H154" s="687"/>
    </row>
    <row r="155" spans="1:8">
      <c r="A155" s="687"/>
      <c r="B155" s="687"/>
      <c r="C155" s="687"/>
      <c r="D155" s="687"/>
      <c r="E155" s="687"/>
      <c r="F155" s="687"/>
      <c r="G155" s="687"/>
      <c r="H155" s="687"/>
    </row>
    <row r="156" spans="1:8">
      <c r="A156" s="688" t="s">
        <v>1082</v>
      </c>
      <c r="B156" s="687"/>
      <c r="C156" s="687"/>
      <c r="D156" s="687"/>
      <c r="E156" s="687"/>
      <c r="F156" s="687"/>
      <c r="G156" s="687"/>
      <c r="H156" s="687"/>
    </row>
    <row r="157" spans="1:8">
      <c r="A157" s="688" t="s">
        <v>1083</v>
      </c>
      <c r="B157" s="687"/>
      <c r="C157" s="687"/>
      <c r="D157" s="687"/>
      <c r="E157" s="687"/>
      <c r="F157" s="687"/>
      <c r="G157" s="687"/>
      <c r="H157" s="687"/>
    </row>
    <row r="158" spans="1:8">
      <c r="A158" s="688" t="s">
        <v>1084</v>
      </c>
      <c r="B158" s="687"/>
      <c r="C158" s="687"/>
      <c r="D158" s="687"/>
      <c r="E158" s="687"/>
      <c r="F158" s="687"/>
      <c r="G158" s="687"/>
      <c r="H158" s="687"/>
    </row>
    <row r="159" spans="1:8">
      <c r="A159" s="687"/>
      <c r="B159" s="687"/>
      <c r="C159" s="687"/>
      <c r="D159" s="687"/>
      <c r="E159" s="687"/>
      <c r="F159" s="687"/>
      <c r="G159" s="687"/>
      <c r="H159" s="687"/>
    </row>
    <row r="160" spans="1:8">
      <c r="A160" s="688" t="s">
        <v>1079</v>
      </c>
      <c r="B160" s="687"/>
      <c r="C160" s="687"/>
      <c r="D160" s="687"/>
      <c r="E160" s="687"/>
      <c r="F160" s="687"/>
      <c r="G160" s="687"/>
      <c r="H160" s="687"/>
    </row>
    <row r="161" spans="1:8">
      <c r="A161" s="688" t="s">
        <v>1080</v>
      </c>
      <c r="B161" s="687"/>
      <c r="C161" s="687"/>
      <c r="D161" s="687"/>
      <c r="E161" s="687"/>
      <c r="F161" s="687"/>
      <c r="G161" s="687"/>
      <c r="H161" s="687"/>
    </row>
    <row r="162" spans="1:8">
      <c r="A162" s="688" t="s">
        <v>1081</v>
      </c>
      <c r="B162" s="687"/>
      <c r="C162" s="687"/>
      <c r="D162" s="687"/>
      <c r="E162" s="687"/>
      <c r="F162" s="687"/>
      <c r="G162" s="687"/>
      <c r="H162" s="687"/>
    </row>
    <row r="163" spans="1:8">
      <c r="A163" s="687"/>
      <c r="B163" s="687"/>
      <c r="C163" s="687"/>
      <c r="D163" s="687"/>
      <c r="E163" s="687"/>
      <c r="F163" s="687"/>
      <c r="G163" s="687"/>
      <c r="H163" s="687"/>
    </row>
    <row r="164" spans="1:8">
      <c r="A164" s="688" t="s">
        <v>1076</v>
      </c>
      <c r="B164" s="687"/>
      <c r="C164" s="687"/>
      <c r="D164" s="687"/>
      <c r="E164" s="687"/>
      <c r="F164" s="687"/>
      <c r="G164" s="687"/>
      <c r="H164" s="687"/>
    </row>
    <row r="165" spans="1:8">
      <c r="A165" s="688" t="s">
        <v>1077</v>
      </c>
      <c r="B165" s="687"/>
      <c r="C165" s="687"/>
      <c r="D165" s="687"/>
      <c r="E165" s="687"/>
      <c r="F165" s="687"/>
      <c r="G165" s="687"/>
      <c r="H165" s="687"/>
    </row>
    <row r="166" spans="1:8">
      <c r="A166" s="688" t="s">
        <v>1078</v>
      </c>
      <c r="B166" s="687"/>
      <c r="C166" s="687"/>
      <c r="D166" s="687"/>
      <c r="E166" s="687"/>
      <c r="F166" s="687"/>
      <c r="G166" s="687"/>
      <c r="H166" s="687"/>
    </row>
    <row r="167" spans="1:8">
      <c r="A167" s="687"/>
      <c r="B167" s="687"/>
      <c r="C167" s="687"/>
      <c r="D167" s="687"/>
      <c r="E167" s="687"/>
      <c r="F167" s="687"/>
      <c r="G167" s="687"/>
      <c r="H167" s="687"/>
    </row>
    <row r="168" spans="1:8">
      <c r="A168" s="688" t="s">
        <v>1074</v>
      </c>
      <c r="B168" s="687"/>
      <c r="C168" s="687"/>
      <c r="D168" s="687"/>
      <c r="E168" s="687"/>
      <c r="F168" s="687"/>
      <c r="G168" s="687"/>
      <c r="H168" s="687"/>
    </row>
    <row r="169" spans="1:8">
      <c r="A169" s="688" t="s">
        <v>1075</v>
      </c>
      <c r="B169" s="687"/>
      <c r="C169" s="687"/>
      <c r="D169" s="687"/>
      <c r="E169" s="687"/>
      <c r="F169" s="687"/>
      <c r="G169" s="687"/>
      <c r="H169" s="687"/>
    </row>
    <row r="170" spans="1:8">
      <c r="A170" s="687"/>
      <c r="B170" s="687"/>
      <c r="C170" s="687"/>
      <c r="D170" s="687"/>
      <c r="E170" s="687"/>
      <c r="F170" s="687"/>
      <c r="G170" s="687"/>
      <c r="H170" s="687"/>
    </row>
    <row r="171" spans="1:8" ht="15.75">
      <c r="A171" s="689" t="s">
        <v>894</v>
      </c>
      <c r="B171" s="687"/>
      <c r="C171" s="687"/>
      <c r="D171" s="687"/>
      <c r="E171" s="687"/>
      <c r="F171" s="687"/>
      <c r="G171" s="687"/>
      <c r="H171" s="687"/>
    </row>
    <row r="172" spans="1:8">
      <c r="A172" s="687"/>
      <c r="B172" s="687"/>
      <c r="C172" s="687"/>
      <c r="D172" s="687"/>
      <c r="E172" s="687"/>
      <c r="F172" s="687"/>
      <c r="G172" s="687"/>
      <c r="H172" s="687"/>
    </row>
    <row r="173" spans="1:8">
      <c r="A173" s="688" t="s">
        <v>1072</v>
      </c>
      <c r="B173" s="687"/>
      <c r="C173" s="687"/>
      <c r="D173" s="687"/>
      <c r="E173" s="687"/>
      <c r="F173" s="687"/>
      <c r="G173" s="687"/>
      <c r="H173" s="687"/>
    </row>
    <row r="174" spans="1:8">
      <c r="A174" s="688" t="s">
        <v>1073</v>
      </c>
      <c r="B174" s="687"/>
      <c r="C174" s="687"/>
      <c r="D174" s="687"/>
      <c r="E174" s="687"/>
      <c r="F174" s="687"/>
      <c r="G174" s="687"/>
      <c r="H174" s="687"/>
    </row>
    <row r="175" spans="1:8">
      <c r="A175" s="687"/>
      <c r="B175" s="687"/>
      <c r="C175" s="687"/>
      <c r="D175" s="687"/>
      <c r="E175" s="687"/>
      <c r="F175" s="687"/>
      <c r="G175" s="687"/>
      <c r="H175" s="687"/>
    </row>
    <row r="176" spans="1:8">
      <c r="A176" s="688" t="s">
        <v>1070</v>
      </c>
      <c r="B176" s="687"/>
      <c r="C176" s="687"/>
      <c r="D176" s="687"/>
      <c r="E176" s="687"/>
      <c r="F176" s="687"/>
      <c r="G176" s="687"/>
      <c r="H176" s="687"/>
    </row>
    <row r="177" spans="1:8">
      <c r="A177" s="688" t="s">
        <v>1071</v>
      </c>
      <c r="B177" s="687"/>
      <c r="C177" s="687"/>
      <c r="D177" s="687"/>
      <c r="E177" s="687"/>
      <c r="F177" s="687"/>
      <c r="G177" s="687"/>
      <c r="H177" s="687"/>
    </row>
    <row r="178" spans="1:8">
      <c r="A178" s="687"/>
      <c r="B178" s="687"/>
      <c r="C178" s="687"/>
      <c r="D178" s="687"/>
      <c r="E178" s="687"/>
      <c r="F178" s="687"/>
      <c r="G178" s="687"/>
      <c r="H178" s="687"/>
    </row>
    <row r="179" spans="1:8">
      <c r="A179" s="688" t="s">
        <v>1068</v>
      </c>
      <c r="B179" s="687"/>
      <c r="C179" s="687"/>
      <c r="D179" s="687"/>
      <c r="E179" s="687"/>
      <c r="F179" s="687"/>
      <c r="G179" s="687"/>
      <c r="H179" s="687"/>
    </row>
    <row r="180" spans="1:8">
      <c r="A180" s="688" t="s">
        <v>1069</v>
      </c>
      <c r="B180" s="687"/>
      <c r="C180" s="687"/>
      <c r="D180" s="687"/>
      <c r="E180" s="687"/>
      <c r="F180" s="687"/>
      <c r="G180" s="687"/>
      <c r="H180" s="687"/>
    </row>
    <row r="181" spans="1:8">
      <c r="A181" s="687"/>
      <c r="B181" s="687"/>
      <c r="C181" s="687"/>
      <c r="D181" s="687"/>
      <c r="E181" s="687"/>
      <c r="F181" s="687"/>
      <c r="G181" s="687"/>
      <c r="H181" s="687"/>
    </row>
    <row r="182" spans="1:8">
      <c r="A182" s="688" t="s">
        <v>1065</v>
      </c>
      <c r="B182" s="687"/>
      <c r="C182" s="687"/>
      <c r="D182" s="687"/>
      <c r="E182" s="687"/>
      <c r="F182" s="687"/>
      <c r="G182" s="687"/>
      <c r="H182" s="687"/>
    </row>
    <row r="183" spans="1:8">
      <c r="A183" s="688" t="s">
        <v>1066</v>
      </c>
      <c r="B183" s="687"/>
      <c r="C183" s="687"/>
      <c r="D183" s="687"/>
      <c r="E183" s="687"/>
      <c r="F183" s="687"/>
      <c r="G183" s="687"/>
      <c r="H183" s="687"/>
    </row>
    <row r="184" spans="1:8">
      <c r="A184" s="688" t="s">
        <v>1067</v>
      </c>
      <c r="B184" s="687"/>
      <c r="C184" s="687"/>
      <c r="D184" s="687"/>
      <c r="E184" s="687"/>
      <c r="F184" s="687"/>
      <c r="G184" s="687"/>
      <c r="H184" s="687"/>
    </row>
    <row r="185" spans="1:8">
      <c r="A185" s="687"/>
      <c r="B185" s="687"/>
      <c r="C185" s="687"/>
      <c r="D185" s="687"/>
      <c r="E185" s="687"/>
      <c r="F185" s="687"/>
      <c r="G185" s="687"/>
      <c r="H185" s="687"/>
    </row>
    <row r="186" spans="1:8">
      <c r="A186" s="687"/>
      <c r="B186" s="687"/>
      <c r="C186" s="687"/>
      <c r="D186" s="687"/>
      <c r="E186" s="687"/>
      <c r="F186" s="687"/>
      <c r="G186" s="687"/>
      <c r="H186" s="687"/>
    </row>
    <row r="187" spans="1:8">
      <c r="A187" s="688" t="s">
        <v>895</v>
      </c>
      <c r="B187" s="687"/>
      <c r="C187" s="687"/>
      <c r="D187" s="687"/>
      <c r="E187" s="687"/>
      <c r="F187" s="687"/>
      <c r="G187" s="687"/>
      <c r="H187" s="687"/>
    </row>
    <row r="188" spans="1:8">
      <c r="A188" s="687"/>
      <c r="B188" s="687"/>
      <c r="C188" s="687"/>
      <c r="D188" s="687"/>
      <c r="E188" s="687"/>
      <c r="F188" s="687"/>
      <c r="G188" s="687"/>
      <c r="H188" s="687"/>
    </row>
    <row r="189" spans="1:8" ht="15.75">
      <c r="A189" s="689" t="s">
        <v>896</v>
      </c>
      <c r="B189" s="687"/>
      <c r="C189" s="687"/>
      <c r="D189" s="687"/>
      <c r="E189" s="687"/>
      <c r="F189" s="687"/>
      <c r="G189" s="687"/>
      <c r="H189" s="687"/>
    </row>
    <row r="190" spans="1:8">
      <c r="A190" s="687"/>
      <c r="B190" s="687"/>
      <c r="C190" s="687"/>
      <c r="D190" s="687"/>
      <c r="E190" s="687"/>
      <c r="F190" s="687"/>
      <c r="G190" s="687"/>
      <c r="H190" s="687"/>
    </row>
    <row r="191" spans="1:8">
      <c r="A191" s="687"/>
      <c r="B191" s="687"/>
      <c r="C191" s="687"/>
      <c r="D191" s="687"/>
      <c r="E191" s="687"/>
      <c r="F191" s="687"/>
      <c r="G191" s="687"/>
      <c r="H191" s="687"/>
    </row>
    <row r="192" spans="1:8">
      <c r="A192" s="687"/>
      <c r="B192" s="687"/>
      <c r="C192" s="687"/>
      <c r="D192" s="687"/>
      <c r="E192" s="687"/>
      <c r="F192" s="687"/>
      <c r="G192" s="687"/>
      <c r="H192" s="687"/>
    </row>
    <row r="193" spans="1:8">
      <c r="A193" s="687"/>
      <c r="B193" s="687"/>
      <c r="C193" s="687"/>
      <c r="D193" s="687"/>
      <c r="E193" s="687"/>
      <c r="F193" s="687"/>
      <c r="G193" s="687"/>
      <c r="H193" s="687"/>
    </row>
    <row r="194" spans="1:8">
      <c r="A194" s="687"/>
      <c r="B194" s="687"/>
      <c r="C194" s="687"/>
      <c r="D194" s="687"/>
      <c r="E194" s="687"/>
      <c r="F194" s="687"/>
      <c r="G194" s="687"/>
      <c r="H194" s="687"/>
    </row>
    <row r="195" spans="1:8">
      <c r="A195" s="687"/>
      <c r="B195" s="687"/>
      <c r="C195" s="687"/>
      <c r="D195" s="687"/>
      <c r="E195" s="687"/>
      <c r="F195" s="687"/>
      <c r="G195" s="687"/>
      <c r="H195" s="687"/>
    </row>
    <row r="196" spans="1:8">
      <c r="A196" s="687"/>
      <c r="B196" s="687"/>
      <c r="C196" s="687"/>
      <c r="D196" s="687"/>
      <c r="E196" s="687"/>
      <c r="F196" s="687"/>
      <c r="G196" s="687"/>
      <c r="H196" s="687"/>
    </row>
    <row r="197" spans="1:8">
      <c r="A197" s="687"/>
      <c r="B197" s="687"/>
      <c r="C197" s="687"/>
      <c r="D197" s="687"/>
      <c r="E197" s="687"/>
      <c r="F197" s="687"/>
      <c r="G197" s="687"/>
      <c r="H197" s="687"/>
    </row>
    <row r="198" spans="1:8">
      <c r="A198" s="687"/>
      <c r="B198" s="687"/>
      <c r="C198" s="687"/>
      <c r="D198" s="687"/>
      <c r="E198" s="687"/>
      <c r="F198" s="687"/>
      <c r="G198" s="687"/>
      <c r="H198" s="687"/>
    </row>
    <row r="199" spans="1:8">
      <c r="A199" s="687"/>
      <c r="B199" s="687"/>
      <c r="C199" s="687"/>
      <c r="D199" s="687"/>
      <c r="E199" s="687"/>
      <c r="F199" s="687"/>
      <c r="G199" s="687"/>
      <c r="H199" s="687"/>
    </row>
    <row r="200" spans="1:8">
      <c r="A200" s="687"/>
      <c r="B200" s="687"/>
      <c r="C200" s="687"/>
      <c r="D200" s="687"/>
      <c r="E200" s="687"/>
      <c r="F200" s="687"/>
      <c r="G200" s="687"/>
      <c r="H200" s="687"/>
    </row>
    <row r="201" spans="1:8">
      <c r="A201" s="687"/>
      <c r="B201" s="687"/>
      <c r="C201" s="687"/>
      <c r="D201" s="687"/>
      <c r="E201" s="687"/>
      <c r="F201" s="687"/>
      <c r="G201" s="687"/>
      <c r="H201" s="687"/>
    </row>
    <row r="202" spans="1:8">
      <c r="A202" s="687"/>
      <c r="B202" s="687"/>
      <c r="C202" s="687"/>
      <c r="D202" s="687"/>
      <c r="E202" s="687"/>
      <c r="F202" s="687"/>
      <c r="G202" s="687"/>
      <c r="H202" s="687"/>
    </row>
    <row r="203" spans="1:8">
      <c r="A203" s="687"/>
      <c r="B203" s="687"/>
      <c r="C203" s="687"/>
      <c r="D203" s="687"/>
      <c r="E203" s="687"/>
      <c r="F203" s="687"/>
      <c r="G203" s="687"/>
      <c r="H203" s="687"/>
    </row>
    <row r="204" spans="1:8">
      <c r="A204" s="687"/>
      <c r="B204" s="687"/>
      <c r="C204" s="687"/>
      <c r="D204" s="687"/>
      <c r="E204" s="687"/>
      <c r="F204" s="687"/>
      <c r="G204" s="687"/>
      <c r="H204" s="687"/>
    </row>
    <row r="205" spans="1:8">
      <c r="A205" s="687"/>
      <c r="B205" s="687"/>
      <c r="C205" s="687"/>
      <c r="D205" s="687"/>
      <c r="E205" s="687"/>
      <c r="F205" s="687"/>
      <c r="G205" s="687"/>
      <c r="H205" s="687"/>
    </row>
    <row r="206" spans="1:8">
      <c r="A206" s="687"/>
      <c r="B206" s="687"/>
      <c r="C206" s="687"/>
      <c r="D206" s="687"/>
      <c r="E206" s="687"/>
      <c r="F206" s="687"/>
      <c r="G206" s="687"/>
      <c r="H206" s="687"/>
    </row>
    <row r="207" spans="1:8">
      <c r="A207" s="687"/>
      <c r="B207" s="687"/>
      <c r="C207" s="687"/>
      <c r="D207" s="687"/>
      <c r="E207" s="687"/>
      <c r="F207" s="687"/>
      <c r="G207" s="687"/>
      <c r="H207" s="687"/>
    </row>
    <row r="208" spans="1:8">
      <c r="A208" s="687"/>
      <c r="B208" s="687"/>
      <c r="C208" s="687"/>
      <c r="D208" s="687"/>
      <c r="E208" s="687"/>
      <c r="F208" s="687"/>
      <c r="G208" s="687"/>
      <c r="H208" s="687"/>
    </row>
    <row r="209" spans="1:8">
      <c r="A209" s="687"/>
      <c r="B209" s="687"/>
      <c r="C209" s="687"/>
      <c r="D209" s="687"/>
      <c r="E209" s="687"/>
      <c r="F209" s="687"/>
      <c r="G209" s="687"/>
      <c r="H209" s="687"/>
    </row>
    <row r="210" spans="1:8">
      <c r="A210" s="687"/>
      <c r="B210" s="687"/>
      <c r="C210" s="687"/>
      <c r="D210" s="687"/>
      <c r="E210" s="687"/>
      <c r="F210" s="687"/>
      <c r="G210" s="687"/>
      <c r="H210" s="687"/>
    </row>
    <row r="211" spans="1:8">
      <c r="A211" s="687"/>
      <c r="B211" s="687"/>
      <c r="C211" s="687"/>
      <c r="D211" s="687"/>
      <c r="E211" s="687"/>
      <c r="F211" s="687"/>
      <c r="G211" s="687"/>
      <c r="H211" s="687"/>
    </row>
    <row r="212" spans="1:8">
      <c r="A212" s="687"/>
      <c r="B212" s="687"/>
      <c r="C212" s="687"/>
      <c r="D212" s="687"/>
      <c r="E212" s="687"/>
      <c r="F212" s="687"/>
      <c r="G212" s="687"/>
      <c r="H212" s="687"/>
    </row>
    <row r="213" spans="1:8">
      <c r="A213" s="687"/>
      <c r="B213" s="687"/>
      <c r="C213" s="687"/>
      <c r="D213" s="687"/>
      <c r="E213" s="687"/>
      <c r="F213" s="687"/>
      <c r="G213" s="687"/>
      <c r="H213" s="687"/>
    </row>
    <row r="214" spans="1:8">
      <c r="A214" s="687"/>
      <c r="B214" s="687"/>
      <c r="C214" s="687"/>
      <c r="D214" s="687"/>
      <c r="E214" s="687"/>
      <c r="F214" s="687"/>
      <c r="G214" s="687"/>
      <c r="H214" s="687"/>
    </row>
    <row r="215" spans="1:8">
      <c r="A215" s="687"/>
      <c r="B215" s="687"/>
      <c r="C215" s="687"/>
      <c r="D215" s="687"/>
      <c r="E215" s="687"/>
      <c r="F215" s="687"/>
      <c r="G215" s="687"/>
      <c r="H215" s="687"/>
    </row>
    <row r="216" spans="1:8" ht="15.75">
      <c r="A216" s="689" t="s">
        <v>897</v>
      </c>
      <c r="B216" s="687"/>
      <c r="C216" s="687"/>
      <c r="D216" s="687"/>
      <c r="E216" s="687"/>
      <c r="F216" s="687"/>
      <c r="G216" s="687"/>
      <c r="H216" s="687"/>
    </row>
    <row r="217" spans="1:8">
      <c r="A217" s="687"/>
      <c r="B217" s="687"/>
      <c r="C217" s="687"/>
      <c r="D217" s="687"/>
      <c r="E217" s="687"/>
      <c r="F217" s="687"/>
      <c r="G217" s="687"/>
      <c r="H217" s="687"/>
    </row>
    <row r="218" spans="1:8">
      <c r="A218" s="688" t="s">
        <v>1060</v>
      </c>
      <c r="B218" s="687"/>
      <c r="C218" s="687"/>
      <c r="D218" s="687"/>
      <c r="E218" s="687"/>
      <c r="F218" s="687"/>
      <c r="G218" s="687"/>
      <c r="H218" s="687"/>
    </row>
    <row r="219" spans="1:8">
      <c r="A219" s="688" t="s">
        <v>1061</v>
      </c>
      <c r="B219" s="687"/>
      <c r="C219" s="687"/>
      <c r="D219" s="687"/>
      <c r="E219" s="687"/>
      <c r="F219" s="687"/>
      <c r="G219" s="687"/>
      <c r="H219" s="687"/>
    </row>
    <row r="220" spans="1:8">
      <c r="A220" s="688" t="s">
        <v>1062</v>
      </c>
      <c r="B220" s="687"/>
      <c r="C220" s="687"/>
      <c r="D220" s="687"/>
      <c r="E220" s="687"/>
      <c r="F220" s="687"/>
      <c r="G220" s="687"/>
      <c r="H220" s="687"/>
    </row>
    <row r="221" spans="1:8">
      <c r="A221" s="688" t="s">
        <v>1063</v>
      </c>
      <c r="B221" s="687"/>
      <c r="C221" s="687"/>
      <c r="D221" s="687"/>
      <c r="E221" s="687"/>
      <c r="F221" s="687"/>
      <c r="G221" s="687"/>
      <c r="H221" s="687"/>
    </row>
    <row r="222" spans="1:8">
      <c r="A222" s="688" t="s">
        <v>1064</v>
      </c>
      <c r="B222" s="687"/>
      <c r="C222" s="687"/>
      <c r="D222" s="687"/>
      <c r="E222" s="687"/>
      <c r="F222" s="687"/>
      <c r="G222" s="687"/>
      <c r="H222" s="687"/>
    </row>
    <row r="223" spans="1:8">
      <c r="A223" s="687"/>
      <c r="B223" s="687"/>
      <c r="C223" s="687"/>
      <c r="D223" s="687"/>
      <c r="E223" s="687"/>
      <c r="F223" s="687"/>
      <c r="G223" s="687"/>
      <c r="H223" s="687"/>
    </row>
    <row r="224" spans="1:8">
      <c r="A224" s="688" t="s">
        <v>1057</v>
      </c>
      <c r="B224" s="687"/>
      <c r="C224" s="687"/>
      <c r="D224" s="687"/>
      <c r="E224" s="687"/>
      <c r="F224" s="687"/>
      <c r="G224" s="687"/>
      <c r="H224" s="687"/>
    </row>
    <row r="225" spans="1:8">
      <c r="A225" s="688" t="s">
        <v>1058</v>
      </c>
      <c r="B225" s="687"/>
      <c r="C225" s="687"/>
      <c r="D225" s="687"/>
      <c r="E225" s="687"/>
      <c r="F225" s="687"/>
      <c r="G225" s="687"/>
      <c r="H225" s="687"/>
    </row>
    <row r="226" spans="1:8">
      <c r="A226" s="688" t="s">
        <v>1059</v>
      </c>
      <c r="B226" s="687"/>
      <c r="C226" s="687"/>
      <c r="D226" s="687"/>
      <c r="E226" s="687"/>
      <c r="F226" s="687"/>
      <c r="G226" s="687"/>
      <c r="H226" s="687"/>
    </row>
    <row r="227" spans="1:8" ht="15.75">
      <c r="A227" s="689" t="s">
        <v>898</v>
      </c>
      <c r="B227" s="687"/>
      <c r="C227" s="687"/>
      <c r="D227" s="687"/>
      <c r="E227" s="687"/>
      <c r="F227" s="687"/>
      <c r="G227" s="687"/>
      <c r="H227" s="687"/>
    </row>
    <row r="228" spans="1:8">
      <c r="A228" s="687"/>
      <c r="B228" s="687"/>
      <c r="C228" s="687"/>
      <c r="D228" s="687"/>
      <c r="E228" s="687"/>
      <c r="F228" s="687"/>
      <c r="G228" s="687"/>
      <c r="H228" s="687"/>
    </row>
    <row r="229" spans="1:8">
      <c r="A229" s="688" t="s">
        <v>1055</v>
      </c>
      <c r="B229" s="687"/>
      <c r="C229" s="687"/>
      <c r="D229" s="687"/>
      <c r="E229" s="687"/>
      <c r="F229" s="687"/>
      <c r="G229" s="687"/>
      <c r="H229" s="687"/>
    </row>
    <row r="230" spans="1:8">
      <c r="A230" s="688" t="s">
        <v>1056</v>
      </c>
      <c r="B230" s="687"/>
      <c r="C230" s="687"/>
      <c r="D230" s="687"/>
      <c r="E230" s="687"/>
      <c r="F230" s="687"/>
      <c r="G230" s="687"/>
      <c r="H230" s="687"/>
    </row>
    <row r="231" spans="1:8">
      <c r="A231" s="687"/>
      <c r="B231" s="687"/>
      <c r="C231" s="687"/>
      <c r="D231" s="687"/>
      <c r="E231" s="687"/>
      <c r="F231" s="687"/>
      <c r="G231" s="687"/>
      <c r="H231" s="687"/>
    </row>
    <row r="232" spans="1:8">
      <c r="A232" s="688" t="s">
        <v>1048</v>
      </c>
      <c r="B232" s="687"/>
      <c r="C232" s="687"/>
      <c r="D232" s="687"/>
      <c r="E232" s="687"/>
      <c r="F232" s="687"/>
      <c r="G232" s="687"/>
      <c r="H232" s="687"/>
    </row>
    <row r="233" spans="1:8">
      <c r="A233" s="688" t="s">
        <v>1049</v>
      </c>
      <c r="B233" s="687"/>
      <c r="C233" s="687"/>
      <c r="D233" s="687"/>
      <c r="E233" s="687"/>
      <c r="F233" s="687"/>
      <c r="G233" s="687"/>
      <c r="H233" s="687"/>
    </row>
    <row r="234" spans="1:8">
      <c r="A234" s="688" t="s">
        <v>1050</v>
      </c>
      <c r="B234" s="687"/>
      <c r="C234" s="687"/>
      <c r="D234" s="687"/>
      <c r="E234" s="687"/>
      <c r="F234" s="687"/>
      <c r="G234" s="687"/>
      <c r="H234" s="687"/>
    </row>
    <row r="235" spans="1:8">
      <c r="A235" s="688" t="s">
        <v>1051</v>
      </c>
      <c r="B235" s="687"/>
      <c r="C235" s="687"/>
      <c r="D235" s="687"/>
      <c r="E235" s="687"/>
      <c r="F235" s="687"/>
      <c r="G235" s="687"/>
      <c r="H235" s="687"/>
    </row>
    <row r="236" spans="1:8">
      <c r="A236" s="688" t="s">
        <v>1052</v>
      </c>
      <c r="B236" s="687"/>
      <c r="C236" s="687"/>
      <c r="D236" s="687"/>
      <c r="E236" s="687"/>
      <c r="F236" s="687"/>
      <c r="G236" s="687"/>
      <c r="H236" s="687"/>
    </row>
    <row r="237" spans="1:8">
      <c r="A237" s="688" t="s">
        <v>1053</v>
      </c>
      <c r="B237" s="687"/>
      <c r="C237" s="687"/>
      <c r="D237" s="687"/>
      <c r="E237" s="687"/>
      <c r="F237" s="687"/>
      <c r="G237" s="687"/>
      <c r="H237" s="687"/>
    </row>
    <row r="238" spans="1:8">
      <c r="A238" s="688" t="s">
        <v>1054</v>
      </c>
      <c r="B238" s="687"/>
      <c r="C238" s="687"/>
      <c r="D238" s="687"/>
      <c r="E238" s="687"/>
      <c r="F238" s="687"/>
      <c r="G238" s="687"/>
      <c r="H238" s="687"/>
    </row>
    <row r="239" spans="1:8">
      <c r="A239" s="687"/>
      <c r="B239" s="687"/>
      <c r="C239" s="687"/>
      <c r="D239" s="687"/>
      <c r="E239" s="687"/>
      <c r="F239" s="687"/>
      <c r="G239" s="687"/>
      <c r="H239" s="687"/>
    </row>
    <row r="240" spans="1:8">
      <c r="A240" s="688" t="s">
        <v>1045</v>
      </c>
      <c r="B240" s="687"/>
      <c r="C240" s="687"/>
      <c r="D240" s="687"/>
      <c r="E240" s="687"/>
      <c r="F240" s="687"/>
      <c r="G240" s="687"/>
      <c r="H240" s="687"/>
    </row>
    <row r="241" spans="1:8">
      <c r="A241" s="688" t="s">
        <v>1046</v>
      </c>
      <c r="B241" s="687"/>
      <c r="C241" s="687"/>
      <c r="D241" s="687"/>
      <c r="E241" s="687"/>
      <c r="F241" s="687"/>
      <c r="G241" s="687"/>
      <c r="H241" s="687"/>
    </row>
    <row r="242" spans="1:8">
      <c r="A242" s="688" t="s">
        <v>1047</v>
      </c>
      <c r="B242" s="687"/>
      <c r="C242" s="687"/>
      <c r="D242" s="687"/>
      <c r="E242" s="687"/>
      <c r="F242" s="687"/>
      <c r="G242" s="687"/>
      <c r="H242" s="687"/>
    </row>
    <row r="243" spans="1:8">
      <c r="A243" s="687"/>
      <c r="B243" s="687"/>
      <c r="C243" s="687"/>
      <c r="D243" s="687"/>
      <c r="E243" s="687"/>
      <c r="F243" s="687"/>
      <c r="G243" s="687"/>
      <c r="H243" s="687"/>
    </row>
    <row r="244" spans="1:8">
      <c r="A244" s="688" t="s">
        <v>1040</v>
      </c>
      <c r="B244" s="687"/>
      <c r="C244" s="687"/>
      <c r="D244" s="687"/>
      <c r="E244" s="687"/>
      <c r="F244" s="687"/>
      <c r="G244" s="687"/>
      <c r="H244" s="687"/>
    </row>
    <row r="245" spans="1:8">
      <c r="A245" s="688" t="s">
        <v>1041</v>
      </c>
      <c r="B245" s="687"/>
      <c r="C245" s="687"/>
      <c r="D245" s="687"/>
      <c r="E245" s="687"/>
      <c r="F245" s="687"/>
      <c r="G245" s="687"/>
      <c r="H245" s="687"/>
    </row>
    <row r="246" spans="1:8">
      <c r="A246" s="688" t="s">
        <v>1042</v>
      </c>
      <c r="B246" s="687"/>
      <c r="C246" s="687"/>
      <c r="D246" s="687"/>
      <c r="E246" s="687"/>
      <c r="F246" s="687"/>
      <c r="G246" s="687"/>
      <c r="H246" s="687"/>
    </row>
    <row r="247" spans="1:8">
      <c r="A247" s="688" t="s">
        <v>1043</v>
      </c>
      <c r="B247" s="687"/>
      <c r="C247" s="687"/>
      <c r="D247" s="687"/>
      <c r="E247" s="687"/>
      <c r="F247" s="687"/>
      <c r="G247" s="687"/>
      <c r="H247" s="687"/>
    </row>
    <row r="248" spans="1:8">
      <c r="A248" s="688" t="s">
        <v>1044</v>
      </c>
      <c r="B248" s="687"/>
      <c r="C248" s="687"/>
      <c r="D248" s="687"/>
      <c r="E248" s="687"/>
      <c r="F248" s="687"/>
      <c r="G248" s="687"/>
      <c r="H248" s="687"/>
    </row>
    <row r="249" spans="1:8">
      <c r="A249" s="687"/>
      <c r="B249" s="687"/>
      <c r="C249" s="687"/>
      <c r="D249" s="687"/>
      <c r="E249" s="687"/>
      <c r="F249" s="687"/>
      <c r="G249" s="687"/>
      <c r="H249" s="687"/>
    </row>
    <row r="250" spans="1:8">
      <c r="A250" s="688" t="s">
        <v>1034</v>
      </c>
      <c r="B250" s="687"/>
      <c r="C250" s="687"/>
      <c r="D250" s="687"/>
      <c r="E250" s="687"/>
      <c r="F250" s="687"/>
      <c r="G250" s="687"/>
      <c r="H250" s="687"/>
    </row>
    <row r="251" spans="1:8">
      <c r="A251" s="688" t="s">
        <v>1035</v>
      </c>
      <c r="B251" s="687"/>
      <c r="C251" s="687"/>
      <c r="D251" s="687"/>
      <c r="E251" s="687"/>
      <c r="F251" s="687"/>
      <c r="G251" s="687"/>
      <c r="H251" s="687"/>
    </row>
    <row r="252" spans="1:8">
      <c r="A252" s="688" t="s">
        <v>1036</v>
      </c>
      <c r="B252" s="687"/>
      <c r="C252" s="687"/>
      <c r="D252" s="687"/>
      <c r="E252" s="687"/>
      <c r="F252" s="687"/>
      <c r="G252" s="687"/>
      <c r="H252" s="687"/>
    </row>
    <row r="253" spans="1:8">
      <c r="A253" s="688" t="s">
        <v>1037</v>
      </c>
      <c r="B253" s="687"/>
      <c r="C253" s="687"/>
      <c r="D253" s="687"/>
      <c r="E253" s="687"/>
      <c r="F253" s="687"/>
      <c r="G253" s="687"/>
      <c r="H253" s="687"/>
    </row>
    <row r="254" spans="1:8">
      <c r="A254" s="688" t="s">
        <v>1038</v>
      </c>
      <c r="B254" s="687"/>
      <c r="C254" s="687"/>
      <c r="D254" s="687"/>
      <c r="E254" s="687"/>
      <c r="F254" s="687"/>
      <c r="G254" s="687"/>
      <c r="H254" s="687"/>
    </row>
    <row r="255" spans="1:8">
      <c r="A255" s="688" t="s">
        <v>1039</v>
      </c>
      <c r="B255" s="687"/>
      <c r="C255" s="687"/>
      <c r="D255" s="687"/>
      <c r="E255" s="687"/>
      <c r="F255" s="687"/>
      <c r="G255" s="687"/>
      <c r="H255" s="687"/>
    </row>
    <row r="256" spans="1:8">
      <c r="A256" s="687"/>
      <c r="B256" s="687"/>
      <c r="C256" s="687"/>
      <c r="D256" s="687"/>
      <c r="E256" s="687"/>
      <c r="F256" s="687"/>
      <c r="G256" s="687"/>
      <c r="H256" s="687"/>
    </row>
    <row r="257" spans="1:8">
      <c r="A257" s="688" t="s">
        <v>1024</v>
      </c>
      <c r="B257" s="687"/>
      <c r="C257" s="687"/>
      <c r="D257" s="687"/>
      <c r="E257" s="687"/>
      <c r="F257" s="687"/>
      <c r="G257" s="687"/>
      <c r="H257" s="687"/>
    </row>
    <row r="258" spans="1:8">
      <c r="A258" s="688" t="s">
        <v>1025</v>
      </c>
      <c r="B258" s="687"/>
      <c r="C258" s="687"/>
      <c r="D258" s="687"/>
      <c r="E258" s="687"/>
      <c r="F258" s="687"/>
      <c r="G258" s="687"/>
      <c r="H258" s="687"/>
    </row>
    <row r="259" spans="1:8">
      <c r="A259" s="688" t="s">
        <v>1026</v>
      </c>
      <c r="B259" s="687"/>
      <c r="C259" s="687"/>
      <c r="D259" s="687"/>
      <c r="E259" s="687"/>
      <c r="F259" s="687"/>
      <c r="G259" s="687"/>
      <c r="H259" s="687"/>
    </row>
    <row r="260" spans="1:8">
      <c r="A260" s="688" t="s">
        <v>1027</v>
      </c>
      <c r="B260" s="687"/>
      <c r="C260" s="687"/>
      <c r="D260" s="687"/>
      <c r="E260" s="687"/>
      <c r="F260" s="687"/>
      <c r="G260" s="687"/>
      <c r="H260" s="687"/>
    </row>
    <row r="261" spans="1:8">
      <c r="A261" s="688" t="s">
        <v>1028</v>
      </c>
      <c r="B261" s="687"/>
      <c r="C261" s="687"/>
      <c r="D261" s="687"/>
      <c r="E261" s="687"/>
      <c r="F261" s="687"/>
      <c r="G261" s="687"/>
      <c r="H261" s="687"/>
    </row>
    <row r="262" spans="1:8">
      <c r="A262" s="688" t="s">
        <v>1029</v>
      </c>
      <c r="B262" s="687"/>
      <c r="C262" s="687"/>
      <c r="D262" s="687"/>
      <c r="E262" s="687"/>
      <c r="F262" s="687"/>
      <c r="G262" s="687"/>
      <c r="H262" s="687"/>
    </row>
    <row r="263" spans="1:8">
      <c r="A263" s="688" t="s">
        <v>1030</v>
      </c>
      <c r="B263" s="687"/>
      <c r="C263" s="687"/>
      <c r="D263" s="687"/>
      <c r="E263" s="687"/>
      <c r="F263" s="687"/>
      <c r="G263" s="687"/>
      <c r="H263" s="687"/>
    </row>
    <row r="264" spans="1:8">
      <c r="A264" s="688" t="s">
        <v>1031</v>
      </c>
      <c r="B264" s="687"/>
      <c r="C264" s="687"/>
      <c r="D264" s="687"/>
      <c r="E264" s="687"/>
      <c r="F264" s="687"/>
      <c r="G264" s="687"/>
      <c r="H264" s="687"/>
    </row>
    <row r="265" spans="1:8">
      <c r="A265" s="688" t="s">
        <v>1032</v>
      </c>
      <c r="B265" s="687"/>
      <c r="C265" s="687"/>
      <c r="D265" s="687"/>
      <c r="E265" s="687"/>
      <c r="F265" s="687"/>
      <c r="G265" s="687"/>
      <c r="H265" s="687"/>
    </row>
    <row r="266" spans="1:8">
      <c r="A266" s="688" t="s">
        <v>1033</v>
      </c>
      <c r="B266" s="687"/>
      <c r="C266" s="687"/>
      <c r="D266" s="687"/>
      <c r="E266" s="687"/>
      <c r="F266" s="687"/>
      <c r="G266" s="687"/>
      <c r="H266" s="687"/>
    </row>
    <row r="267" spans="1:8">
      <c r="A267" s="687"/>
      <c r="B267" s="687"/>
      <c r="C267" s="687"/>
      <c r="D267" s="687"/>
      <c r="E267" s="687"/>
      <c r="F267" s="687"/>
      <c r="G267" s="687"/>
      <c r="H267" s="687"/>
    </row>
    <row r="268" spans="1:8">
      <c r="A268" s="688" t="s">
        <v>1022</v>
      </c>
      <c r="B268" s="687"/>
      <c r="C268" s="687"/>
      <c r="D268" s="687"/>
      <c r="E268" s="687"/>
      <c r="F268" s="687"/>
      <c r="G268" s="687"/>
      <c r="H268" s="687"/>
    </row>
    <row r="269" spans="1:8">
      <c r="A269" s="688" t="s">
        <v>1023</v>
      </c>
      <c r="B269" s="687"/>
      <c r="C269" s="687"/>
      <c r="D269" s="687"/>
      <c r="E269" s="687"/>
      <c r="F269" s="687"/>
      <c r="G269" s="687"/>
      <c r="H269" s="687"/>
    </row>
    <row r="270" spans="1:8">
      <c r="A270" s="687"/>
      <c r="B270" s="687"/>
      <c r="C270" s="687"/>
      <c r="D270" s="687"/>
      <c r="E270" s="687"/>
      <c r="F270" s="687"/>
      <c r="G270" s="687"/>
      <c r="H270" s="687"/>
    </row>
    <row r="271" spans="1:8">
      <c r="A271" s="688" t="s">
        <v>1006</v>
      </c>
      <c r="B271" s="687"/>
      <c r="C271" s="687"/>
      <c r="D271" s="687"/>
      <c r="E271" s="687"/>
      <c r="F271" s="687"/>
      <c r="G271" s="687"/>
      <c r="H271" s="687"/>
    </row>
    <row r="272" spans="1:8">
      <c r="A272" s="688" t="s">
        <v>1007</v>
      </c>
      <c r="B272" s="687"/>
      <c r="C272" s="687"/>
      <c r="D272" s="687"/>
      <c r="E272" s="687"/>
      <c r="F272" s="687"/>
      <c r="G272" s="687"/>
      <c r="H272" s="687"/>
    </row>
    <row r="273" spans="1:8">
      <c r="A273" s="688" t="s">
        <v>1008</v>
      </c>
      <c r="B273" s="687"/>
      <c r="C273" s="687"/>
      <c r="D273" s="687"/>
      <c r="E273" s="687"/>
      <c r="F273" s="687"/>
      <c r="G273" s="687"/>
      <c r="H273" s="687"/>
    </row>
    <row r="274" spans="1:8">
      <c r="A274" s="688" t="s">
        <v>1009</v>
      </c>
      <c r="B274" s="687"/>
      <c r="C274" s="687"/>
      <c r="D274" s="687"/>
      <c r="E274" s="687"/>
      <c r="F274" s="687"/>
      <c r="G274" s="687"/>
      <c r="H274" s="687"/>
    </row>
    <row r="275" spans="1:8">
      <c r="A275" s="688" t="s">
        <v>1010</v>
      </c>
      <c r="B275" s="687"/>
      <c r="C275" s="687"/>
      <c r="D275" s="687"/>
      <c r="E275" s="687"/>
      <c r="F275" s="687"/>
      <c r="G275" s="687"/>
      <c r="H275" s="687"/>
    </row>
    <row r="276" spans="1:8">
      <c r="A276" s="688" t="s">
        <v>1011</v>
      </c>
      <c r="B276" s="687"/>
      <c r="C276" s="687"/>
      <c r="D276" s="687"/>
      <c r="E276" s="687"/>
      <c r="F276" s="687"/>
      <c r="G276" s="687"/>
      <c r="H276" s="687"/>
    </row>
    <row r="277" spans="1:8">
      <c r="A277" s="688" t="s">
        <v>1012</v>
      </c>
      <c r="B277" s="687"/>
      <c r="C277" s="687"/>
      <c r="D277" s="687"/>
      <c r="E277" s="687"/>
      <c r="F277" s="687"/>
      <c r="G277" s="687"/>
      <c r="H277" s="687"/>
    </row>
    <row r="278" spans="1:8">
      <c r="A278" s="688" t="s">
        <v>1013</v>
      </c>
      <c r="B278" s="687"/>
      <c r="C278" s="687"/>
      <c r="D278" s="687"/>
      <c r="E278" s="687"/>
      <c r="F278" s="687"/>
      <c r="G278" s="687"/>
      <c r="H278" s="687"/>
    </row>
    <row r="279" spans="1:8">
      <c r="A279" s="688" t="s">
        <v>1014</v>
      </c>
      <c r="B279" s="687"/>
      <c r="C279" s="687"/>
      <c r="D279" s="687"/>
      <c r="E279" s="687"/>
      <c r="F279" s="687"/>
      <c r="G279" s="687"/>
      <c r="H279" s="687"/>
    </row>
    <row r="280" spans="1:8">
      <c r="A280" s="688" t="s">
        <v>1015</v>
      </c>
      <c r="B280" s="687"/>
      <c r="C280" s="687"/>
      <c r="D280" s="687"/>
      <c r="E280" s="687"/>
      <c r="F280" s="687"/>
      <c r="G280" s="687"/>
      <c r="H280" s="687"/>
    </row>
    <row r="281" spans="1:8">
      <c r="A281" s="688" t="s">
        <v>1016</v>
      </c>
      <c r="B281" s="687"/>
      <c r="C281" s="687"/>
      <c r="D281" s="687"/>
      <c r="E281" s="687"/>
      <c r="F281" s="687"/>
      <c r="G281" s="687"/>
      <c r="H281" s="687"/>
    </row>
    <row r="282" spans="1:8">
      <c r="A282" s="688" t="s">
        <v>1017</v>
      </c>
      <c r="B282" s="687"/>
      <c r="C282" s="687"/>
      <c r="D282" s="687"/>
      <c r="E282" s="687"/>
      <c r="F282" s="687"/>
      <c r="G282" s="687"/>
      <c r="H282" s="687"/>
    </row>
    <row r="283" spans="1:8">
      <c r="A283" s="688" t="s">
        <v>1018</v>
      </c>
      <c r="B283" s="687"/>
      <c r="C283" s="687"/>
      <c r="D283" s="687"/>
      <c r="E283" s="687"/>
      <c r="F283" s="687"/>
      <c r="G283" s="687"/>
      <c r="H283" s="687"/>
    </row>
    <row r="284" spans="1:8">
      <c r="A284" s="688" t="s">
        <v>1019</v>
      </c>
      <c r="B284" s="687"/>
      <c r="C284" s="687"/>
      <c r="D284" s="687"/>
      <c r="E284" s="687"/>
      <c r="F284" s="687"/>
      <c r="G284" s="687"/>
      <c r="H284" s="687"/>
    </row>
    <row r="285" spans="1:8">
      <c r="A285" s="688" t="s">
        <v>1020</v>
      </c>
      <c r="B285" s="687"/>
      <c r="C285" s="687"/>
      <c r="D285" s="687"/>
      <c r="E285" s="687"/>
      <c r="F285" s="687"/>
      <c r="G285" s="687"/>
      <c r="H285" s="687"/>
    </row>
    <row r="286" spans="1:8">
      <c r="A286" s="688" t="s">
        <v>1021</v>
      </c>
      <c r="B286" s="687"/>
      <c r="C286" s="687"/>
      <c r="D286" s="687"/>
      <c r="E286" s="687"/>
      <c r="F286" s="687"/>
      <c r="G286" s="687"/>
      <c r="H286" s="687"/>
    </row>
    <row r="287" spans="1:8">
      <c r="A287" s="687"/>
      <c r="B287" s="687"/>
      <c r="C287" s="687"/>
      <c r="D287" s="687"/>
      <c r="E287" s="687"/>
      <c r="F287" s="687"/>
      <c r="G287" s="687"/>
      <c r="H287" s="687"/>
    </row>
    <row r="288" spans="1:8">
      <c r="A288" s="688" t="s">
        <v>999</v>
      </c>
      <c r="B288" s="687"/>
      <c r="C288" s="687"/>
      <c r="D288" s="687"/>
      <c r="E288" s="687"/>
      <c r="F288" s="687"/>
      <c r="G288" s="687"/>
      <c r="H288" s="687"/>
    </row>
    <row r="289" spans="1:8">
      <c r="A289" s="688" t="s">
        <v>1000</v>
      </c>
      <c r="B289" s="687"/>
      <c r="C289" s="687"/>
      <c r="D289" s="687"/>
      <c r="E289" s="687"/>
      <c r="F289" s="687"/>
      <c r="G289" s="687"/>
      <c r="H289" s="687"/>
    </row>
    <row r="290" spans="1:8">
      <c r="A290" s="688" t="s">
        <v>1001</v>
      </c>
      <c r="B290" s="687"/>
      <c r="C290" s="687"/>
      <c r="D290" s="687"/>
      <c r="E290" s="687"/>
      <c r="F290" s="687"/>
      <c r="G290" s="687"/>
      <c r="H290" s="687"/>
    </row>
    <row r="291" spans="1:8">
      <c r="A291" s="688" t="s">
        <v>1002</v>
      </c>
      <c r="B291" s="687"/>
      <c r="C291" s="687"/>
      <c r="D291" s="687"/>
      <c r="E291" s="687"/>
      <c r="F291" s="687"/>
      <c r="G291" s="687"/>
      <c r="H291" s="687"/>
    </row>
    <row r="292" spans="1:8">
      <c r="A292" s="688" t="s">
        <v>1003</v>
      </c>
      <c r="B292" s="687"/>
      <c r="C292" s="687"/>
      <c r="D292" s="687"/>
      <c r="E292" s="687"/>
      <c r="F292" s="687"/>
      <c r="G292" s="687"/>
      <c r="H292" s="687"/>
    </row>
    <row r="293" spans="1:8">
      <c r="A293" s="688" t="s">
        <v>1004</v>
      </c>
      <c r="B293" s="687"/>
      <c r="C293" s="687"/>
      <c r="D293" s="687"/>
      <c r="E293" s="687"/>
      <c r="F293" s="687"/>
      <c r="G293" s="687"/>
      <c r="H293" s="687"/>
    </row>
    <row r="294" spans="1:8">
      <c r="A294" s="688" t="s">
        <v>1005</v>
      </c>
      <c r="B294" s="687"/>
      <c r="C294" s="687"/>
      <c r="D294" s="687"/>
      <c r="E294" s="687"/>
      <c r="F294" s="687"/>
      <c r="G294" s="687"/>
      <c r="H294" s="687"/>
    </row>
    <row r="295" spans="1:8">
      <c r="A295" s="687"/>
      <c r="B295" s="687"/>
      <c r="C295" s="687"/>
      <c r="D295" s="687"/>
      <c r="E295" s="687"/>
      <c r="F295" s="687"/>
      <c r="G295" s="687"/>
      <c r="H295" s="687"/>
    </row>
    <row r="296" spans="1:8">
      <c r="A296" s="688" t="s">
        <v>990</v>
      </c>
      <c r="B296" s="687"/>
      <c r="C296" s="687"/>
      <c r="D296" s="687"/>
      <c r="E296" s="687"/>
      <c r="F296" s="687"/>
      <c r="G296" s="687"/>
      <c r="H296" s="687"/>
    </row>
    <row r="297" spans="1:8">
      <c r="A297" s="688" t="s">
        <v>991</v>
      </c>
      <c r="B297" s="687"/>
      <c r="C297" s="687"/>
      <c r="D297" s="687"/>
      <c r="E297" s="687"/>
      <c r="F297" s="687"/>
      <c r="G297" s="687"/>
      <c r="H297" s="687"/>
    </row>
    <row r="298" spans="1:8">
      <c r="A298" s="688" t="s">
        <v>992</v>
      </c>
      <c r="B298" s="687"/>
      <c r="C298" s="687"/>
      <c r="D298" s="687"/>
      <c r="E298" s="687"/>
      <c r="F298" s="687"/>
      <c r="G298" s="687"/>
      <c r="H298" s="687"/>
    </row>
    <row r="299" spans="1:8">
      <c r="A299" s="688" t="s">
        <v>993</v>
      </c>
      <c r="B299" s="687"/>
      <c r="C299" s="687"/>
      <c r="D299" s="687"/>
      <c r="E299" s="687"/>
      <c r="F299" s="687"/>
      <c r="G299" s="687"/>
      <c r="H299" s="687"/>
    </row>
    <row r="300" spans="1:8">
      <c r="A300" s="688" t="s">
        <v>994</v>
      </c>
      <c r="B300" s="687"/>
      <c r="C300" s="687"/>
      <c r="D300" s="687"/>
      <c r="E300" s="687"/>
      <c r="F300" s="687"/>
      <c r="G300" s="687"/>
      <c r="H300" s="687"/>
    </row>
    <row r="301" spans="1:8">
      <c r="A301" s="688" t="s">
        <v>995</v>
      </c>
      <c r="B301" s="687"/>
      <c r="C301" s="687"/>
      <c r="D301" s="687"/>
      <c r="E301" s="687"/>
      <c r="F301" s="687"/>
      <c r="G301" s="687"/>
      <c r="H301" s="687"/>
    </row>
    <row r="302" spans="1:8">
      <c r="A302" s="688" t="s">
        <v>996</v>
      </c>
      <c r="B302" s="687"/>
      <c r="C302" s="687"/>
      <c r="D302" s="687"/>
      <c r="E302" s="687"/>
      <c r="F302" s="687"/>
      <c r="G302" s="687"/>
      <c r="H302" s="687"/>
    </row>
    <row r="303" spans="1:8">
      <c r="A303" s="688" t="s">
        <v>997</v>
      </c>
      <c r="B303" s="687"/>
      <c r="C303" s="687"/>
      <c r="D303" s="687"/>
      <c r="E303" s="687"/>
      <c r="F303" s="687"/>
      <c r="G303" s="687"/>
      <c r="H303" s="687"/>
    </row>
    <row r="304" spans="1:8">
      <c r="A304" s="688" t="s">
        <v>998</v>
      </c>
      <c r="B304" s="687"/>
      <c r="C304" s="687"/>
      <c r="D304" s="687"/>
      <c r="E304" s="687"/>
      <c r="F304" s="687"/>
      <c r="G304" s="687"/>
      <c r="H304" s="687"/>
    </row>
    <row r="305" spans="1:8">
      <c r="A305" s="687"/>
      <c r="B305" s="687"/>
      <c r="C305" s="687"/>
      <c r="D305" s="687"/>
      <c r="E305" s="687"/>
      <c r="F305" s="687"/>
      <c r="G305" s="687"/>
      <c r="H305" s="687"/>
    </row>
    <row r="306" spans="1:8">
      <c r="A306" s="688" t="s">
        <v>983</v>
      </c>
      <c r="B306" s="687"/>
      <c r="C306" s="687"/>
      <c r="D306" s="687"/>
      <c r="E306" s="687"/>
      <c r="F306" s="687"/>
      <c r="G306" s="687"/>
      <c r="H306" s="687"/>
    </row>
    <row r="307" spans="1:8">
      <c r="A307" s="688" t="s">
        <v>984</v>
      </c>
      <c r="B307" s="687"/>
      <c r="C307" s="687"/>
      <c r="D307" s="687"/>
      <c r="E307" s="687"/>
      <c r="F307" s="687"/>
      <c r="G307" s="687"/>
      <c r="H307" s="687"/>
    </row>
    <row r="308" spans="1:8">
      <c r="A308" s="688" t="s">
        <v>985</v>
      </c>
      <c r="B308" s="687"/>
      <c r="C308" s="687"/>
      <c r="D308" s="687"/>
      <c r="E308" s="687"/>
      <c r="F308" s="687"/>
      <c r="G308" s="687"/>
      <c r="H308" s="687"/>
    </row>
    <row r="309" spans="1:8">
      <c r="A309" s="688" t="s">
        <v>986</v>
      </c>
      <c r="B309" s="687"/>
      <c r="C309" s="687"/>
      <c r="D309" s="687"/>
      <c r="E309" s="687"/>
      <c r="F309" s="687"/>
      <c r="G309" s="687"/>
      <c r="H309" s="687"/>
    </row>
    <row r="310" spans="1:8">
      <c r="A310" s="688" t="s">
        <v>987</v>
      </c>
      <c r="B310" s="687"/>
      <c r="C310" s="687"/>
      <c r="D310" s="687"/>
      <c r="E310" s="687"/>
      <c r="F310" s="687"/>
      <c r="G310" s="687"/>
      <c r="H310" s="687"/>
    </row>
    <row r="311" spans="1:8">
      <c r="A311" s="688" t="s">
        <v>988</v>
      </c>
      <c r="B311" s="687"/>
      <c r="C311" s="687"/>
      <c r="D311" s="687"/>
      <c r="E311" s="687"/>
      <c r="F311" s="687"/>
      <c r="G311" s="687"/>
      <c r="H311" s="687"/>
    </row>
    <row r="312" spans="1:8">
      <c r="A312" s="688" t="s">
        <v>989</v>
      </c>
      <c r="B312" s="687"/>
      <c r="C312" s="687"/>
      <c r="D312" s="687"/>
      <c r="E312" s="687"/>
      <c r="F312" s="687"/>
      <c r="G312" s="687"/>
      <c r="H312" s="687"/>
    </row>
    <row r="313" spans="1:8">
      <c r="A313" s="687"/>
      <c r="B313" s="687"/>
      <c r="C313" s="687"/>
      <c r="D313" s="687"/>
      <c r="E313" s="687"/>
      <c r="F313" s="687"/>
      <c r="G313" s="687"/>
      <c r="H313" s="687"/>
    </row>
    <row r="314" spans="1:8">
      <c r="A314" s="688" t="s">
        <v>980</v>
      </c>
      <c r="B314" s="687"/>
      <c r="C314" s="687"/>
      <c r="D314" s="687"/>
      <c r="E314" s="687"/>
      <c r="F314" s="687"/>
      <c r="G314" s="687"/>
      <c r="H314" s="687"/>
    </row>
    <row r="315" spans="1:8">
      <c r="A315" s="688" t="s">
        <v>981</v>
      </c>
      <c r="B315" s="687"/>
      <c r="C315" s="687"/>
      <c r="D315" s="687"/>
      <c r="E315" s="687"/>
      <c r="F315" s="687"/>
      <c r="G315" s="687"/>
      <c r="H315" s="687"/>
    </row>
    <row r="316" spans="1:8">
      <c r="A316" s="688" t="s">
        <v>982</v>
      </c>
      <c r="B316" s="687"/>
      <c r="C316" s="687"/>
      <c r="D316" s="687"/>
      <c r="E316" s="687"/>
      <c r="F316" s="687"/>
      <c r="G316" s="687"/>
      <c r="H316" s="687"/>
    </row>
    <row r="317" spans="1:8">
      <c r="A317" s="687"/>
      <c r="B317" s="687"/>
      <c r="C317" s="687"/>
      <c r="D317" s="687"/>
      <c r="E317" s="687"/>
      <c r="F317" s="687"/>
      <c r="G317" s="687"/>
      <c r="H317" s="687"/>
    </row>
    <row r="318" spans="1:8">
      <c r="A318" s="688" t="s">
        <v>978</v>
      </c>
      <c r="B318" s="687"/>
      <c r="C318" s="687"/>
      <c r="D318" s="687"/>
      <c r="E318" s="687"/>
      <c r="F318" s="687"/>
      <c r="G318" s="687"/>
      <c r="H318" s="687"/>
    </row>
    <row r="319" spans="1:8">
      <c r="A319" s="688" t="s">
        <v>979</v>
      </c>
      <c r="B319" s="687"/>
      <c r="C319" s="687"/>
      <c r="D319" s="687"/>
      <c r="E319" s="687"/>
      <c r="F319" s="687"/>
      <c r="G319" s="687"/>
      <c r="H319" s="687"/>
    </row>
    <row r="320" spans="1:8">
      <c r="A320" s="687"/>
      <c r="B320" s="687"/>
      <c r="C320" s="687"/>
      <c r="D320" s="687"/>
      <c r="E320" s="687"/>
      <c r="F320" s="687"/>
      <c r="G320" s="687"/>
      <c r="H320" s="687"/>
    </row>
    <row r="321" spans="1:8">
      <c r="A321" s="688" t="s">
        <v>965</v>
      </c>
      <c r="B321" s="687"/>
      <c r="C321" s="687"/>
      <c r="D321" s="687"/>
      <c r="E321" s="687"/>
      <c r="F321" s="687"/>
      <c r="G321" s="687"/>
      <c r="H321" s="687"/>
    </row>
    <row r="322" spans="1:8">
      <c r="A322" s="688" t="s">
        <v>966</v>
      </c>
      <c r="B322" s="687"/>
      <c r="C322" s="687"/>
      <c r="D322" s="687"/>
      <c r="E322" s="687"/>
      <c r="F322" s="687"/>
      <c r="G322" s="687"/>
      <c r="H322" s="687"/>
    </row>
    <row r="323" spans="1:8">
      <c r="A323" s="688" t="s">
        <v>967</v>
      </c>
      <c r="B323" s="687"/>
      <c r="C323" s="687"/>
      <c r="D323" s="687"/>
      <c r="E323" s="687"/>
      <c r="F323" s="687"/>
      <c r="G323" s="687"/>
      <c r="H323" s="687"/>
    </row>
    <row r="324" spans="1:8">
      <c r="A324" s="688" t="s">
        <v>968</v>
      </c>
      <c r="B324" s="687"/>
      <c r="C324" s="687"/>
      <c r="D324" s="687"/>
      <c r="E324" s="687"/>
      <c r="F324" s="687"/>
      <c r="G324" s="687"/>
      <c r="H324" s="687"/>
    </row>
    <row r="325" spans="1:8">
      <c r="A325" s="688" t="s">
        <v>969</v>
      </c>
      <c r="B325" s="687"/>
      <c r="C325" s="687"/>
      <c r="D325" s="687"/>
      <c r="E325" s="687"/>
      <c r="F325" s="687"/>
      <c r="G325" s="687"/>
      <c r="H325" s="687"/>
    </row>
    <row r="326" spans="1:8">
      <c r="A326" s="688" t="s">
        <v>970</v>
      </c>
      <c r="B326" s="687"/>
      <c r="C326" s="687"/>
      <c r="D326" s="687"/>
      <c r="E326" s="687"/>
      <c r="F326" s="687"/>
      <c r="G326" s="687"/>
      <c r="H326" s="687"/>
    </row>
    <row r="327" spans="1:8">
      <c r="A327" s="688" t="s">
        <v>971</v>
      </c>
      <c r="B327" s="687"/>
      <c r="C327" s="687"/>
      <c r="D327" s="687"/>
      <c r="E327" s="687"/>
      <c r="F327" s="687"/>
      <c r="G327" s="687"/>
      <c r="H327" s="687"/>
    </row>
    <row r="328" spans="1:8">
      <c r="A328" s="688" t="s">
        <v>972</v>
      </c>
      <c r="B328" s="687"/>
      <c r="C328" s="687"/>
      <c r="D328" s="687"/>
      <c r="E328" s="687"/>
      <c r="F328" s="687"/>
      <c r="G328" s="687"/>
      <c r="H328" s="687"/>
    </row>
    <row r="329" spans="1:8">
      <c r="A329" s="688" t="s">
        <v>973</v>
      </c>
      <c r="B329" s="687"/>
      <c r="C329" s="687"/>
      <c r="D329" s="687"/>
      <c r="E329" s="687"/>
      <c r="F329" s="687"/>
      <c r="G329" s="687"/>
      <c r="H329" s="687"/>
    </row>
    <row r="330" spans="1:8">
      <c r="A330" s="688" t="s">
        <v>974</v>
      </c>
      <c r="B330" s="687"/>
      <c r="C330" s="687"/>
      <c r="D330" s="687"/>
      <c r="E330" s="687"/>
      <c r="F330" s="687"/>
      <c r="G330" s="687"/>
      <c r="H330" s="687"/>
    </row>
    <row r="331" spans="1:8">
      <c r="A331" s="688" t="s">
        <v>975</v>
      </c>
      <c r="B331" s="687"/>
      <c r="C331" s="687"/>
      <c r="D331" s="687"/>
      <c r="E331" s="687"/>
      <c r="F331" s="687"/>
      <c r="G331" s="687"/>
      <c r="H331" s="687"/>
    </row>
    <row r="332" spans="1:8">
      <c r="A332" s="688" t="s">
        <v>976</v>
      </c>
      <c r="B332" s="687"/>
      <c r="C332" s="687"/>
      <c r="D332" s="687"/>
      <c r="E332" s="687"/>
      <c r="F332" s="687"/>
      <c r="G332" s="687"/>
      <c r="H332" s="687"/>
    </row>
    <row r="333" spans="1:8">
      <c r="A333" s="688" t="s">
        <v>977</v>
      </c>
      <c r="B333" s="687"/>
      <c r="C333" s="687"/>
      <c r="D333" s="687"/>
      <c r="E333" s="687"/>
      <c r="F333" s="687"/>
      <c r="G333" s="687"/>
      <c r="H333" s="687"/>
    </row>
    <row r="334" spans="1:8">
      <c r="A334" s="687"/>
      <c r="B334" s="687"/>
      <c r="C334" s="687"/>
      <c r="D334" s="687"/>
      <c r="E334" s="687"/>
      <c r="F334" s="687"/>
      <c r="G334" s="687"/>
      <c r="H334" s="687"/>
    </row>
    <row r="335" spans="1:8">
      <c r="A335" s="688" t="s">
        <v>963</v>
      </c>
      <c r="B335" s="687"/>
      <c r="C335" s="687"/>
      <c r="D335" s="687"/>
      <c r="E335" s="687"/>
      <c r="F335" s="687"/>
      <c r="G335" s="687"/>
      <c r="H335" s="687"/>
    </row>
    <row r="336" spans="1:8">
      <c r="A336" s="688" t="s">
        <v>964</v>
      </c>
      <c r="B336" s="687"/>
      <c r="C336" s="687"/>
      <c r="D336" s="687"/>
      <c r="E336" s="687"/>
      <c r="F336" s="687"/>
      <c r="G336" s="687"/>
      <c r="H336" s="687"/>
    </row>
    <row r="337" spans="1:8">
      <c r="A337" s="687"/>
      <c r="B337" s="687"/>
      <c r="C337" s="687"/>
      <c r="D337" s="687"/>
      <c r="E337" s="687"/>
      <c r="F337" s="687"/>
      <c r="G337" s="687"/>
      <c r="H337" s="687"/>
    </row>
    <row r="338" spans="1:8">
      <c r="A338" s="688" t="s">
        <v>955</v>
      </c>
      <c r="B338" s="687"/>
      <c r="C338" s="687"/>
      <c r="D338" s="687"/>
      <c r="E338" s="687"/>
      <c r="F338" s="687"/>
      <c r="G338" s="687"/>
      <c r="H338" s="687"/>
    </row>
    <row r="339" spans="1:8">
      <c r="A339" s="688" t="s">
        <v>956</v>
      </c>
      <c r="B339" s="687"/>
      <c r="C339" s="687"/>
      <c r="D339" s="687"/>
      <c r="E339" s="687"/>
      <c r="F339" s="687"/>
      <c r="G339" s="687"/>
      <c r="H339" s="687"/>
    </row>
    <row r="340" spans="1:8">
      <c r="A340" s="688" t="s">
        <v>957</v>
      </c>
      <c r="B340" s="687"/>
      <c r="C340" s="687"/>
      <c r="D340" s="687"/>
      <c r="E340" s="687"/>
      <c r="F340" s="687"/>
      <c r="G340" s="687"/>
      <c r="H340" s="687"/>
    </row>
    <row r="341" spans="1:8">
      <c r="A341" s="688" t="s">
        <v>958</v>
      </c>
      <c r="B341" s="687"/>
      <c r="C341" s="687"/>
      <c r="D341" s="687"/>
      <c r="E341" s="687"/>
      <c r="F341" s="687"/>
      <c r="G341" s="687"/>
      <c r="H341" s="687"/>
    </row>
    <row r="342" spans="1:8">
      <c r="A342" s="688" t="s">
        <v>959</v>
      </c>
      <c r="B342" s="687"/>
      <c r="C342" s="687"/>
      <c r="D342" s="687"/>
      <c r="E342" s="687"/>
      <c r="F342" s="687"/>
      <c r="G342" s="687"/>
      <c r="H342" s="687"/>
    </row>
    <row r="343" spans="1:8">
      <c r="A343" s="688" t="s">
        <v>960</v>
      </c>
      <c r="B343" s="687"/>
      <c r="C343" s="687"/>
      <c r="D343" s="687"/>
      <c r="E343" s="687"/>
      <c r="F343" s="687"/>
      <c r="G343" s="687"/>
      <c r="H343" s="687"/>
    </row>
    <row r="344" spans="1:8">
      <c r="A344" s="688" t="s">
        <v>961</v>
      </c>
      <c r="B344" s="687"/>
      <c r="C344" s="687"/>
      <c r="D344" s="687"/>
      <c r="E344" s="687"/>
      <c r="F344" s="687"/>
      <c r="G344" s="687"/>
      <c r="H344" s="687"/>
    </row>
    <row r="345" spans="1:8">
      <c r="A345" s="688" t="s">
        <v>962</v>
      </c>
      <c r="B345" s="687"/>
      <c r="C345" s="687"/>
      <c r="D345" s="687"/>
      <c r="E345" s="687"/>
      <c r="F345" s="687"/>
      <c r="G345" s="687"/>
      <c r="H345" s="687"/>
    </row>
    <row r="346" spans="1:8">
      <c r="A346" s="687"/>
      <c r="B346" s="687"/>
      <c r="C346" s="687"/>
      <c r="D346" s="687"/>
      <c r="E346" s="687"/>
      <c r="F346" s="687"/>
      <c r="G346" s="687"/>
      <c r="H346" s="687"/>
    </row>
    <row r="347" spans="1:8">
      <c r="A347" s="688" t="s">
        <v>920</v>
      </c>
      <c r="B347" s="687"/>
      <c r="C347" s="687"/>
      <c r="D347" s="687"/>
      <c r="E347" s="687"/>
      <c r="F347" s="687"/>
      <c r="G347" s="687"/>
      <c r="H347" s="687"/>
    </row>
    <row r="348" spans="1:8">
      <c r="A348" s="688" t="s">
        <v>921</v>
      </c>
      <c r="B348" s="687"/>
      <c r="C348" s="687"/>
      <c r="D348" s="687"/>
      <c r="E348" s="687"/>
      <c r="F348" s="687"/>
      <c r="G348" s="687"/>
      <c r="H348" s="687"/>
    </row>
    <row r="349" spans="1:8">
      <c r="A349" s="688" t="s">
        <v>922</v>
      </c>
      <c r="B349" s="687"/>
      <c r="C349" s="687"/>
      <c r="D349" s="687"/>
      <c r="E349" s="687"/>
      <c r="F349" s="687"/>
      <c r="G349" s="687"/>
      <c r="H349" s="687"/>
    </row>
    <row r="350" spans="1:8">
      <c r="A350" s="688" t="s">
        <v>923</v>
      </c>
      <c r="B350" s="687"/>
      <c r="C350" s="687"/>
      <c r="D350" s="687"/>
      <c r="E350" s="687"/>
      <c r="F350" s="687"/>
      <c r="G350" s="687"/>
      <c r="H350" s="687"/>
    </row>
    <row r="351" spans="1:8">
      <c r="A351" s="688" t="s">
        <v>924</v>
      </c>
      <c r="B351" s="687"/>
      <c r="C351" s="687"/>
      <c r="D351" s="687"/>
      <c r="E351" s="687"/>
      <c r="F351" s="687"/>
      <c r="G351" s="687"/>
      <c r="H351" s="687"/>
    </row>
    <row r="352" spans="1:8">
      <c r="A352" s="688" t="s">
        <v>925</v>
      </c>
      <c r="B352" s="687"/>
      <c r="C352" s="687"/>
      <c r="D352" s="687"/>
      <c r="E352" s="687"/>
      <c r="F352" s="687"/>
      <c r="G352" s="687"/>
      <c r="H352" s="687"/>
    </row>
    <row r="353" spans="1:8">
      <c r="A353" s="688" t="s">
        <v>926</v>
      </c>
      <c r="B353" s="687"/>
      <c r="C353" s="687"/>
      <c r="D353" s="687"/>
      <c r="E353" s="687"/>
      <c r="F353" s="687"/>
      <c r="G353" s="687"/>
      <c r="H353" s="687"/>
    </row>
    <row r="354" spans="1:8">
      <c r="A354" s="688" t="s">
        <v>927</v>
      </c>
      <c r="B354" s="687"/>
      <c r="C354" s="687"/>
      <c r="D354" s="687"/>
      <c r="E354" s="687"/>
      <c r="F354" s="687"/>
      <c r="G354" s="687"/>
      <c r="H354" s="687"/>
    </row>
    <row r="355" spans="1:8">
      <c r="A355" s="688" t="s">
        <v>928</v>
      </c>
      <c r="B355" s="687"/>
      <c r="C355" s="687"/>
      <c r="D355" s="687"/>
      <c r="E355" s="687"/>
      <c r="F355" s="687"/>
      <c r="G355" s="687"/>
      <c r="H355" s="687"/>
    </row>
    <row r="356" spans="1:8">
      <c r="A356" s="688" t="s">
        <v>929</v>
      </c>
      <c r="B356" s="687"/>
      <c r="C356" s="687"/>
      <c r="D356" s="687"/>
      <c r="E356" s="687"/>
      <c r="F356" s="687"/>
      <c r="G356" s="687"/>
      <c r="H356" s="687"/>
    </row>
    <row r="357" spans="1:8">
      <c r="A357" s="688" t="s">
        <v>930</v>
      </c>
      <c r="B357" s="687"/>
      <c r="C357" s="687"/>
      <c r="D357" s="687"/>
      <c r="E357" s="687"/>
      <c r="F357" s="687"/>
      <c r="G357" s="687"/>
      <c r="H357" s="687"/>
    </row>
    <row r="358" spans="1:8">
      <c r="A358" s="688" t="s">
        <v>931</v>
      </c>
      <c r="B358" s="687"/>
      <c r="C358" s="687"/>
      <c r="D358" s="687"/>
      <c r="E358" s="687"/>
      <c r="F358" s="687"/>
      <c r="G358" s="687"/>
      <c r="H358" s="687"/>
    </row>
    <row r="359" spans="1:8">
      <c r="A359" s="688" t="s">
        <v>932</v>
      </c>
      <c r="B359" s="687"/>
      <c r="C359" s="687"/>
      <c r="D359" s="687"/>
      <c r="E359" s="687"/>
      <c r="F359" s="687"/>
      <c r="G359" s="687"/>
      <c r="H359" s="687"/>
    </row>
    <row r="360" spans="1:8">
      <c r="A360" s="688" t="s">
        <v>933</v>
      </c>
      <c r="B360" s="687"/>
      <c r="C360" s="687"/>
      <c r="D360" s="687"/>
      <c r="E360" s="687"/>
      <c r="F360" s="687"/>
      <c r="G360" s="687"/>
      <c r="H360" s="687"/>
    </row>
    <row r="361" spans="1:8">
      <c r="A361" s="688" t="s">
        <v>934</v>
      </c>
      <c r="B361" s="687"/>
      <c r="C361" s="687"/>
      <c r="D361" s="687"/>
      <c r="E361" s="687"/>
      <c r="F361" s="687"/>
      <c r="G361" s="687"/>
      <c r="H361" s="687"/>
    </row>
    <row r="362" spans="1:8">
      <c r="A362" s="688" t="s">
        <v>935</v>
      </c>
      <c r="B362" s="687"/>
      <c r="C362" s="687"/>
      <c r="D362" s="687"/>
      <c r="E362" s="687"/>
      <c r="F362" s="687"/>
      <c r="G362" s="687"/>
      <c r="H362" s="687"/>
    </row>
    <row r="363" spans="1:8">
      <c r="A363" s="688" t="s">
        <v>936</v>
      </c>
      <c r="B363" s="687"/>
      <c r="C363" s="687"/>
      <c r="D363" s="687"/>
      <c r="E363" s="687"/>
      <c r="F363" s="687"/>
      <c r="G363" s="687"/>
      <c r="H363" s="687"/>
    </row>
    <row r="364" spans="1:8">
      <c r="A364" s="688" t="s">
        <v>937</v>
      </c>
      <c r="B364" s="687"/>
      <c r="C364" s="687"/>
      <c r="D364" s="687"/>
      <c r="E364" s="687"/>
      <c r="F364" s="687"/>
      <c r="G364" s="687"/>
      <c r="H364" s="687"/>
    </row>
    <row r="365" spans="1:8">
      <c r="A365" s="688" t="s">
        <v>938</v>
      </c>
      <c r="B365" s="687"/>
      <c r="C365" s="687"/>
      <c r="D365" s="687"/>
      <c r="E365" s="687"/>
      <c r="F365" s="687"/>
      <c r="G365" s="687"/>
      <c r="H365" s="687"/>
    </row>
    <row r="366" spans="1:8">
      <c r="A366" s="688" t="s">
        <v>939</v>
      </c>
      <c r="B366" s="687"/>
      <c r="C366" s="687"/>
      <c r="D366" s="687"/>
      <c r="E366" s="687"/>
      <c r="F366" s="687"/>
      <c r="G366" s="687"/>
      <c r="H366" s="687"/>
    </row>
    <row r="367" spans="1:8">
      <c r="A367" s="688" t="s">
        <v>940</v>
      </c>
      <c r="B367" s="687"/>
      <c r="C367" s="687"/>
      <c r="D367" s="687"/>
      <c r="E367" s="687"/>
      <c r="F367" s="687"/>
      <c r="G367" s="687"/>
      <c r="H367" s="687"/>
    </row>
    <row r="368" spans="1:8">
      <c r="A368" s="688" t="s">
        <v>941</v>
      </c>
      <c r="B368" s="687"/>
      <c r="C368" s="687"/>
      <c r="D368" s="687"/>
      <c r="E368" s="687"/>
      <c r="F368" s="687"/>
      <c r="G368" s="687"/>
      <c r="H368" s="687"/>
    </row>
    <row r="369" spans="1:8">
      <c r="A369" s="688" t="s">
        <v>942</v>
      </c>
      <c r="B369" s="687"/>
      <c r="C369" s="687"/>
      <c r="D369" s="687"/>
      <c r="E369" s="687"/>
      <c r="F369" s="687"/>
      <c r="G369" s="687"/>
      <c r="H369" s="687"/>
    </row>
    <row r="370" spans="1:8">
      <c r="A370" s="688" t="s">
        <v>943</v>
      </c>
      <c r="B370" s="687"/>
      <c r="C370" s="687"/>
      <c r="D370" s="687"/>
      <c r="E370" s="687"/>
      <c r="F370" s="687"/>
      <c r="G370" s="687"/>
      <c r="H370" s="687"/>
    </row>
    <row r="371" spans="1:8">
      <c r="A371" s="688" t="s">
        <v>944</v>
      </c>
      <c r="B371" s="687"/>
      <c r="C371" s="687"/>
      <c r="D371" s="687"/>
      <c r="E371" s="687"/>
      <c r="F371" s="687"/>
      <c r="G371" s="687"/>
      <c r="H371" s="687"/>
    </row>
    <row r="372" spans="1:8">
      <c r="A372" s="688" t="s">
        <v>945</v>
      </c>
      <c r="B372" s="687"/>
      <c r="C372" s="687"/>
      <c r="D372" s="687"/>
      <c r="E372" s="687"/>
      <c r="F372" s="687"/>
      <c r="G372" s="687"/>
      <c r="H372" s="687"/>
    </row>
    <row r="373" spans="1:8">
      <c r="A373" s="688" t="s">
        <v>946</v>
      </c>
      <c r="B373" s="687"/>
      <c r="C373" s="687"/>
      <c r="D373" s="687"/>
      <c r="E373" s="687"/>
      <c r="F373" s="687"/>
      <c r="G373" s="687"/>
      <c r="H373" s="687"/>
    </row>
    <row r="374" spans="1:8">
      <c r="A374" s="688" t="s">
        <v>947</v>
      </c>
      <c r="B374" s="687"/>
      <c r="C374" s="687"/>
      <c r="D374" s="687"/>
      <c r="E374" s="687"/>
      <c r="F374" s="687"/>
      <c r="G374" s="687"/>
      <c r="H374" s="687"/>
    </row>
    <row r="375" spans="1:8">
      <c r="A375" s="688" t="s">
        <v>948</v>
      </c>
      <c r="B375" s="687"/>
      <c r="C375" s="687"/>
      <c r="D375" s="687"/>
      <c r="E375" s="687"/>
      <c r="F375" s="687"/>
      <c r="G375" s="687"/>
      <c r="H375" s="687"/>
    </row>
    <row r="376" spans="1:8">
      <c r="A376" s="688" t="s">
        <v>949</v>
      </c>
      <c r="B376" s="687"/>
      <c r="C376" s="687"/>
      <c r="D376" s="687"/>
      <c r="E376" s="687"/>
      <c r="F376" s="687"/>
      <c r="G376" s="687"/>
      <c r="H376" s="687"/>
    </row>
    <row r="377" spans="1:8">
      <c r="A377" s="688" t="s">
        <v>950</v>
      </c>
      <c r="B377" s="687"/>
      <c r="C377" s="687"/>
      <c r="D377" s="687"/>
      <c r="E377" s="687"/>
      <c r="F377" s="687"/>
      <c r="G377" s="687"/>
      <c r="H377" s="687"/>
    </row>
    <row r="378" spans="1:8">
      <c r="A378" s="688" t="s">
        <v>951</v>
      </c>
      <c r="B378" s="687"/>
      <c r="C378" s="687"/>
      <c r="D378" s="687"/>
      <c r="E378" s="687"/>
      <c r="F378" s="687"/>
      <c r="G378" s="687"/>
      <c r="H378" s="687"/>
    </row>
    <row r="379" spans="1:8">
      <c r="A379" s="688" t="s">
        <v>952</v>
      </c>
      <c r="B379" s="687"/>
      <c r="C379" s="687"/>
      <c r="D379" s="687"/>
      <c r="E379" s="687"/>
      <c r="F379" s="687"/>
      <c r="G379" s="687"/>
      <c r="H379" s="687"/>
    </row>
    <row r="380" spans="1:8">
      <c r="A380" s="688" t="s">
        <v>953</v>
      </c>
      <c r="B380" s="687"/>
      <c r="C380" s="687"/>
      <c r="D380" s="687"/>
      <c r="E380" s="687"/>
      <c r="F380" s="687"/>
      <c r="G380" s="687"/>
      <c r="H380" s="687"/>
    </row>
    <row r="381" spans="1:8">
      <c r="A381" s="688" t="s">
        <v>954</v>
      </c>
      <c r="B381" s="687"/>
      <c r="C381" s="687"/>
      <c r="D381" s="687"/>
      <c r="E381" s="687"/>
      <c r="F381" s="687"/>
      <c r="G381" s="687"/>
      <c r="H381" s="687"/>
    </row>
    <row r="382" spans="1:8">
      <c r="A382" s="687"/>
      <c r="B382" s="687"/>
      <c r="C382" s="687"/>
      <c r="D382" s="687"/>
      <c r="E382" s="687"/>
      <c r="F382" s="687"/>
      <c r="G382" s="687"/>
      <c r="H382" s="687"/>
    </row>
    <row r="383" spans="1:8">
      <c r="A383" s="688" t="s">
        <v>912</v>
      </c>
      <c r="B383" s="687"/>
      <c r="C383" s="687"/>
      <c r="D383" s="687"/>
      <c r="E383" s="687"/>
      <c r="F383" s="687"/>
      <c r="G383" s="687"/>
      <c r="H383" s="687"/>
    </row>
    <row r="384" spans="1:8">
      <c r="A384" s="688" t="s">
        <v>916</v>
      </c>
      <c r="B384" s="687"/>
      <c r="C384" s="687"/>
      <c r="D384" s="687"/>
      <c r="E384" s="687"/>
      <c r="F384" s="687"/>
      <c r="G384" s="687"/>
      <c r="H384" s="687"/>
    </row>
    <row r="385" spans="1:8">
      <c r="A385" s="688" t="s">
        <v>917</v>
      </c>
      <c r="B385" s="687"/>
      <c r="C385" s="687"/>
      <c r="D385" s="687"/>
      <c r="E385" s="687"/>
      <c r="F385" s="687"/>
      <c r="G385" s="687"/>
      <c r="H385" s="687"/>
    </row>
    <row r="386" spans="1:8">
      <c r="A386" s="688" t="s">
        <v>918</v>
      </c>
      <c r="B386" s="687"/>
      <c r="C386" s="687"/>
      <c r="D386" s="687"/>
      <c r="E386" s="687"/>
      <c r="F386" s="687"/>
      <c r="G386" s="687"/>
      <c r="H386" s="687"/>
    </row>
    <row r="387" spans="1:8">
      <c r="A387" s="688" t="s">
        <v>919</v>
      </c>
      <c r="B387" s="687"/>
      <c r="C387" s="687"/>
      <c r="D387" s="687"/>
      <c r="E387" s="687"/>
      <c r="F387" s="687"/>
      <c r="G387" s="687"/>
      <c r="H387" s="687"/>
    </row>
    <row r="388" spans="1:8">
      <c r="A388" s="687"/>
      <c r="B388" s="687"/>
      <c r="C388" s="687"/>
      <c r="D388" s="687"/>
      <c r="E388" s="687"/>
      <c r="F388" s="687"/>
      <c r="G388" s="687"/>
      <c r="H388" s="687"/>
    </row>
    <row r="389" spans="1:8">
      <c r="A389" s="688" t="s">
        <v>912</v>
      </c>
      <c r="B389" s="687"/>
      <c r="C389" s="687"/>
      <c r="D389" s="687"/>
      <c r="E389" s="687"/>
      <c r="F389" s="687"/>
      <c r="G389" s="687"/>
      <c r="H389" s="687"/>
    </row>
    <row r="390" spans="1:8">
      <c r="A390" s="688" t="s">
        <v>913</v>
      </c>
      <c r="B390" s="687"/>
      <c r="C390" s="687"/>
      <c r="D390" s="687"/>
      <c r="E390" s="687"/>
      <c r="F390" s="687"/>
      <c r="G390" s="687"/>
      <c r="H390" s="687"/>
    </row>
    <row r="391" spans="1:8">
      <c r="A391" s="688" t="s">
        <v>914</v>
      </c>
      <c r="B391" s="687"/>
      <c r="C391" s="687"/>
      <c r="D391" s="687"/>
      <c r="E391" s="687"/>
      <c r="F391" s="687"/>
      <c r="G391" s="687"/>
      <c r="H391" s="687"/>
    </row>
    <row r="392" spans="1:8">
      <c r="A392" s="688" t="s">
        <v>915</v>
      </c>
      <c r="B392" s="687"/>
      <c r="C392" s="687"/>
      <c r="D392" s="687"/>
      <c r="E392" s="687"/>
      <c r="F392" s="687"/>
      <c r="G392" s="687"/>
      <c r="H392" s="687"/>
    </row>
    <row r="393" spans="1:8">
      <c r="A393" s="687"/>
      <c r="B393" s="687"/>
      <c r="C393" s="687"/>
      <c r="D393" s="687"/>
      <c r="E393" s="687"/>
      <c r="F393" s="687"/>
      <c r="G393" s="687"/>
      <c r="H393" s="687"/>
    </row>
    <row r="394" spans="1:8">
      <c r="A394" s="688" t="s">
        <v>906</v>
      </c>
      <c r="B394" s="687"/>
      <c r="C394" s="687"/>
      <c r="D394" s="687"/>
      <c r="E394" s="687"/>
      <c r="F394" s="687"/>
      <c r="G394" s="687"/>
      <c r="H394" s="687"/>
    </row>
    <row r="395" spans="1:8">
      <c r="A395" s="688" t="s">
        <v>907</v>
      </c>
      <c r="B395" s="687"/>
      <c r="C395" s="687"/>
      <c r="D395" s="687"/>
      <c r="E395" s="687"/>
      <c r="F395" s="687"/>
      <c r="G395" s="687"/>
      <c r="H395" s="687"/>
    </row>
    <row r="396" spans="1:8">
      <c r="A396" s="688" t="s">
        <v>908</v>
      </c>
      <c r="B396" s="687"/>
      <c r="C396" s="687"/>
      <c r="D396" s="687"/>
      <c r="E396" s="687"/>
      <c r="F396" s="687"/>
      <c r="G396" s="687"/>
      <c r="H396" s="687"/>
    </row>
    <row r="397" spans="1:8">
      <c r="A397" s="688" t="s">
        <v>909</v>
      </c>
      <c r="B397" s="687"/>
      <c r="C397" s="687"/>
      <c r="D397" s="687"/>
      <c r="E397" s="687"/>
      <c r="F397" s="687"/>
      <c r="G397" s="687"/>
      <c r="H397" s="687"/>
    </row>
    <row r="398" spans="1:8">
      <c r="A398" s="688" t="s">
        <v>910</v>
      </c>
      <c r="B398" s="687"/>
      <c r="C398" s="687"/>
      <c r="D398" s="687"/>
      <c r="E398" s="687"/>
      <c r="F398" s="687"/>
      <c r="G398" s="687"/>
      <c r="H398" s="687"/>
    </row>
    <row r="399" spans="1:8">
      <c r="A399" s="688" t="s">
        <v>911</v>
      </c>
      <c r="B399" s="687"/>
      <c r="C399" s="687"/>
      <c r="D399" s="687"/>
      <c r="E399" s="687"/>
      <c r="F399" s="687"/>
      <c r="G399" s="687"/>
      <c r="H399" s="687"/>
    </row>
    <row r="400" spans="1:8">
      <c r="A400" s="687"/>
      <c r="B400" s="687"/>
      <c r="C400" s="687"/>
      <c r="D400" s="687"/>
      <c r="E400" s="687"/>
      <c r="F400" s="687"/>
      <c r="G400" s="687"/>
      <c r="H400" s="687"/>
    </row>
    <row r="401" spans="1:8">
      <c r="A401" s="688" t="s">
        <v>901</v>
      </c>
      <c r="B401" s="687"/>
      <c r="C401" s="687"/>
      <c r="D401" s="687"/>
      <c r="E401" s="687"/>
      <c r="F401" s="687"/>
      <c r="G401" s="687"/>
      <c r="H401" s="687"/>
    </row>
    <row r="402" spans="1:8">
      <c r="A402" s="688" t="s">
        <v>902</v>
      </c>
      <c r="B402" s="687"/>
      <c r="C402" s="687"/>
      <c r="D402" s="687"/>
      <c r="E402" s="687"/>
      <c r="F402" s="687"/>
      <c r="G402" s="687"/>
      <c r="H402" s="687"/>
    </row>
    <row r="403" spans="1:8">
      <c r="A403" s="688" t="s">
        <v>903</v>
      </c>
      <c r="B403" s="687"/>
      <c r="C403" s="687"/>
      <c r="D403" s="687"/>
      <c r="E403" s="687"/>
      <c r="F403" s="687"/>
      <c r="G403" s="687"/>
      <c r="H403" s="687"/>
    </row>
    <row r="404" spans="1:8">
      <c r="A404" s="688" t="s">
        <v>904</v>
      </c>
      <c r="B404" s="687"/>
      <c r="C404" s="687"/>
      <c r="D404" s="687"/>
      <c r="E404" s="687"/>
      <c r="F404" s="687"/>
      <c r="G404" s="687"/>
      <c r="H404" s="687"/>
    </row>
    <row r="405" spans="1:8">
      <c r="A405" s="688" t="s">
        <v>905</v>
      </c>
      <c r="B405" s="687"/>
      <c r="C405" s="687"/>
      <c r="D405" s="687"/>
      <c r="E405" s="687"/>
      <c r="F405" s="687"/>
      <c r="G405" s="687"/>
      <c r="H405" s="687"/>
    </row>
    <row r="406" spans="1:8">
      <c r="A406" s="687"/>
      <c r="B406" s="687"/>
      <c r="C406" s="687"/>
      <c r="D406" s="687"/>
      <c r="E406" s="687"/>
      <c r="F406" s="687"/>
      <c r="G406" s="687"/>
      <c r="H406" s="687"/>
    </row>
    <row r="407" spans="1:8">
      <c r="A407" s="688" t="s">
        <v>899</v>
      </c>
      <c r="B407" s="687"/>
      <c r="C407" s="687"/>
      <c r="D407" s="687"/>
      <c r="E407" s="687"/>
      <c r="F407" s="687"/>
      <c r="G407" s="687"/>
      <c r="H407" s="687"/>
    </row>
    <row r="408" spans="1:8">
      <c r="A408" s="688" t="s">
        <v>900</v>
      </c>
      <c r="B408" s="687"/>
      <c r="C408" s="687"/>
      <c r="D408" s="687"/>
      <c r="E408" s="687"/>
      <c r="F408" s="687"/>
      <c r="G408" s="687"/>
      <c r="H408" s="687"/>
    </row>
    <row r="410" spans="1:8">
      <c r="A410" s="683" t="s">
        <v>1172</v>
      </c>
    </row>
  </sheetData>
  <mergeCells count="12">
    <mergeCell ref="A130:H130"/>
    <mergeCell ref="A137:H137"/>
    <mergeCell ref="A124:H124"/>
    <mergeCell ref="A125:H125"/>
    <mergeCell ref="A126:H126"/>
    <mergeCell ref="A127:H127"/>
    <mergeCell ref="A129:H129"/>
    <mergeCell ref="A145:H145"/>
    <mergeCell ref="A146:H146"/>
    <mergeCell ref="B138:C138"/>
    <mergeCell ref="D138:F138"/>
    <mergeCell ref="G138:H13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/>
  </sheetPr>
  <dimension ref="A1:CL245"/>
  <sheetViews>
    <sheetView showGridLines="0" zoomScale="80" zoomScaleNormal="80" workbookViewId="0">
      <pane xSplit="2" ySplit="6" topLeftCell="G244" activePane="bottomRight" state="frozen"/>
      <selection pane="topRight" activeCell="C1" sqref="C1"/>
      <selection pane="bottomLeft" activeCell="A7" sqref="A7"/>
      <selection pane="bottomRight" activeCell="G7" sqref="G7"/>
    </sheetView>
  </sheetViews>
  <sheetFormatPr defaultRowHeight="15" outlineLevelRow="1" outlineLevelCol="1"/>
  <cols>
    <col min="1" max="1" width="9.140625" style="39"/>
    <col min="2" max="2" width="30" style="39" bestFit="1" customWidth="1"/>
    <col min="3" max="6" width="10.140625" style="39" hidden="1" customWidth="1" outlineLevel="1"/>
    <col min="7" max="7" width="10.140625" style="234" customWidth="1" collapsed="1"/>
    <col min="8" max="9" width="10.140625" style="234" customWidth="1"/>
    <col min="10" max="12" width="10.140625" style="39" customWidth="1"/>
    <col min="13" max="19" width="10.140625" style="39" hidden="1" customWidth="1" outlineLevel="1"/>
    <col min="20" max="20" width="9.140625" style="39" collapsed="1"/>
    <col min="21" max="22" width="9.140625" style="39"/>
    <col min="23" max="30" width="9.42578125" style="39" hidden="1" customWidth="1" outlineLevel="1"/>
    <col min="31" max="31" width="10.28515625" style="39" hidden="1" customWidth="1" outlineLevel="1"/>
    <col min="32" max="32" width="10.7109375" style="39" hidden="1" customWidth="1" outlineLevel="1"/>
    <col min="33" max="34" width="10.28515625" style="39" hidden="1" customWidth="1" outlineLevel="1"/>
    <col min="35" max="35" width="9.42578125" style="39" customWidth="1" collapsed="1"/>
    <col min="36" max="38" width="10.42578125" style="39" customWidth="1"/>
    <col min="39" max="39" width="9.42578125" style="39" customWidth="1"/>
    <col min="40" max="50" width="10.42578125" style="39" customWidth="1"/>
    <col min="51" max="51" width="4.85546875" style="12" customWidth="1"/>
    <col min="52" max="52" width="9.7109375" style="12" customWidth="1"/>
    <col min="53" max="16384" width="9.140625" style="39"/>
  </cols>
  <sheetData>
    <row r="1" spans="1:61">
      <c r="B1" s="640">
        <f ca="1">Valuation!T19</f>
        <v>43.709581881412824</v>
      </c>
      <c r="I1" s="178"/>
      <c r="J1" s="178"/>
      <c r="K1" s="178"/>
      <c r="L1" s="178"/>
    </row>
    <row r="2" spans="1:61">
      <c r="I2" s="239"/>
      <c r="AM2" s="23"/>
    </row>
    <row r="3" spans="1:61">
      <c r="A3" s="302" t="s">
        <v>672</v>
      </c>
      <c r="H3" s="502"/>
      <c r="I3" s="503"/>
      <c r="J3" s="503"/>
      <c r="K3" s="503"/>
      <c r="L3" s="503"/>
      <c r="M3" s="503"/>
      <c r="N3" s="503"/>
      <c r="O3" s="503"/>
      <c r="P3" s="503"/>
      <c r="Q3" s="503"/>
      <c r="R3" s="503"/>
      <c r="S3" s="503"/>
      <c r="AM3" s="23"/>
    </row>
    <row r="4" spans="1:61">
      <c r="A4" s="302" t="s">
        <v>673</v>
      </c>
      <c r="H4" s="502"/>
      <c r="I4" s="504"/>
      <c r="J4" s="504"/>
      <c r="K4" s="504"/>
      <c r="L4" s="504"/>
      <c r="M4" s="504"/>
      <c r="N4" s="504"/>
      <c r="O4" s="504"/>
      <c r="P4" s="504"/>
      <c r="Q4" s="504"/>
      <c r="R4" s="504"/>
      <c r="S4" s="504"/>
      <c r="AM4" s="236"/>
    </row>
    <row r="5" spans="1:61" s="6" customFormat="1">
      <c r="A5" s="237" t="s">
        <v>144</v>
      </c>
      <c r="B5" s="506"/>
      <c r="C5" s="507" t="str">
        <f>+"FY"&amp;RIGHT(YEAR(C6),2)</f>
        <v>FY11</v>
      </c>
      <c r="D5" s="507" t="str">
        <f>+"FY"&amp;RIGHT(YEAR(D6),2)</f>
        <v>FY12</v>
      </c>
      <c r="E5" s="507" t="s">
        <v>4</v>
      </c>
      <c r="F5" s="507" t="s">
        <v>9</v>
      </c>
      <c r="G5" s="507" t="s">
        <v>284</v>
      </c>
      <c r="H5" s="507" t="str">
        <f>+"FY"&amp;RIGHT(YEAR(H6),2)</f>
        <v>FY16</v>
      </c>
      <c r="I5" s="507" t="str">
        <f>+"FY"&amp;RIGHT(YEAR(I6),2)&amp;""</f>
        <v>FY17</v>
      </c>
      <c r="J5" s="507" t="str">
        <f t="shared" ref="J5:S5" si="0">+"FY"&amp;RIGHT(YEAR(J6),2)&amp;"F"</f>
        <v>FY18F</v>
      </c>
      <c r="K5" s="507" t="str">
        <f t="shared" si="0"/>
        <v>FY19F</v>
      </c>
      <c r="L5" s="507" t="str">
        <f t="shared" si="0"/>
        <v>FY20F</v>
      </c>
      <c r="M5" s="507" t="str">
        <f t="shared" si="0"/>
        <v>FY21F</v>
      </c>
      <c r="N5" s="507" t="str">
        <f t="shared" si="0"/>
        <v>FY22F</v>
      </c>
      <c r="O5" s="507" t="str">
        <f t="shared" si="0"/>
        <v>FY23F</v>
      </c>
      <c r="P5" s="507" t="str">
        <f t="shared" si="0"/>
        <v>FY24F</v>
      </c>
      <c r="Q5" s="507" t="str">
        <f t="shared" si="0"/>
        <v>FY25F</v>
      </c>
      <c r="R5" s="507" t="str">
        <f t="shared" si="0"/>
        <v>FY26F</v>
      </c>
      <c r="S5" s="507" t="str">
        <f t="shared" si="0"/>
        <v>FY27F</v>
      </c>
      <c r="U5" s="84" t="s">
        <v>845</v>
      </c>
      <c r="V5" s="84"/>
      <c r="W5" s="507" t="s">
        <v>0</v>
      </c>
      <c r="X5" s="507" t="s">
        <v>1</v>
      </c>
      <c r="Y5" s="507" t="s">
        <v>2</v>
      </c>
      <c r="Z5" s="507" t="s">
        <v>3</v>
      </c>
      <c r="AA5" s="507" t="s">
        <v>5</v>
      </c>
      <c r="AB5" s="507" t="s">
        <v>6</v>
      </c>
      <c r="AC5" s="507" t="s">
        <v>7</v>
      </c>
      <c r="AD5" s="507" t="s">
        <v>8</v>
      </c>
      <c r="AE5" s="507" t="s">
        <v>10</v>
      </c>
      <c r="AF5" s="507" t="s">
        <v>499</v>
      </c>
      <c r="AG5" s="507" t="s">
        <v>501</v>
      </c>
      <c r="AH5" s="507" t="s">
        <v>533</v>
      </c>
      <c r="AI5" s="507" t="s">
        <v>551</v>
      </c>
      <c r="AJ5" s="507" t="s">
        <v>552</v>
      </c>
      <c r="AK5" s="507" t="s">
        <v>553</v>
      </c>
      <c r="AL5" s="507" t="s">
        <v>554</v>
      </c>
      <c r="AM5" s="507" t="s">
        <v>555</v>
      </c>
      <c r="AN5" s="507" t="s">
        <v>556</v>
      </c>
      <c r="AO5" s="507" t="s">
        <v>557</v>
      </c>
      <c r="AP5" s="507" t="s">
        <v>558</v>
      </c>
      <c r="AQ5" s="507" t="s">
        <v>731</v>
      </c>
      <c r="AR5" s="507" t="s">
        <v>732</v>
      </c>
      <c r="AS5" s="507" t="s">
        <v>733</v>
      </c>
      <c r="AT5" s="507" t="s">
        <v>734</v>
      </c>
      <c r="AU5" s="507" t="s">
        <v>838</v>
      </c>
      <c r="AV5" s="507" t="s">
        <v>839</v>
      </c>
      <c r="AW5" s="507" t="s">
        <v>840</v>
      </c>
      <c r="AX5" s="507" t="s">
        <v>841</v>
      </c>
      <c r="AY5" s="4"/>
      <c r="AZ5" s="4"/>
      <c r="BD5" s="7"/>
      <c r="BE5" s="7"/>
      <c r="BF5" s="7"/>
      <c r="BG5" s="7"/>
      <c r="BH5" s="7"/>
      <c r="BI5" s="7"/>
    </row>
    <row r="6" spans="1:61" s="6" customFormat="1">
      <c r="A6" s="237"/>
      <c r="B6" s="508" t="s">
        <v>11</v>
      </c>
      <c r="C6" s="509">
        <f>+EOMONTH(D6,-12)</f>
        <v>40908</v>
      </c>
      <c r="D6" s="509">
        <f>+EOMONTH(E6,-12)</f>
        <v>41274</v>
      </c>
      <c r="E6" s="509">
        <f>+Z6</f>
        <v>41639</v>
      </c>
      <c r="F6" s="509">
        <f>+AD6</f>
        <v>42004</v>
      </c>
      <c r="G6" s="509">
        <f>+EOMONTH(F6,12)</f>
        <v>42369</v>
      </c>
      <c r="H6" s="509">
        <f>+EOMONTH(G6,12)</f>
        <v>42735</v>
      </c>
      <c r="I6" s="509">
        <f>+EOMONTH(H6,12)</f>
        <v>43100</v>
      </c>
      <c r="J6" s="509">
        <f t="shared" ref="J6:S6" si="1">+EOMONTH(I6,12)</f>
        <v>43465</v>
      </c>
      <c r="K6" s="509">
        <f t="shared" si="1"/>
        <v>43830</v>
      </c>
      <c r="L6" s="509">
        <f t="shared" si="1"/>
        <v>44196</v>
      </c>
      <c r="M6" s="509">
        <f t="shared" si="1"/>
        <v>44561</v>
      </c>
      <c r="N6" s="509">
        <f t="shared" si="1"/>
        <v>44926</v>
      </c>
      <c r="O6" s="509">
        <f t="shared" si="1"/>
        <v>45291</v>
      </c>
      <c r="P6" s="509">
        <f t="shared" si="1"/>
        <v>45657</v>
      </c>
      <c r="Q6" s="509">
        <f t="shared" si="1"/>
        <v>46022</v>
      </c>
      <c r="R6" s="509">
        <f t="shared" si="1"/>
        <v>46387</v>
      </c>
      <c r="S6" s="509">
        <f t="shared" si="1"/>
        <v>46752</v>
      </c>
      <c r="W6" s="509">
        <v>41364</v>
      </c>
      <c r="X6" s="509">
        <f>+EOMONTH(W6,3)</f>
        <v>41455</v>
      </c>
      <c r="Y6" s="509">
        <f t="shared" ref="Y6:AD6" si="2">+EOMONTH(X6,3)</f>
        <v>41547</v>
      </c>
      <c r="Z6" s="509">
        <f>+EOMONTH(Y6,3)</f>
        <v>41639</v>
      </c>
      <c r="AA6" s="509">
        <f>+EOMONTH(E6,3)</f>
        <v>41729</v>
      </c>
      <c r="AB6" s="509">
        <f t="shared" si="2"/>
        <v>41820</v>
      </c>
      <c r="AC6" s="509">
        <f t="shared" si="2"/>
        <v>41912</v>
      </c>
      <c r="AD6" s="509">
        <f t="shared" si="2"/>
        <v>42004</v>
      </c>
      <c r="AE6" s="509">
        <f>+EOMONTH(F6,3)</f>
        <v>42094</v>
      </c>
      <c r="AF6" s="509">
        <f>+EOMONTH(AE6,3)</f>
        <v>42185</v>
      </c>
      <c r="AG6" s="509">
        <f>+EOMONTH(AF6,3)</f>
        <v>42277</v>
      </c>
      <c r="AH6" s="509">
        <f>+EOMONTH(AG6,3)</f>
        <v>42369</v>
      </c>
      <c r="AI6" s="509">
        <f>+EOMONTH(G6,3)</f>
        <v>42460</v>
      </c>
      <c r="AJ6" s="509">
        <f>+EOMONTH(AI6,3)</f>
        <v>42551</v>
      </c>
      <c r="AK6" s="509">
        <f>+EOMONTH(AJ6,3)</f>
        <v>42643</v>
      </c>
      <c r="AL6" s="509">
        <f>+EOMONTH(AK6,3)</f>
        <v>42735</v>
      </c>
      <c r="AM6" s="509">
        <f>+EOMONTH(H6,3)</f>
        <v>42825</v>
      </c>
      <c r="AN6" s="509">
        <f>+EOMONTH(AM6,3)</f>
        <v>42916</v>
      </c>
      <c r="AO6" s="509">
        <f>+EOMONTH(AN6,3)</f>
        <v>43008</v>
      </c>
      <c r="AP6" s="509">
        <f>+EOMONTH(AO6,3)</f>
        <v>43100</v>
      </c>
      <c r="AQ6" s="509">
        <f>+EOMONTH(I6,3)</f>
        <v>43190</v>
      </c>
      <c r="AR6" s="509">
        <f>+EOMONTH(AQ6,3)</f>
        <v>43281</v>
      </c>
      <c r="AS6" s="509">
        <f>+EOMONTH(AR6,3)</f>
        <v>43373</v>
      </c>
      <c r="AT6" s="509">
        <f>+EOMONTH(AS6,3)</f>
        <v>43465</v>
      </c>
      <c r="AU6" s="509">
        <f>+EOMONTH(J6,3)</f>
        <v>43555</v>
      </c>
      <c r="AV6" s="509">
        <f>+EOMONTH(AU6,3)</f>
        <v>43646</v>
      </c>
      <c r="AW6" s="509">
        <f>+EOMONTH(AV6,3)</f>
        <v>43738</v>
      </c>
      <c r="AX6" s="509">
        <f>+EOMONTH(AW6,3)</f>
        <v>43830</v>
      </c>
      <c r="AY6" s="8"/>
      <c r="AZ6" s="8"/>
      <c r="BD6" s="7"/>
      <c r="BE6" s="7"/>
      <c r="BF6" s="7"/>
      <c r="BG6" s="7"/>
      <c r="BH6" s="7"/>
      <c r="BI6" s="7"/>
    </row>
    <row r="7" spans="1:61">
      <c r="B7" s="94" t="s">
        <v>145</v>
      </c>
      <c r="C7" s="23"/>
      <c r="D7" s="23"/>
      <c r="E7" s="23"/>
      <c r="F7" s="23"/>
      <c r="G7" s="238"/>
      <c r="I7" s="239"/>
      <c r="J7" s="240"/>
      <c r="K7" s="240"/>
      <c r="L7" s="240"/>
      <c r="M7" s="240"/>
      <c r="N7" s="240"/>
      <c r="O7" s="240"/>
      <c r="P7" s="240"/>
      <c r="Q7" s="240"/>
      <c r="R7" s="240"/>
      <c r="S7" s="240"/>
      <c r="U7" s="241"/>
      <c r="V7" s="241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5"/>
      <c r="AZ7" s="5"/>
    </row>
    <row r="8" spans="1:61" outlineLevel="1">
      <c r="A8" s="242" t="s">
        <v>477</v>
      </c>
      <c r="B8" s="116" t="s">
        <v>146</v>
      </c>
      <c r="C8" s="243">
        <f t="shared" ref="C8:I8" si="3">VLOOKUP($A8,CTRP,MATCH(C$5,Period_CTRP,FALSE),FALSE)</f>
        <v>3726.3041920000001</v>
      </c>
      <c r="D8" s="243">
        <f t="shared" si="3"/>
        <v>4409.192258</v>
      </c>
      <c r="E8" s="243">
        <f t="shared" si="3"/>
        <v>5717.0170619999999</v>
      </c>
      <c r="F8" s="243">
        <f t="shared" si="3"/>
        <v>7772.5571070000005</v>
      </c>
      <c r="G8" s="243">
        <f t="shared" si="3"/>
        <v>11496.946408000002</v>
      </c>
      <c r="H8" s="409">
        <f t="shared" si="3"/>
        <v>19788.086638000001</v>
      </c>
      <c r="I8" s="409">
        <f t="shared" si="3"/>
        <v>26976.985464000001</v>
      </c>
      <c r="J8" s="245">
        <f t="shared" ref="J8:Q8" si="4">J22+J35+J49+J60+J64+J67</f>
        <v>32081.714286594601</v>
      </c>
      <c r="K8" s="245">
        <f t="shared" si="4"/>
        <v>40320.75421913949</v>
      </c>
      <c r="L8" s="245">
        <f t="shared" si="4"/>
        <v>49274.974430367263</v>
      </c>
      <c r="M8" s="245">
        <f t="shared" si="4"/>
        <v>59328.661792231309</v>
      </c>
      <c r="N8" s="245">
        <f t="shared" si="4"/>
        <v>70809.735636213503</v>
      </c>
      <c r="O8" s="245">
        <f t="shared" si="4"/>
        <v>81977.124344715412</v>
      </c>
      <c r="P8" s="245">
        <f t="shared" si="4"/>
        <v>94062.888605265674</v>
      </c>
      <c r="Q8" s="245">
        <f t="shared" si="4"/>
        <v>107086.58752230329</v>
      </c>
      <c r="R8" s="245">
        <f>R22+R35+R49+R60+R64+R67</f>
        <v>120972.72437026131</v>
      </c>
      <c r="S8" s="245">
        <f>S22+S35+S49+S60+S64+S67</f>
        <v>135239.49576495658</v>
      </c>
      <c r="U8" s="510">
        <f>(K8/I8)^(1/2)-1</f>
        <v>0.22255277181555222</v>
      </c>
      <c r="V8" s="246"/>
      <c r="W8" s="243">
        <f t="shared" ref="W8:AL8" si="5">VLOOKUP($A8,CTRP,MATCH(W$5,Period_CTRP,FALSE),FALSE)</f>
        <v>1228.4082539999997</v>
      </c>
      <c r="X8" s="243">
        <f t="shared" si="5"/>
        <v>1320.1503430000002</v>
      </c>
      <c r="Y8" s="243">
        <f t="shared" si="5"/>
        <v>1640.4862189999997</v>
      </c>
      <c r="Z8" s="243">
        <f t="shared" si="5"/>
        <v>1527.972246</v>
      </c>
      <c r="AA8" s="243">
        <f t="shared" si="5"/>
        <v>1673.1728130000001</v>
      </c>
      <c r="AB8" s="243">
        <f t="shared" si="5"/>
        <v>1819.5057940000002</v>
      </c>
      <c r="AC8" s="243">
        <f t="shared" si="5"/>
        <v>2259.4716590000003</v>
      </c>
      <c r="AD8" s="243">
        <f t="shared" si="5"/>
        <v>2020.406841</v>
      </c>
      <c r="AE8" s="244">
        <f t="shared" si="5"/>
        <v>2443.3025599999996</v>
      </c>
      <c r="AF8" s="244">
        <f t="shared" si="5"/>
        <v>2665.4889140000005</v>
      </c>
      <c r="AG8" s="244">
        <f t="shared" si="5"/>
        <v>3355.7686240000003</v>
      </c>
      <c r="AH8" s="244">
        <f t="shared" si="5"/>
        <v>3032.3863099999999</v>
      </c>
      <c r="AI8" s="243">
        <f t="shared" si="5"/>
        <v>4399.1412899999996</v>
      </c>
      <c r="AJ8" s="243">
        <f t="shared" si="5"/>
        <v>4542.3922160000011</v>
      </c>
      <c r="AK8" s="243">
        <f t="shared" si="5"/>
        <v>5667.7947210000002</v>
      </c>
      <c r="AL8" s="243">
        <f t="shared" si="5"/>
        <v>5178.7584109999998</v>
      </c>
      <c r="AM8" s="593">
        <f>VLOOKUP($A8,CTRP,MATCH(AM$5,Period_CTRP,FALSE),FALSE)</f>
        <v>6133.2704119999999</v>
      </c>
      <c r="AN8" s="593">
        <f>VLOOKUP($A8,CTRP,MATCH(AN$5,Period_CTRP,FALSE),FALSE)</f>
        <v>6461.5633499999994</v>
      </c>
      <c r="AO8" s="593">
        <f>VLOOKUP($A8,CTRP,MATCH(AO$5,Period_CTRP,FALSE),FALSE)</f>
        <v>7956.9508729999998</v>
      </c>
      <c r="AP8" s="593">
        <f>VLOOKUP($A8,CTRP,MATCH(AP$5,Period_CTRP,FALSE),FALSE)</f>
        <v>6425.2008290000003</v>
      </c>
      <c r="AQ8" s="245">
        <f t="shared" ref="AQ8:AX8" si="6">AQ22+AQ35+AQ49+AQ60+AQ64+AQ67</f>
        <v>6749.7899048821</v>
      </c>
      <c r="AR8" s="245">
        <f t="shared" si="6"/>
        <v>7544.5447244709994</v>
      </c>
      <c r="AS8" s="245">
        <f t="shared" si="6"/>
        <v>9377.3833008679994</v>
      </c>
      <c r="AT8" s="245">
        <f t="shared" si="6"/>
        <v>8409.9963563734982</v>
      </c>
      <c r="AU8" s="245">
        <f t="shared" si="6"/>
        <v>9177.1915967315072</v>
      </c>
      <c r="AV8" s="245">
        <f t="shared" si="6"/>
        <v>9852.2497890911018</v>
      </c>
      <c r="AW8" s="245">
        <f t="shared" si="6"/>
        <v>11230.66353413145</v>
      </c>
      <c r="AX8" s="245">
        <f t="shared" si="6"/>
        <v>10060.64929918543</v>
      </c>
      <c r="AY8" s="22"/>
      <c r="AZ8" s="22"/>
    </row>
    <row r="9" spans="1:61" outlineLevel="1">
      <c r="A9" s="242"/>
      <c r="B9" s="12" t="s">
        <v>82</v>
      </c>
      <c r="C9" s="23"/>
      <c r="D9" s="322">
        <f>(D8/C8-1)</f>
        <v>0.18326149203441089</v>
      </c>
      <c r="E9" s="322">
        <f t="shared" ref="E9:S9" si="7">(E8/D8-1)</f>
        <v>0.29661324058325955</v>
      </c>
      <c r="F9" s="322">
        <f t="shared" si="7"/>
        <v>0.35954764918628834</v>
      </c>
      <c r="G9" s="322">
        <f t="shared" si="7"/>
        <v>0.47917168696590196</v>
      </c>
      <c r="H9" s="322">
        <f>(H8/G8-1)</f>
        <v>0.72116020513331414</v>
      </c>
      <c r="I9" s="322">
        <f>(I8/H8-1)</f>
        <v>0.36329428698754618</v>
      </c>
      <c r="J9" s="322">
        <f t="shared" si="7"/>
        <v>0.18922532428268202</v>
      </c>
      <c r="K9" s="322">
        <f t="shared" si="7"/>
        <v>0.25681420446997705</v>
      </c>
      <c r="L9" s="322">
        <f t="shared" si="7"/>
        <v>0.22207472019403296</v>
      </c>
      <c r="M9" s="322">
        <f t="shared" si="7"/>
        <v>0.20403232022111695</v>
      </c>
      <c r="N9" s="322">
        <f t="shared" si="7"/>
        <v>0.19351648085690631</v>
      </c>
      <c r="O9" s="322">
        <f t="shared" si="7"/>
        <v>0.15770979241999439</v>
      </c>
      <c r="P9" s="322">
        <f t="shared" si="7"/>
        <v>0.14742849736628227</v>
      </c>
      <c r="Q9" s="322">
        <f t="shared" si="7"/>
        <v>0.13845735667008374</v>
      </c>
      <c r="R9" s="322">
        <f t="shared" si="7"/>
        <v>0.12967204548436939</v>
      </c>
      <c r="S9" s="322">
        <f t="shared" si="7"/>
        <v>0.11793378605766502</v>
      </c>
      <c r="U9" s="246"/>
      <c r="V9" s="246"/>
      <c r="W9" s="322"/>
      <c r="X9" s="322"/>
      <c r="Y9" s="322"/>
      <c r="Z9" s="322"/>
      <c r="AA9" s="322">
        <f>(AA8/W8-1)*1</f>
        <v>0.3620657526125679</v>
      </c>
      <c r="AB9" s="322">
        <f>(AB8/X8-1)*1</f>
        <v>0.37825650210810857</v>
      </c>
      <c r="AC9" s="322">
        <f>(AC8/Y8-1)*1</f>
        <v>0.37731828090413289</v>
      </c>
      <c r="AD9" s="322">
        <f>(AD8/Z8-1)*1</f>
        <v>0.32227980337281603</v>
      </c>
      <c r="AE9" s="322">
        <f>(AE8/AA8-1)</f>
        <v>0.46028105466234304</v>
      </c>
      <c r="AF9" s="322">
        <f t="shared" ref="AF9:AP9" si="8">(AF8/AB8-1)</f>
        <v>0.46495214403257923</v>
      </c>
      <c r="AG9" s="322">
        <f t="shared" si="8"/>
        <v>0.48520058246059183</v>
      </c>
      <c r="AH9" s="322">
        <f t="shared" si="8"/>
        <v>0.50087905488338214</v>
      </c>
      <c r="AI9" s="322">
        <f t="shared" si="8"/>
        <v>0.80048978052067365</v>
      </c>
      <c r="AJ9" s="322">
        <f t="shared" si="8"/>
        <v>0.70414973108381873</v>
      </c>
      <c r="AK9" s="322">
        <f t="shared" si="8"/>
        <v>0.68897065204814889</v>
      </c>
      <c r="AL9" s="322">
        <f t="shared" si="8"/>
        <v>0.70781618223306131</v>
      </c>
      <c r="AM9" s="322">
        <f t="shared" si="8"/>
        <v>0.3941971870605685</v>
      </c>
      <c r="AN9" s="322">
        <f t="shared" si="8"/>
        <v>0.42250229454866561</v>
      </c>
      <c r="AO9" s="322">
        <f t="shared" si="8"/>
        <v>0.40388833129724055</v>
      </c>
      <c r="AP9" s="322">
        <f t="shared" si="8"/>
        <v>0.2406836386405824</v>
      </c>
      <c r="AQ9" s="322">
        <f t="shared" ref="AQ9:AX9" si="9">(AQ8/AM8-1)</f>
        <v>0.10052051376633475</v>
      </c>
      <c r="AR9" s="322">
        <f t="shared" si="9"/>
        <v>0.16760361476158869</v>
      </c>
      <c r="AS9" s="322">
        <f t="shared" si="9"/>
        <v>0.1785146660497674</v>
      </c>
      <c r="AT9" s="322">
        <f t="shared" si="9"/>
        <v>0.3089079361403253</v>
      </c>
      <c r="AU9" s="322">
        <f t="shared" si="9"/>
        <v>0.35962625889935862</v>
      </c>
      <c r="AV9" s="322">
        <f t="shared" si="9"/>
        <v>0.30587731253484107</v>
      </c>
      <c r="AW9" s="322">
        <f t="shared" si="9"/>
        <v>0.19763298286974207</v>
      </c>
      <c r="AX9" s="322">
        <f t="shared" si="9"/>
        <v>0.19627272984024402</v>
      </c>
      <c r="AY9" s="5"/>
      <c r="AZ9" s="5"/>
    </row>
    <row r="10" spans="1:61" outlineLevel="1">
      <c r="A10" s="242"/>
      <c r="B10" s="12" t="s">
        <v>83</v>
      </c>
      <c r="C10" s="23"/>
      <c r="D10" s="23"/>
      <c r="E10" s="23"/>
      <c r="F10" s="23"/>
      <c r="G10" s="23"/>
      <c r="H10" s="410"/>
      <c r="I10" s="410"/>
      <c r="J10" s="23"/>
      <c r="K10" s="23"/>
      <c r="L10" s="23"/>
      <c r="M10" s="23"/>
      <c r="N10" s="23"/>
      <c r="O10" s="23"/>
      <c r="P10" s="23"/>
      <c r="Q10" s="23"/>
      <c r="R10" s="23"/>
      <c r="S10" s="23"/>
      <c r="U10" s="246"/>
      <c r="V10" s="246"/>
      <c r="W10" s="322"/>
      <c r="X10" s="322">
        <f t="shared" ref="X10:AD10" si="10">(X8/W8-1)*1</f>
        <v>7.4683712602276797E-2</v>
      </c>
      <c r="Y10" s="322">
        <f t="shared" si="10"/>
        <v>0.24265105690314503</v>
      </c>
      <c r="Z10" s="322">
        <f t="shared" si="10"/>
        <v>-6.8585747138177999E-2</v>
      </c>
      <c r="AA10" s="322">
        <f t="shared" si="10"/>
        <v>9.5028275140542018E-2</v>
      </c>
      <c r="AB10" s="322">
        <f t="shared" si="10"/>
        <v>8.7458378395250724E-2</v>
      </c>
      <c r="AC10" s="322">
        <f t="shared" si="10"/>
        <v>0.24180514645835749</v>
      </c>
      <c r="AD10" s="322">
        <f t="shared" si="10"/>
        <v>-0.10580562807581573</v>
      </c>
      <c r="AE10" s="322">
        <f>(AE8/AD8-1)</f>
        <v>0.20931215952064752</v>
      </c>
      <c r="AF10" s="322">
        <f t="shared" ref="AF10:AP10" si="11">(AF8/AE8-1)</f>
        <v>9.0936897311645559E-2</v>
      </c>
      <c r="AG10" s="322">
        <f t="shared" si="11"/>
        <v>0.25896926690425537</v>
      </c>
      <c r="AH10" s="322">
        <f t="shared" si="11"/>
        <v>-9.6366093802538799E-2</v>
      </c>
      <c r="AI10" s="322">
        <f t="shared" si="11"/>
        <v>0.4507192818714445</v>
      </c>
      <c r="AJ10" s="322">
        <f t="shared" si="11"/>
        <v>3.2563383750741304E-2</v>
      </c>
      <c r="AK10" s="322">
        <f t="shared" si="11"/>
        <v>0.24775546705013962</v>
      </c>
      <c r="AL10" s="322">
        <f t="shared" si="11"/>
        <v>-8.6283349004869558E-2</v>
      </c>
      <c r="AM10" s="322">
        <f t="shared" si="11"/>
        <v>0.1843129038366722</v>
      </c>
      <c r="AN10" s="322">
        <f t="shared" si="11"/>
        <v>5.3526571624443742E-2</v>
      </c>
      <c r="AO10" s="322">
        <f t="shared" si="11"/>
        <v>0.23142813000510176</v>
      </c>
      <c r="AP10" s="322">
        <f t="shared" si="11"/>
        <v>-0.19250465014150397</v>
      </c>
      <c r="AQ10" s="322">
        <f t="shared" ref="AQ10:AX10" si="12">(AQ8/AP8-1)</f>
        <v>5.0518121459655285E-2</v>
      </c>
      <c r="AR10" s="322">
        <f t="shared" si="12"/>
        <v>0.11774511959461975</v>
      </c>
      <c r="AS10" s="322">
        <f t="shared" si="12"/>
        <v>0.24293561021013277</v>
      </c>
      <c r="AT10" s="322">
        <f t="shared" si="12"/>
        <v>-0.1031617151028642</v>
      </c>
      <c r="AU10" s="322">
        <f t="shared" si="12"/>
        <v>9.1224206033881483E-2</v>
      </c>
      <c r="AV10" s="322">
        <f t="shared" si="12"/>
        <v>7.3558254204916018E-2</v>
      </c>
      <c r="AW10" s="322">
        <f t="shared" si="12"/>
        <v>0.13990852592537761</v>
      </c>
      <c r="AX10" s="322">
        <f t="shared" si="12"/>
        <v>-0.10418033016394757</v>
      </c>
      <c r="AY10" s="5"/>
      <c r="AZ10" s="5"/>
    </row>
    <row r="11" spans="1:61" outlineLevel="1">
      <c r="A11" s="242"/>
      <c r="B11" s="12"/>
      <c r="C11" s="23"/>
      <c r="D11" s="23"/>
      <c r="E11" s="23"/>
      <c r="F11" s="23"/>
      <c r="G11" s="23"/>
      <c r="H11" s="410"/>
      <c r="I11" s="410"/>
      <c r="J11" s="23"/>
      <c r="K11" s="23"/>
      <c r="L11" s="23"/>
      <c r="M11" s="23"/>
      <c r="N11" s="23"/>
      <c r="O11" s="23"/>
      <c r="P11" s="23"/>
      <c r="Q11" s="23"/>
      <c r="R11" s="23"/>
      <c r="S11" s="23"/>
      <c r="U11" s="246"/>
      <c r="V11" s="246"/>
      <c r="W11" s="23"/>
      <c r="X11" s="23"/>
      <c r="Y11" s="23"/>
      <c r="Z11" s="23"/>
      <c r="AA11" s="23"/>
      <c r="AB11" s="23"/>
      <c r="AC11" s="23"/>
      <c r="AD11" s="23"/>
      <c r="AE11" s="178"/>
      <c r="AF11" s="178"/>
      <c r="AG11" s="178"/>
      <c r="AH11" s="178"/>
      <c r="AI11" s="178"/>
      <c r="AJ11" s="178"/>
      <c r="AK11" s="178"/>
      <c r="AL11" s="178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5"/>
      <c r="AZ11" s="5"/>
    </row>
    <row r="12" spans="1:61" s="248" customFormat="1" outlineLevel="1">
      <c r="A12" s="242" t="s">
        <v>59</v>
      </c>
      <c r="B12" s="116" t="s">
        <v>18</v>
      </c>
      <c r="C12" s="243">
        <f t="shared" ref="C12:I12" si="13">VLOOKUP($A12,CTRP,MATCH(C$5,Period_CTRP,FALSE),FALSE)</f>
        <v>-228.21956399999999</v>
      </c>
      <c r="D12" s="243">
        <f t="shared" si="13"/>
        <v>-250.40100899999999</v>
      </c>
      <c r="E12" s="243">
        <f t="shared" si="13"/>
        <v>-330.27152000000001</v>
      </c>
      <c r="F12" s="243">
        <f t="shared" si="13"/>
        <v>-425.63873799999999</v>
      </c>
      <c r="G12" s="243">
        <f t="shared" si="13"/>
        <v>-599.37834699999996</v>
      </c>
      <c r="H12" s="411">
        <f t="shared" si="13"/>
        <v>-559.64682400000004</v>
      </c>
      <c r="I12" s="411">
        <f t="shared" si="13"/>
        <v>-197.354446</v>
      </c>
      <c r="J12" s="247">
        <f>-J13*J8</f>
        <v>-234.69890504297905</v>
      </c>
      <c r="K12" s="247">
        <f t="shared" ref="K12:Q12" si="14">-K13*K8</f>
        <v>-294.97291763156636</v>
      </c>
      <c r="L12" s="247">
        <f t="shared" si="14"/>
        <v>-360.478945779414</v>
      </c>
      <c r="M12" s="247">
        <f t="shared" si="14"/>
        <v>-434.02830147765007</v>
      </c>
      <c r="N12" s="247">
        <f t="shared" si="14"/>
        <v>-518.0199309719053</v>
      </c>
      <c r="O12" s="247">
        <f t="shared" si="14"/>
        <v>-599.71674675490431</v>
      </c>
      <c r="P12" s="247">
        <f t="shared" si="14"/>
        <v>-688.13208557437497</v>
      </c>
      <c r="Q12" s="247">
        <f t="shared" si="14"/>
        <v>-783.40903518287473</v>
      </c>
      <c r="R12" s="247">
        <f>-R13*R8</f>
        <v>-884.99528722597438</v>
      </c>
      <c r="S12" s="247">
        <f>-S13*S8</f>
        <v>-989.36613209172424</v>
      </c>
      <c r="U12" s="510">
        <f>(K12/I12)^(1/2)-1</f>
        <v>0.222552771815552</v>
      </c>
      <c r="V12" s="246"/>
      <c r="W12" s="243">
        <f t="shared" ref="W12:AJ12" si="15">VLOOKUP($A12,CTRP,MATCH(W$5,Period_CTRP,FALSE),FALSE)</f>
        <v>-67.900120000000001</v>
      </c>
      <c r="X12" s="243">
        <f t="shared" si="15"/>
        <v>-75.294640000000001</v>
      </c>
      <c r="Y12" s="243">
        <f t="shared" si="15"/>
        <v>-99.510606999999993</v>
      </c>
      <c r="Z12" s="243">
        <f t="shared" si="15"/>
        <v>-87.566153</v>
      </c>
      <c r="AA12" s="243">
        <f t="shared" si="15"/>
        <v>-91.384691000000004</v>
      </c>
      <c r="AB12" s="243">
        <f t="shared" si="15"/>
        <v>-97.244864000000007</v>
      </c>
      <c r="AC12" s="243">
        <f t="shared" si="15"/>
        <v>-129.901116</v>
      </c>
      <c r="AD12" s="243">
        <f t="shared" si="15"/>
        <v>-107.10806700000001</v>
      </c>
      <c r="AE12" s="244">
        <f t="shared" si="15"/>
        <v>-128.526318</v>
      </c>
      <c r="AF12" s="244">
        <f t="shared" si="15"/>
        <v>-138.35266799999999</v>
      </c>
      <c r="AG12" s="244">
        <f t="shared" si="15"/>
        <v>-174.16816900000001</v>
      </c>
      <c r="AH12" s="244">
        <f t="shared" si="15"/>
        <v>-158.33119199999999</v>
      </c>
      <c r="AI12" s="243">
        <f t="shared" si="15"/>
        <v>-221.13473400000001</v>
      </c>
      <c r="AJ12" s="243">
        <f t="shared" si="15"/>
        <v>-131.10743500000001</v>
      </c>
      <c r="AK12" s="243">
        <f t="shared" ref="AK12:AP12" si="16">VLOOKUP($A12,CTRP,MATCH(AK$5,Period_CTRP,FALSE),FALSE)</f>
        <v>-95.928078999999997</v>
      </c>
      <c r="AL12" s="243">
        <f t="shared" si="16"/>
        <v>-111.47657599999999</v>
      </c>
      <c r="AM12" s="594">
        <f t="shared" si="16"/>
        <v>-48.208523</v>
      </c>
      <c r="AN12" s="594">
        <f t="shared" si="16"/>
        <v>-45.794148999999997</v>
      </c>
      <c r="AO12" s="594">
        <f t="shared" si="16"/>
        <v>-57.274816000000001</v>
      </c>
      <c r="AP12" s="594">
        <f t="shared" si="16"/>
        <v>-46.076957999999998</v>
      </c>
      <c r="AQ12" s="247">
        <f>-AQ13*AQ8</f>
        <v>-47.248529334174698</v>
      </c>
      <c r="AR12" s="247">
        <f>-AR13*AR8</f>
        <v>-52.811813071296996</v>
      </c>
      <c r="AS12" s="247">
        <f>-AS13*AS8</f>
        <v>-65.641683106076002</v>
      </c>
      <c r="AT12" s="595">
        <f>J12-SUM(AQ12:AS12)</f>
        <v>-68.996879531431375</v>
      </c>
      <c r="AU12" s="247">
        <f>-AU13*AU8</f>
        <v>-64.240341177120555</v>
      </c>
      <c r="AV12" s="247">
        <f>-AV13*AV8</f>
        <v>-68.965748523637714</v>
      </c>
      <c r="AW12" s="247">
        <f>-AW13*AW8</f>
        <v>-78.614644738920148</v>
      </c>
      <c r="AX12" s="595">
        <f>K12-SUM(AU12:AW12)</f>
        <v>-83.152183191887957</v>
      </c>
      <c r="AY12" s="195"/>
      <c r="AZ12" s="195"/>
    </row>
    <row r="13" spans="1:61" s="248" customFormat="1" outlineLevel="1">
      <c r="A13" s="249"/>
      <c r="B13" s="13" t="s">
        <v>134</v>
      </c>
      <c r="C13" s="322">
        <f t="shared" ref="C13:H13" si="17">-C12/C8</f>
        <v>6.1245553835879644E-2</v>
      </c>
      <c r="D13" s="322">
        <f t="shared" si="17"/>
        <v>5.6790676012295579E-2</v>
      </c>
      <c r="E13" s="322">
        <f t="shared" si="17"/>
        <v>5.7769902803903858E-2</v>
      </c>
      <c r="F13" s="322">
        <f t="shared" si="17"/>
        <v>5.4761738272294941E-2</v>
      </c>
      <c r="G13" s="322">
        <f t="shared" si="17"/>
        <v>5.2133699308446829E-2</v>
      </c>
      <c r="H13" s="322">
        <f t="shared" si="17"/>
        <v>2.8282007969647947E-2</v>
      </c>
      <c r="I13" s="322">
        <f>-I12/I8</f>
        <v>7.315659722742696E-3</v>
      </c>
      <c r="J13" s="333">
        <f t="shared" ref="J13:S13" si="18">I13</f>
        <v>7.315659722742696E-3</v>
      </c>
      <c r="K13" s="333">
        <f t="shared" si="18"/>
        <v>7.315659722742696E-3</v>
      </c>
      <c r="L13" s="333">
        <f t="shared" si="18"/>
        <v>7.315659722742696E-3</v>
      </c>
      <c r="M13" s="333">
        <f t="shared" si="18"/>
        <v>7.315659722742696E-3</v>
      </c>
      <c r="N13" s="333">
        <f t="shared" si="18"/>
        <v>7.315659722742696E-3</v>
      </c>
      <c r="O13" s="333">
        <f t="shared" si="18"/>
        <v>7.315659722742696E-3</v>
      </c>
      <c r="P13" s="333">
        <f t="shared" si="18"/>
        <v>7.315659722742696E-3</v>
      </c>
      <c r="Q13" s="333">
        <f t="shared" si="18"/>
        <v>7.315659722742696E-3</v>
      </c>
      <c r="R13" s="333">
        <f t="shared" si="18"/>
        <v>7.315659722742696E-3</v>
      </c>
      <c r="S13" s="333">
        <f t="shared" si="18"/>
        <v>7.315659722742696E-3</v>
      </c>
      <c r="U13" s="252"/>
      <c r="V13" s="252"/>
      <c r="W13" s="322">
        <f t="shared" ref="W13:AC13" si="19">-W12/W8</f>
        <v>5.5274880951752398E-2</v>
      </c>
      <c r="X13" s="322">
        <f t="shared" si="19"/>
        <v>5.7034897880566614E-2</v>
      </c>
      <c r="Y13" s="322">
        <f t="shared" si="19"/>
        <v>6.0659215449343565E-2</v>
      </c>
      <c r="Z13" s="322">
        <f t="shared" si="19"/>
        <v>5.7308732687543856E-2</v>
      </c>
      <c r="AA13" s="322">
        <f t="shared" si="19"/>
        <v>5.4617604523556164E-2</v>
      </c>
      <c r="AB13" s="322">
        <f t="shared" si="19"/>
        <v>5.3445756710791763E-2</v>
      </c>
      <c r="AC13" s="322">
        <f t="shared" si="19"/>
        <v>5.7491810301126677E-2</v>
      </c>
      <c r="AD13" s="322">
        <f>-AD12/AD8</f>
        <v>5.3013118361342947E-2</v>
      </c>
      <c r="AE13" s="317">
        <f>-AE12/AE8</f>
        <v>5.2603521194689869E-2</v>
      </c>
      <c r="AF13" s="317">
        <f t="shared" ref="AF13:AK13" si="20">-AF12/AF8</f>
        <v>5.1905174796761495E-2</v>
      </c>
      <c r="AG13" s="317">
        <f t="shared" si="20"/>
        <v>5.1901125648047657E-2</v>
      </c>
      <c r="AH13" s="317">
        <f t="shared" si="20"/>
        <v>5.2213397573345463E-2</v>
      </c>
      <c r="AI13" s="317">
        <f t="shared" si="20"/>
        <v>5.0267704404647576E-2</v>
      </c>
      <c r="AJ13" s="317">
        <f t="shared" si="20"/>
        <v>2.8863081117960418E-2</v>
      </c>
      <c r="AK13" s="317">
        <f t="shared" si="20"/>
        <v>1.6925115273595314E-2</v>
      </c>
      <c r="AL13" s="317">
        <f>-AL12/AL8</f>
        <v>2.1525733998947881E-2</v>
      </c>
      <c r="AM13" s="317">
        <f>-AM12/AM8</f>
        <v>7.8601659084976926E-3</v>
      </c>
      <c r="AN13" s="317">
        <f>-AN12/AN8</f>
        <v>7.0871624279594814E-3</v>
      </c>
      <c r="AO13" s="317">
        <f>-AO12/AO8</f>
        <v>7.198085914335392E-3</v>
      </c>
      <c r="AP13" s="317">
        <f>-AP12/AP8</f>
        <v>7.1712868167532881E-3</v>
      </c>
      <c r="AQ13" s="333">
        <v>7.0000000000000001E-3</v>
      </c>
      <c r="AR13" s="333">
        <v>7.0000000000000001E-3</v>
      </c>
      <c r="AS13" s="333">
        <v>7.0000000000000001E-3</v>
      </c>
      <c r="AT13" s="317">
        <f>-AT12/AT8</f>
        <v>8.204150942246512E-3</v>
      </c>
      <c r="AU13" s="333">
        <v>7.0000000000000001E-3</v>
      </c>
      <c r="AV13" s="333">
        <v>7.0000000000000001E-3</v>
      </c>
      <c r="AW13" s="333">
        <v>7.0000000000000001E-3</v>
      </c>
      <c r="AX13" s="317">
        <f>-AX12/AX8</f>
        <v>8.2650911207709475E-3</v>
      </c>
      <c r="AY13" s="251"/>
      <c r="AZ13" s="251"/>
    </row>
    <row r="14" spans="1:61" outlineLevel="1">
      <c r="A14" s="242"/>
      <c r="B14" s="12" t="s">
        <v>82</v>
      </c>
      <c r="C14" s="23"/>
      <c r="D14" s="322">
        <f>(D12/C12-1)</f>
        <v>9.7193442188856283E-2</v>
      </c>
      <c r="E14" s="322">
        <f t="shared" ref="E14:S14" si="21">(E12/D12-1)</f>
        <v>0.31897040398906706</v>
      </c>
      <c r="F14" s="322">
        <f t="shared" si="21"/>
        <v>0.28875398641699412</v>
      </c>
      <c r="G14" s="322">
        <f t="shared" si="21"/>
        <v>0.4081856125604808</v>
      </c>
      <c r="H14" s="322">
        <f>(H12/G12-1)</f>
        <v>-6.628788510439787E-2</v>
      </c>
      <c r="I14" s="322">
        <f>(I12/H12-1)</f>
        <v>-0.64735894579114062</v>
      </c>
      <c r="J14" s="322">
        <f t="shared" si="21"/>
        <v>0.18922532428268202</v>
      </c>
      <c r="K14" s="322">
        <f t="shared" si="21"/>
        <v>0.25681420446997683</v>
      </c>
      <c r="L14" s="322">
        <f t="shared" si="21"/>
        <v>0.22207472019403296</v>
      </c>
      <c r="M14" s="322">
        <f t="shared" si="21"/>
        <v>0.20403232022111695</v>
      </c>
      <c r="N14" s="322">
        <f t="shared" si="21"/>
        <v>0.19351648085690631</v>
      </c>
      <c r="O14" s="322">
        <f t="shared" si="21"/>
        <v>0.15770979241999439</v>
      </c>
      <c r="P14" s="322">
        <f t="shared" si="21"/>
        <v>0.14742849736628205</v>
      </c>
      <c r="Q14" s="322">
        <f t="shared" si="21"/>
        <v>0.13845735667008374</v>
      </c>
      <c r="R14" s="322">
        <f t="shared" si="21"/>
        <v>0.12967204548436939</v>
      </c>
      <c r="S14" s="322">
        <f t="shared" si="21"/>
        <v>0.11793378605766502</v>
      </c>
      <c r="W14" s="322"/>
      <c r="X14" s="322"/>
      <c r="Y14" s="322"/>
      <c r="Z14" s="322"/>
      <c r="AA14" s="322">
        <f>(AA12/W12-1)*1</f>
        <v>0.3458693592883193</v>
      </c>
      <c r="AB14" s="322">
        <f>(AB12/X12-1)*1</f>
        <v>0.29152439004954411</v>
      </c>
      <c r="AC14" s="322">
        <f>(AC12/Y12-1)*1</f>
        <v>0.30539969472802042</v>
      </c>
      <c r="AD14" s="322">
        <f>(AD12/Z12-1)*1</f>
        <v>0.22316743776559433</v>
      </c>
      <c r="AE14" s="322">
        <f>(AE12/AA12-1)</f>
        <v>0.40643160898798691</v>
      </c>
      <c r="AF14" s="322">
        <f t="shared" ref="AF14:AP14" si="22">(AF12/AB12-1)</f>
        <v>0.42272467983501927</v>
      </c>
      <c r="AG14" s="322">
        <f t="shared" si="22"/>
        <v>0.34077500150191176</v>
      </c>
      <c r="AH14" s="322">
        <f t="shared" si="22"/>
        <v>0.47823778763554747</v>
      </c>
      <c r="AI14" s="322">
        <f t="shared" si="22"/>
        <v>0.72054048883591304</v>
      </c>
      <c r="AJ14" s="322">
        <f t="shared" si="22"/>
        <v>-5.2367858927013899E-2</v>
      </c>
      <c r="AK14" s="322">
        <f t="shared" si="22"/>
        <v>-0.44922152221741507</v>
      </c>
      <c r="AL14" s="322">
        <f t="shared" si="22"/>
        <v>-0.29592789271743747</v>
      </c>
      <c r="AM14" s="322">
        <f t="shared" si="22"/>
        <v>-0.78199479508271186</v>
      </c>
      <c r="AN14" s="322">
        <f t="shared" si="22"/>
        <v>-0.65071279901097911</v>
      </c>
      <c r="AO14" s="322">
        <f t="shared" si="22"/>
        <v>-0.40294002968619846</v>
      </c>
      <c r="AP14" s="322">
        <f t="shared" si="22"/>
        <v>-0.5866669065974901</v>
      </c>
      <c r="AQ14" s="322">
        <f t="shared" ref="AQ14:AX14" si="23">(AQ12/AM12-1)</f>
        <v>-1.9913359839406453E-2</v>
      </c>
      <c r="AR14" s="322">
        <f t="shared" si="23"/>
        <v>0.15324368340804839</v>
      </c>
      <c r="AS14" s="322">
        <f t="shared" si="23"/>
        <v>0.1460828282028177</v>
      </c>
      <c r="AT14" s="322">
        <f t="shared" si="23"/>
        <v>0.49742696840862144</v>
      </c>
      <c r="AU14" s="322">
        <f t="shared" si="23"/>
        <v>0.35962625889935884</v>
      </c>
      <c r="AV14" s="322">
        <f t="shared" si="23"/>
        <v>0.30587731253484107</v>
      </c>
      <c r="AW14" s="322">
        <f t="shared" si="23"/>
        <v>0.19763298286974185</v>
      </c>
      <c r="AX14" s="322">
        <f t="shared" si="23"/>
        <v>0.20515860654260698</v>
      </c>
      <c r="AY14" s="5"/>
      <c r="AZ14" s="5"/>
    </row>
    <row r="15" spans="1:61" outlineLevel="1">
      <c r="A15" s="242"/>
      <c r="B15" s="12" t="s">
        <v>83</v>
      </c>
      <c r="C15" s="23"/>
      <c r="D15" s="23"/>
      <c r="E15" s="23"/>
      <c r="F15" s="23"/>
      <c r="G15" s="23"/>
      <c r="H15" s="238"/>
      <c r="I15" s="238"/>
      <c r="J15" s="23"/>
      <c r="K15" s="23"/>
      <c r="L15" s="23"/>
      <c r="M15" s="23"/>
      <c r="N15" s="23"/>
      <c r="O15" s="23"/>
      <c r="P15" s="23"/>
      <c r="Q15" s="23"/>
      <c r="R15" s="23"/>
      <c r="S15" s="23"/>
      <c r="W15" s="322"/>
      <c r="X15" s="322">
        <f t="shared" ref="X15:AD15" si="24">(X12/W12-1)*1</f>
        <v>0.10890290031888017</v>
      </c>
      <c r="Y15" s="322">
        <f t="shared" si="24"/>
        <v>0.32161608050719126</v>
      </c>
      <c r="Z15" s="322">
        <f t="shared" si="24"/>
        <v>-0.12003196804939598</v>
      </c>
      <c r="AA15" s="322">
        <f t="shared" si="24"/>
        <v>4.360746554664785E-2</v>
      </c>
      <c r="AB15" s="322">
        <f t="shared" si="24"/>
        <v>6.4126419161388837E-2</v>
      </c>
      <c r="AC15" s="322">
        <f t="shared" si="24"/>
        <v>0.33581467089099948</v>
      </c>
      <c r="AD15" s="322">
        <f t="shared" si="24"/>
        <v>-0.17546461263658419</v>
      </c>
      <c r="AE15" s="322">
        <f>(AE12/AD12-1)</f>
        <v>0.19996860740657385</v>
      </c>
      <c r="AF15" s="322">
        <f t="shared" ref="AF15:AP15" si="25">(AF12/AE12-1)</f>
        <v>7.6453991314058944E-2</v>
      </c>
      <c r="AG15" s="322">
        <f t="shared" si="25"/>
        <v>0.25887105408043176</v>
      </c>
      <c r="AH15" s="322">
        <f t="shared" si="25"/>
        <v>-9.0929227142532709E-2</v>
      </c>
      <c r="AI15" s="322">
        <f t="shared" si="25"/>
        <v>0.39665931397775389</v>
      </c>
      <c r="AJ15" s="322">
        <f t="shared" si="25"/>
        <v>-0.40711514365716961</v>
      </c>
      <c r="AK15" s="322">
        <f t="shared" si="25"/>
        <v>-0.26832464535668787</v>
      </c>
      <c r="AL15" s="322">
        <f t="shared" si="25"/>
        <v>0.16208494073982238</v>
      </c>
      <c r="AM15" s="322">
        <f t="shared" si="25"/>
        <v>-0.56754571471588799</v>
      </c>
      <c r="AN15" s="322">
        <f t="shared" si="25"/>
        <v>-5.0081891121202871E-2</v>
      </c>
      <c r="AO15" s="322">
        <f t="shared" si="25"/>
        <v>0.25070161255753454</v>
      </c>
      <c r="AP15" s="322">
        <f t="shared" si="25"/>
        <v>-0.19551102529949649</v>
      </c>
      <c r="AQ15" s="322">
        <f t="shared" ref="AQ15:AX15" si="26">(AQ12/AP12-1)</f>
        <v>2.5426403673929565E-2</v>
      </c>
      <c r="AR15" s="322">
        <f t="shared" si="26"/>
        <v>0.11774511959461975</v>
      </c>
      <c r="AS15" s="322">
        <f t="shared" si="26"/>
        <v>0.24293561021013277</v>
      </c>
      <c r="AT15" s="322">
        <f t="shared" si="26"/>
        <v>5.111380858308312E-2</v>
      </c>
      <c r="AU15" s="322">
        <f t="shared" si="26"/>
        <v>-6.8938456153571304E-2</v>
      </c>
      <c r="AV15" s="322">
        <f t="shared" si="26"/>
        <v>7.3558254204915796E-2</v>
      </c>
      <c r="AW15" s="322">
        <f t="shared" si="26"/>
        <v>0.13990852592537761</v>
      </c>
      <c r="AX15" s="322">
        <f t="shared" si="26"/>
        <v>5.7718742710559878E-2</v>
      </c>
      <c r="AY15" s="5"/>
      <c r="AZ15" s="5"/>
    </row>
    <row r="16" spans="1:61" outlineLevel="1">
      <c r="A16" s="242"/>
      <c r="B16" s="12"/>
      <c r="C16" s="23"/>
      <c r="D16" s="23"/>
      <c r="E16" s="23"/>
      <c r="F16" s="23"/>
      <c r="G16" s="23"/>
      <c r="H16" s="353"/>
      <c r="I16" s="353"/>
      <c r="J16" s="353"/>
      <c r="K16" s="353"/>
      <c r="L16" s="353"/>
      <c r="M16" s="353"/>
      <c r="N16" s="353"/>
      <c r="O16" s="353"/>
      <c r="P16" s="353"/>
      <c r="Q16" s="353"/>
      <c r="R16" s="353"/>
      <c r="S16" s="353"/>
      <c r="U16" s="510"/>
      <c r="W16" s="23"/>
      <c r="X16" s="23"/>
      <c r="Y16" s="23"/>
      <c r="Z16" s="23"/>
      <c r="AA16" s="23"/>
      <c r="AB16" s="23"/>
      <c r="AC16" s="23"/>
      <c r="AD16" s="23"/>
      <c r="AE16" s="178"/>
      <c r="AF16" s="178"/>
      <c r="AG16" s="178"/>
      <c r="AH16" s="178"/>
      <c r="AI16" s="178"/>
      <c r="AJ16" s="178"/>
      <c r="AK16" s="178"/>
      <c r="AL16" s="178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5"/>
      <c r="AZ16" s="5"/>
    </row>
    <row r="17" spans="1:90" s="248" customFormat="1" outlineLevel="1">
      <c r="A17" s="249" t="s">
        <v>60</v>
      </c>
      <c r="B17" s="116" t="s">
        <v>163</v>
      </c>
      <c r="C17" s="243">
        <f t="shared" ref="C17:I17" si="27">VLOOKUP($A17,CTRP,MATCH(C$5,Period_CTRP,FALSE),FALSE)</f>
        <v>3498.0846280000001</v>
      </c>
      <c r="D17" s="243">
        <f t="shared" si="27"/>
        <v>4158.7912489999999</v>
      </c>
      <c r="E17" s="243">
        <f t="shared" si="27"/>
        <v>5386.7455419999997</v>
      </c>
      <c r="F17" s="243">
        <f t="shared" si="27"/>
        <v>7346.9183690000009</v>
      </c>
      <c r="G17" s="243">
        <f t="shared" si="27"/>
        <v>10897.568061000002</v>
      </c>
      <c r="H17" s="412">
        <f t="shared" si="27"/>
        <v>19228.439813999998</v>
      </c>
      <c r="I17" s="412">
        <f t="shared" si="27"/>
        <v>26779.631018</v>
      </c>
      <c r="J17" s="253">
        <f t="shared" ref="J17:Q17" si="28">J12+J8</f>
        <v>31847.015381551621</v>
      </c>
      <c r="K17" s="253">
        <f t="shared" si="28"/>
        <v>40025.781301507923</v>
      </c>
      <c r="L17" s="253">
        <f t="shared" si="28"/>
        <v>48914.495484587853</v>
      </c>
      <c r="M17" s="253">
        <f t="shared" si="28"/>
        <v>58894.633490753658</v>
      </c>
      <c r="N17" s="253">
        <f t="shared" si="28"/>
        <v>70291.715705241601</v>
      </c>
      <c r="O17" s="253">
        <f t="shared" si="28"/>
        <v>81377.407597960511</v>
      </c>
      <c r="P17" s="253">
        <f t="shared" si="28"/>
        <v>93374.756519691306</v>
      </c>
      <c r="Q17" s="253">
        <f t="shared" si="28"/>
        <v>106303.17848712041</v>
      </c>
      <c r="R17" s="253">
        <f>R12+R8</f>
        <v>120087.72908303533</v>
      </c>
      <c r="S17" s="253">
        <f>S12+S8</f>
        <v>134250.12963286485</v>
      </c>
      <c r="T17" s="510">
        <f>(L17/H17)^0.25-1</f>
        <v>0.26291285185976476</v>
      </c>
      <c r="U17" s="510">
        <f>(K17/I17)^(1/2)-1</f>
        <v>0.22255277181555222</v>
      </c>
      <c r="V17" s="246"/>
      <c r="W17" s="253">
        <f t="shared" ref="W17:AD17" si="29">VLOOKUP($A17,CTRP,MATCH(W$5,Period_CTRP,FALSE),FALSE)</f>
        <v>1160.5081339999997</v>
      </c>
      <c r="X17" s="253">
        <f t="shared" si="29"/>
        <v>1244.8557030000002</v>
      </c>
      <c r="Y17" s="253">
        <f t="shared" si="29"/>
        <v>1540.9756119999997</v>
      </c>
      <c r="Z17" s="253">
        <f t="shared" si="29"/>
        <v>1440.4060930000001</v>
      </c>
      <c r="AA17" s="253">
        <f t="shared" si="29"/>
        <v>1581.7881220000002</v>
      </c>
      <c r="AB17" s="253">
        <f t="shared" si="29"/>
        <v>1722.2609300000001</v>
      </c>
      <c r="AC17" s="253">
        <f t="shared" si="29"/>
        <v>2129.5705430000003</v>
      </c>
      <c r="AD17" s="253">
        <f t="shared" si="29"/>
        <v>1913.2987739999999</v>
      </c>
      <c r="AE17" s="254">
        <f t="shared" ref="AE17:AO17" si="30">AE12+AE8</f>
        <v>2314.7762419999995</v>
      </c>
      <c r="AF17" s="254">
        <f t="shared" si="30"/>
        <v>2527.1362460000005</v>
      </c>
      <c r="AG17" s="254">
        <f t="shared" si="30"/>
        <v>3181.6004550000002</v>
      </c>
      <c r="AH17" s="254">
        <f t="shared" si="30"/>
        <v>2874.0551179999998</v>
      </c>
      <c r="AI17" s="253">
        <f t="shared" si="30"/>
        <v>4178.0065559999994</v>
      </c>
      <c r="AJ17" s="253">
        <f t="shared" si="30"/>
        <v>4411.2847810000012</v>
      </c>
      <c r="AK17" s="253">
        <f t="shared" si="30"/>
        <v>5571.866642</v>
      </c>
      <c r="AL17" s="253">
        <f>AL12+AL8</f>
        <v>5067.2818349999998</v>
      </c>
      <c r="AM17" s="253">
        <f>AM12+AM8</f>
        <v>6085.0618889999996</v>
      </c>
      <c r="AN17" s="253">
        <f t="shared" si="30"/>
        <v>6415.7692009999992</v>
      </c>
      <c r="AO17" s="253">
        <f t="shared" si="30"/>
        <v>7899.6760569999997</v>
      </c>
      <c r="AP17" s="253">
        <f>AP12+AP8</f>
        <v>6379.1238710000007</v>
      </c>
      <c r="AQ17" s="253">
        <f t="shared" ref="AQ17:AX17" si="31">AQ12+AQ8</f>
        <v>6702.5413755479249</v>
      </c>
      <c r="AR17" s="253">
        <f t="shared" si="31"/>
        <v>7491.7329113997021</v>
      </c>
      <c r="AS17" s="253">
        <f t="shared" si="31"/>
        <v>9311.7416177619234</v>
      </c>
      <c r="AT17" s="253">
        <f t="shared" si="31"/>
        <v>8340.9994768420675</v>
      </c>
      <c r="AU17" s="253">
        <f t="shared" si="31"/>
        <v>9112.9512555543861</v>
      </c>
      <c r="AV17" s="253">
        <f t="shared" si="31"/>
        <v>9783.2840405674633</v>
      </c>
      <c r="AW17" s="253">
        <f t="shared" si="31"/>
        <v>11152.04888939253</v>
      </c>
      <c r="AX17" s="253">
        <f t="shared" si="31"/>
        <v>9977.497115993543</v>
      </c>
      <c r="AY17" s="195"/>
      <c r="AZ17" s="195"/>
    </row>
    <row r="18" spans="1:90" outlineLevel="1">
      <c r="A18" s="242"/>
      <c r="B18" s="12" t="s">
        <v>82</v>
      </c>
      <c r="C18" s="23"/>
      <c r="D18" s="322">
        <f t="shared" ref="D18:S18" si="32">(D17/C17-1)*1</f>
        <v>0.18887668288853066</v>
      </c>
      <c r="E18" s="322">
        <f t="shared" si="32"/>
        <v>0.29526711476448031</v>
      </c>
      <c r="F18" s="322">
        <f t="shared" si="32"/>
        <v>0.36388814205473397</v>
      </c>
      <c r="G18" s="322">
        <f t="shared" si="32"/>
        <v>0.48328421709186409</v>
      </c>
      <c r="H18" s="322">
        <f>(H17/G17-1)*1</f>
        <v>0.7644707246944713</v>
      </c>
      <c r="I18" s="322">
        <f>(I17/H17-1)*1</f>
        <v>0.39270951138230514</v>
      </c>
      <c r="J18" s="322">
        <f t="shared" si="32"/>
        <v>0.18922532428268202</v>
      </c>
      <c r="K18" s="322">
        <f t="shared" si="32"/>
        <v>0.25681420446997705</v>
      </c>
      <c r="L18" s="322">
        <f t="shared" si="32"/>
        <v>0.22207472019403296</v>
      </c>
      <c r="M18" s="322">
        <f t="shared" si="32"/>
        <v>0.20403232022111695</v>
      </c>
      <c r="N18" s="322">
        <f t="shared" si="32"/>
        <v>0.19351648085690631</v>
      </c>
      <c r="O18" s="322">
        <f t="shared" si="32"/>
        <v>0.15770979241999439</v>
      </c>
      <c r="P18" s="322">
        <f t="shared" si="32"/>
        <v>0.14742849736628227</v>
      </c>
      <c r="Q18" s="322">
        <f t="shared" si="32"/>
        <v>0.13845735667008352</v>
      </c>
      <c r="R18" s="322">
        <f t="shared" si="32"/>
        <v>0.12967204548436939</v>
      </c>
      <c r="S18" s="322">
        <f t="shared" si="32"/>
        <v>0.11793378605766502</v>
      </c>
      <c r="T18" s="680" t="s">
        <v>857</v>
      </c>
      <c r="W18" s="23"/>
      <c r="X18" s="322"/>
      <c r="Y18" s="322"/>
      <c r="Z18" s="322"/>
      <c r="AA18" s="322">
        <f t="shared" ref="AA18:AP18" si="33">(AA17/W17-1)*1</f>
        <v>0.3630133866860088</v>
      </c>
      <c r="AB18" s="322">
        <f t="shared" si="33"/>
        <v>0.38350246205202132</v>
      </c>
      <c r="AC18" s="322">
        <f t="shared" si="33"/>
        <v>0.38196252193509772</v>
      </c>
      <c r="AD18" s="322">
        <f t="shared" si="33"/>
        <v>0.32830511013396535</v>
      </c>
      <c r="AE18" s="322">
        <f t="shared" si="33"/>
        <v>0.46339210024741817</v>
      </c>
      <c r="AF18" s="322">
        <f t="shared" si="33"/>
        <v>0.46733645406448376</v>
      </c>
      <c r="AG18" s="322">
        <f t="shared" si="33"/>
        <v>0.49401036066077841</v>
      </c>
      <c r="AH18" s="322">
        <f t="shared" si="33"/>
        <v>0.50214653197702819</v>
      </c>
      <c r="AI18" s="322">
        <f t="shared" si="33"/>
        <v>0.80492890854545074</v>
      </c>
      <c r="AJ18" s="322">
        <f t="shared" si="33"/>
        <v>0.74556666186172871</v>
      </c>
      <c r="AK18" s="322">
        <f t="shared" si="33"/>
        <v>0.75127792468209198</v>
      </c>
      <c r="AL18" s="322">
        <f t="shared" si="33"/>
        <v>0.76311226714615854</v>
      </c>
      <c r="AM18" s="322">
        <f t="shared" si="33"/>
        <v>0.45645101496102125</v>
      </c>
      <c r="AN18" s="322">
        <f t="shared" si="33"/>
        <v>0.45439923276628669</v>
      </c>
      <c r="AO18" s="322">
        <f t="shared" si="33"/>
        <v>0.41777909712577777</v>
      </c>
      <c r="AP18" s="322">
        <f t="shared" si="33"/>
        <v>0.25888475887388673</v>
      </c>
      <c r="AQ18" s="440">
        <f t="shared" ref="AQ18:AX18" si="34">(AQ17/AM17-1)*1</f>
        <v>0.10147464361277025</v>
      </c>
      <c r="AR18" s="322">
        <f t="shared" si="34"/>
        <v>0.16770611234456445</v>
      </c>
      <c r="AS18" s="322">
        <f t="shared" si="34"/>
        <v>0.17874980576079125</v>
      </c>
      <c r="AT18" s="322">
        <f t="shared" si="34"/>
        <v>0.30754624702632083</v>
      </c>
      <c r="AU18" s="322">
        <f t="shared" si="34"/>
        <v>0.35962625889935862</v>
      </c>
      <c r="AV18" s="322">
        <f t="shared" si="34"/>
        <v>0.30587731253484107</v>
      </c>
      <c r="AW18" s="322">
        <f t="shared" si="34"/>
        <v>0.19763298286974207</v>
      </c>
      <c r="AX18" s="322">
        <f t="shared" si="34"/>
        <v>0.19619922572768944</v>
      </c>
      <c r="AY18" s="5"/>
      <c r="AZ18" s="5"/>
    </row>
    <row r="19" spans="1:90" outlineLevel="1">
      <c r="A19" s="242"/>
      <c r="B19" s="12" t="s">
        <v>83</v>
      </c>
      <c r="C19" s="23"/>
      <c r="D19" s="23"/>
      <c r="E19" s="23"/>
      <c r="F19" s="23"/>
      <c r="G19" s="238"/>
      <c r="H19" s="238"/>
      <c r="I19" s="238"/>
      <c r="J19" s="23"/>
      <c r="K19" s="23"/>
      <c r="L19" s="23"/>
      <c r="M19" s="23"/>
      <c r="N19" s="23"/>
      <c r="O19" s="23"/>
      <c r="P19" s="23"/>
      <c r="Q19" s="23"/>
      <c r="R19" s="23"/>
      <c r="S19" s="23"/>
      <c r="W19" s="23"/>
      <c r="X19" s="322">
        <f t="shared" ref="X19:AP19" si="35">(X17/W17-1)*1</f>
        <v>7.2681583634639502E-2</v>
      </c>
      <c r="Y19" s="322">
        <f t="shared" si="35"/>
        <v>0.23787488645179899</v>
      </c>
      <c r="Z19" s="322">
        <f t="shared" si="35"/>
        <v>-6.5263537084452983E-2</v>
      </c>
      <c r="AA19" s="322">
        <f t="shared" si="35"/>
        <v>9.8154284189077012E-2</v>
      </c>
      <c r="AB19" s="322">
        <f t="shared" si="35"/>
        <v>8.8806336352043935E-2</v>
      </c>
      <c r="AC19" s="322">
        <f t="shared" si="35"/>
        <v>0.23649704055006349</v>
      </c>
      <c r="AD19" s="322">
        <f t="shared" si="35"/>
        <v>-0.10155651791432596</v>
      </c>
      <c r="AE19" s="322">
        <f t="shared" si="35"/>
        <v>0.20983521938952521</v>
      </c>
      <c r="AF19" s="322">
        <f t="shared" si="35"/>
        <v>9.174105045095815E-2</v>
      </c>
      <c r="AG19" s="322">
        <f t="shared" si="35"/>
        <v>0.25897464374384183</v>
      </c>
      <c r="AH19" s="322">
        <f t="shared" si="35"/>
        <v>-9.666372046077687E-2</v>
      </c>
      <c r="AI19" s="322">
        <f t="shared" si="35"/>
        <v>0.45369743601416901</v>
      </c>
      <c r="AJ19" s="322">
        <f t="shared" si="35"/>
        <v>5.5834815449246511E-2</v>
      </c>
      <c r="AK19" s="322">
        <f t="shared" si="35"/>
        <v>0.26309384195706009</v>
      </c>
      <c r="AL19" s="322">
        <f t="shared" si="35"/>
        <v>-9.0559383312677655E-2</v>
      </c>
      <c r="AM19" s="322">
        <f t="shared" si="35"/>
        <v>0.20085325567844592</v>
      </c>
      <c r="AN19" s="322">
        <f t="shared" si="35"/>
        <v>5.4347403203543587E-2</v>
      </c>
      <c r="AO19" s="322">
        <f t="shared" si="35"/>
        <v>0.23129056072788745</v>
      </c>
      <c r="AP19" s="322">
        <f t="shared" si="35"/>
        <v>-0.19248285309783297</v>
      </c>
      <c r="AQ19" s="322">
        <f t="shared" ref="AQ19:AX19" si="36">(AQ17/AP17-1)*1</f>
        <v>5.0699361085964512E-2</v>
      </c>
      <c r="AR19" s="322">
        <f t="shared" si="36"/>
        <v>0.11774511959461975</v>
      </c>
      <c r="AS19" s="322">
        <f t="shared" si="36"/>
        <v>0.24293561021013277</v>
      </c>
      <c r="AT19" s="322">
        <f t="shared" si="36"/>
        <v>-0.10424925655885775</v>
      </c>
      <c r="AU19" s="322">
        <f t="shared" si="36"/>
        <v>9.2549074107433293E-2</v>
      </c>
      <c r="AV19" s="322">
        <f t="shared" si="36"/>
        <v>7.3558254204916018E-2</v>
      </c>
      <c r="AW19" s="322">
        <f t="shared" si="36"/>
        <v>0.13990852592537761</v>
      </c>
      <c r="AX19" s="322">
        <f t="shared" si="36"/>
        <v>-0.10532161265148177</v>
      </c>
      <c r="AY19" s="5"/>
      <c r="AZ19" s="5"/>
    </row>
    <row r="20" spans="1:90" outlineLevel="1">
      <c r="B20" s="186" t="s">
        <v>500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W20" s="255"/>
      <c r="X20" s="255"/>
      <c r="Y20" s="255"/>
      <c r="Z20" s="255"/>
      <c r="AA20" s="255"/>
      <c r="AB20" s="255"/>
      <c r="AC20" s="255"/>
      <c r="AD20" s="255"/>
      <c r="AE20" s="257" t="s">
        <v>686</v>
      </c>
      <c r="AF20" s="256"/>
      <c r="AG20" s="256"/>
      <c r="AH20" s="256"/>
      <c r="AI20" s="257" t="s">
        <v>683</v>
      </c>
      <c r="AJ20" s="257" t="s">
        <v>684</v>
      </c>
      <c r="AK20" s="257" t="s">
        <v>684</v>
      </c>
      <c r="AL20" s="257" t="s">
        <v>684</v>
      </c>
      <c r="AM20" s="257" t="s">
        <v>769</v>
      </c>
      <c r="AN20" s="447" t="s">
        <v>769</v>
      </c>
      <c r="AO20" s="447" t="s">
        <v>695</v>
      </c>
      <c r="AP20" s="447" t="s">
        <v>803</v>
      </c>
      <c r="AQ20" s="267" t="s">
        <v>848</v>
      </c>
      <c r="AR20" s="267" t="s">
        <v>780</v>
      </c>
      <c r="AS20" s="267" t="s">
        <v>850</v>
      </c>
      <c r="AT20" s="255"/>
      <c r="AU20" s="267"/>
      <c r="AV20" s="255"/>
      <c r="AW20" s="255"/>
      <c r="AX20" s="255"/>
      <c r="AY20" s="5"/>
      <c r="AZ20" s="5"/>
    </row>
    <row r="21" spans="1:90" outlineLevel="1">
      <c r="B21" s="186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W21" s="255"/>
      <c r="X21" s="255"/>
      <c r="Y21" s="255"/>
      <c r="Z21" s="255"/>
      <c r="AA21" s="255"/>
      <c r="AB21" s="255"/>
      <c r="AC21" s="255"/>
      <c r="AD21" s="255"/>
      <c r="AE21" s="257"/>
      <c r="AF21" s="256"/>
      <c r="AG21" s="256"/>
      <c r="AH21" s="256"/>
      <c r="AI21" s="257"/>
      <c r="AJ21" s="257"/>
      <c r="AK21" s="257"/>
      <c r="AL21" s="257"/>
      <c r="AM21" s="255"/>
      <c r="AN21" s="255"/>
      <c r="AO21" s="255"/>
      <c r="AP21" s="652"/>
      <c r="AQ21" s="667" t="s">
        <v>849</v>
      </c>
      <c r="AR21" s="255"/>
      <c r="AS21" s="255"/>
      <c r="AT21" s="255"/>
      <c r="AU21" s="255"/>
      <c r="AV21" s="255"/>
      <c r="AW21" s="255"/>
      <c r="AX21" s="255"/>
      <c r="AY21" s="5"/>
      <c r="AZ21" s="5"/>
    </row>
    <row r="22" spans="1:90" s="202" customFormat="1" outlineLevel="1">
      <c r="A22" s="258" t="s">
        <v>54</v>
      </c>
      <c r="B22" s="202" t="s">
        <v>84</v>
      </c>
      <c r="C22" s="262">
        <f t="shared" ref="C22:I22" si="37">VLOOKUP($A22,CTRP,MATCH(C$5,Period_CTRP,FALSE),FALSE)</f>
        <v>1486.898858</v>
      </c>
      <c r="D22" s="262">
        <f t="shared" si="37"/>
        <v>1702.500571</v>
      </c>
      <c r="E22" s="262">
        <f t="shared" si="37"/>
        <v>2214.1708870000002</v>
      </c>
      <c r="F22" s="262">
        <f t="shared" si="37"/>
        <v>3201.4269330000002</v>
      </c>
      <c r="G22" s="262">
        <f t="shared" si="37"/>
        <v>4616.649394</v>
      </c>
      <c r="H22" s="413">
        <f t="shared" si="37"/>
        <v>7308.9588629999998</v>
      </c>
      <c r="I22" s="413">
        <f t="shared" si="37"/>
        <v>9517.374339</v>
      </c>
      <c r="J22" s="264">
        <f t="shared" ref="J22:Q22" si="38">J27*J31</f>
        <v>11978.567343065401</v>
      </c>
      <c r="K22" s="264">
        <f t="shared" si="38"/>
        <v>14906.129201710584</v>
      </c>
      <c r="L22" s="264">
        <f t="shared" si="38"/>
        <v>17636.932071463965</v>
      </c>
      <c r="M22" s="264">
        <f t="shared" si="38"/>
        <v>20688.121319827231</v>
      </c>
      <c r="N22" s="264">
        <f t="shared" si="38"/>
        <v>24056.147470695101</v>
      </c>
      <c r="O22" s="264">
        <f t="shared" si="38"/>
        <v>27727.115574723171</v>
      </c>
      <c r="P22" s="264">
        <f t="shared" si="38"/>
        <v>31675.456832563745</v>
      </c>
      <c r="Q22" s="264">
        <f t="shared" si="38"/>
        <v>35862.952225828667</v>
      </c>
      <c r="R22" s="264">
        <f>R27*R31</f>
        <v>40238.232397379768</v>
      </c>
      <c r="S22" s="264">
        <f>S27*S31</f>
        <v>44326.436808953556</v>
      </c>
      <c r="T22" s="265"/>
      <c r="U22" s="510">
        <f>(K22/I22)^(1/2)-1</f>
        <v>0.25147986000574529</v>
      </c>
      <c r="V22" s="246"/>
      <c r="W22" s="259">
        <f t="shared" ref="W22:AL22" si="39">VLOOKUP($A22,CTRP,MATCH(W$5,Period_CTRP,FALSE),FALSE)</f>
        <v>450.52488599999998</v>
      </c>
      <c r="X22" s="259">
        <f t="shared" si="39"/>
        <v>510.97784999999999</v>
      </c>
      <c r="Y22" s="259">
        <f t="shared" si="39"/>
        <v>610.65341799999999</v>
      </c>
      <c r="Z22" s="259">
        <f t="shared" si="39"/>
        <v>642.01473299999998</v>
      </c>
      <c r="AA22" s="259">
        <f t="shared" si="39"/>
        <v>656.66229699999997</v>
      </c>
      <c r="AB22" s="259">
        <f t="shared" si="39"/>
        <v>752.56545300000005</v>
      </c>
      <c r="AC22" s="259">
        <f t="shared" si="39"/>
        <v>950.29933400000004</v>
      </c>
      <c r="AD22" s="259">
        <f t="shared" si="39"/>
        <v>841.89984900000002</v>
      </c>
      <c r="AE22" s="260">
        <f t="shared" si="39"/>
        <v>951.77993000000004</v>
      </c>
      <c r="AF22" s="260">
        <f t="shared" si="39"/>
        <v>1104.440783</v>
      </c>
      <c r="AG22" s="260">
        <f t="shared" si="39"/>
        <v>1373.210943</v>
      </c>
      <c r="AH22" s="260">
        <f t="shared" si="39"/>
        <v>1187.2177380000001</v>
      </c>
      <c r="AI22" s="262">
        <f t="shared" si="39"/>
        <v>1614.031154</v>
      </c>
      <c r="AJ22" s="262">
        <f t="shared" si="39"/>
        <v>1775.818174</v>
      </c>
      <c r="AK22" s="262">
        <f t="shared" si="39"/>
        <v>2071.6084310000001</v>
      </c>
      <c r="AL22" s="262">
        <f t="shared" si="39"/>
        <v>1847.5011039999999</v>
      </c>
      <c r="AM22" s="596">
        <f>VLOOKUP($A22,CTRP,MATCH(AM$5,Period_CTRP,FALSE),FALSE)</f>
        <v>2069.9361450000001</v>
      </c>
      <c r="AN22" s="596">
        <f>VLOOKUP($A22,CTRP,MATCH(AN$5,Period_CTRP,FALSE),FALSE)</f>
        <v>2311.1429870000002</v>
      </c>
      <c r="AO22" s="596">
        <f>VLOOKUP($A22,CTRP,MATCH(AO$5,Period_CTRP,FALSE),FALSE)</f>
        <v>2820.3844600000002</v>
      </c>
      <c r="AP22" s="596">
        <f>VLOOKUP($A22,CTRP,MATCH(AP$5,Period_CTRP,FALSE),FALSE)</f>
        <v>2315.9107469999999</v>
      </c>
      <c r="AQ22" s="264">
        <f>AQ27*AQ31</f>
        <v>2466.9498976109999</v>
      </c>
      <c r="AR22" s="264">
        <f>AR27*AR31</f>
        <v>2946.7073084250005</v>
      </c>
      <c r="AS22" s="264">
        <f>AS27*AS31</f>
        <v>3480.9185005319996</v>
      </c>
      <c r="AT22" s="263">
        <f>J22-SUM(AQ22:AS22)</f>
        <v>3083.9916364973997</v>
      </c>
      <c r="AU22" s="264">
        <f>AU27*AU31</f>
        <v>3346.6642310990828</v>
      </c>
      <c r="AV22" s="264">
        <f>AV27*AV31</f>
        <v>3787.1082327878112</v>
      </c>
      <c r="AW22" s="264">
        <f>AW27*AW31</f>
        <v>4083.117401124035</v>
      </c>
      <c r="AX22" s="263">
        <f>K22-SUM(AU22:AW22)</f>
        <v>3689.2393366996548</v>
      </c>
      <c r="AY22" s="22"/>
      <c r="AZ22" s="22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  <c r="BK22" s="265"/>
      <c r="BL22" s="265"/>
      <c r="BM22" s="265"/>
      <c r="BN22" s="265"/>
      <c r="BO22" s="265"/>
      <c r="BP22" s="266"/>
      <c r="BQ22" s="266"/>
      <c r="BR22" s="266"/>
      <c r="BS22" s="266"/>
      <c r="BT22" s="266"/>
      <c r="BU22" s="266"/>
      <c r="BV22" s="266"/>
      <c r="BW22" s="266"/>
      <c r="BX22" s="266"/>
      <c r="BY22" s="266"/>
      <c r="BZ22" s="266"/>
      <c r="CA22" s="266"/>
      <c r="CF22" s="199"/>
      <c r="CG22" s="199"/>
      <c r="CH22" s="199"/>
      <c r="CI22" s="199"/>
      <c r="CJ22" s="199"/>
      <c r="CK22" s="200"/>
      <c r="CL22" s="201"/>
    </row>
    <row r="23" spans="1:90" outlineLevel="1">
      <c r="B23" s="12" t="s">
        <v>82</v>
      </c>
      <c r="C23" s="23"/>
      <c r="D23" s="322">
        <f t="shared" ref="D23:I23" si="40">(D22/C22-1)*1</f>
        <v>0.14500092715788471</v>
      </c>
      <c r="E23" s="322">
        <f t="shared" si="40"/>
        <v>0.30054046660287437</v>
      </c>
      <c r="F23" s="322">
        <f t="shared" si="40"/>
        <v>0.44588069141205344</v>
      </c>
      <c r="G23" s="322">
        <f t="shared" si="40"/>
        <v>0.44205989723270678</v>
      </c>
      <c r="H23" s="322">
        <f t="shared" si="40"/>
        <v>0.58317390800762192</v>
      </c>
      <c r="I23" s="322">
        <f t="shared" si="40"/>
        <v>0.30215185464781014</v>
      </c>
      <c r="J23" s="322">
        <f t="shared" ref="J23:S23" si="41">(J22/I22-1)</f>
        <v>0.25860000000000016</v>
      </c>
      <c r="K23" s="322">
        <f t="shared" si="41"/>
        <v>0.24439999999999995</v>
      </c>
      <c r="L23" s="322">
        <f t="shared" si="41"/>
        <v>0.18320000000000003</v>
      </c>
      <c r="M23" s="322">
        <f t="shared" si="41"/>
        <v>0.17300000000000004</v>
      </c>
      <c r="N23" s="322">
        <f t="shared" si="41"/>
        <v>0.16279999999999983</v>
      </c>
      <c r="O23" s="322">
        <f t="shared" si="41"/>
        <v>0.15259999999999985</v>
      </c>
      <c r="P23" s="322">
        <f t="shared" si="41"/>
        <v>0.14239999999999986</v>
      </c>
      <c r="Q23" s="322">
        <f t="shared" si="41"/>
        <v>0.13219999999999987</v>
      </c>
      <c r="R23" s="322">
        <f t="shared" si="41"/>
        <v>0.12200000000000011</v>
      </c>
      <c r="S23" s="322">
        <f t="shared" si="41"/>
        <v>0.10160000000000013</v>
      </c>
      <c r="W23" s="322"/>
      <c r="X23" s="322"/>
      <c r="Y23" s="322"/>
      <c r="Z23" s="322"/>
      <c r="AA23" s="322">
        <f t="shared" ref="AA23:AP23" si="42">(AA22/W22-1)*1</f>
        <v>0.45754944378366713</v>
      </c>
      <c r="AB23" s="322">
        <f t="shared" si="42"/>
        <v>0.47279466810547666</v>
      </c>
      <c r="AC23" s="322">
        <f t="shared" si="42"/>
        <v>0.55620079408120193</v>
      </c>
      <c r="AD23" s="322">
        <f t="shared" si="42"/>
        <v>0.31134038788483687</v>
      </c>
      <c r="AE23" s="322">
        <f t="shared" si="42"/>
        <v>0.44942070581524507</v>
      </c>
      <c r="AF23" s="322">
        <f t="shared" si="42"/>
        <v>0.46756774257613976</v>
      </c>
      <c r="AG23" s="322">
        <f t="shared" si="42"/>
        <v>0.44502989097117474</v>
      </c>
      <c r="AH23" s="322">
        <f t="shared" si="42"/>
        <v>0.41016504446480795</v>
      </c>
      <c r="AI23" s="322">
        <f t="shared" si="42"/>
        <v>0.6958028879638174</v>
      </c>
      <c r="AJ23" s="322">
        <f t="shared" si="42"/>
        <v>0.60788898901064936</v>
      </c>
      <c r="AK23" s="322">
        <f t="shared" si="42"/>
        <v>0.50858718506439993</v>
      </c>
      <c r="AL23" s="322">
        <f t="shared" si="42"/>
        <v>0.55616029382472032</v>
      </c>
      <c r="AM23" s="322">
        <f t="shared" si="42"/>
        <v>0.28246356327766398</v>
      </c>
      <c r="AN23" s="322">
        <f t="shared" si="42"/>
        <v>0.30145249149815267</v>
      </c>
      <c r="AO23" s="322">
        <f t="shared" si="42"/>
        <v>0.36144669899733572</v>
      </c>
      <c r="AP23" s="322">
        <f t="shared" si="42"/>
        <v>0.2535368677105807</v>
      </c>
      <c r="AQ23" s="322">
        <f t="shared" ref="AQ23:AX23" si="43">(AQ22/AM22-1)*1</f>
        <v>0.19179999999999997</v>
      </c>
      <c r="AR23" s="322">
        <f t="shared" si="43"/>
        <v>0.27500000000000013</v>
      </c>
      <c r="AS23" s="322">
        <f t="shared" si="43"/>
        <v>0.23419999999999974</v>
      </c>
      <c r="AT23" s="322">
        <f t="shared" si="43"/>
        <v>0.33165392513177006</v>
      </c>
      <c r="AU23" s="322">
        <f t="shared" si="43"/>
        <v>0.35660000000000025</v>
      </c>
      <c r="AV23" s="322">
        <f t="shared" si="43"/>
        <v>0.28520000000000012</v>
      </c>
      <c r="AW23" s="322">
        <f t="shared" si="43"/>
        <v>0.17299999999999982</v>
      </c>
      <c r="AX23" s="322">
        <f t="shared" si="43"/>
        <v>0.1962546503172935</v>
      </c>
      <c r="AY23" s="5"/>
      <c r="AZ23" s="5"/>
    </row>
    <row r="24" spans="1:90" outlineLevel="1">
      <c r="B24" s="12" t="s">
        <v>83</v>
      </c>
      <c r="C24" s="23"/>
      <c r="D24" s="23"/>
      <c r="E24" s="23"/>
      <c r="F24" s="23"/>
      <c r="G24" s="238"/>
      <c r="H24" s="238"/>
      <c r="I24" s="238"/>
      <c r="J24" s="23"/>
      <c r="K24" s="23"/>
      <c r="L24" s="23"/>
      <c r="M24" s="23"/>
      <c r="N24" s="23"/>
      <c r="O24" s="23"/>
      <c r="P24" s="23"/>
      <c r="Q24" s="23"/>
      <c r="R24" s="23"/>
      <c r="S24" s="23"/>
      <c r="W24" s="322"/>
      <c r="X24" s="322">
        <f t="shared" ref="X24:AP24" si="44">(X22/W22-1)*1</f>
        <v>0.13418340668533024</v>
      </c>
      <c r="Y24" s="322">
        <f t="shared" si="44"/>
        <v>0.19506827546438665</v>
      </c>
      <c r="Z24" s="322">
        <f t="shared" si="44"/>
        <v>5.1356979385645651E-2</v>
      </c>
      <c r="AA24" s="322">
        <f t="shared" si="44"/>
        <v>2.2814996677031019E-2</v>
      </c>
      <c r="AB24" s="322">
        <f t="shared" si="44"/>
        <v>0.14604638706704987</v>
      </c>
      <c r="AC24" s="322">
        <f t="shared" si="44"/>
        <v>0.26274642320048147</v>
      </c>
      <c r="AD24" s="322">
        <f t="shared" si="44"/>
        <v>-0.11406877930107018</v>
      </c>
      <c r="AE24" s="322">
        <f t="shared" si="44"/>
        <v>0.13051443248328698</v>
      </c>
      <c r="AF24" s="322">
        <f t="shared" si="44"/>
        <v>0.16039511675771512</v>
      </c>
      <c r="AG24" s="322">
        <f t="shared" si="44"/>
        <v>0.2433540703467485</v>
      </c>
      <c r="AH24" s="322">
        <f t="shared" si="44"/>
        <v>-0.1354440160472854</v>
      </c>
      <c r="AI24" s="322">
        <f t="shared" si="44"/>
        <v>0.35950727683618888</v>
      </c>
      <c r="AJ24" s="322">
        <f t="shared" si="44"/>
        <v>0.10023785451665446</v>
      </c>
      <c r="AK24" s="322">
        <f t="shared" si="44"/>
        <v>0.16656562103637995</v>
      </c>
      <c r="AL24" s="322">
        <f t="shared" si="44"/>
        <v>-0.10818035090338951</v>
      </c>
      <c r="AM24" s="322">
        <f t="shared" si="44"/>
        <v>0.12039778515877964</v>
      </c>
      <c r="AN24" s="322">
        <f t="shared" si="44"/>
        <v>0.11652863909963762</v>
      </c>
      <c r="AO24" s="322">
        <f t="shared" si="44"/>
        <v>0.22034182907091582</v>
      </c>
      <c r="AP24" s="322">
        <f t="shared" si="44"/>
        <v>-0.17886700205403916</v>
      </c>
      <c r="AQ24" s="322">
        <f t="shared" ref="AQ24:AX24" si="45">(AQ22/AP22-1)*1</f>
        <v>6.521803606060983E-2</v>
      </c>
      <c r="AR24" s="322">
        <f t="shared" si="45"/>
        <v>0.19447391747947496</v>
      </c>
      <c r="AS24" s="322">
        <f t="shared" si="45"/>
        <v>0.18129089054064629</v>
      </c>
      <c r="AT24" s="322">
        <f t="shared" si="45"/>
        <v>-0.11402934713178037</v>
      </c>
      <c r="AU24" s="322">
        <f t="shared" si="45"/>
        <v>8.5172927025187972E-2</v>
      </c>
      <c r="AV24" s="322">
        <f t="shared" si="45"/>
        <v>0.13160686919108144</v>
      </c>
      <c r="AW24" s="322">
        <f t="shared" si="45"/>
        <v>7.8162320731541834E-2</v>
      </c>
      <c r="AX24" s="322">
        <f t="shared" si="45"/>
        <v>-9.646503534675499E-2</v>
      </c>
      <c r="AY24" s="5"/>
      <c r="AZ24" s="5"/>
    </row>
    <row r="25" spans="1:90" s="65" customFormat="1" outlineLevel="1">
      <c r="A25" s="39"/>
      <c r="B25" s="186" t="s">
        <v>500</v>
      </c>
      <c r="C25" s="268"/>
      <c r="D25" s="268"/>
      <c r="E25" s="268"/>
      <c r="F25" s="268"/>
      <c r="G25" s="269"/>
      <c r="H25" s="269"/>
      <c r="I25" s="269"/>
      <c r="J25" s="268"/>
      <c r="K25" s="268"/>
      <c r="L25" s="268"/>
      <c r="M25" s="268"/>
      <c r="N25" s="268"/>
      <c r="O25" s="268"/>
      <c r="P25" s="268"/>
      <c r="Q25" s="268"/>
      <c r="R25" s="268"/>
      <c r="S25" s="268"/>
      <c r="W25" s="255"/>
      <c r="X25" s="255"/>
      <c r="Y25" s="255"/>
      <c r="Z25" s="255"/>
      <c r="AA25" s="255"/>
      <c r="AB25" s="255"/>
      <c r="AC25" s="255"/>
      <c r="AD25" s="255"/>
      <c r="AE25" s="257" t="s">
        <v>685</v>
      </c>
      <c r="AF25" s="257"/>
      <c r="AG25" s="257" t="s">
        <v>686</v>
      </c>
      <c r="AH25" s="257" t="s">
        <v>686</v>
      </c>
      <c r="AI25" s="257" t="s">
        <v>687</v>
      </c>
      <c r="AJ25" s="257" t="s">
        <v>684</v>
      </c>
      <c r="AK25" s="257" t="s">
        <v>688</v>
      </c>
      <c r="AL25" s="257" t="s">
        <v>688</v>
      </c>
      <c r="AM25" s="257" t="s">
        <v>770</v>
      </c>
      <c r="AN25" s="447" t="s">
        <v>781</v>
      </c>
      <c r="AO25" s="447" t="s">
        <v>803</v>
      </c>
      <c r="AP25" s="267" t="s">
        <v>803</v>
      </c>
      <c r="AQ25" s="267" t="s">
        <v>850</v>
      </c>
      <c r="AR25" s="255"/>
      <c r="AS25" s="255"/>
      <c r="AT25" s="255"/>
      <c r="AU25" s="255"/>
      <c r="AV25" s="255"/>
      <c r="AW25" s="255"/>
      <c r="AX25" s="255"/>
      <c r="AY25" s="5"/>
      <c r="AZ25" s="5"/>
    </row>
    <row r="26" spans="1:90" outlineLevel="1">
      <c r="B26" s="13"/>
      <c r="C26" s="23"/>
      <c r="D26" s="23"/>
      <c r="E26" s="23"/>
      <c r="F26" s="27"/>
      <c r="G26" s="238"/>
      <c r="H26" s="238"/>
      <c r="I26" s="238"/>
      <c r="J26" s="23"/>
      <c r="K26" s="23"/>
      <c r="L26" s="23"/>
      <c r="M26" s="23"/>
      <c r="N26" s="23"/>
      <c r="O26" s="23"/>
      <c r="P26" s="23"/>
      <c r="Q26" s="23"/>
      <c r="R26" s="23"/>
      <c r="S26" s="23"/>
      <c r="W26" s="23"/>
      <c r="X26" s="23"/>
      <c r="Y26" s="23"/>
      <c r="Z26" s="23"/>
      <c r="AA26" s="23"/>
      <c r="AB26" s="23"/>
      <c r="AC26" s="23"/>
      <c r="AD26" s="23"/>
      <c r="AE26" s="178"/>
      <c r="AF26" s="178"/>
      <c r="AG26" s="178"/>
      <c r="AH26" s="178"/>
      <c r="AI26" s="178"/>
      <c r="AJ26" s="178"/>
      <c r="AK26" s="178"/>
      <c r="AL26" s="178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5"/>
      <c r="AZ26" s="5"/>
    </row>
    <row r="27" spans="1:90" outlineLevel="1">
      <c r="A27" s="242" t="s">
        <v>126</v>
      </c>
      <c r="B27" s="13" t="s">
        <v>160</v>
      </c>
      <c r="C27" s="203">
        <f t="shared" ref="C27:I27" si="46">VLOOKUP($A27,CTRP,MATCH(C$5,Period_CTRP,FALSE),FALSE)</f>
        <v>21.284075616993391</v>
      </c>
      <c r="D27" s="203">
        <f t="shared" si="46"/>
        <v>27.676065487184495</v>
      </c>
      <c r="E27" s="203">
        <f t="shared" si="46"/>
        <v>40.289082418051166</v>
      </c>
      <c r="F27" s="203">
        <f t="shared" si="46"/>
        <v>65.540617877339287</v>
      </c>
      <c r="G27" s="203">
        <f t="shared" si="46"/>
        <v>101.51615296887189</v>
      </c>
      <c r="H27" s="414">
        <f t="shared" si="46"/>
        <v>207</v>
      </c>
      <c r="I27" s="414">
        <f t="shared" si="46"/>
        <v>266.77748621322382</v>
      </c>
      <c r="J27" s="272">
        <f t="shared" ref="J27:S27" si="47">I27*(1+J28)</f>
        <v>330.80408290439755</v>
      </c>
      <c r="K27" s="272">
        <f t="shared" si="47"/>
        <v>403.58098114336502</v>
      </c>
      <c r="L27" s="272">
        <f t="shared" si="47"/>
        <v>468.15393812630339</v>
      </c>
      <c r="M27" s="272">
        <f t="shared" si="47"/>
        <v>538.3770288452489</v>
      </c>
      <c r="N27" s="272">
        <f t="shared" si="47"/>
        <v>613.74981288358367</v>
      </c>
      <c r="O27" s="272">
        <f t="shared" si="47"/>
        <v>693.53728855844952</v>
      </c>
      <c r="P27" s="272">
        <f t="shared" si="47"/>
        <v>776.76176318546334</v>
      </c>
      <c r="Q27" s="272">
        <f t="shared" si="47"/>
        <v>862.20555713586418</v>
      </c>
      <c r="R27" s="272">
        <f t="shared" si="47"/>
        <v>948.42611284945065</v>
      </c>
      <c r="S27" s="272">
        <f t="shared" si="47"/>
        <v>1024.3002018774068</v>
      </c>
      <c r="W27" s="179">
        <f t="shared" ref="W27:AP27" si="48">VLOOKUP($A27,CTRP,MATCH(W$5,Period_CTRP,FALSE),FALSE)</f>
        <v>7.4938412343365988</v>
      </c>
      <c r="X27" s="179">
        <f t="shared" si="48"/>
        <v>9.1979042626043999</v>
      </c>
      <c r="Y27" s="179">
        <f t="shared" si="48"/>
        <v>11.483840850171253</v>
      </c>
      <c r="Z27" s="179">
        <f t="shared" si="48"/>
        <v>12.113496070938913</v>
      </c>
      <c r="AA27" s="179">
        <f t="shared" si="48"/>
        <v>12.514714861342119</v>
      </c>
      <c r="AB27" s="179">
        <f t="shared" si="48"/>
        <v>15.084562990671216</v>
      </c>
      <c r="AC27" s="179">
        <f t="shared" si="48"/>
        <v>19.407691036789416</v>
      </c>
      <c r="AD27" s="179">
        <f t="shared" si="48"/>
        <v>18.533648988536537</v>
      </c>
      <c r="AE27" s="206">
        <f t="shared" si="48"/>
        <v>20.023543778147392</v>
      </c>
      <c r="AF27" s="206">
        <f t="shared" si="48"/>
        <v>23.381072635540384</v>
      </c>
      <c r="AG27" s="206">
        <f t="shared" si="48"/>
        <v>29.111536555184124</v>
      </c>
      <c r="AH27" s="206">
        <f t="shared" si="48"/>
        <v>29</v>
      </c>
      <c r="AI27" s="203">
        <f t="shared" si="48"/>
        <v>50</v>
      </c>
      <c r="AJ27" s="203">
        <f t="shared" si="48"/>
        <v>52</v>
      </c>
      <c r="AK27" s="203">
        <f t="shared" si="48"/>
        <v>53</v>
      </c>
      <c r="AL27" s="203">
        <f t="shared" si="48"/>
        <v>52</v>
      </c>
      <c r="AM27" s="203">
        <f t="shared" si="48"/>
        <v>59</v>
      </c>
      <c r="AN27" s="203">
        <f t="shared" si="48"/>
        <v>65.102619352112683</v>
      </c>
      <c r="AO27" s="203">
        <f t="shared" si="48"/>
        <v>78.344012777777778</v>
      </c>
      <c r="AP27" s="203">
        <f t="shared" si="48"/>
        <v>64.330854083333335</v>
      </c>
      <c r="AQ27" s="274">
        <f>AM27*(1+AQ28)</f>
        <v>69.61999999999999</v>
      </c>
      <c r="AR27" s="274">
        <f>AN27*(1+AR28)</f>
        <v>81.378274190140857</v>
      </c>
      <c r="AS27" s="274">
        <f>AO27*(1+AS28)</f>
        <v>94.796255461111102</v>
      </c>
      <c r="AT27" s="296">
        <f>J27-SUM(AQ27:AS27)</f>
        <v>85.009553253145612</v>
      </c>
      <c r="AU27" s="274">
        <f>AQ27*(1+AU28)</f>
        <v>92.594599999999986</v>
      </c>
      <c r="AV27" s="274">
        <f>AR27*(1+AV28)</f>
        <v>102.53662547957748</v>
      </c>
      <c r="AW27" s="274">
        <f>AS27*(1+AW28)</f>
        <v>109.01569378027776</v>
      </c>
      <c r="AX27" s="296">
        <f>K27-SUM(AU27:AW27)</f>
        <v>99.434061883509798</v>
      </c>
      <c r="AY27" s="62"/>
      <c r="AZ27" s="62"/>
    </row>
    <row r="28" spans="1:90" outlineLevel="1">
      <c r="B28" s="12" t="s">
        <v>82</v>
      </c>
      <c r="C28" s="23"/>
      <c r="D28" s="322">
        <f t="shared" ref="D28:I28" si="49">(D27/C27-1)*1</f>
        <v>0.30031794592421401</v>
      </c>
      <c r="E28" s="322">
        <f t="shared" si="49"/>
        <v>0.45573735676796878</v>
      </c>
      <c r="F28" s="322">
        <f t="shared" si="49"/>
        <v>0.62675876301353517</v>
      </c>
      <c r="G28" s="322">
        <f t="shared" si="49"/>
        <v>0.54890442380115512</v>
      </c>
      <c r="H28" s="322">
        <f t="shared" si="49"/>
        <v>1.0390843619091124</v>
      </c>
      <c r="I28" s="322">
        <f t="shared" si="49"/>
        <v>0.2887801266339316</v>
      </c>
      <c r="J28" s="341">
        <v>0.24</v>
      </c>
      <c r="K28" s="341">
        <f>J28-2%</f>
        <v>0.22</v>
      </c>
      <c r="L28" s="341">
        <v>0.16</v>
      </c>
      <c r="M28" s="341">
        <v>0.15</v>
      </c>
      <c r="N28" s="341">
        <f>M28-1%</f>
        <v>0.13999999999999999</v>
      </c>
      <c r="O28" s="341">
        <f>N28-1%</f>
        <v>0.12999999999999998</v>
      </c>
      <c r="P28" s="341">
        <f>O28-1%</f>
        <v>0.11999999999999998</v>
      </c>
      <c r="Q28" s="341">
        <f t="shared" ref="Q28:R28" si="50">P28-1%</f>
        <v>0.10999999999999999</v>
      </c>
      <c r="R28" s="341">
        <f t="shared" si="50"/>
        <v>9.9999999999999992E-2</v>
      </c>
      <c r="S28" s="341">
        <f>R28-2%</f>
        <v>7.9999999999999988E-2</v>
      </c>
      <c r="W28" s="23"/>
      <c r="X28" s="23"/>
      <c r="Y28" s="23"/>
      <c r="Z28" s="23"/>
      <c r="AA28" s="322">
        <f t="shared" ref="AA28:AM28" si="51">(AA27/W27-1)*1</f>
        <v>0.66999999999999993</v>
      </c>
      <c r="AB28" s="322">
        <f t="shared" si="51"/>
        <v>0.64000000000000012</v>
      </c>
      <c r="AC28" s="322">
        <f t="shared" si="51"/>
        <v>0.68999999999999972</v>
      </c>
      <c r="AD28" s="322">
        <f t="shared" si="51"/>
        <v>0.53</v>
      </c>
      <c r="AE28" s="322">
        <f t="shared" si="51"/>
        <v>0.60000000000000009</v>
      </c>
      <c r="AF28" s="322">
        <f t="shared" si="51"/>
        <v>0.55000000000000004</v>
      </c>
      <c r="AG28" s="322">
        <f t="shared" si="51"/>
        <v>0.5</v>
      </c>
      <c r="AH28" s="322">
        <f t="shared" si="51"/>
        <v>0.56472155148385128</v>
      </c>
      <c r="AI28" s="322">
        <f t="shared" si="51"/>
        <v>1.4970604880923868</v>
      </c>
      <c r="AJ28" s="322">
        <f t="shared" si="51"/>
        <v>1.2240211478132714</v>
      </c>
      <c r="AK28" s="322">
        <f t="shared" si="51"/>
        <v>0.8205840801131421</v>
      </c>
      <c r="AL28" s="322">
        <f t="shared" si="51"/>
        <v>0.7931034482758621</v>
      </c>
      <c r="AM28" s="322">
        <f t="shared" si="51"/>
        <v>0.17999999999999994</v>
      </c>
      <c r="AN28" s="322">
        <f>(AN27/AJ27-1)*1</f>
        <v>0.25197344907909014</v>
      </c>
      <c r="AO28" s="322">
        <f>(AO27/AK27-1)*1</f>
        <v>0.4781889203354297</v>
      </c>
      <c r="AP28" s="322">
        <f>(AP27/AL27-1)*1</f>
        <v>0.23713180929487176</v>
      </c>
      <c r="AQ28" s="341">
        <v>0.18</v>
      </c>
      <c r="AR28" s="341">
        <v>0.25</v>
      </c>
      <c r="AS28" s="341">
        <v>0.21</v>
      </c>
      <c r="AT28" s="322">
        <f>(AT27/AP27-1)*1</f>
        <v>0.32144294467201329</v>
      </c>
      <c r="AU28" s="341">
        <v>0.33</v>
      </c>
      <c r="AV28" s="341">
        <v>0.26</v>
      </c>
      <c r="AW28" s="341">
        <v>0.15</v>
      </c>
      <c r="AX28" s="322">
        <f>(AX27/AT27-1)*1</f>
        <v>0.16968103087673203</v>
      </c>
      <c r="AY28" s="37"/>
      <c r="AZ28" s="37"/>
    </row>
    <row r="29" spans="1:90" outlineLevel="1">
      <c r="B29" s="12" t="s">
        <v>83</v>
      </c>
      <c r="C29" s="23"/>
      <c r="D29" s="23"/>
      <c r="E29" s="23"/>
      <c r="F29" s="23"/>
      <c r="G29" s="238"/>
      <c r="H29" s="238"/>
      <c r="I29" s="238"/>
      <c r="J29" s="23"/>
      <c r="K29" s="23"/>
      <c r="L29" s="23"/>
      <c r="M29" s="23"/>
      <c r="N29" s="23"/>
      <c r="O29" s="23"/>
      <c r="P29" s="23"/>
      <c r="Q29" s="23"/>
      <c r="R29" s="23"/>
      <c r="S29" s="23"/>
      <c r="W29" s="23"/>
      <c r="X29" s="322">
        <f t="shared" ref="X29:AP29" si="52">(X27/W27-1)*1</f>
        <v>0.22739513354777596</v>
      </c>
      <c r="Y29" s="322">
        <f t="shared" si="52"/>
        <v>0.24852798227751793</v>
      </c>
      <c r="Z29" s="322">
        <f t="shared" si="52"/>
        <v>5.482967144727291E-2</v>
      </c>
      <c r="AA29" s="322">
        <f t="shared" si="52"/>
        <v>3.3121634584565296E-2</v>
      </c>
      <c r="AB29" s="322">
        <f t="shared" si="52"/>
        <v>0.20534611917266643</v>
      </c>
      <c r="AC29" s="322">
        <f t="shared" si="52"/>
        <v>0.28659285978597882</v>
      </c>
      <c r="AD29" s="322">
        <f t="shared" si="52"/>
        <v>-4.5035859577320925E-2</v>
      </c>
      <c r="AE29" s="322">
        <f t="shared" si="52"/>
        <v>8.0388637474055225E-2</v>
      </c>
      <c r="AF29" s="322">
        <f t="shared" si="52"/>
        <v>0.16767905294852037</v>
      </c>
      <c r="AG29" s="322">
        <f t="shared" si="52"/>
        <v>0.24508986430901158</v>
      </c>
      <c r="AH29" s="322">
        <f t="shared" si="52"/>
        <v>-3.8313523909222491E-3</v>
      </c>
      <c r="AI29" s="322">
        <f t="shared" si="52"/>
        <v>0.72413793103448265</v>
      </c>
      <c r="AJ29" s="322">
        <f t="shared" si="52"/>
        <v>4.0000000000000036E-2</v>
      </c>
      <c r="AK29" s="322">
        <f t="shared" si="52"/>
        <v>1.9230769230769162E-2</v>
      </c>
      <c r="AL29" s="322">
        <f t="shared" si="52"/>
        <v>-1.8867924528301883E-2</v>
      </c>
      <c r="AM29" s="322">
        <f t="shared" si="52"/>
        <v>0.13461538461538458</v>
      </c>
      <c r="AN29" s="599">
        <f t="shared" si="52"/>
        <v>0.10343422630699473</v>
      </c>
      <c r="AO29" s="599">
        <f t="shared" si="52"/>
        <v>0.20339263700048638</v>
      </c>
      <c r="AP29" s="599">
        <f t="shared" si="52"/>
        <v>-0.17886700205403905</v>
      </c>
      <c r="AQ29" s="322">
        <f t="shared" ref="AQ29:AX29" si="53">(AQ27/AP27-1)*1</f>
        <v>8.221787184443663E-2</v>
      </c>
      <c r="AR29" s="322">
        <f t="shared" si="53"/>
        <v>0.1688921888845285</v>
      </c>
      <c r="AS29" s="322">
        <f t="shared" si="53"/>
        <v>0.16488407261647064</v>
      </c>
      <c r="AT29" s="322">
        <f t="shared" si="53"/>
        <v>-0.10323933324539758</v>
      </c>
      <c r="AU29" s="322">
        <f t="shared" si="53"/>
        <v>8.9225815882919113E-2</v>
      </c>
      <c r="AV29" s="322">
        <f t="shared" si="53"/>
        <v>0.10737154736429</v>
      </c>
      <c r="AW29" s="322">
        <f t="shared" si="53"/>
        <v>6.3187844054715114E-2</v>
      </c>
      <c r="AX29" s="322">
        <f t="shared" si="53"/>
        <v>-8.7892225096322663E-2</v>
      </c>
      <c r="AY29" s="5"/>
      <c r="AZ29" s="5"/>
    </row>
    <row r="30" spans="1:90" outlineLevel="1">
      <c r="B30" s="12"/>
      <c r="C30" s="23"/>
      <c r="D30" s="23"/>
      <c r="E30" s="23"/>
      <c r="F30" s="23"/>
      <c r="G30" s="238"/>
      <c r="H30" s="238"/>
      <c r="I30" s="238"/>
      <c r="J30" s="23"/>
      <c r="K30" s="23"/>
      <c r="L30" s="23"/>
      <c r="M30" s="23"/>
      <c r="N30" s="23"/>
      <c r="O30" s="23"/>
      <c r="P30" s="23"/>
      <c r="Q30" s="23"/>
      <c r="R30" s="23"/>
      <c r="S30" s="23"/>
      <c r="W30" s="23"/>
      <c r="X30" s="23"/>
      <c r="Y30" s="23"/>
      <c r="Z30" s="23"/>
      <c r="AA30" s="23"/>
      <c r="AB30" s="23"/>
      <c r="AC30" s="23"/>
      <c r="AD30" s="23"/>
      <c r="AE30" s="178"/>
      <c r="AF30" s="178"/>
      <c r="AG30" s="178"/>
      <c r="AH30" s="178"/>
      <c r="AI30" s="178"/>
      <c r="AJ30" s="178"/>
      <c r="AK30" s="178"/>
      <c r="AL30" s="178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5"/>
      <c r="AZ30" s="5"/>
    </row>
    <row r="31" spans="1:90" outlineLevel="1">
      <c r="A31" s="242" t="s">
        <v>151</v>
      </c>
      <c r="B31" s="13" t="s">
        <v>112</v>
      </c>
      <c r="C31" s="203">
        <f t="shared" ref="C31:I31" si="54">VLOOKUP($A31,CTRP,MATCH(C$5,Period_CTRP,FALSE),FALSE)</f>
        <v>69.859686873732358</v>
      </c>
      <c r="D31" s="203">
        <f t="shared" si="54"/>
        <v>61.51526747139507</v>
      </c>
      <c r="E31" s="203">
        <f t="shared" si="54"/>
        <v>54.957093934905814</v>
      </c>
      <c r="F31" s="203">
        <f t="shared" si="54"/>
        <v>48.846456391234234</v>
      </c>
      <c r="G31" s="203">
        <f t="shared" si="54"/>
        <v>45.476993158080099</v>
      </c>
      <c r="H31" s="414">
        <f t="shared" si="54"/>
        <v>35.308980014492754</v>
      </c>
      <c r="I31" s="414">
        <f t="shared" si="54"/>
        <v>35.675328057455232</v>
      </c>
      <c r="J31" s="270">
        <f t="shared" ref="J31:S31" si="55">I31*(1+J32)</f>
        <v>36.210457978317059</v>
      </c>
      <c r="K31" s="270">
        <f t="shared" si="55"/>
        <v>36.934667137883402</v>
      </c>
      <c r="L31" s="270">
        <f t="shared" si="55"/>
        <v>37.673360480641072</v>
      </c>
      <c r="M31" s="270">
        <f t="shared" si="55"/>
        <v>38.426827690253894</v>
      </c>
      <c r="N31" s="270">
        <f t="shared" si="55"/>
        <v>39.195364244058972</v>
      </c>
      <c r="O31" s="270">
        <f t="shared" si="55"/>
        <v>39.979271528940153</v>
      </c>
      <c r="P31" s="270">
        <f t="shared" si="55"/>
        <v>40.778856959518954</v>
      </c>
      <c r="Q31" s="270">
        <f t="shared" si="55"/>
        <v>41.594434098709336</v>
      </c>
      <c r="R31" s="270">
        <f t="shared" si="55"/>
        <v>42.42632278068352</v>
      </c>
      <c r="S31" s="270">
        <f t="shared" si="55"/>
        <v>43.274849236297193</v>
      </c>
      <c r="W31" s="250">
        <f t="shared" ref="W31:AP31" si="56">VLOOKUP($A31,CTRP,MATCH(W$5,Period_CTRP,FALSE),FALSE)</f>
        <v>60.119352934207612</v>
      </c>
      <c r="X31" s="250">
        <f t="shared" si="56"/>
        <v>55.553725654382475</v>
      </c>
      <c r="Y31" s="250">
        <f t="shared" si="56"/>
        <v>53.17501574317739</v>
      </c>
      <c r="Z31" s="250">
        <f t="shared" si="56"/>
        <v>52.999953872956318</v>
      </c>
      <c r="AA31" s="250">
        <f t="shared" si="56"/>
        <v>52.471215227478012</v>
      </c>
      <c r="AB31" s="250">
        <f t="shared" si="56"/>
        <v>49.889774961688381</v>
      </c>
      <c r="AC31" s="250">
        <f t="shared" si="56"/>
        <v>48.9650897779959</v>
      </c>
      <c r="AD31" s="250">
        <f t="shared" si="56"/>
        <v>45.425477169700002</v>
      </c>
      <c r="AE31" s="206">
        <f t="shared" si="56"/>
        <v>47.533041131246755</v>
      </c>
      <c r="AF31" s="206">
        <f t="shared" si="56"/>
        <v>47.236531882681703</v>
      </c>
      <c r="AG31" s="206">
        <f t="shared" si="56"/>
        <v>47.170678895527466</v>
      </c>
      <c r="AH31" s="206">
        <f t="shared" si="56"/>
        <v>40.938542689655172</v>
      </c>
      <c r="AI31" s="203">
        <f t="shared" si="56"/>
        <v>32.280623079999998</v>
      </c>
      <c r="AJ31" s="203">
        <f t="shared" si="56"/>
        <v>34.150349499999997</v>
      </c>
      <c r="AK31" s="203">
        <f t="shared" si="56"/>
        <v>39.086951528301888</v>
      </c>
      <c r="AL31" s="203">
        <f t="shared" si="56"/>
        <v>35.528867384615381</v>
      </c>
      <c r="AM31" s="203">
        <f t="shared" si="56"/>
        <v>35.083663474576277</v>
      </c>
      <c r="AN31" s="203">
        <f t="shared" si="56"/>
        <v>35.5</v>
      </c>
      <c r="AO31" s="203">
        <f t="shared" si="56"/>
        <v>36</v>
      </c>
      <c r="AP31" s="203">
        <f t="shared" si="56"/>
        <v>36</v>
      </c>
      <c r="AQ31" s="274">
        <f>AM31*(1+AQ32)</f>
        <v>35.434500109322038</v>
      </c>
      <c r="AR31" s="274">
        <f>AN31*(1+AR32)</f>
        <v>36.21</v>
      </c>
      <c r="AS31" s="274">
        <f>AO31*(1+AS32)</f>
        <v>36.72</v>
      </c>
      <c r="AT31" s="296">
        <f>AT22/AT27</f>
        <v>36.278177198670107</v>
      </c>
      <c r="AU31" s="274">
        <f>AQ31*(1+AU32)</f>
        <v>36.143190111508481</v>
      </c>
      <c r="AV31" s="274">
        <f>AR31*(1+AV32)</f>
        <v>36.934200000000004</v>
      </c>
      <c r="AW31" s="274">
        <f>AS31*(1+AW32)</f>
        <v>37.4544</v>
      </c>
      <c r="AX31" s="296">
        <f>AX22/AX27</f>
        <v>37.102369819928683</v>
      </c>
      <c r="AY31" s="62"/>
      <c r="AZ31" s="62"/>
    </row>
    <row r="32" spans="1:90" outlineLevel="1">
      <c r="B32" s="12" t="s">
        <v>82</v>
      </c>
      <c r="C32" s="23"/>
      <c r="D32" s="322">
        <f t="shared" ref="D32:I32" si="57">(D31/C31-1)*1</f>
        <v>-0.11944541660227281</v>
      </c>
      <c r="E32" s="322">
        <f t="shared" si="57"/>
        <v>-0.10661050184881082</v>
      </c>
      <c r="F32" s="322">
        <f t="shared" si="57"/>
        <v>-0.11118924066307712</v>
      </c>
      <c r="G32" s="322">
        <f t="shared" si="57"/>
        <v>-6.8980709801475082E-2</v>
      </c>
      <c r="H32" s="322">
        <f t="shared" si="57"/>
        <v>-0.22358587139309916</v>
      </c>
      <c r="I32" s="322">
        <f t="shared" si="57"/>
        <v>1.0375492093289251E-2</v>
      </c>
      <c r="J32" s="341">
        <v>1.4999999999999999E-2</v>
      </c>
      <c r="K32" s="341">
        <v>0.02</v>
      </c>
      <c r="L32" s="341">
        <f>K32</f>
        <v>0.02</v>
      </c>
      <c r="M32" s="341">
        <f t="shared" ref="M32:S32" si="58">L32</f>
        <v>0.02</v>
      </c>
      <c r="N32" s="341">
        <f t="shared" si="58"/>
        <v>0.02</v>
      </c>
      <c r="O32" s="341">
        <f t="shared" si="58"/>
        <v>0.02</v>
      </c>
      <c r="P32" s="341">
        <f t="shared" si="58"/>
        <v>0.02</v>
      </c>
      <c r="Q32" s="341">
        <f t="shared" si="58"/>
        <v>0.02</v>
      </c>
      <c r="R32" s="341">
        <f t="shared" si="58"/>
        <v>0.02</v>
      </c>
      <c r="S32" s="341">
        <f t="shared" si="58"/>
        <v>0.02</v>
      </c>
      <c r="W32" s="23"/>
      <c r="X32" s="322"/>
      <c r="Y32" s="322"/>
      <c r="Z32" s="322"/>
      <c r="AA32" s="322">
        <f t="shared" ref="AA32:AM32" si="59">(AA31/W31-1)*1</f>
        <v>-0.12721590192594778</v>
      </c>
      <c r="AB32" s="322">
        <f t="shared" si="59"/>
        <v>-0.10195447066739227</v>
      </c>
      <c r="AC32" s="322">
        <f t="shared" si="59"/>
        <v>-7.9171127762602378E-2</v>
      </c>
      <c r="AD32" s="322">
        <f t="shared" si="59"/>
        <v>-0.14291477916023732</v>
      </c>
      <c r="AE32" s="322">
        <f t="shared" si="59"/>
        <v>-9.4112058865471915E-2</v>
      </c>
      <c r="AF32" s="322">
        <f t="shared" si="59"/>
        <v>-5.3182101563780781E-2</v>
      </c>
      <c r="AG32" s="322">
        <f t="shared" si="59"/>
        <v>-3.6646739352550139E-2</v>
      </c>
      <c r="AH32" s="322">
        <f t="shared" si="59"/>
        <v>-9.8775725861559804E-2</v>
      </c>
      <c r="AI32" s="322">
        <f t="shared" si="59"/>
        <v>-0.32088033267495453</v>
      </c>
      <c r="AJ32" s="322">
        <f t="shared" si="59"/>
        <v>-0.27703520688570038</v>
      </c>
      <c r="AK32" s="322">
        <f t="shared" si="59"/>
        <v>-0.17137186821349826</v>
      </c>
      <c r="AL32" s="322">
        <f t="shared" si="59"/>
        <v>-0.1321413745977521</v>
      </c>
      <c r="AM32" s="322">
        <f t="shared" si="59"/>
        <v>8.6833528201410326E-2</v>
      </c>
      <c r="AN32" s="322">
        <f>(AN31/AJ31-1)*1</f>
        <v>3.9520840042940097E-2</v>
      </c>
      <c r="AO32" s="322">
        <f>(AO31/AK31-1)*1</f>
        <v>-7.8976523049302139E-2</v>
      </c>
      <c r="AP32" s="322">
        <f>(AP31/AL31-1)*1</f>
        <v>1.3260558246464882E-2</v>
      </c>
      <c r="AQ32" s="341">
        <v>0.01</v>
      </c>
      <c r="AR32" s="341">
        <v>0.02</v>
      </c>
      <c r="AS32" s="341">
        <v>0.02</v>
      </c>
      <c r="AT32" s="322">
        <f>(AT31/AP31-1)*1</f>
        <v>7.7271444075028839E-3</v>
      </c>
      <c r="AU32" s="341">
        <v>0.02</v>
      </c>
      <c r="AV32" s="341">
        <v>0.02</v>
      </c>
      <c r="AW32" s="341">
        <v>0.02</v>
      </c>
      <c r="AX32" s="322">
        <f>(AX31/AT31-1)*1</f>
        <v>2.271868888960582E-2</v>
      </c>
      <c r="AY32" s="37"/>
      <c r="AZ32" s="37"/>
    </row>
    <row r="33" spans="1:90" outlineLevel="1">
      <c r="B33" s="12" t="s">
        <v>83</v>
      </c>
      <c r="C33" s="23"/>
      <c r="D33" s="23"/>
      <c r="E33" s="23"/>
      <c r="F33" s="23"/>
      <c r="G33" s="238"/>
      <c r="H33" s="238"/>
      <c r="I33" s="238"/>
      <c r="J33" s="23"/>
      <c r="K33" s="322"/>
      <c r="L33" s="322"/>
      <c r="M33" s="322"/>
      <c r="N33" s="322"/>
      <c r="O33" s="322"/>
      <c r="P33" s="322"/>
      <c r="Q33" s="322"/>
      <c r="R33" s="322"/>
      <c r="S33" s="322"/>
      <c r="W33" s="23"/>
      <c r="X33" s="322">
        <f t="shared" ref="X33:AE33" si="60">(X31/W31-1)*1</f>
        <v>-7.5942721552934689E-2</v>
      </c>
      <c r="Y33" s="322">
        <f t="shared" si="60"/>
        <v>-4.2818188756660547E-2</v>
      </c>
      <c r="Z33" s="322">
        <f t="shared" si="60"/>
        <v>-3.2921827624194933E-3</v>
      </c>
      <c r="AA33" s="322">
        <f t="shared" si="60"/>
        <v>-9.9762095405916407E-3</v>
      </c>
      <c r="AB33" s="322">
        <f t="shared" si="60"/>
        <v>-4.9197264721206335E-2</v>
      </c>
      <c r="AC33" s="322">
        <f t="shared" si="60"/>
        <v>-1.8534563132476922E-2</v>
      </c>
      <c r="AD33" s="322">
        <f t="shared" si="60"/>
        <v>-7.2288494197483177E-2</v>
      </c>
      <c r="AE33" s="322">
        <f t="shared" si="60"/>
        <v>4.6396077550783676E-2</v>
      </c>
      <c r="AF33" s="322">
        <f t="shared" ref="AF33:AP33" si="61">(AF31/AE31-1)*1</f>
        <v>-6.2379608270032305E-3</v>
      </c>
      <c r="AG33" s="322">
        <f t="shared" si="61"/>
        <v>-1.3941113906879021E-3</v>
      </c>
      <c r="AH33" s="322">
        <f t="shared" si="61"/>
        <v>-0.1321188575571508</v>
      </c>
      <c r="AI33" s="322">
        <f t="shared" si="61"/>
        <v>-0.21148577943501046</v>
      </c>
      <c r="AJ33" s="322">
        <f t="shared" si="61"/>
        <v>5.7921013958321721E-2</v>
      </c>
      <c r="AK33" s="322">
        <f t="shared" si="61"/>
        <v>0.14455494894135401</v>
      </c>
      <c r="AL33" s="322">
        <f t="shared" si="61"/>
        <v>-9.1029973036147016E-2</v>
      </c>
      <c r="AM33" s="322">
        <f t="shared" si="61"/>
        <v>-1.2530765622770335E-2</v>
      </c>
      <c r="AN33" s="599">
        <f t="shared" si="61"/>
        <v>1.1866962688358518E-2</v>
      </c>
      <c r="AO33" s="322">
        <f t="shared" si="61"/>
        <v>1.4084507042253502E-2</v>
      </c>
      <c r="AP33" s="322">
        <f t="shared" si="61"/>
        <v>0</v>
      </c>
      <c r="AQ33" s="322">
        <f t="shared" ref="AQ33:AX33" si="62">(AQ31/AP31-1)*1</f>
        <v>-1.5708330296610118E-2</v>
      </c>
      <c r="AR33" s="322">
        <f t="shared" si="62"/>
        <v>2.1885447467451247E-2</v>
      </c>
      <c r="AS33" s="322">
        <f t="shared" si="62"/>
        <v>1.4084507042253502E-2</v>
      </c>
      <c r="AT33" s="322">
        <f t="shared" si="62"/>
        <v>-1.2032211365193168E-2</v>
      </c>
      <c r="AU33" s="322">
        <f t="shared" si="62"/>
        <v>-3.7208894598644848E-3</v>
      </c>
      <c r="AV33" s="322">
        <f t="shared" si="62"/>
        <v>2.1885447467451247E-2</v>
      </c>
      <c r="AW33" s="322">
        <f t="shared" si="62"/>
        <v>1.4084507042253502E-2</v>
      </c>
      <c r="AX33" s="322">
        <f t="shared" si="62"/>
        <v>-9.3989005316148511E-3</v>
      </c>
      <c r="AY33" s="5"/>
      <c r="AZ33" s="5"/>
    </row>
    <row r="34" spans="1:90" outlineLevel="1">
      <c r="B34" s="13"/>
      <c r="C34" s="23"/>
      <c r="D34" s="23"/>
      <c r="E34" s="23"/>
      <c r="F34" s="23"/>
      <c r="G34" s="238"/>
      <c r="H34" s="238"/>
      <c r="I34" s="238"/>
      <c r="J34" s="23"/>
      <c r="K34" s="23"/>
      <c r="L34" s="23"/>
      <c r="M34" s="23"/>
      <c r="N34" s="23"/>
      <c r="O34" s="23"/>
      <c r="P34" s="23"/>
      <c r="Q34" s="23"/>
      <c r="R34" s="23"/>
      <c r="S34" s="23"/>
      <c r="W34" s="23"/>
      <c r="X34" s="23"/>
      <c r="Y34" s="23"/>
      <c r="Z34" s="23"/>
      <c r="AA34" s="23"/>
      <c r="AB34" s="23"/>
      <c r="AC34" s="23"/>
      <c r="AD34" s="23"/>
      <c r="AE34" s="178"/>
      <c r="AF34" s="178"/>
      <c r="AG34" s="178"/>
      <c r="AH34" s="178"/>
      <c r="AI34" s="178"/>
      <c r="AJ34" s="178"/>
      <c r="AK34" s="178"/>
      <c r="AL34" s="178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5"/>
      <c r="AZ34" s="5"/>
    </row>
    <row r="35" spans="1:90" s="202" customFormat="1" outlineLevel="1">
      <c r="A35" s="258" t="s">
        <v>115</v>
      </c>
      <c r="B35" s="202" t="s">
        <v>116</v>
      </c>
      <c r="C35" s="262">
        <f t="shared" ref="C35:I35" si="63">VLOOKUP($A35,CTRP,MATCH(C$5,Period_CTRP,FALSE),FALSE)</f>
        <v>1437.118164</v>
      </c>
      <c r="D35" s="262">
        <f t="shared" si="63"/>
        <v>1690.285903</v>
      </c>
      <c r="E35" s="262">
        <f t="shared" si="63"/>
        <v>2161.784259</v>
      </c>
      <c r="F35" s="262">
        <f t="shared" si="63"/>
        <v>2950.0724840000003</v>
      </c>
      <c r="G35" s="262">
        <f t="shared" si="63"/>
        <v>4453.885749</v>
      </c>
      <c r="H35" s="413">
        <f t="shared" si="63"/>
        <v>8826.5165710000001</v>
      </c>
      <c r="I35" s="413">
        <f t="shared" si="63"/>
        <v>12221.029997</v>
      </c>
      <c r="J35" s="264">
        <f t="shared" ref="J35:Q35" si="64">J40*J45</f>
        <v>13487.128704689199</v>
      </c>
      <c r="K35" s="264">
        <f t="shared" si="64"/>
        <v>17418.626722106103</v>
      </c>
      <c r="L35" s="264">
        <f t="shared" si="64"/>
        <v>22313.260831017913</v>
      </c>
      <c r="M35" s="264">
        <f t="shared" si="64"/>
        <v>28114.708647082571</v>
      </c>
      <c r="N35" s="264">
        <f t="shared" si="64"/>
        <v>35129.32845452967</v>
      </c>
      <c r="O35" s="264">
        <f t="shared" si="64"/>
        <v>41659.870614226726</v>
      </c>
      <c r="P35" s="264">
        <f t="shared" si="64"/>
        <v>48985.758861738483</v>
      </c>
      <c r="Q35" s="264">
        <f t="shared" si="64"/>
        <v>57107.597681014711</v>
      </c>
      <c r="R35" s="264">
        <f>R40*R45</f>
        <v>66002.106019832732</v>
      </c>
      <c r="S35" s="264">
        <f>S40*S45</f>
        <v>75618.612866922354</v>
      </c>
      <c r="T35" s="265"/>
      <c r="U35" s="510">
        <f>(K35/I35)^(1/2)-1</f>
        <v>0.19385903690511141</v>
      </c>
      <c r="V35" s="265"/>
      <c r="W35" s="259">
        <f t="shared" ref="W35:AL35" si="65">VLOOKUP($A35,CTRP,MATCH(W$5,Period_CTRP,FALSE),FALSE)</f>
        <v>456.50252399999999</v>
      </c>
      <c r="X35" s="259">
        <f t="shared" si="65"/>
        <v>522.01377100000002</v>
      </c>
      <c r="Y35" s="259">
        <f t="shared" si="65"/>
        <v>604.27234399999998</v>
      </c>
      <c r="Z35" s="259">
        <f t="shared" si="65"/>
        <v>578.99562000000003</v>
      </c>
      <c r="AA35" s="259">
        <f t="shared" si="65"/>
        <v>651.065201</v>
      </c>
      <c r="AB35" s="259">
        <f t="shared" si="65"/>
        <v>725.513462</v>
      </c>
      <c r="AC35" s="259">
        <f t="shared" si="65"/>
        <v>799.79692699999998</v>
      </c>
      <c r="AD35" s="259">
        <f t="shared" si="65"/>
        <v>773.69689400000004</v>
      </c>
      <c r="AE35" s="260">
        <f t="shared" si="65"/>
        <v>947.90779099999997</v>
      </c>
      <c r="AF35" s="260">
        <f t="shared" si="65"/>
        <v>1052.5506640000001</v>
      </c>
      <c r="AG35" s="260">
        <f t="shared" si="65"/>
        <v>1208.9885750000001</v>
      </c>
      <c r="AH35" s="260">
        <f t="shared" si="65"/>
        <v>1244.438719</v>
      </c>
      <c r="AI35" s="262">
        <f t="shared" si="65"/>
        <v>1949.0031260000001</v>
      </c>
      <c r="AJ35" s="262">
        <f t="shared" si="65"/>
        <v>2003.4267950000001</v>
      </c>
      <c r="AK35" s="262">
        <f t="shared" si="65"/>
        <v>2427.736429</v>
      </c>
      <c r="AL35" s="262">
        <f t="shared" si="65"/>
        <v>2446.3502210000001</v>
      </c>
      <c r="AM35" s="596">
        <f>VLOOKUP($A35,CTRP,MATCH(AM$5,Period_CTRP,FALSE),FALSE)</f>
        <v>2875.3753459999998</v>
      </c>
      <c r="AN35" s="596">
        <f>VLOOKUP($A35,CTRP,MATCH(AN$5,Period_CTRP,FALSE),FALSE)</f>
        <v>2992.3303559999999</v>
      </c>
      <c r="AO35" s="596">
        <f>VLOOKUP($A35,CTRP,MATCH(AO$5,Period_CTRP,FALSE),FALSE)</f>
        <v>3428.1946090000001</v>
      </c>
      <c r="AP35" s="596">
        <f>VLOOKUP($A35,CTRP,MATCH(AP$5,Period_CTRP,FALSE),FALSE)</f>
        <v>2925.1296860000002</v>
      </c>
      <c r="AQ35" s="264">
        <f>AQ40*AQ45</f>
        <v>2876.3817273710997</v>
      </c>
      <c r="AR35" s="264">
        <f>AR40*AR45</f>
        <v>3077.6117711459997</v>
      </c>
      <c r="AS35" s="264">
        <f>AS40*AS45</f>
        <v>3887.5726866059999</v>
      </c>
      <c r="AT35" s="263">
        <f>J35-SUM(AQ35:AS35)</f>
        <v>3645.5625195660996</v>
      </c>
      <c r="AU35" s="264">
        <f>AU40*AU45</f>
        <v>4038.4399452290245</v>
      </c>
      <c r="AV35" s="264">
        <f>AV40*AV45</f>
        <v>4200.9400676142905</v>
      </c>
      <c r="AW35" s="264">
        <f>AW40*AW45</f>
        <v>4805.0398406450158</v>
      </c>
      <c r="AX35" s="263">
        <f>K35-SUM(AU35:AW35)</f>
        <v>4374.2068686177736</v>
      </c>
      <c r="AY35" s="22"/>
      <c r="AZ35" s="22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6"/>
      <c r="BQ35" s="266"/>
      <c r="BR35" s="266"/>
      <c r="BS35" s="266"/>
      <c r="BT35" s="266"/>
      <c r="BU35" s="266"/>
      <c r="BV35" s="266"/>
      <c r="BW35" s="266"/>
      <c r="BX35" s="266"/>
      <c r="BY35" s="266"/>
      <c r="BZ35" s="266"/>
      <c r="CA35" s="266"/>
      <c r="CF35" s="199"/>
      <c r="CG35" s="199"/>
      <c r="CH35" s="199"/>
      <c r="CI35" s="199"/>
      <c r="CJ35" s="199"/>
      <c r="CK35" s="200"/>
      <c r="CL35" s="201"/>
    </row>
    <row r="36" spans="1:90" outlineLevel="1">
      <c r="B36" s="12" t="s">
        <v>82</v>
      </c>
      <c r="C36" s="23"/>
      <c r="D36" s="322">
        <f t="shared" ref="D36:I36" si="66">(D35/C35-1)</f>
        <v>0.17616348143241467</v>
      </c>
      <c r="E36" s="322">
        <f t="shared" si="66"/>
        <v>0.27894591983708938</v>
      </c>
      <c r="F36" s="322">
        <f t="shared" si="66"/>
        <v>0.3646470371491406</v>
      </c>
      <c r="G36" s="322">
        <f t="shared" si="66"/>
        <v>0.50975468337001018</v>
      </c>
      <c r="H36" s="322">
        <f t="shared" si="66"/>
        <v>0.98175639619443689</v>
      </c>
      <c r="I36" s="322">
        <f t="shared" si="66"/>
        <v>0.38458132363936848</v>
      </c>
      <c r="J36" s="322">
        <f t="shared" ref="J36:S36" si="67">(J35/I35-1)</f>
        <v>0.10359999999999991</v>
      </c>
      <c r="K36" s="322">
        <f t="shared" si="67"/>
        <v>0.29150000000000009</v>
      </c>
      <c r="L36" s="322">
        <f t="shared" si="67"/>
        <v>0.28099999999999969</v>
      </c>
      <c r="M36" s="322">
        <f t="shared" si="67"/>
        <v>0.26</v>
      </c>
      <c r="N36" s="322">
        <f t="shared" si="67"/>
        <v>0.24949999999999983</v>
      </c>
      <c r="O36" s="322">
        <f t="shared" si="67"/>
        <v>0.18589999999999973</v>
      </c>
      <c r="P36" s="322">
        <f t="shared" si="67"/>
        <v>0.17584999999999962</v>
      </c>
      <c r="Q36" s="322">
        <f t="shared" si="67"/>
        <v>0.16579999999999973</v>
      </c>
      <c r="R36" s="322">
        <f t="shared" si="67"/>
        <v>0.15574999999999961</v>
      </c>
      <c r="S36" s="322">
        <f t="shared" si="67"/>
        <v>0.14569999999999994</v>
      </c>
      <c r="W36" s="322"/>
      <c r="X36" s="322"/>
      <c r="Y36" s="322"/>
      <c r="Z36" s="322"/>
      <c r="AA36" s="322">
        <f t="shared" ref="AA36:AP36" si="68">(AA35/W35-1)*1</f>
        <v>0.42620285052356022</v>
      </c>
      <c r="AB36" s="322">
        <f t="shared" si="68"/>
        <v>0.38983586699286521</v>
      </c>
      <c r="AC36" s="322">
        <f t="shared" si="68"/>
        <v>0.32357029895778244</v>
      </c>
      <c r="AD36" s="322">
        <f t="shared" si="68"/>
        <v>0.33627417423295869</v>
      </c>
      <c r="AE36" s="322">
        <f t="shared" si="68"/>
        <v>0.45593373681171445</v>
      </c>
      <c r="AF36" s="322">
        <f t="shared" si="68"/>
        <v>0.4507665524199469</v>
      </c>
      <c r="AG36" s="322">
        <f t="shared" si="68"/>
        <v>0.51161943011566491</v>
      </c>
      <c r="AH36" s="322">
        <f t="shared" si="68"/>
        <v>0.60843184023432295</v>
      </c>
      <c r="AI36" s="322">
        <f t="shared" si="68"/>
        <v>1.0561104619088422</v>
      </c>
      <c r="AJ36" s="322">
        <f t="shared" si="68"/>
        <v>0.90340176822120166</v>
      </c>
      <c r="AK36" s="322">
        <f t="shared" si="68"/>
        <v>1.0080722673495899</v>
      </c>
      <c r="AL36" s="322">
        <f t="shared" si="68"/>
        <v>0.96582618625513872</v>
      </c>
      <c r="AM36" s="322">
        <f t="shared" si="68"/>
        <v>0.47530566146459829</v>
      </c>
      <c r="AN36" s="322">
        <f t="shared" si="68"/>
        <v>0.49360603714996221</v>
      </c>
      <c r="AO36" s="322">
        <f t="shared" si="68"/>
        <v>0.41209505613922648</v>
      </c>
      <c r="AP36" s="322">
        <f t="shared" si="68"/>
        <v>0.19571174269736757</v>
      </c>
      <c r="AQ36" s="440">
        <f t="shared" ref="AQ36:AX36" si="69">(AQ35/AM35-1)*1</f>
        <v>3.5000000000007248E-4</v>
      </c>
      <c r="AR36" s="322">
        <f t="shared" si="69"/>
        <v>2.849999999999997E-2</v>
      </c>
      <c r="AS36" s="322">
        <f t="shared" si="69"/>
        <v>0.1339999999999999</v>
      </c>
      <c r="AT36" s="322">
        <f t="shared" si="69"/>
        <v>0.24629090361845218</v>
      </c>
      <c r="AU36" s="322">
        <f t="shared" si="69"/>
        <v>0.40400000000000014</v>
      </c>
      <c r="AV36" s="322">
        <f t="shared" si="69"/>
        <v>0.36500000000000021</v>
      </c>
      <c r="AW36" s="322">
        <f t="shared" si="69"/>
        <v>0.23599999999999999</v>
      </c>
      <c r="AX36" s="322">
        <f t="shared" si="69"/>
        <v>0.19987158227049107</v>
      </c>
      <c r="AY36" s="5"/>
      <c r="AZ36" s="5"/>
    </row>
    <row r="37" spans="1:90" outlineLevel="1">
      <c r="B37" s="12" t="s">
        <v>83</v>
      </c>
      <c r="C37" s="23"/>
      <c r="D37" s="23"/>
      <c r="E37" s="23"/>
      <c r="F37" s="23"/>
      <c r="G37" s="238"/>
      <c r="H37" s="238"/>
      <c r="I37" s="238"/>
      <c r="J37" s="23"/>
      <c r="K37" s="23"/>
      <c r="L37" s="23"/>
      <c r="M37" s="23"/>
      <c r="N37" s="23"/>
      <c r="O37" s="23"/>
      <c r="P37" s="23"/>
      <c r="Q37" s="23"/>
      <c r="R37" s="23"/>
      <c r="S37" s="23"/>
      <c r="W37" s="322"/>
      <c r="X37" s="322">
        <f t="shared" ref="X37:AP37" si="70">(X35/W35-1)*1</f>
        <v>0.14350686700693904</v>
      </c>
      <c r="Y37" s="322">
        <f t="shared" si="70"/>
        <v>0.15757931604451869</v>
      </c>
      <c r="Z37" s="322">
        <f t="shared" si="70"/>
        <v>-4.1830019611157176E-2</v>
      </c>
      <c r="AA37" s="322">
        <f t="shared" si="70"/>
        <v>0.12447344765751422</v>
      </c>
      <c r="AB37" s="322">
        <f t="shared" si="70"/>
        <v>0.11434839534604468</v>
      </c>
      <c r="AC37" s="322">
        <f t="shared" si="70"/>
        <v>0.1023874385393555</v>
      </c>
      <c r="AD37" s="322">
        <f t="shared" si="70"/>
        <v>-3.2633324933992847E-2</v>
      </c>
      <c r="AE37" s="322">
        <f t="shared" si="70"/>
        <v>0.22516685584626361</v>
      </c>
      <c r="AF37" s="322">
        <f t="shared" si="70"/>
        <v>0.11039351505868167</v>
      </c>
      <c r="AG37" s="322">
        <f t="shared" si="70"/>
        <v>0.14862744032243569</v>
      </c>
      <c r="AH37" s="322">
        <f t="shared" si="70"/>
        <v>2.9322149715103718E-2</v>
      </c>
      <c r="AI37" s="322">
        <f t="shared" si="70"/>
        <v>0.56617043189251648</v>
      </c>
      <c r="AJ37" s="322">
        <f t="shared" si="70"/>
        <v>2.7923849004642287E-2</v>
      </c>
      <c r="AK37" s="322">
        <f t="shared" si="70"/>
        <v>0.21179193323108159</v>
      </c>
      <c r="AL37" s="322">
        <f t="shared" si="70"/>
        <v>7.6671387295808024E-3</v>
      </c>
      <c r="AM37" s="322">
        <f t="shared" si="70"/>
        <v>0.17537355089927642</v>
      </c>
      <c r="AN37" s="322">
        <f t="shared" si="70"/>
        <v>4.0674693188386346E-2</v>
      </c>
      <c r="AO37" s="322">
        <f t="shared" si="70"/>
        <v>0.14566047232252854</v>
      </c>
      <c r="AP37" s="322">
        <f t="shared" si="70"/>
        <v>-0.14674339714533979</v>
      </c>
      <c r="AQ37" s="322">
        <f t="shared" ref="AQ37:AX37" si="71">(AQ35/AP35-1)*1</f>
        <v>-1.6665229874153531E-2</v>
      </c>
      <c r="AR37" s="322">
        <f t="shared" si="71"/>
        <v>6.9959436141605602E-2</v>
      </c>
      <c r="AS37" s="322">
        <f t="shared" si="71"/>
        <v>0.26317839145721678</v>
      </c>
      <c r="AT37" s="322">
        <f t="shared" si="71"/>
        <v>-6.225225521151212E-2</v>
      </c>
      <c r="AU37" s="322">
        <f t="shared" si="71"/>
        <v>0.1077686704189853</v>
      </c>
      <c r="AV37" s="322">
        <f t="shared" si="71"/>
        <v>4.0238340693227848E-2</v>
      </c>
      <c r="AW37" s="322">
        <f t="shared" si="71"/>
        <v>0.14380109292389709</v>
      </c>
      <c r="AX37" s="322">
        <f t="shared" si="71"/>
        <v>-8.9662726286450223E-2</v>
      </c>
      <c r="AY37" s="5"/>
      <c r="AZ37" s="5"/>
    </row>
    <row r="38" spans="1:90" outlineLevel="1">
      <c r="B38" s="186" t="s">
        <v>500</v>
      </c>
      <c r="C38" s="23"/>
      <c r="D38" s="23"/>
      <c r="E38" s="23"/>
      <c r="F38" s="23"/>
      <c r="G38" s="238"/>
      <c r="H38" s="238"/>
      <c r="I38" s="238"/>
      <c r="J38" s="23"/>
      <c r="K38" s="23"/>
      <c r="L38" s="23"/>
      <c r="M38" s="23"/>
      <c r="N38" s="23"/>
      <c r="O38" s="23"/>
      <c r="P38" s="23"/>
      <c r="Q38" s="23"/>
      <c r="R38" s="23"/>
      <c r="S38" s="23"/>
      <c r="W38" s="255"/>
      <c r="X38" s="255"/>
      <c r="Y38" s="255"/>
      <c r="Z38" s="255"/>
      <c r="AA38" s="255"/>
      <c r="AB38" s="255"/>
      <c r="AC38" s="255"/>
      <c r="AD38" s="255"/>
      <c r="AE38" s="256"/>
      <c r="AF38" s="256"/>
      <c r="AG38" s="257" t="s">
        <v>686</v>
      </c>
      <c r="AH38" s="257" t="s">
        <v>686</v>
      </c>
      <c r="AI38" s="257" t="s">
        <v>690</v>
      </c>
      <c r="AJ38" s="257" t="s">
        <v>691</v>
      </c>
      <c r="AK38" s="257" t="s">
        <v>692</v>
      </c>
      <c r="AL38" s="257" t="s">
        <v>692</v>
      </c>
      <c r="AM38" s="267" t="s">
        <v>689</v>
      </c>
      <c r="AN38" s="448" t="s">
        <v>686</v>
      </c>
      <c r="AO38" s="448" t="s">
        <v>769</v>
      </c>
      <c r="AP38" s="267" t="s">
        <v>572</v>
      </c>
      <c r="AQ38" s="673">
        <v>0</v>
      </c>
      <c r="AT38" s="23"/>
      <c r="AV38" s="23"/>
      <c r="AW38" s="255"/>
      <c r="AX38" s="255"/>
      <c r="AY38" s="676"/>
      <c r="AZ38" s="5"/>
    </row>
    <row r="39" spans="1:90" outlineLevel="1">
      <c r="C39" s="23"/>
      <c r="D39" s="23"/>
      <c r="E39" s="23"/>
      <c r="F39" s="23"/>
      <c r="G39" s="238"/>
      <c r="H39" s="238"/>
      <c r="I39" s="238"/>
      <c r="J39" s="23"/>
      <c r="K39" s="23"/>
      <c r="L39" s="23"/>
      <c r="M39" s="23"/>
      <c r="N39" s="23"/>
      <c r="O39" s="23"/>
      <c r="P39" s="23"/>
      <c r="Q39" s="23"/>
      <c r="R39" s="23"/>
      <c r="S39" s="23"/>
      <c r="W39" s="23"/>
      <c r="X39" s="23"/>
      <c r="Y39" s="23"/>
      <c r="Z39" s="23"/>
      <c r="AA39" s="23"/>
      <c r="AB39" s="23"/>
      <c r="AC39" s="23"/>
      <c r="AD39" s="23"/>
      <c r="AE39" s="178"/>
      <c r="AF39" s="178"/>
      <c r="AG39" s="178"/>
      <c r="AH39" s="178"/>
      <c r="AI39" s="178"/>
      <c r="AJ39" s="178"/>
      <c r="AK39" s="178"/>
      <c r="AL39" s="178"/>
      <c r="AM39" s="322"/>
      <c r="AN39" s="23"/>
      <c r="AO39" s="23"/>
      <c r="AP39" s="23"/>
      <c r="AQ39" s="23"/>
      <c r="AR39" s="23"/>
      <c r="AS39" s="23"/>
      <c r="AT39" s="677"/>
      <c r="AV39" s="677"/>
      <c r="AW39" s="23"/>
      <c r="AX39" s="23"/>
      <c r="AY39" s="23"/>
      <c r="AZ39" s="117"/>
    </row>
    <row r="40" spans="1:90" outlineLevel="1">
      <c r="A40" s="242" t="s">
        <v>127</v>
      </c>
      <c r="B40" s="13" t="s">
        <v>161</v>
      </c>
      <c r="C40" s="203">
        <f t="shared" ref="C40:I40" si="72">VLOOKUP($A40,CTRP,MATCH(C$5,Period_CTRP,FALSE),FALSE)</f>
        <v>32.523974231774233</v>
      </c>
      <c r="D40" s="203">
        <f t="shared" si="72"/>
        <v>38.703529335811339</v>
      </c>
      <c r="E40" s="203">
        <f t="shared" si="72"/>
        <v>51.27161051476098</v>
      </c>
      <c r="F40" s="203">
        <f t="shared" si="72"/>
        <v>97.331602148554836</v>
      </c>
      <c r="G40" s="203">
        <f t="shared" si="72"/>
        <v>219.42208479853596</v>
      </c>
      <c r="H40" s="414">
        <f t="shared" si="72"/>
        <v>498</v>
      </c>
      <c r="I40" s="414">
        <f t="shared" si="72"/>
        <v>703.35801550833332</v>
      </c>
      <c r="J40" s="272">
        <f t="shared" ref="J40:S40" si="73">I40*(1+J41)</f>
        <v>872.16393923033331</v>
      </c>
      <c r="K40" s="272">
        <f t="shared" si="73"/>
        <v>1072.76164525331</v>
      </c>
      <c r="L40" s="272">
        <f t="shared" si="73"/>
        <v>1308.7692072090381</v>
      </c>
      <c r="M40" s="272">
        <f t="shared" si="73"/>
        <v>1570.5230486508456</v>
      </c>
      <c r="N40" s="272">
        <f t="shared" si="73"/>
        <v>1868.9224278945062</v>
      </c>
      <c r="O40" s="272">
        <f t="shared" si="73"/>
        <v>2205.3284649155171</v>
      </c>
      <c r="P40" s="272">
        <f t="shared" si="73"/>
        <v>2580.2343039511547</v>
      </c>
      <c r="Q40" s="272">
        <f t="shared" si="73"/>
        <v>2993.0717925833392</v>
      </c>
      <c r="R40" s="272">
        <f t="shared" si="73"/>
        <v>3442.0325614708399</v>
      </c>
      <c r="S40" s="272">
        <f t="shared" si="73"/>
        <v>3923.9171200767573</v>
      </c>
      <c r="W40" s="179">
        <f t="shared" ref="W40:AP40" si="74">VLOOKUP($A40,CTRP,MATCH(W$5,Period_CTRP,FALSE),FALSE)</f>
        <v>10.799918069245463</v>
      </c>
      <c r="X40" s="179">
        <f t="shared" si="74"/>
        <v>12.329125298664406</v>
      </c>
      <c r="Y40" s="179">
        <f t="shared" si="74"/>
        <v>13.663567076249999</v>
      </c>
      <c r="Z40" s="179">
        <f t="shared" si="74"/>
        <v>14.479000070601103</v>
      </c>
      <c r="AA40" s="179">
        <f t="shared" si="74"/>
        <v>18.467859898409742</v>
      </c>
      <c r="AB40" s="179">
        <f t="shared" si="74"/>
        <v>22.562299296555867</v>
      </c>
      <c r="AC40" s="179">
        <f t="shared" si="74"/>
        <v>27.053862810974998</v>
      </c>
      <c r="AD40" s="179">
        <f t="shared" si="74"/>
        <v>29.247580142614229</v>
      </c>
      <c r="AE40" s="179">
        <f t="shared" si="74"/>
        <v>37.674434192755868</v>
      </c>
      <c r="AF40" s="179">
        <f t="shared" si="74"/>
        <v>46.478336550905091</v>
      </c>
      <c r="AG40" s="179">
        <f t="shared" si="74"/>
        <v>67.634657027437498</v>
      </c>
      <c r="AH40" s="179">
        <f t="shared" si="74"/>
        <v>67.634657027437498</v>
      </c>
      <c r="AI40" s="250">
        <f t="shared" si="74"/>
        <v>110</v>
      </c>
      <c r="AJ40" s="250">
        <f t="shared" si="74"/>
        <v>115</v>
      </c>
      <c r="AK40" s="250">
        <f t="shared" si="74"/>
        <v>140</v>
      </c>
      <c r="AL40" s="250">
        <f t="shared" si="74"/>
        <v>133</v>
      </c>
      <c r="AM40" s="250">
        <f t="shared" si="74"/>
        <v>158.4</v>
      </c>
      <c r="AN40" s="250">
        <f t="shared" si="74"/>
        <v>166.24057533333334</v>
      </c>
      <c r="AO40" s="250">
        <f t="shared" si="74"/>
        <v>195.89683479999999</v>
      </c>
      <c r="AP40" s="250">
        <f t="shared" si="74"/>
        <v>182.82060537500001</v>
      </c>
      <c r="AQ40" s="274">
        <f>AM40*(1+AQ41)</f>
        <v>185.328</v>
      </c>
      <c r="AR40" s="274">
        <f>AN40*(1+AR41)</f>
        <v>201.15109615333333</v>
      </c>
      <c r="AS40" s="274">
        <f>AO40*(1+AS41)</f>
        <v>246.830011848</v>
      </c>
      <c r="AT40" s="296">
        <f>J40-SUM(AQ40:AS40)</f>
        <v>238.85483122899996</v>
      </c>
      <c r="AU40" s="274">
        <f>AQ40*(1+AU41)</f>
        <v>250.19280000000003</v>
      </c>
      <c r="AV40" s="274">
        <f>AR40*(1+AV41)</f>
        <v>261.49642499933333</v>
      </c>
      <c r="AW40" s="274">
        <f>AS40*(1+AW41)</f>
        <v>296.19601421760001</v>
      </c>
      <c r="AX40" s="296">
        <f>K40-SUM(AU40:AW40)</f>
        <v>264.87640603637669</v>
      </c>
      <c r="AY40" s="62"/>
      <c r="AZ40" s="117"/>
    </row>
    <row r="41" spans="1:90" outlineLevel="1">
      <c r="A41" s="242"/>
      <c r="B41" s="12" t="s">
        <v>82</v>
      </c>
      <c r="C41" s="23"/>
      <c r="D41" s="322">
        <f t="shared" ref="D41:I41" si="75">(D40/C40-1)*1</f>
        <v>0.19000000000000017</v>
      </c>
      <c r="E41" s="322">
        <f t="shared" si="75"/>
        <v>0.32472700538244537</v>
      </c>
      <c r="F41" s="322">
        <f t="shared" si="75"/>
        <v>0.89835273695046669</v>
      </c>
      <c r="G41" s="322">
        <f t="shared" si="75"/>
        <v>1.2543765843249699</v>
      </c>
      <c r="H41" s="322">
        <f t="shared" si="75"/>
        <v>1.2695983426519826</v>
      </c>
      <c r="I41" s="322">
        <f t="shared" si="75"/>
        <v>0.41236549298862113</v>
      </c>
      <c r="J41" s="341">
        <v>0.24</v>
      </c>
      <c r="K41" s="341">
        <v>0.23</v>
      </c>
      <c r="L41" s="341">
        <v>0.22</v>
      </c>
      <c r="M41" s="341">
        <f>L41-2%</f>
        <v>0.2</v>
      </c>
      <c r="N41" s="341">
        <f t="shared" ref="N41:S41" si="76">M41-1%</f>
        <v>0.19</v>
      </c>
      <c r="O41" s="341">
        <f t="shared" si="76"/>
        <v>0.18</v>
      </c>
      <c r="P41" s="341">
        <f t="shared" si="76"/>
        <v>0.16999999999999998</v>
      </c>
      <c r="Q41" s="341">
        <f t="shared" si="76"/>
        <v>0.15999999999999998</v>
      </c>
      <c r="R41" s="341">
        <f t="shared" si="76"/>
        <v>0.14999999999999997</v>
      </c>
      <c r="S41" s="341">
        <f t="shared" si="76"/>
        <v>0.13999999999999996</v>
      </c>
      <c r="W41" s="322"/>
      <c r="X41" s="322"/>
      <c r="Y41" s="322"/>
      <c r="Z41" s="322"/>
      <c r="AA41" s="322">
        <f t="shared" ref="AA41:AM41" si="77">(AA40/W40-1)*1</f>
        <v>0.71000000000000019</v>
      </c>
      <c r="AB41" s="322">
        <f t="shared" si="77"/>
        <v>0.83000000000000029</v>
      </c>
      <c r="AC41" s="322">
        <f t="shared" si="77"/>
        <v>0.98</v>
      </c>
      <c r="AD41" s="322">
        <f t="shared" si="77"/>
        <v>1.02</v>
      </c>
      <c r="AE41" s="322">
        <f t="shared" si="77"/>
        <v>1.0399999999999996</v>
      </c>
      <c r="AF41" s="322">
        <f t="shared" si="77"/>
        <v>1.06</v>
      </c>
      <c r="AG41" s="322">
        <f t="shared" si="77"/>
        <v>1.5</v>
      </c>
      <c r="AH41" s="322">
        <f t="shared" si="77"/>
        <v>1.3124872792088751</v>
      </c>
      <c r="AI41" s="322">
        <f t="shared" si="77"/>
        <v>1.919751878348078</v>
      </c>
      <c r="AJ41" s="322">
        <f t="shared" si="77"/>
        <v>1.4742709944889487</v>
      </c>
      <c r="AK41" s="322">
        <f t="shared" si="77"/>
        <v>1.0699447022139239</v>
      </c>
      <c r="AL41" s="322">
        <f t="shared" si="77"/>
        <v>0.96644746710322793</v>
      </c>
      <c r="AM41" s="322">
        <f t="shared" si="77"/>
        <v>0.43999999999999995</v>
      </c>
      <c r="AN41" s="322">
        <f>(AN40/AJ40-1)*1</f>
        <v>0.44557022028985505</v>
      </c>
      <c r="AO41" s="322">
        <f>(AO40/AK40-1)*1</f>
        <v>0.39926310571428569</v>
      </c>
      <c r="AP41" s="322">
        <f>(AP40/AL40-1)*1</f>
        <v>0.37459101785714299</v>
      </c>
      <c r="AQ41" s="341">
        <v>0.17</v>
      </c>
      <c r="AR41" s="341">
        <v>0.21</v>
      </c>
      <c r="AS41" s="341">
        <v>0.26</v>
      </c>
      <c r="AT41" s="322">
        <f>(AT40/AP40-1)*1</f>
        <v>0.30649841542239198</v>
      </c>
      <c r="AU41" s="341">
        <v>0.35</v>
      </c>
      <c r="AV41" s="341">
        <v>0.3</v>
      </c>
      <c r="AW41" s="341">
        <v>0.2</v>
      </c>
      <c r="AX41" s="322">
        <f>(AX40/AT40-1)*1</f>
        <v>0.10894305412825744</v>
      </c>
      <c r="AY41" s="37"/>
      <c r="AZ41" s="37"/>
    </row>
    <row r="42" spans="1:90" outlineLevel="1">
      <c r="A42" s="242"/>
      <c r="B42" s="12" t="s">
        <v>83</v>
      </c>
      <c r="C42" s="23"/>
      <c r="D42" s="23"/>
      <c r="E42" s="23"/>
      <c r="F42" s="23"/>
      <c r="G42" s="238"/>
      <c r="H42" s="238"/>
      <c r="I42" s="238"/>
      <c r="J42" s="23"/>
      <c r="K42" s="23"/>
      <c r="L42" s="23"/>
      <c r="M42" s="23"/>
      <c r="N42" s="23"/>
      <c r="O42" s="23"/>
      <c r="P42" s="23"/>
      <c r="Q42" s="23"/>
      <c r="R42" s="23"/>
      <c r="S42" s="23"/>
      <c r="W42" s="322"/>
      <c r="X42" s="322">
        <f t="shared" ref="X42:AP42" si="78">(X40/W40-1)*1</f>
        <v>0.14159433614349459</v>
      </c>
      <c r="Y42" s="322">
        <f t="shared" si="78"/>
        <v>0.10823491085212278</v>
      </c>
      <c r="Z42" s="322">
        <f t="shared" si="78"/>
        <v>5.9679364092886766E-2</v>
      </c>
      <c r="AA42" s="322">
        <f t="shared" si="78"/>
        <v>0.27549276941491452</v>
      </c>
      <c r="AB42" s="322">
        <f t="shared" si="78"/>
        <v>0.22170621938163482</v>
      </c>
      <c r="AC42" s="322">
        <f t="shared" si="78"/>
        <v>0.19907383797114897</v>
      </c>
      <c r="AD42" s="322">
        <f t="shared" si="78"/>
        <v>8.1087028013955287E-2</v>
      </c>
      <c r="AE42" s="322">
        <f t="shared" si="78"/>
        <v>0.28812141069624997</v>
      </c>
      <c r="AF42" s="322">
        <f t="shared" si="78"/>
        <v>0.23368373133635689</v>
      </c>
      <c r="AG42" s="322">
        <f t="shared" si="78"/>
        <v>0.45518669656692823</v>
      </c>
      <c r="AH42" s="322">
        <f t="shared" si="78"/>
        <v>0</v>
      </c>
      <c r="AI42" s="322">
        <f t="shared" si="78"/>
        <v>0.62638512316808326</v>
      </c>
      <c r="AJ42" s="322">
        <f t="shared" si="78"/>
        <v>4.5454545454545414E-2</v>
      </c>
      <c r="AK42" s="322">
        <f t="shared" si="78"/>
        <v>0.21739130434782616</v>
      </c>
      <c r="AL42" s="322">
        <f t="shared" si="78"/>
        <v>-5.0000000000000044E-2</v>
      </c>
      <c r="AM42" s="322">
        <f t="shared" si="78"/>
        <v>0.19097744360902258</v>
      </c>
      <c r="AN42" s="599">
        <f t="shared" si="78"/>
        <v>4.9498581649831674E-2</v>
      </c>
      <c r="AO42" s="322">
        <f t="shared" si="78"/>
        <v>0.17839362867460062</v>
      </c>
      <c r="AP42" s="322">
        <f t="shared" si="78"/>
        <v>-6.6750590627715378E-2</v>
      </c>
      <c r="AQ42" s="322">
        <f t="shared" ref="AQ42:AX42" si="79">(AQ40/AP40-1)*1</f>
        <v>1.371505482030777E-2</v>
      </c>
      <c r="AR42" s="322">
        <f t="shared" si="79"/>
        <v>8.5378875039569424E-2</v>
      </c>
      <c r="AS42" s="322">
        <f t="shared" si="79"/>
        <v>0.2270875802727248</v>
      </c>
      <c r="AT42" s="322">
        <f t="shared" si="79"/>
        <v>-3.2310417032719752E-2</v>
      </c>
      <c r="AU42" s="322">
        <f t="shared" si="79"/>
        <v>4.7468031995257842E-2</v>
      </c>
      <c r="AV42" s="322">
        <f t="shared" si="79"/>
        <v>4.5179657445511223E-2</v>
      </c>
      <c r="AW42" s="322">
        <f t="shared" si="79"/>
        <v>0.13269622794405378</v>
      </c>
      <c r="AX42" s="322">
        <f t="shared" si="79"/>
        <v>-0.10573946534680378</v>
      </c>
      <c r="AY42" s="5"/>
      <c r="AZ42" s="117"/>
    </row>
    <row r="43" spans="1:90" outlineLevel="1">
      <c r="A43" s="242"/>
      <c r="B43" s="336" t="s">
        <v>500</v>
      </c>
      <c r="C43" s="23"/>
      <c r="D43" s="23"/>
      <c r="E43" s="23"/>
      <c r="F43" s="23"/>
      <c r="G43" s="238"/>
      <c r="H43" s="238"/>
      <c r="I43" s="238"/>
      <c r="J43" s="23"/>
      <c r="K43" s="23"/>
      <c r="L43" s="23"/>
      <c r="M43" s="23"/>
      <c r="N43" s="23"/>
      <c r="O43" s="23"/>
      <c r="P43" s="23"/>
      <c r="Q43" s="23"/>
      <c r="R43" s="23"/>
      <c r="S43" s="23"/>
      <c r="W43" s="23"/>
      <c r="X43" s="23"/>
      <c r="Y43" s="23"/>
      <c r="Z43" s="23"/>
      <c r="AA43" s="23"/>
      <c r="AB43" s="23"/>
      <c r="AC43" s="23"/>
      <c r="AD43" s="23"/>
      <c r="AE43" s="334" t="s">
        <v>693</v>
      </c>
      <c r="AF43" s="178"/>
      <c r="AG43" s="178"/>
      <c r="AH43" s="178"/>
      <c r="AI43" s="178"/>
      <c r="AJ43" s="178"/>
      <c r="AK43" s="178"/>
      <c r="AL43" s="178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5"/>
      <c r="AZ43" s="5"/>
    </row>
    <row r="44" spans="1:90" outlineLevel="1">
      <c r="C44" s="23"/>
      <c r="D44" s="23"/>
      <c r="E44" s="23"/>
      <c r="F44" s="23"/>
      <c r="G44" s="238"/>
      <c r="H44" s="238"/>
      <c r="I44" s="238"/>
      <c r="J44" s="23"/>
      <c r="K44" s="23"/>
      <c r="L44" s="23"/>
      <c r="M44" s="23"/>
      <c r="N44" s="23"/>
      <c r="O44" s="23"/>
      <c r="P44" s="23"/>
      <c r="Q44" s="23"/>
      <c r="R44" s="23"/>
      <c r="S44" s="23"/>
      <c r="W44" s="23"/>
      <c r="X44" s="23"/>
      <c r="Y44" s="23"/>
      <c r="Z44" s="23"/>
      <c r="AA44" s="23"/>
      <c r="AB44" s="23"/>
      <c r="AC44" s="23"/>
      <c r="AD44" s="23"/>
      <c r="AE44" s="178"/>
      <c r="AF44" s="178"/>
      <c r="AG44" s="178"/>
      <c r="AH44" s="178"/>
      <c r="AI44" s="178"/>
      <c r="AJ44" s="178"/>
      <c r="AK44" s="178"/>
      <c r="AL44" s="178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5"/>
      <c r="AZ44" s="5"/>
    </row>
    <row r="45" spans="1:90" outlineLevel="1">
      <c r="A45" s="242" t="s">
        <v>147</v>
      </c>
      <c r="B45" s="13" t="s">
        <v>117</v>
      </c>
      <c r="C45" s="206">
        <f t="shared" ref="C45:I45" si="80">VLOOKUP($A45,CTRP,MATCH(C$5,Period_CTRP,FALSE),FALSE)</f>
        <v>44.186425489047714</v>
      </c>
      <c r="D45" s="206">
        <f t="shared" si="80"/>
        <v>43.67265549180869</v>
      </c>
      <c r="E45" s="206">
        <f t="shared" si="80"/>
        <v>42.163377301706319</v>
      </c>
      <c r="F45" s="206">
        <f t="shared" si="80"/>
        <v>30.309502965926495</v>
      </c>
      <c r="G45" s="206">
        <f t="shared" si="80"/>
        <v>20.29825645440097</v>
      </c>
      <c r="H45" s="415">
        <f t="shared" si="80"/>
        <v>17.723928857429719</v>
      </c>
      <c r="I45" s="415">
        <f t="shared" si="80"/>
        <v>17.375262281140813</v>
      </c>
      <c r="J45" s="273">
        <f t="shared" ref="J45:S45" si="81">I45*(1+J46)</f>
        <v>15.463983430215324</v>
      </c>
      <c r="K45" s="273">
        <f t="shared" si="81"/>
        <v>16.23718260172609</v>
      </c>
      <c r="L45" s="273">
        <f t="shared" si="81"/>
        <v>17.049041731812395</v>
      </c>
      <c r="M45" s="273">
        <f t="shared" si="81"/>
        <v>17.901493818403015</v>
      </c>
      <c r="N45" s="273">
        <f t="shared" si="81"/>
        <v>18.796568509323166</v>
      </c>
      <c r="O45" s="273">
        <f t="shared" si="81"/>
        <v>18.890551351869778</v>
      </c>
      <c r="P45" s="273">
        <f t="shared" si="81"/>
        <v>18.985004108629123</v>
      </c>
      <c r="Q45" s="273">
        <f t="shared" si="81"/>
        <v>19.079929129172267</v>
      </c>
      <c r="R45" s="273">
        <f t="shared" si="81"/>
        <v>19.175328774818126</v>
      </c>
      <c r="S45" s="273">
        <f t="shared" si="81"/>
        <v>19.271205418692215</v>
      </c>
      <c r="W45" s="179">
        <f t="shared" ref="W45:AP45" si="82">VLOOKUP($A45,CTRP,MATCH(W$5,Period_CTRP,FALSE),FALSE)</f>
        <v>42.26907288305879</v>
      </c>
      <c r="X45" s="179">
        <f t="shared" si="82"/>
        <v>42.339886922598545</v>
      </c>
      <c r="Y45" s="179">
        <f t="shared" si="82"/>
        <v>44.22507977805779</v>
      </c>
      <c r="Z45" s="179">
        <f t="shared" si="82"/>
        <v>39.988646811019926</v>
      </c>
      <c r="AA45" s="179">
        <f t="shared" si="82"/>
        <v>35.253960371231912</v>
      </c>
      <c r="AB45" s="179">
        <f t="shared" si="82"/>
        <v>32.156007349426019</v>
      </c>
      <c r="AC45" s="179">
        <f t="shared" si="82"/>
        <v>29.563132355189762</v>
      </c>
      <c r="AD45" s="179">
        <f t="shared" si="82"/>
        <v>26.453364354499548</v>
      </c>
      <c r="AE45" s="179">
        <f t="shared" si="82"/>
        <v>25.160505029754795</v>
      </c>
      <c r="AF45" s="179">
        <f t="shared" si="82"/>
        <v>22.646048505785075</v>
      </c>
      <c r="AG45" s="179">
        <f t="shared" si="82"/>
        <v>17.87528211327437</v>
      </c>
      <c r="AH45" s="179">
        <f t="shared" si="82"/>
        <v>18.399423811599515</v>
      </c>
      <c r="AI45" s="250">
        <f t="shared" si="82"/>
        <v>17.718210236363635</v>
      </c>
      <c r="AJ45" s="250">
        <f t="shared" si="82"/>
        <v>17.421102565217392</v>
      </c>
      <c r="AK45" s="250">
        <f t="shared" si="82"/>
        <v>17.340974492857143</v>
      </c>
      <c r="AL45" s="250">
        <f t="shared" si="82"/>
        <v>18.393610684210529</v>
      </c>
      <c r="AM45" s="250">
        <f t="shared" si="82"/>
        <v>18.152622133838381</v>
      </c>
      <c r="AN45" s="250">
        <f t="shared" si="82"/>
        <v>18</v>
      </c>
      <c r="AO45" s="250">
        <f t="shared" si="82"/>
        <v>17.5</v>
      </c>
      <c r="AP45" s="250">
        <f t="shared" si="82"/>
        <v>16</v>
      </c>
      <c r="AQ45" s="273">
        <f>AM45*(1+AQ46)</f>
        <v>15.520491924431816</v>
      </c>
      <c r="AR45" s="273">
        <f>AN45*(1+AR46)</f>
        <v>15.299999999999999</v>
      </c>
      <c r="AS45" s="273">
        <f>AO45*(1+AS46)</f>
        <v>15.75</v>
      </c>
      <c r="AT45" s="602">
        <f>AT35/AT40</f>
        <v>15.262670220268431</v>
      </c>
      <c r="AU45" s="273">
        <f>AQ45*(1+AU46)</f>
        <v>16.14131160140909</v>
      </c>
      <c r="AV45" s="273">
        <f>AR45*(1+AV46)</f>
        <v>16.065000000000001</v>
      </c>
      <c r="AW45" s="273">
        <f>AS45*(1+AW46)</f>
        <v>16.2225</v>
      </c>
      <c r="AX45" s="602">
        <f>AX35/AX40</f>
        <v>16.514143083083979</v>
      </c>
      <c r="AY45" s="5"/>
      <c r="AZ45" s="5"/>
    </row>
    <row r="46" spans="1:90" outlineLevel="1">
      <c r="A46" s="242"/>
      <c r="B46" s="12" t="s">
        <v>82</v>
      </c>
      <c r="C46" s="23"/>
      <c r="D46" s="322">
        <f t="shared" ref="D46:I46" si="83">(D45/C45-1)*1</f>
        <v>-1.1627326527382742E-2</v>
      </c>
      <c r="E46" s="322">
        <f t="shared" si="83"/>
        <v>-3.4558882969354943E-2</v>
      </c>
      <c r="F46" s="322">
        <f t="shared" si="83"/>
        <v>-0.28114148093397884</v>
      </c>
      <c r="G46" s="322">
        <f t="shared" si="83"/>
        <v>-0.33030058337743196</v>
      </c>
      <c r="H46" s="322">
        <f t="shared" si="83"/>
        <v>-0.12682506020920326</v>
      </c>
      <c r="I46" s="322">
        <f t="shared" si="83"/>
        <v>-1.9672081686490595E-2</v>
      </c>
      <c r="J46" s="333">
        <v>-0.11</v>
      </c>
      <c r="K46" s="333">
        <v>0.05</v>
      </c>
      <c r="L46" s="333">
        <f>K46</f>
        <v>0.05</v>
      </c>
      <c r="M46" s="333">
        <f>L46</f>
        <v>0.05</v>
      </c>
      <c r="N46" s="333">
        <f t="shared" ref="N46:S46" si="84">M46</f>
        <v>0.05</v>
      </c>
      <c r="O46" s="333">
        <v>5.0000000000000001E-3</v>
      </c>
      <c r="P46" s="333">
        <f t="shared" si="84"/>
        <v>5.0000000000000001E-3</v>
      </c>
      <c r="Q46" s="333">
        <f t="shared" si="84"/>
        <v>5.0000000000000001E-3</v>
      </c>
      <c r="R46" s="333">
        <f t="shared" si="84"/>
        <v>5.0000000000000001E-3</v>
      </c>
      <c r="S46" s="333">
        <f t="shared" si="84"/>
        <v>5.0000000000000001E-3</v>
      </c>
      <c r="W46" s="322"/>
      <c r="X46" s="322"/>
      <c r="Y46" s="322"/>
      <c r="Z46" s="322"/>
      <c r="AA46" s="322">
        <f t="shared" ref="AA46:AM46" si="85">(AA45/W45-1)*1</f>
        <v>-0.16596324530785955</v>
      </c>
      <c r="AB46" s="322">
        <f t="shared" si="85"/>
        <v>-0.24052684863777873</v>
      </c>
      <c r="AC46" s="322">
        <f t="shared" si="85"/>
        <v>-0.33153015204152403</v>
      </c>
      <c r="AD46" s="322">
        <f t="shared" si="85"/>
        <v>-0.33847813156784223</v>
      </c>
      <c r="AE46" s="322">
        <f t="shared" si="85"/>
        <v>-0.28630699175896335</v>
      </c>
      <c r="AF46" s="322">
        <f t="shared" si="85"/>
        <v>-0.29574439202915215</v>
      </c>
      <c r="AG46" s="322">
        <f t="shared" si="85"/>
        <v>-0.39535222795373404</v>
      </c>
      <c r="AH46" s="322">
        <f t="shared" si="85"/>
        <v>-0.30445808083122361</v>
      </c>
      <c r="AI46" s="322">
        <f t="shared" si="85"/>
        <v>-0.29579274281616796</v>
      </c>
      <c r="AJ46" s="322">
        <f t="shared" si="85"/>
        <v>-0.23072219152197515</v>
      </c>
      <c r="AK46" s="322">
        <f t="shared" si="85"/>
        <v>-2.9890863653583621E-2</v>
      </c>
      <c r="AL46" s="322">
        <f t="shared" si="85"/>
        <v>-3.1594072991136812E-4</v>
      </c>
      <c r="AM46" s="322">
        <f t="shared" si="85"/>
        <v>2.4517820461526618E-2</v>
      </c>
      <c r="AN46" s="322">
        <f>(AN45/AJ45-1)*1</f>
        <v>3.3229666871855912E-2</v>
      </c>
      <c r="AO46" s="322">
        <f>(AO45/AK45-1)*1</f>
        <v>9.1705057987578886E-3</v>
      </c>
      <c r="AP46" s="322">
        <f>(AP45/AL45-1)*1</f>
        <v>-0.13013272517859997</v>
      </c>
      <c r="AQ46" s="603">
        <v>-0.14499999999999999</v>
      </c>
      <c r="AR46" s="333">
        <v>-0.15</v>
      </c>
      <c r="AS46" s="333">
        <v>-0.1</v>
      </c>
      <c r="AT46" s="317">
        <f>(AT45/AP45-1)*1</f>
        <v>-4.6083111233223062E-2</v>
      </c>
      <c r="AU46" s="333">
        <v>0.04</v>
      </c>
      <c r="AV46" s="333">
        <v>0.05</v>
      </c>
      <c r="AW46" s="333">
        <v>0.03</v>
      </c>
      <c r="AX46" s="317">
        <f>(AX45/AT45-1)*1</f>
        <v>8.1995669483418743E-2</v>
      </c>
      <c r="AY46" s="37"/>
      <c r="AZ46" s="37"/>
    </row>
    <row r="47" spans="1:90" outlineLevel="1">
      <c r="A47" s="242"/>
      <c r="B47" s="12" t="s">
        <v>83</v>
      </c>
      <c r="C47" s="23"/>
      <c r="D47" s="23"/>
      <c r="E47" s="23"/>
      <c r="F47" s="23"/>
      <c r="G47" s="238"/>
      <c r="H47" s="238"/>
      <c r="I47" s="238"/>
      <c r="J47" s="23"/>
      <c r="K47" s="23"/>
      <c r="L47" s="23"/>
      <c r="M47" s="23"/>
      <c r="N47" s="23"/>
      <c r="O47" s="23"/>
      <c r="P47" s="23"/>
      <c r="Q47" s="23"/>
      <c r="R47" s="23"/>
      <c r="S47" s="23"/>
      <c r="W47" s="322"/>
      <c r="X47" s="322">
        <f t="shared" ref="X47:AE47" si="86">(X45/W45-1)*1</f>
        <v>1.6753156553888093E-3</v>
      </c>
      <c r="Y47" s="322">
        <f t="shared" si="86"/>
        <v>4.4525221782135693E-2</v>
      </c>
      <c r="Z47" s="322">
        <f t="shared" si="86"/>
        <v>-9.5792545503552984E-2</v>
      </c>
      <c r="AA47" s="322">
        <f t="shared" si="86"/>
        <v>-0.11840076665167987</v>
      </c>
      <c r="AB47" s="322">
        <f t="shared" si="86"/>
        <v>-8.7875319231762061E-2</v>
      </c>
      <c r="AC47" s="322">
        <f t="shared" si="86"/>
        <v>-8.0634233163979552E-2</v>
      </c>
      <c r="AD47" s="322">
        <f t="shared" si="86"/>
        <v>-0.10519074783170934</v>
      </c>
      <c r="AE47" s="322">
        <f t="shared" si="86"/>
        <v>-4.8873153048483498E-2</v>
      </c>
      <c r="AF47" s="322">
        <f t="shared" ref="AF47:AP47" si="87">(AF45/AE45-1)*1</f>
        <v>-9.993664757508347E-2</v>
      </c>
      <c r="AG47" s="322">
        <f t="shared" si="87"/>
        <v>-0.2106666154712149</v>
      </c>
      <c r="AH47" s="322">
        <f t="shared" si="87"/>
        <v>2.9322149715103718E-2</v>
      </c>
      <c r="AI47" s="322">
        <f t="shared" si="87"/>
        <v>-3.7023636294872597E-2</v>
      </c>
      <c r="AJ47" s="322">
        <f t="shared" si="87"/>
        <v>-1.6768492256428957E-2</v>
      </c>
      <c r="AK47" s="322">
        <f t="shared" si="87"/>
        <v>-4.5994834173258559E-3</v>
      </c>
      <c r="AL47" s="322">
        <f t="shared" si="87"/>
        <v>6.0702251294295628E-2</v>
      </c>
      <c r="AM47" s="322">
        <f t="shared" si="87"/>
        <v>-1.3101753348461198E-2</v>
      </c>
      <c r="AN47" s="599">
        <f t="shared" si="87"/>
        <v>-8.4077183292367019E-3</v>
      </c>
      <c r="AO47" s="322">
        <f t="shared" si="87"/>
        <v>-2.777777777777779E-2</v>
      </c>
      <c r="AP47" s="322">
        <f t="shared" si="87"/>
        <v>-8.5714285714285743E-2</v>
      </c>
      <c r="AQ47" s="322">
        <f t="shared" ref="AQ47:AX47" si="88">(AQ45/AP45-1)*1</f>
        <v>-2.9969254723011485E-2</v>
      </c>
      <c r="AR47" s="322">
        <f t="shared" si="88"/>
        <v>-1.4206503602165244E-2</v>
      </c>
      <c r="AS47" s="322">
        <f t="shared" si="88"/>
        <v>2.941176470588247E-2</v>
      </c>
      <c r="AT47" s="322">
        <f t="shared" si="88"/>
        <v>-3.0941573316290105E-2</v>
      </c>
      <c r="AU47" s="322">
        <f t="shared" si="88"/>
        <v>5.7567998814116228E-2</v>
      </c>
      <c r="AV47" s="322">
        <f t="shared" si="88"/>
        <v>-4.7277199829551808E-3</v>
      </c>
      <c r="AW47" s="322">
        <f t="shared" si="88"/>
        <v>9.8039215686274161E-3</v>
      </c>
      <c r="AX47" s="322">
        <f t="shared" si="88"/>
        <v>1.7977690435135196E-2</v>
      </c>
      <c r="AY47" s="5"/>
      <c r="AZ47" s="5"/>
    </row>
    <row r="48" spans="1:90" outlineLevel="1">
      <c r="A48" s="611"/>
      <c r="C48" s="23"/>
      <c r="D48" s="23"/>
      <c r="E48" s="23"/>
      <c r="F48" s="23"/>
      <c r="G48" s="238"/>
      <c r="H48" s="238"/>
      <c r="I48" s="238"/>
      <c r="J48" s="23"/>
      <c r="K48" s="23"/>
      <c r="L48" s="23"/>
      <c r="M48" s="23"/>
      <c r="N48" s="23"/>
      <c r="O48" s="23"/>
      <c r="P48" s="23"/>
      <c r="Q48" s="23"/>
      <c r="R48" s="23"/>
      <c r="S48" s="23"/>
      <c r="W48" s="23"/>
      <c r="X48" s="23"/>
      <c r="Y48" s="23"/>
      <c r="Z48" s="23"/>
      <c r="AA48" s="23"/>
      <c r="AB48" s="23"/>
      <c r="AC48" s="23"/>
      <c r="AD48" s="23"/>
      <c r="AE48" s="178"/>
      <c r="AF48" s="178"/>
      <c r="AG48" s="178"/>
      <c r="AH48" s="178"/>
      <c r="AI48" s="178"/>
      <c r="AJ48" s="178"/>
      <c r="AK48" s="178"/>
      <c r="AL48" s="178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5"/>
      <c r="AZ48" s="5"/>
    </row>
    <row r="49" spans="1:90" s="202" customFormat="1" outlineLevel="1">
      <c r="A49" s="258" t="s">
        <v>120</v>
      </c>
      <c r="B49" s="202" t="s">
        <v>119</v>
      </c>
      <c r="C49" s="262">
        <f t="shared" ref="C49:I49" si="89">VLOOKUP($A49,CTRP,MATCH(C$5,Period_CTRP,FALSE),FALSE)</f>
        <v>534.64018299999998</v>
      </c>
      <c r="D49" s="262">
        <f t="shared" si="89"/>
        <v>689.66063099999997</v>
      </c>
      <c r="E49" s="262">
        <f t="shared" si="89"/>
        <v>935.68472899999995</v>
      </c>
      <c r="F49" s="262">
        <f t="shared" si="89"/>
        <v>1055.369205</v>
      </c>
      <c r="G49" s="262">
        <f t="shared" si="89"/>
        <v>1667.94535</v>
      </c>
      <c r="H49" s="413">
        <f t="shared" si="89"/>
        <v>2310.1988940000001</v>
      </c>
      <c r="I49" s="413">
        <f t="shared" si="89"/>
        <v>2970.383429</v>
      </c>
      <c r="J49" s="264">
        <f t="shared" ref="J49:Q49" si="90">J54*J58</f>
        <v>3742.6831205399999</v>
      </c>
      <c r="K49" s="264">
        <f t="shared" si="90"/>
        <v>4566.0734070588005</v>
      </c>
      <c r="L49" s="264">
        <f t="shared" si="90"/>
        <v>5369.7023267011482</v>
      </c>
      <c r="M49" s="264">
        <f t="shared" si="90"/>
        <v>6125.7564143006703</v>
      </c>
      <c r="N49" s="264">
        <f t="shared" si="90"/>
        <v>6815.7616168074983</v>
      </c>
      <c r="O49" s="264">
        <f t="shared" si="90"/>
        <v>7429.9435276212562</v>
      </c>
      <c r="P49" s="264">
        <f t="shared" si="90"/>
        <v>7965.5651845500606</v>
      </c>
      <c r="Q49" s="264">
        <f t="shared" si="90"/>
        <v>8424.952710892574</v>
      </c>
      <c r="R49" s="264">
        <f>R54*R58</f>
        <v>8813.6576522987561</v>
      </c>
      <c r="S49" s="264">
        <f>S54*S58</f>
        <v>9138.9686563006308</v>
      </c>
      <c r="T49" s="265"/>
      <c r="U49" s="510">
        <f>(K49/I49)^(1/2)-1</f>
        <v>0.23983869918630951</v>
      </c>
      <c r="V49" s="265"/>
      <c r="W49" s="259">
        <f t="shared" ref="W49:AF49" si="91">VLOOKUP($A49,CTRP,MATCH(W$5,Period_CTRP,FALSE),FALSE)</f>
        <v>235.208743</v>
      </c>
      <c r="X49" s="259">
        <f t="shared" si="91"/>
        <v>187.02442500000001</v>
      </c>
      <c r="Y49" s="259">
        <f t="shared" si="91"/>
        <v>319.56615599999998</v>
      </c>
      <c r="Z49" s="259">
        <f t="shared" si="91"/>
        <v>193.88540499999999</v>
      </c>
      <c r="AA49" s="259">
        <f t="shared" si="91"/>
        <v>259.22054800000001</v>
      </c>
      <c r="AB49" s="259">
        <f t="shared" si="91"/>
        <v>205.141896</v>
      </c>
      <c r="AC49" s="259">
        <f t="shared" si="91"/>
        <v>357.64316100000002</v>
      </c>
      <c r="AD49" s="259">
        <f t="shared" si="91"/>
        <v>233.36359999999999</v>
      </c>
      <c r="AE49" s="260">
        <f t="shared" si="91"/>
        <v>395.91224399999999</v>
      </c>
      <c r="AF49" s="260">
        <f t="shared" si="91"/>
        <v>329.37398899999999</v>
      </c>
      <c r="AG49" s="260">
        <f t="shared" ref="AG49:AL49" si="92">VLOOKUP($A49,CTRP,MATCH(AG$5,Period_CTRP,FALSE),FALSE)</f>
        <v>593.10435199999995</v>
      </c>
      <c r="AH49" s="260">
        <f t="shared" si="92"/>
        <v>349.55476499999997</v>
      </c>
      <c r="AI49" s="262">
        <f t="shared" si="92"/>
        <v>556.49554000000001</v>
      </c>
      <c r="AJ49" s="262">
        <f t="shared" si="92"/>
        <v>473.93145299999998</v>
      </c>
      <c r="AK49" s="262">
        <f t="shared" si="92"/>
        <v>813.26097600000003</v>
      </c>
      <c r="AL49" s="262">
        <f t="shared" si="92"/>
        <v>466.51092499999999</v>
      </c>
      <c r="AM49" s="596">
        <f>VLOOKUP($A49,CTRP,MATCH(AM$5,Period_CTRP,FALSE),FALSE)</f>
        <v>701.832134</v>
      </c>
      <c r="AN49" s="596">
        <f>VLOOKUP($A49,CTRP,MATCH(AN$5,Period_CTRP,FALSE),FALSE)</f>
        <v>612.297777</v>
      </c>
      <c r="AO49" s="596">
        <f>VLOOKUP($A49,CTRP,MATCH(AO$5,Period_CTRP,FALSE),FALSE)</f>
        <v>1033.08854</v>
      </c>
      <c r="AP49" s="596">
        <f>VLOOKUP($A49,CTRP,MATCH(AP$5,Period_CTRP,FALSE),FALSE)</f>
        <v>623.16497800000002</v>
      </c>
      <c r="AQ49" s="264">
        <f>AQ54*AQ58</f>
        <v>786.05199008000011</v>
      </c>
      <c r="AR49" s="264">
        <f>AR54*AR58</f>
        <v>795.9871101</v>
      </c>
      <c r="AS49" s="264">
        <f>AS54*AS58</f>
        <v>1239.706248</v>
      </c>
      <c r="AT49" s="263">
        <f>J49-SUM(AQ49:AS49)</f>
        <v>920.9377723599996</v>
      </c>
      <c r="AU49" s="264">
        <f>AU54*AU58</f>
        <v>1021.8675871040001</v>
      </c>
      <c r="AV49" s="264">
        <f>AV54*AV58</f>
        <v>994.98388762499997</v>
      </c>
      <c r="AW49" s="264">
        <f>AW54*AW58</f>
        <v>1450.4563101599999</v>
      </c>
      <c r="AX49" s="263">
        <f>K49-SUM(AU49:AW49)</f>
        <v>1098.7656221698007</v>
      </c>
      <c r="AY49" s="22"/>
      <c r="AZ49" s="22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6"/>
      <c r="BQ49" s="266"/>
      <c r="BR49" s="266"/>
      <c r="BS49" s="266"/>
      <c r="BT49" s="266"/>
      <c r="BU49" s="266"/>
      <c r="BV49" s="266"/>
      <c r="BW49" s="266"/>
      <c r="BX49" s="266"/>
      <c r="BY49" s="266"/>
      <c r="BZ49" s="266"/>
      <c r="CA49" s="266"/>
      <c r="CF49" s="199"/>
      <c r="CG49" s="199"/>
      <c r="CH49" s="199"/>
      <c r="CI49" s="199"/>
      <c r="CJ49" s="199"/>
      <c r="CK49" s="200"/>
      <c r="CL49" s="201"/>
    </row>
    <row r="50" spans="1:90" outlineLevel="1">
      <c r="A50" s="242"/>
      <c r="B50" s="12" t="s">
        <v>82</v>
      </c>
      <c r="C50" s="322"/>
      <c r="D50" s="322">
        <f t="shared" ref="D50:S50" si="93">(D49/C49-1)*1</f>
        <v>0.28995285601269516</v>
      </c>
      <c r="E50" s="322">
        <f t="shared" si="93"/>
        <v>0.35673211858311804</v>
      </c>
      <c r="F50" s="322">
        <f t="shared" si="93"/>
        <v>0.12791111395812904</v>
      </c>
      <c r="G50" s="322">
        <f t="shared" si="93"/>
        <v>0.58043776727406038</v>
      </c>
      <c r="H50" s="322">
        <f>(H49/G49-1)*1</f>
        <v>0.38505670704378914</v>
      </c>
      <c r="I50" s="322">
        <f>(I49/H49-1)*1</f>
        <v>0.28576956586492064</v>
      </c>
      <c r="J50" s="322">
        <f t="shared" si="93"/>
        <v>0.26</v>
      </c>
      <c r="K50" s="322">
        <f t="shared" si="93"/>
        <v>0.2200000000000002</v>
      </c>
      <c r="L50" s="322">
        <f t="shared" si="93"/>
        <v>0.17599999999999971</v>
      </c>
      <c r="M50" s="322">
        <f t="shared" si="93"/>
        <v>0.14080000000000004</v>
      </c>
      <c r="N50" s="322">
        <f t="shared" si="93"/>
        <v>0.11264000000000007</v>
      </c>
      <c r="O50" s="322">
        <f t="shared" si="93"/>
        <v>9.0112000000000192E-2</v>
      </c>
      <c r="P50" s="322">
        <f t="shared" si="93"/>
        <v>7.2089599999999976E-2</v>
      </c>
      <c r="Q50" s="322">
        <f t="shared" si="93"/>
        <v>5.7671680000000114E-2</v>
      </c>
      <c r="R50" s="322">
        <f t="shared" si="93"/>
        <v>4.6137343999999914E-2</v>
      </c>
      <c r="S50" s="322">
        <f t="shared" si="93"/>
        <v>3.6909875200000331E-2</v>
      </c>
      <c r="W50" s="322"/>
      <c r="X50" s="322"/>
      <c r="Y50" s="322"/>
      <c r="Z50" s="322"/>
      <c r="AA50" s="322">
        <f t="shared" ref="AA50:AP50" si="94">(AA49/W49-1)*1</f>
        <v>0.10208721280399002</v>
      </c>
      <c r="AB50" s="322">
        <f t="shared" si="94"/>
        <v>9.6872218695499335E-2</v>
      </c>
      <c r="AC50" s="322">
        <f t="shared" si="94"/>
        <v>0.11915218268607908</v>
      </c>
      <c r="AD50" s="322">
        <f t="shared" si="94"/>
        <v>0.20361612572127341</v>
      </c>
      <c r="AE50" s="322">
        <f t="shared" si="94"/>
        <v>0.52731813528918225</v>
      </c>
      <c r="AF50" s="322">
        <f t="shared" si="94"/>
        <v>0.6055910344125901</v>
      </c>
      <c r="AG50" s="322">
        <f t="shared" si="94"/>
        <v>0.65836905797843537</v>
      </c>
      <c r="AH50" s="322">
        <f t="shared" si="94"/>
        <v>0.49789755128906132</v>
      </c>
      <c r="AI50" s="322">
        <f t="shared" si="94"/>
        <v>0.40560325787752105</v>
      </c>
      <c r="AJ50" s="322">
        <f t="shared" si="94"/>
        <v>0.43888548831340768</v>
      </c>
      <c r="AK50" s="322">
        <f t="shared" si="94"/>
        <v>0.37119374231130253</v>
      </c>
      <c r="AL50" s="322">
        <f t="shared" si="94"/>
        <v>0.33458608410044133</v>
      </c>
      <c r="AM50" s="322">
        <f t="shared" si="94"/>
        <v>0.26116398704650901</v>
      </c>
      <c r="AN50" s="322">
        <f t="shared" si="94"/>
        <v>0.29195429660584282</v>
      </c>
      <c r="AO50" s="322">
        <f t="shared" si="94"/>
        <v>0.27030383909629507</v>
      </c>
      <c r="AP50" s="322">
        <f t="shared" si="94"/>
        <v>0.33579932345635854</v>
      </c>
      <c r="AQ50" s="322">
        <f t="shared" ref="AQ50:AX50" si="95">(AQ49/AM49-1)*1</f>
        <v>0.12000000000000011</v>
      </c>
      <c r="AR50" s="322">
        <f t="shared" si="95"/>
        <v>0.30000000000000004</v>
      </c>
      <c r="AS50" s="322">
        <f t="shared" si="95"/>
        <v>0.19999999999999996</v>
      </c>
      <c r="AT50" s="322">
        <f t="shared" si="95"/>
        <v>0.47783942434582638</v>
      </c>
      <c r="AU50" s="322">
        <f t="shared" si="95"/>
        <v>0.30000000000000004</v>
      </c>
      <c r="AV50" s="322">
        <f t="shared" si="95"/>
        <v>0.25</v>
      </c>
      <c r="AW50" s="322">
        <f t="shared" si="95"/>
        <v>0.16999999999999993</v>
      </c>
      <c r="AX50" s="322">
        <f t="shared" si="95"/>
        <v>0.19309431662695142</v>
      </c>
      <c r="AY50" s="117"/>
      <c r="AZ50" s="117"/>
    </row>
    <row r="51" spans="1:90" outlineLevel="1">
      <c r="A51" s="242"/>
      <c r="B51" s="12" t="s">
        <v>83</v>
      </c>
      <c r="C51" s="322"/>
      <c r="D51" s="322"/>
      <c r="E51" s="322"/>
      <c r="F51" s="322"/>
      <c r="G51" s="239"/>
      <c r="H51" s="239"/>
      <c r="I51" s="239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W51" s="322"/>
      <c r="X51" s="322">
        <f t="shared" ref="X51:AP51" si="96">(X49/W49-1)*1</f>
        <v>-0.20485768252245617</v>
      </c>
      <c r="Y51" s="322">
        <f t="shared" si="96"/>
        <v>0.70868674506017038</v>
      </c>
      <c r="Z51" s="322">
        <f t="shared" si="96"/>
        <v>-0.3932855486736837</v>
      </c>
      <c r="AA51" s="322">
        <f t="shared" si="96"/>
        <v>0.33697813922610642</v>
      </c>
      <c r="AB51" s="322">
        <f t="shared" si="96"/>
        <v>-0.20862023638650751</v>
      </c>
      <c r="AC51" s="322">
        <f t="shared" si="96"/>
        <v>0.74339405052588581</v>
      </c>
      <c r="AD51" s="322">
        <f t="shared" si="96"/>
        <v>-0.34749598077733135</v>
      </c>
      <c r="AE51" s="322">
        <f t="shared" si="96"/>
        <v>0.69654669365745137</v>
      </c>
      <c r="AF51" s="322">
        <f t="shared" si="96"/>
        <v>-0.16806314027509595</v>
      </c>
      <c r="AG51" s="322">
        <f t="shared" si="96"/>
        <v>0.80070185202147193</v>
      </c>
      <c r="AH51" s="322">
        <f t="shared" si="96"/>
        <v>-0.41063530587615715</v>
      </c>
      <c r="AI51" s="322">
        <f t="shared" si="96"/>
        <v>0.59201245618837461</v>
      </c>
      <c r="AJ51" s="322">
        <f t="shared" si="96"/>
        <v>-0.14836432831069957</v>
      </c>
      <c r="AK51" s="322">
        <f t="shared" si="96"/>
        <v>0.71598861154294413</v>
      </c>
      <c r="AL51" s="322">
        <f t="shared" si="96"/>
        <v>-0.42636996146732609</v>
      </c>
      <c r="AM51" s="322">
        <f t="shared" si="96"/>
        <v>0.50442807743462814</v>
      </c>
      <c r="AN51" s="322">
        <f t="shared" si="96"/>
        <v>-0.12757232486593439</v>
      </c>
      <c r="AO51" s="322">
        <f t="shared" si="96"/>
        <v>0.68723222393799399</v>
      </c>
      <c r="AP51" s="322">
        <f t="shared" si="96"/>
        <v>-0.39679422056119218</v>
      </c>
      <c r="AQ51" s="322">
        <f t="shared" ref="AQ51:AX51" si="97">(AQ49/AP49-1)*1</f>
        <v>0.26138665976187148</v>
      </c>
      <c r="AR51" s="322">
        <f t="shared" si="97"/>
        <v>1.2639265780611808E-2</v>
      </c>
      <c r="AS51" s="322">
        <f t="shared" si="97"/>
        <v>0.55744512978891758</v>
      </c>
      <c r="AT51" s="322">
        <f t="shared" si="97"/>
        <v>-0.2571322651267306</v>
      </c>
      <c r="AU51" s="322">
        <f t="shared" si="97"/>
        <v>0.10959460864044845</v>
      </c>
      <c r="AV51" s="322">
        <f t="shared" si="97"/>
        <v>-2.6308398287873347E-2</v>
      </c>
      <c r="AW51" s="322">
        <f t="shared" si="97"/>
        <v>0.45776864148242691</v>
      </c>
      <c r="AX51" s="322">
        <f t="shared" si="97"/>
        <v>-0.24246899787791898</v>
      </c>
      <c r="AY51" s="117"/>
      <c r="AZ51" s="117"/>
    </row>
    <row r="52" spans="1:90" outlineLevel="1">
      <c r="B52" s="186" t="s">
        <v>500</v>
      </c>
      <c r="C52" s="23"/>
      <c r="D52" s="23"/>
      <c r="E52" s="23"/>
      <c r="F52" s="23"/>
      <c r="G52" s="238"/>
      <c r="H52" s="238"/>
      <c r="I52" s="238"/>
      <c r="J52" s="257" t="s">
        <v>803</v>
      </c>
      <c r="K52" s="23"/>
      <c r="L52" s="23"/>
      <c r="M52" s="23"/>
      <c r="N52" s="23"/>
      <c r="O52" s="23"/>
      <c r="P52" s="23"/>
      <c r="Q52" s="23"/>
      <c r="R52" s="23"/>
      <c r="S52" s="23"/>
      <c r="W52" s="255"/>
      <c r="X52" s="255"/>
      <c r="Y52" s="255"/>
      <c r="Z52" s="255"/>
      <c r="AA52" s="255"/>
      <c r="AB52" s="255"/>
      <c r="AC52" s="255"/>
      <c r="AD52" s="255"/>
      <c r="AE52" s="257" t="s">
        <v>686</v>
      </c>
      <c r="AF52" s="257"/>
      <c r="AG52" s="257" t="s">
        <v>685</v>
      </c>
      <c r="AH52" s="257" t="s">
        <v>685</v>
      </c>
      <c r="AI52" s="257" t="s">
        <v>686</v>
      </c>
      <c r="AJ52" s="257" t="s">
        <v>694</v>
      </c>
      <c r="AK52" s="257" t="s">
        <v>695</v>
      </c>
      <c r="AL52" s="257" t="s">
        <v>771</v>
      </c>
      <c r="AM52" s="257" t="s">
        <v>770</v>
      </c>
      <c r="AN52" s="447" t="s">
        <v>770</v>
      </c>
      <c r="AO52" s="447" t="s">
        <v>803</v>
      </c>
      <c r="AP52" s="267" t="s">
        <v>577</v>
      </c>
      <c r="AQ52" s="267" t="s">
        <v>851</v>
      </c>
      <c r="AR52" s="255"/>
      <c r="AS52" s="255"/>
      <c r="AT52" s="255"/>
      <c r="AU52" s="255"/>
      <c r="AV52" s="255"/>
      <c r="AW52" s="255"/>
      <c r="AX52" s="255"/>
      <c r="AY52" s="5"/>
      <c r="AZ52" s="5"/>
    </row>
    <row r="53" spans="1:90" outlineLevel="1">
      <c r="C53" s="23"/>
      <c r="D53" s="23"/>
      <c r="E53" s="23"/>
      <c r="F53" s="23"/>
      <c r="G53" s="238"/>
      <c r="H53" s="238"/>
      <c r="I53" s="238"/>
      <c r="J53" s="23"/>
      <c r="K53" s="23"/>
      <c r="L53" s="23"/>
      <c r="M53" s="23"/>
      <c r="N53" s="23"/>
      <c r="O53" s="23"/>
      <c r="P53" s="23"/>
      <c r="Q53" s="23"/>
      <c r="R53" s="23"/>
      <c r="S53" s="23"/>
      <c r="W53" s="23"/>
      <c r="X53" s="23"/>
      <c r="Y53" s="23"/>
      <c r="Z53" s="23"/>
      <c r="AA53" s="23"/>
      <c r="AB53" s="23"/>
      <c r="AC53" s="23"/>
      <c r="AD53" s="23"/>
      <c r="AE53" s="178"/>
      <c r="AF53" s="178"/>
      <c r="AG53" s="178"/>
      <c r="AH53" s="178"/>
      <c r="AI53" s="178"/>
      <c r="AJ53" s="178"/>
      <c r="AK53" s="178"/>
      <c r="AL53" s="178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5"/>
      <c r="AZ53" s="5"/>
    </row>
    <row r="54" spans="1:90" outlineLevel="1">
      <c r="A54" s="242" t="s">
        <v>130</v>
      </c>
      <c r="B54" s="12" t="s">
        <v>121</v>
      </c>
      <c r="C54" s="203">
        <f t="shared" ref="C54:I54" si="98">VLOOKUP($A54,CTRP,MATCH(C$5,Period_CTRP,FALSE),FALSE)</f>
        <v>4455.3348583333336</v>
      </c>
      <c r="D54" s="203">
        <f t="shared" si="98"/>
        <v>5747.1719249999996</v>
      </c>
      <c r="E54" s="203">
        <f t="shared" si="98"/>
        <v>7797.3727416666661</v>
      </c>
      <c r="F54" s="203">
        <f t="shared" si="98"/>
        <v>10553.69205</v>
      </c>
      <c r="G54" s="203">
        <f t="shared" si="98"/>
        <v>18532.726111111111</v>
      </c>
      <c r="H54" s="414">
        <f t="shared" si="98"/>
        <v>28877.486175000002</v>
      </c>
      <c r="I54" s="414">
        <f t="shared" si="98"/>
        <v>42434.048985714282</v>
      </c>
      <c r="J54" s="272">
        <f t="shared" ref="J54:S54" si="99">I54*(1+J55)</f>
        <v>53466.901721999995</v>
      </c>
      <c r="K54" s="272">
        <f t="shared" si="99"/>
        <v>65229.620100839995</v>
      </c>
      <c r="L54" s="272">
        <f t="shared" si="99"/>
        <v>76710.033238587828</v>
      </c>
      <c r="M54" s="272">
        <f t="shared" si="99"/>
        <v>87510.805918580998</v>
      </c>
      <c r="N54" s="272">
        <f t="shared" si="99"/>
        <v>97368.02309724997</v>
      </c>
      <c r="O54" s="272">
        <f t="shared" si="99"/>
        <v>106142.05039458936</v>
      </c>
      <c r="P54" s="272">
        <f t="shared" si="99"/>
        <v>113793.78835071514</v>
      </c>
      <c r="Q54" s="272">
        <f t="shared" si="99"/>
        <v>120356.46729846533</v>
      </c>
      <c r="R54" s="272">
        <f t="shared" si="99"/>
        <v>125909.39503283937</v>
      </c>
      <c r="S54" s="272">
        <f t="shared" si="99"/>
        <v>130556.69509000899</v>
      </c>
      <c r="W54" s="250">
        <f t="shared" ref="W54:AL54" si="100">VLOOKUP($A54,CTRP,MATCH(W$5,Period_CTRP,FALSE),FALSE)</f>
        <v>1960.0728583333334</v>
      </c>
      <c r="X54" s="250">
        <f t="shared" si="100"/>
        <v>1558.5368750000002</v>
      </c>
      <c r="Y54" s="250">
        <f t="shared" si="100"/>
        <v>2663.0513000000001</v>
      </c>
      <c r="Z54" s="250">
        <f t="shared" si="100"/>
        <v>1615.7117083333333</v>
      </c>
      <c r="AA54" s="250">
        <f t="shared" si="100"/>
        <v>2592.2054800000001</v>
      </c>
      <c r="AB54" s="250">
        <f t="shared" si="100"/>
        <v>2051.41896</v>
      </c>
      <c r="AC54" s="250">
        <f t="shared" si="100"/>
        <v>3576.4316100000001</v>
      </c>
      <c r="AD54" s="250">
        <f t="shared" si="100"/>
        <v>2333.636</v>
      </c>
      <c r="AE54" s="179">
        <f t="shared" si="100"/>
        <v>4399.0249333333331</v>
      </c>
      <c r="AF54" s="179">
        <f t="shared" si="100"/>
        <v>3659.710988888889</v>
      </c>
      <c r="AG54" s="179">
        <f t="shared" si="100"/>
        <v>6590.0483555555556</v>
      </c>
      <c r="AH54" s="179">
        <f t="shared" si="100"/>
        <v>3883.9418333333333</v>
      </c>
      <c r="AI54" s="250">
        <f t="shared" si="100"/>
        <v>6956.1942499999996</v>
      </c>
      <c r="AJ54" s="250">
        <f t="shared" si="100"/>
        <v>5924.1431624999996</v>
      </c>
      <c r="AK54" s="250">
        <f t="shared" si="100"/>
        <v>10165.762200000001</v>
      </c>
      <c r="AL54" s="250">
        <f t="shared" si="100"/>
        <v>5831.3865624999999</v>
      </c>
      <c r="AM54" s="280">
        <f>VLOOKUP($A54,CTRP,MATCH(AM$5,Period_CTRP,FALSE),FALSE)</f>
        <v>10026.173342857142</v>
      </c>
      <c r="AN54" s="280">
        <f>VLOOKUP($A54,CTRP,MATCH(AN$5,Period_CTRP,FALSE),FALSE)</f>
        <v>8747.1110999999983</v>
      </c>
      <c r="AO54" s="280">
        <f>VLOOKUP($A54,CTRP,MATCH(AO$5,Period_CTRP,FALSE),FALSE)</f>
        <v>14758.407714285713</v>
      </c>
      <c r="AP54" s="280">
        <f>VLOOKUP($A54,CTRP,MATCH(AP$5,Period_CTRP,FALSE),FALSE)</f>
        <v>8902.3568285714282</v>
      </c>
      <c r="AQ54" s="274">
        <f>AM54*(1+AQ55)</f>
        <v>11229.314144</v>
      </c>
      <c r="AR54" s="274">
        <f>AN54*(1+AR55)</f>
        <v>11371.244429999999</v>
      </c>
      <c r="AS54" s="274">
        <f>AO54*(1+AS55)</f>
        <v>17710.089257142856</v>
      </c>
      <c r="AT54" s="296">
        <f>J54-SUM(AQ54:AS54)</f>
        <v>13156.253890857144</v>
      </c>
      <c r="AU54" s="274">
        <f>AQ54*(1+AU55)</f>
        <v>14598.1083872</v>
      </c>
      <c r="AV54" s="274">
        <f>AR54*(1+AV55)</f>
        <v>14214.055537499999</v>
      </c>
      <c r="AW54" s="274">
        <f>AS54*(1+AW55)</f>
        <v>20720.804430857141</v>
      </c>
      <c r="AX54" s="296">
        <f>K54-SUM(AU54:AW54)</f>
        <v>15696.651745282856</v>
      </c>
      <c r="AY54" s="62"/>
      <c r="AZ54" s="62"/>
    </row>
    <row r="55" spans="1:90" outlineLevel="1">
      <c r="A55" s="242"/>
      <c r="B55" s="12" t="s">
        <v>82</v>
      </c>
      <c r="C55" s="23"/>
      <c r="D55" s="322">
        <f t="shared" ref="D55:I55" si="101">(D54/C54-1)*1</f>
        <v>0.28995285601269494</v>
      </c>
      <c r="E55" s="322">
        <f t="shared" si="101"/>
        <v>0.35673211858311804</v>
      </c>
      <c r="F55" s="322">
        <f t="shared" si="101"/>
        <v>0.35349333674975481</v>
      </c>
      <c r="G55" s="322">
        <f t="shared" si="101"/>
        <v>0.75604196363784482</v>
      </c>
      <c r="H55" s="322">
        <f t="shared" si="101"/>
        <v>0.55818879542426258</v>
      </c>
      <c r="I55" s="322">
        <f t="shared" si="101"/>
        <v>0.46945093241705194</v>
      </c>
      <c r="J55" s="341">
        <v>0.26</v>
      </c>
      <c r="K55" s="341">
        <v>0.22</v>
      </c>
      <c r="L55" s="341">
        <f>K55*0.8</f>
        <v>0.17600000000000002</v>
      </c>
      <c r="M55" s="341">
        <f t="shared" ref="M55:S55" si="102">L55*0.8</f>
        <v>0.14080000000000001</v>
      </c>
      <c r="N55" s="341">
        <f t="shared" si="102"/>
        <v>0.11264000000000002</v>
      </c>
      <c r="O55" s="341">
        <f t="shared" si="102"/>
        <v>9.0112000000000025E-2</v>
      </c>
      <c r="P55" s="341">
        <f t="shared" si="102"/>
        <v>7.2089600000000018E-2</v>
      </c>
      <c r="Q55" s="341">
        <f t="shared" si="102"/>
        <v>5.7671680000000017E-2</v>
      </c>
      <c r="R55" s="341">
        <f t="shared" si="102"/>
        <v>4.6137344000000018E-2</v>
      </c>
      <c r="S55" s="341">
        <f t="shared" si="102"/>
        <v>3.6909875200000018E-2</v>
      </c>
      <c r="W55" s="322"/>
      <c r="X55" s="322"/>
      <c r="Y55" s="322"/>
      <c r="Z55" s="322"/>
      <c r="AA55" s="322">
        <f t="shared" ref="AA55:AP55" si="103">(AA54/W54-1)*1</f>
        <v>0.3225046553647879</v>
      </c>
      <c r="AB55" s="322">
        <f t="shared" si="103"/>
        <v>0.31624666243459898</v>
      </c>
      <c r="AC55" s="322">
        <f t="shared" si="103"/>
        <v>0.34298261922329476</v>
      </c>
      <c r="AD55" s="322">
        <f t="shared" si="103"/>
        <v>0.444339350865528</v>
      </c>
      <c r="AE55" s="322">
        <f t="shared" si="103"/>
        <v>0.69702015032131359</v>
      </c>
      <c r="AF55" s="322">
        <f t="shared" si="103"/>
        <v>0.7839900382362115</v>
      </c>
      <c r="AG55" s="322">
        <f t="shared" si="103"/>
        <v>0.84263228664270629</v>
      </c>
      <c r="AH55" s="322">
        <f t="shared" si="103"/>
        <v>0.66433061254340142</v>
      </c>
      <c r="AI55" s="322">
        <f t="shared" si="103"/>
        <v>0.58130366511221099</v>
      </c>
      <c r="AJ55" s="322">
        <f t="shared" si="103"/>
        <v>0.6187461743525835</v>
      </c>
      <c r="AK55" s="322">
        <f t="shared" si="103"/>
        <v>0.54259296010021529</v>
      </c>
      <c r="AL55" s="322">
        <f t="shared" si="103"/>
        <v>0.50140934461299635</v>
      </c>
      <c r="AM55" s="322">
        <f t="shared" si="103"/>
        <v>0.44133027091029597</v>
      </c>
      <c r="AN55" s="322">
        <f t="shared" si="103"/>
        <v>0.47651919612096294</v>
      </c>
      <c r="AO55" s="322">
        <f t="shared" si="103"/>
        <v>0.45177581611005135</v>
      </c>
      <c r="AP55" s="322">
        <f t="shared" si="103"/>
        <v>0.52662779823583827</v>
      </c>
      <c r="AQ55" s="341">
        <v>0.12</v>
      </c>
      <c r="AR55" s="341">
        <v>0.3</v>
      </c>
      <c r="AS55" s="341">
        <v>0.2</v>
      </c>
      <c r="AT55" s="322">
        <f>(AT54/AP54-1)*1</f>
        <v>0.47783942434582727</v>
      </c>
      <c r="AU55" s="341">
        <v>0.3</v>
      </c>
      <c r="AV55" s="341">
        <v>0.25</v>
      </c>
      <c r="AW55" s="341">
        <v>0.17</v>
      </c>
      <c r="AX55" s="322">
        <f>(AX54/AT54-1)*1</f>
        <v>0.19309431662694987</v>
      </c>
      <c r="AY55" s="37"/>
      <c r="AZ55" s="37"/>
    </row>
    <row r="56" spans="1:90" outlineLevel="1">
      <c r="A56" s="242"/>
      <c r="B56" s="12" t="s">
        <v>83</v>
      </c>
      <c r="C56" s="23"/>
      <c r="D56" s="23"/>
      <c r="E56" s="23"/>
      <c r="F56" s="23"/>
      <c r="G56" s="238"/>
      <c r="H56" s="238"/>
      <c r="I56" s="238"/>
      <c r="J56" s="23"/>
      <c r="K56" s="23"/>
      <c r="L56" s="23"/>
      <c r="M56" s="23"/>
      <c r="N56" s="23"/>
      <c r="O56" s="23"/>
      <c r="P56" s="23"/>
      <c r="Q56" s="23"/>
      <c r="R56" s="23"/>
      <c r="S56" s="23"/>
      <c r="W56" s="322"/>
      <c r="X56" s="322">
        <f t="shared" ref="X56:AP56" si="104">(X54/W54-1)*1</f>
        <v>-0.20485768252245617</v>
      </c>
      <c r="Y56" s="322">
        <f t="shared" si="104"/>
        <v>0.70868674506017038</v>
      </c>
      <c r="Z56" s="322">
        <f t="shared" si="104"/>
        <v>-0.3932855486736837</v>
      </c>
      <c r="AA56" s="322">
        <f t="shared" si="104"/>
        <v>0.60437376707132762</v>
      </c>
      <c r="AB56" s="322">
        <f t="shared" si="104"/>
        <v>-0.20862023638650751</v>
      </c>
      <c r="AC56" s="322">
        <f t="shared" si="104"/>
        <v>0.74339405052588581</v>
      </c>
      <c r="AD56" s="322">
        <f t="shared" si="104"/>
        <v>-0.34749598077733135</v>
      </c>
      <c r="AE56" s="322">
        <f t="shared" si="104"/>
        <v>0.88505188184161243</v>
      </c>
      <c r="AF56" s="322">
        <f t="shared" si="104"/>
        <v>-0.16806314027509583</v>
      </c>
      <c r="AG56" s="322">
        <f t="shared" si="104"/>
        <v>0.80070185202147215</v>
      </c>
      <c r="AH56" s="322">
        <f t="shared" si="104"/>
        <v>-0.41063530587615715</v>
      </c>
      <c r="AI56" s="322">
        <f t="shared" si="104"/>
        <v>0.791014013211921</v>
      </c>
      <c r="AJ56" s="322">
        <f t="shared" si="104"/>
        <v>-0.14836432831069946</v>
      </c>
      <c r="AK56" s="322">
        <f t="shared" si="104"/>
        <v>0.71598861154294435</v>
      </c>
      <c r="AL56" s="322">
        <f t="shared" si="104"/>
        <v>-0.4263699614673262</v>
      </c>
      <c r="AM56" s="322">
        <f t="shared" si="104"/>
        <v>0.71934637421100356</v>
      </c>
      <c r="AN56" s="322">
        <f t="shared" si="104"/>
        <v>-0.12757232486593451</v>
      </c>
      <c r="AO56" s="322">
        <f t="shared" si="104"/>
        <v>0.68723222393799444</v>
      </c>
      <c r="AP56" s="322">
        <f t="shared" si="104"/>
        <v>-0.39679422056119218</v>
      </c>
      <c r="AQ56" s="322">
        <f t="shared" ref="AQ56:AX56" si="105">(AQ54/AP54-1)*1</f>
        <v>0.26138665976187125</v>
      </c>
      <c r="AR56" s="322">
        <f t="shared" si="105"/>
        <v>1.2639265780611808E-2</v>
      </c>
      <c r="AS56" s="322">
        <f t="shared" si="105"/>
        <v>0.5574451297889178</v>
      </c>
      <c r="AT56" s="322">
        <f t="shared" si="105"/>
        <v>-0.25713226512673015</v>
      </c>
      <c r="AU56" s="322">
        <f t="shared" si="105"/>
        <v>0.10959460864044779</v>
      </c>
      <c r="AV56" s="322">
        <f t="shared" si="105"/>
        <v>-2.6308398287873347E-2</v>
      </c>
      <c r="AW56" s="322">
        <f t="shared" si="105"/>
        <v>0.45776864148242691</v>
      </c>
      <c r="AX56" s="322">
        <f t="shared" si="105"/>
        <v>-0.24246899787791953</v>
      </c>
      <c r="AY56" s="5"/>
      <c r="AZ56" s="5"/>
    </row>
    <row r="57" spans="1:90" outlineLevel="1">
      <c r="A57" s="242"/>
      <c r="B57" s="13"/>
      <c r="C57" s="23"/>
      <c r="D57" s="23"/>
      <c r="E57" s="23"/>
      <c r="F57" s="23"/>
      <c r="G57" s="238"/>
      <c r="H57" s="238"/>
      <c r="I57" s="238"/>
      <c r="J57" s="23"/>
      <c r="K57" s="23"/>
      <c r="L57" s="23"/>
      <c r="M57" s="23"/>
      <c r="N57" s="23"/>
      <c r="O57" s="23"/>
      <c r="P57" s="23"/>
      <c r="Q57" s="23"/>
      <c r="R57" s="23"/>
      <c r="S57" s="23"/>
      <c r="W57" s="23"/>
      <c r="X57" s="23"/>
      <c r="Y57" s="23"/>
      <c r="Z57" s="23"/>
      <c r="AA57" s="23"/>
      <c r="AB57" s="23"/>
      <c r="AC57" s="23"/>
      <c r="AD57" s="23"/>
      <c r="AE57" s="178"/>
      <c r="AF57" s="178"/>
      <c r="AG57" s="178"/>
      <c r="AH57" s="178"/>
      <c r="AI57" s="178"/>
      <c r="AJ57" s="178"/>
      <c r="AK57" s="178"/>
      <c r="AL57" s="178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5"/>
      <c r="AZ57" s="5"/>
    </row>
    <row r="58" spans="1:90" outlineLevel="1">
      <c r="A58" s="242" t="s">
        <v>149</v>
      </c>
      <c r="B58" s="12" t="s">
        <v>122</v>
      </c>
      <c r="C58" s="321">
        <f t="shared" ref="C58:I58" si="106">VLOOKUP($A58,CTRP,MATCH(C$5,Period_CTRP,FALSE),FALSE)</f>
        <v>0.12</v>
      </c>
      <c r="D58" s="321">
        <f t="shared" si="106"/>
        <v>0.12</v>
      </c>
      <c r="E58" s="321">
        <f t="shared" si="106"/>
        <v>0.12</v>
      </c>
      <c r="F58" s="321">
        <f t="shared" si="106"/>
        <v>0.1</v>
      </c>
      <c r="G58" s="321">
        <f t="shared" si="106"/>
        <v>0.09</v>
      </c>
      <c r="H58" s="416">
        <f t="shared" si="106"/>
        <v>0.08</v>
      </c>
      <c r="I58" s="416">
        <f t="shared" si="106"/>
        <v>7.0000000000000007E-2</v>
      </c>
      <c r="J58" s="341">
        <f t="shared" ref="J58:S58" si="107">I58</f>
        <v>7.0000000000000007E-2</v>
      </c>
      <c r="K58" s="341">
        <f t="shared" si="107"/>
        <v>7.0000000000000007E-2</v>
      </c>
      <c r="L58" s="341">
        <f t="shared" si="107"/>
        <v>7.0000000000000007E-2</v>
      </c>
      <c r="M58" s="341">
        <f t="shared" si="107"/>
        <v>7.0000000000000007E-2</v>
      </c>
      <c r="N58" s="341">
        <f t="shared" si="107"/>
        <v>7.0000000000000007E-2</v>
      </c>
      <c r="O58" s="341">
        <f t="shared" si="107"/>
        <v>7.0000000000000007E-2</v>
      </c>
      <c r="P58" s="341">
        <f t="shared" si="107"/>
        <v>7.0000000000000007E-2</v>
      </c>
      <c r="Q58" s="341">
        <f t="shared" si="107"/>
        <v>7.0000000000000007E-2</v>
      </c>
      <c r="R58" s="341">
        <f t="shared" si="107"/>
        <v>7.0000000000000007E-2</v>
      </c>
      <c r="S58" s="341">
        <f t="shared" si="107"/>
        <v>7.0000000000000007E-2</v>
      </c>
      <c r="W58" s="322">
        <f t="shared" ref="W58:AP58" si="108">VLOOKUP($A58,CTRP,MATCH(W$5,Period_CTRP,FALSE),FALSE)</f>
        <v>0.12</v>
      </c>
      <c r="X58" s="322">
        <f t="shared" si="108"/>
        <v>0.12</v>
      </c>
      <c r="Y58" s="322">
        <f t="shared" si="108"/>
        <v>0.12</v>
      </c>
      <c r="Z58" s="322">
        <f t="shared" si="108"/>
        <v>0.12</v>
      </c>
      <c r="AA58" s="322">
        <f t="shared" si="108"/>
        <v>0.1</v>
      </c>
      <c r="AB58" s="322">
        <f t="shared" si="108"/>
        <v>0.1</v>
      </c>
      <c r="AC58" s="322">
        <f t="shared" si="108"/>
        <v>0.1</v>
      </c>
      <c r="AD58" s="322">
        <f t="shared" si="108"/>
        <v>0.1</v>
      </c>
      <c r="AE58" s="322">
        <f t="shared" si="108"/>
        <v>0.09</v>
      </c>
      <c r="AF58" s="322">
        <f t="shared" si="108"/>
        <v>0.09</v>
      </c>
      <c r="AG58" s="322">
        <f t="shared" si="108"/>
        <v>0.09</v>
      </c>
      <c r="AH58" s="322">
        <f t="shared" si="108"/>
        <v>0.09</v>
      </c>
      <c r="AI58" s="322">
        <f t="shared" si="108"/>
        <v>0.08</v>
      </c>
      <c r="AJ58" s="322">
        <f t="shared" si="108"/>
        <v>0.08</v>
      </c>
      <c r="AK58" s="322">
        <f t="shared" si="108"/>
        <v>0.08</v>
      </c>
      <c r="AL58" s="322">
        <f t="shared" si="108"/>
        <v>0.08</v>
      </c>
      <c r="AM58" s="322">
        <f t="shared" si="108"/>
        <v>7.0000000000000007E-2</v>
      </c>
      <c r="AN58" s="322">
        <f t="shared" si="108"/>
        <v>7.0000000000000007E-2</v>
      </c>
      <c r="AO58" s="322">
        <f t="shared" si="108"/>
        <v>7.0000000000000007E-2</v>
      </c>
      <c r="AP58" s="322">
        <f t="shared" si="108"/>
        <v>7.0000000000000007E-2</v>
      </c>
      <c r="AQ58" s="341">
        <v>7.0000000000000007E-2</v>
      </c>
      <c r="AR58" s="341">
        <f>AQ58</f>
        <v>7.0000000000000007E-2</v>
      </c>
      <c r="AS58" s="341">
        <f>AR58</f>
        <v>7.0000000000000007E-2</v>
      </c>
      <c r="AT58" s="239">
        <f>AT49/AT54</f>
        <v>6.9999999999999965E-2</v>
      </c>
      <c r="AU58" s="341">
        <v>7.0000000000000007E-2</v>
      </c>
      <c r="AV58" s="341">
        <f>AU58</f>
        <v>7.0000000000000007E-2</v>
      </c>
      <c r="AW58" s="341">
        <f>AV58</f>
        <v>7.0000000000000007E-2</v>
      </c>
      <c r="AX58" s="239">
        <f>AX49/AX54</f>
        <v>7.0000000000000048E-2</v>
      </c>
      <c r="AY58" s="37"/>
      <c r="AZ58" s="37"/>
    </row>
    <row r="59" spans="1:90" outlineLevel="1">
      <c r="C59" s="23"/>
      <c r="D59" s="23"/>
      <c r="E59" s="23"/>
      <c r="F59" s="23"/>
      <c r="G59" s="238"/>
      <c r="H59" s="238"/>
      <c r="I59" s="238"/>
      <c r="J59" s="23"/>
      <c r="K59" s="23"/>
      <c r="L59" s="23"/>
      <c r="M59" s="23"/>
      <c r="N59" s="23"/>
      <c r="O59" s="23"/>
      <c r="P59" s="23"/>
      <c r="Q59" s="23"/>
      <c r="R59" s="23"/>
      <c r="S59" s="23"/>
      <c r="W59" s="23"/>
      <c r="X59" s="23"/>
      <c r="Y59" s="23"/>
      <c r="Z59" s="23"/>
      <c r="AA59" s="23"/>
      <c r="AB59" s="23"/>
      <c r="AC59" s="23"/>
      <c r="AD59" s="23"/>
      <c r="AE59" s="178"/>
      <c r="AF59" s="178"/>
      <c r="AG59" s="178"/>
      <c r="AH59" s="178"/>
      <c r="AI59" s="178"/>
      <c r="AJ59" s="178"/>
      <c r="AK59" s="178"/>
      <c r="AL59" s="178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5"/>
      <c r="AZ59" s="5"/>
    </row>
    <row r="60" spans="1:90" s="202" customFormat="1" outlineLevel="1">
      <c r="A60" s="258" t="s">
        <v>123</v>
      </c>
      <c r="B60" s="202" t="s">
        <v>16</v>
      </c>
      <c r="C60" s="262">
        <f t="shared" ref="C60:I60" si="109">VLOOKUP($A60,CTRP,MATCH(C$5,Period_CTRP,FALSE),FALSE)</f>
        <v>161.61012299999999</v>
      </c>
      <c r="D60" s="262">
        <f t="shared" si="109"/>
        <v>199.756068</v>
      </c>
      <c r="E60" s="262">
        <f t="shared" si="109"/>
        <v>266.98853400000002</v>
      </c>
      <c r="F60" s="262">
        <f t="shared" si="109"/>
        <v>373.40701200000001</v>
      </c>
      <c r="G60" s="262">
        <f t="shared" si="109"/>
        <v>473.24543999999997</v>
      </c>
      <c r="H60" s="413">
        <f t="shared" si="109"/>
        <v>608.12212499999998</v>
      </c>
      <c r="I60" s="413">
        <f t="shared" si="109"/>
        <v>753.21890399999995</v>
      </c>
      <c r="J60" s="264">
        <f t="shared" ref="J60:S60" si="110">I60*(1+J61)</f>
        <v>903.8626847999999</v>
      </c>
      <c r="K60" s="264">
        <f t="shared" si="110"/>
        <v>1066.5579680639999</v>
      </c>
      <c r="L60" s="264">
        <f t="shared" si="110"/>
        <v>1237.20724295424</v>
      </c>
      <c r="M60" s="264">
        <f t="shared" si="110"/>
        <v>1410.4162569678338</v>
      </c>
      <c r="N60" s="264">
        <f t="shared" si="110"/>
        <v>1579.666207803974</v>
      </c>
      <c r="O60" s="264">
        <f t="shared" si="110"/>
        <v>1737.6328285843715</v>
      </c>
      <c r="P60" s="264">
        <f t="shared" si="110"/>
        <v>1876.6434548711213</v>
      </c>
      <c r="Q60" s="264">
        <f t="shared" si="110"/>
        <v>1989.2420621633887</v>
      </c>
      <c r="R60" s="264">
        <f t="shared" si="110"/>
        <v>2068.8117446499245</v>
      </c>
      <c r="S60" s="264">
        <f t="shared" si="110"/>
        <v>2151.5642144359217</v>
      </c>
      <c r="T60" s="265"/>
      <c r="U60" s="510">
        <f>(K60/I60)^(1/2)-1</f>
        <v>0.18995798245148121</v>
      </c>
      <c r="V60" s="265"/>
      <c r="W60" s="262">
        <f t="shared" ref="W60:AL60" si="111">VLOOKUP($A60,CTRP,MATCH(W$5,Period_CTRP,FALSE),FALSE)</f>
        <v>50.973700999999998</v>
      </c>
      <c r="X60" s="262">
        <f t="shared" si="111"/>
        <v>65.944002999999995</v>
      </c>
      <c r="Y60" s="262">
        <f t="shared" si="111"/>
        <v>71.852907000000002</v>
      </c>
      <c r="Z60" s="262">
        <f t="shared" si="111"/>
        <v>78.217922999999999</v>
      </c>
      <c r="AA60" s="262">
        <f t="shared" si="111"/>
        <v>70.956328999999997</v>
      </c>
      <c r="AB60" s="262">
        <f t="shared" si="111"/>
        <v>90.442575000000005</v>
      </c>
      <c r="AC60" s="262">
        <f t="shared" si="111"/>
        <v>103.858502</v>
      </c>
      <c r="AD60" s="262">
        <f t="shared" si="111"/>
        <v>108.14960600000001</v>
      </c>
      <c r="AE60" s="260">
        <f t="shared" si="111"/>
        <v>92.713417000000007</v>
      </c>
      <c r="AF60" s="260">
        <f t="shared" si="111"/>
        <v>120.746346</v>
      </c>
      <c r="AG60" s="260">
        <f t="shared" si="111"/>
        <v>124.01266200000001</v>
      </c>
      <c r="AH60" s="260">
        <f t="shared" si="111"/>
        <v>135.77301499999999</v>
      </c>
      <c r="AI60" s="262">
        <f t="shared" si="111"/>
        <v>115.63206099999999</v>
      </c>
      <c r="AJ60" s="262">
        <f t="shared" si="111"/>
        <v>147.096362</v>
      </c>
      <c r="AK60" s="262">
        <f t="shared" si="111"/>
        <v>166.33779100000001</v>
      </c>
      <c r="AL60" s="262">
        <f t="shared" si="111"/>
        <v>179.05591100000001</v>
      </c>
      <c r="AM60" s="596">
        <f>VLOOKUP($A60,CTRP,MATCH(AM$5,Period_CTRP,FALSE),FALSE)</f>
        <v>144.48166599999999</v>
      </c>
      <c r="AN60" s="596">
        <f>VLOOKUP($A60,CTRP,MATCH(AN$5,Period_CTRP,FALSE),FALSE)</f>
        <v>199.352936</v>
      </c>
      <c r="AO60" s="596">
        <f>VLOOKUP($A60,CTRP,MATCH(AO$5,Period_CTRP,FALSE),FALSE)</f>
        <v>202.879041</v>
      </c>
      <c r="AP60" s="596">
        <f>VLOOKUP($A60,CTRP,MATCH(AP$5,Period_CTRP,FALSE),FALSE)</f>
        <v>206.50526099999999</v>
      </c>
      <c r="AQ60" s="264">
        <f>AM60*(1+AQ61)</f>
        <v>176.26763251999998</v>
      </c>
      <c r="AR60" s="264">
        <f>AN60*(1+AR61)</f>
        <v>239.22352319999999</v>
      </c>
      <c r="AS60" s="264">
        <f>AO60*(1+AS61)</f>
        <v>249.54122043000001</v>
      </c>
      <c r="AT60" s="263">
        <f>J60-SUM(AQ60:AS60)</f>
        <v>238.83030865000001</v>
      </c>
      <c r="AU60" s="264">
        <f>AQ60*(1+AU61)</f>
        <v>215.04651167439997</v>
      </c>
      <c r="AV60" s="264">
        <f>AR60*(1+AV61)</f>
        <v>277.49928691199995</v>
      </c>
      <c r="AW60" s="264">
        <f>AS60*(1+AW61)</f>
        <v>294.45864010740002</v>
      </c>
      <c r="AX60" s="263">
        <f>K60-SUM(AU60:AW60)</f>
        <v>279.55352937019995</v>
      </c>
      <c r="AY60" s="22"/>
      <c r="AZ60" s="22"/>
      <c r="BA60" s="265"/>
      <c r="BB60" s="265"/>
      <c r="BC60" s="265"/>
      <c r="BD60" s="265"/>
      <c r="BE60" s="265"/>
      <c r="BF60" s="265"/>
      <c r="BG60" s="265"/>
      <c r="BH60" s="265"/>
      <c r="BI60" s="265"/>
      <c r="BJ60" s="265"/>
      <c r="BK60" s="265"/>
      <c r="BL60" s="265"/>
      <c r="BM60" s="265"/>
      <c r="BN60" s="265"/>
      <c r="BO60" s="265"/>
      <c r="BP60" s="266"/>
      <c r="BQ60" s="266"/>
      <c r="BR60" s="266"/>
      <c r="BS60" s="266"/>
      <c r="BT60" s="266"/>
      <c r="BU60" s="266"/>
      <c r="BV60" s="266"/>
      <c r="BW60" s="266"/>
      <c r="BX60" s="266"/>
      <c r="BY60" s="266"/>
      <c r="BZ60" s="266"/>
      <c r="CA60" s="266"/>
      <c r="CF60" s="199"/>
      <c r="CG60" s="199"/>
      <c r="CH60" s="199"/>
      <c r="CI60" s="199"/>
      <c r="CJ60" s="199"/>
      <c r="CK60" s="200"/>
      <c r="CL60" s="201"/>
    </row>
    <row r="61" spans="1:90" outlineLevel="1">
      <c r="A61" s="242"/>
      <c r="B61" s="12" t="s">
        <v>82</v>
      </c>
      <c r="C61" s="23"/>
      <c r="D61" s="322">
        <f t="shared" ref="D61:I61" si="112">(D60/C60-1)*1</f>
        <v>0.23603685395375895</v>
      </c>
      <c r="E61" s="322">
        <f t="shared" si="112"/>
        <v>0.33657283442323283</v>
      </c>
      <c r="F61" s="322">
        <f t="shared" si="112"/>
        <v>0.39858819555149871</v>
      </c>
      <c r="G61" s="322">
        <f t="shared" si="112"/>
        <v>0.26737159397531607</v>
      </c>
      <c r="H61" s="322">
        <f t="shared" si="112"/>
        <v>0.28500366532850263</v>
      </c>
      <c r="I61" s="322">
        <f t="shared" si="112"/>
        <v>0.23859809244730235</v>
      </c>
      <c r="J61" s="341">
        <v>0.2</v>
      </c>
      <c r="K61" s="341">
        <f t="shared" ref="K61:R61" si="113">J61-2%</f>
        <v>0.18000000000000002</v>
      </c>
      <c r="L61" s="341">
        <f t="shared" si="113"/>
        <v>0.16000000000000003</v>
      </c>
      <c r="M61" s="341">
        <f t="shared" si="113"/>
        <v>0.14000000000000004</v>
      </c>
      <c r="N61" s="341">
        <f t="shared" si="113"/>
        <v>0.12000000000000004</v>
      </c>
      <c r="O61" s="341">
        <f t="shared" si="113"/>
        <v>0.10000000000000003</v>
      </c>
      <c r="P61" s="341">
        <f t="shared" si="113"/>
        <v>8.0000000000000029E-2</v>
      </c>
      <c r="Q61" s="341">
        <f t="shared" si="113"/>
        <v>6.0000000000000026E-2</v>
      </c>
      <c r="R61" s="341">
        <f t="shared" si="113"/>
        <v>4.0000000000000022E-2</v>
      </c>
      <c r="S61" s="341">
        <f>R61</f>
        <v>4.0000000000000022E-2</v>
      </c>
      <c r="W61" s="322"/>
      <c r="X61" s="322"/>
      <c r="Y61" s="322"/>
      <c r="Z61" s="322"/>
      <c r="AA61" s="322">
        <f t="shared" ref="AA61:AL61" si="114">(AA60/W60-1)*1</f>
        <v>0.39201838610855422</v>
      </c>
      <c r="AB61" s="322">
        <f t="shared" si="114"/>
        <v>0.37150568490663227</v>
      </c>
      <c r="AC61" s="322">
        <f t="shared" si="114"/>
        <v>0.44543215210485498</v>
      </c>
      <c r="AD61" s="322">
        <f t="shared" si="114"/>
        <v>0.38267038872919201</v>
      </c>
      <c r="AE61" s="322">
        <f t="shared" si="114"/>
        <v>0.30662646034013408</v>
      </c>
      <c r="AF61" s="322">
        <f t="shared" si="114"/>
        <v>0.33506090466796201</v>
      </c>
      <c r="AG61" s="322">
        <f t="shared" si="114"/>
        <v>0.1940540216919362</v>
      </c>
      <c r="AH61" s="322">
        <f t="shared" si="114"/>
        <v>0.25541848945801959</v>
      </c>
      <c r="AI61" s="322">
        <f t="shared" si="114"/>
        <v>0.24719878461603884</v>
      </c>
      <c r="AJ61" s="322">
        <f t="shared" si="114"/>
        <v>0.21822619791740938</v>
      </c>
      <c r="AK61" s="322">
        <f t="shared" si="114"/>
        <v>0.34129683467322081</v>
      </c>
      <c r="AL61" s="322">
        <f t="shared" si="114"/>
        <v>0.31878864883423286</v>
      </c>
      <c r="AM61" s="598">
        <f>(AM60/AI60-1)*1</f>
        <v>0.24949486111814601</v>
      </c>
      <c r="AN61" s="598">
        <f>(AN60/AJ60-1)*1</f>
        <v>0.35525402049032317</v>
      </c>
      <c r="AO61" s="598">
        <f>(AO60/AK60-1)*1</f>
        <v>0.21968098638510836</v>
      </c>
      <c r="AP61" s="598">
        <f>(AP60/AL60-1)*1</f>
        <v>0.15330044033005974</v>
      </c>
      <c r="AQ61" s="341">
        <v>0.22</v>
      </c>
      <c r="AR61" s="341">
        <v>0.2</v>
      </c>
      <c r="AS61" s="341">
        <v>0.23</v>
      </c>
      <c r="AT61" s="322">
        <f>(AT60/AP60-1)*1</f>
        <v>0.15653377300639337</v>
      </c>
      <c r="AU61" s="341">
        <v>0.22</v>
      </c>
      <c r="AV61" s="341">
        <v>0.16</v>
      </c>
      <c r="AW61" s="341">
        <v>0.18</v>
      </c>
      <c r="AX61" s="322">
        <f>(AX60/AT60-1)*1</f>
        <v>0.17051110870471153</v>
      </c>
      <c r="AY61" s="37"/>
      <c r="AZ61" s="37"/>
    </row>
    <row r="62" spans="1:90" outlineLevel="1">
      <c r="B62" s="186" t="s">
        <v>500</v>
      </c>
      <c r="C62" s="23"/>
      <c r="D62" s="23"/>
      <c r="E62" s="23"/>
      <c r="F62" s="23"/>
      <c r="G62" s="238"/>
      <c r="H62" s="238"/>
      <c r="I62" s="238"/>
      <c r="J62" s="23"/>
      <c r="K62" s="23"/>
      <c r="L62" s="23"/>
      <c r="M62" s="23"/>
      <c r="N62" s="23"/>
      <c r="O62" s="23"/>
      <c r="P62" s="23"/>
      <c r="Q62" s="23"/>
      <c r="R62" s="23"/>
      <c r="S62" s="23"/>
      <c r="W62" s="255"/>
      <c r="X62" s="255"/>
      <c r="Y62" s="255"/>
      <c r="Z62" s="255"/>
      <c r="AA62" s="255"/>
      <c r="AB62" s="255"/>
      <c r="AC62" s="255"/>
      <c r="AD62" s="255"/>
      <c r="AE62" s="256"/>
      <c r="AF62" s="256"/>
      <c r="AG62" s="256"/>
      <c r="AH62" s="256"/>
      <c r="AI62" s="256"/>
      <c r="AJ62" s="256"/>
      <c r="AK62" s="275" t="s">
        <v>696</v>
      </c>
      <c r="AL62" s="275" t="s">
        <v>696</v>
      </c>
      <c r="AM62" s="275" t="s">
        <v>696</v>
      </c>
      <c r="AN62" s="449" t="s">
        <v>780</v>
      </c>
      <c r="AO62" s="449" t="s">
        <v>804</v>
      </c>
      <c r="AP62" s="267" t="s">
        <v>696</v>
      </c>
      <c r="AQ62" s="267" t="s">
        <v>572</v>
      </c>
      <c r="AR62" s="255"/>
      <c r="AS62" s="255"/>
      <c r="AT62" s="255"/>
      <c r="AU62" s="255"/>
      <c r="AV62" s="255"/>
      <c r="AW62" s="255"/>
      <c r="AX62" s="255"/>
      <c r="AY62" s="5"/>
      <c r="AZ62" s="5"/>
    </row>
    <row r="63" spans="1:90" outlineLevel="1">
      <c r="C63" s="23"/>
      <c r="D63" s="23"/>
      <c r="E63" s="23"/>
      <c r="F63" s="23"/>
      <c r="G63" s="238"/>
      <c r="H63" s="238"/>
      <c r="I63" s="238"/>
      <c r="J63" s="23"/>
      <c r="K63" s="23"/>
      <c r="L63" s="23"/>
      <c r="M63" s="23"/>
      <c r="N63" s="23"/>
      <c r="O63" s="23"/>
      <c r="P63" s="23"/>
      <c r="Q63" s="23"/>
      <c r="R63" s="23"/>
      <c r="S63" s="23"/>
      <c r="W63" s="23"/>
      <c r="X63" s="23"/>
      <c r="Y63" s="23"/>
      <c r="Z63" s="23"/>
      <c r="AA63" s="23"/>
      <c r="AB63" s="23"/>
      <c r="AC63" s="23"/>
      <c r="AD63" s="23"/>
      <c r="AE63" s="178"/>
      <c r="AF63" s="178"/>
      <c r="AG63" s="178"/>
      <c r="AH63" s="178"/>
      <c r="AI63" s="178"/>
      <c r="AJ63" s="178"/>
      <c r="AK63" s="178"/>
      <c r="AL63" s="178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5"/>
      <c r="AZ63" s="5"/>
    </row>
    <row r="64" spans="1:90" s="202" customFormat="1" outlineLevel="1">
      <c r="A64" s="258" t="s">
        <v>124</v>
      </c>
      <c r="B64" s="202" t="s">
        <v>17</v>
      </c>
      <c r="C64" s="262">
        <f t="shared" ref="C64:I64" si="115">VLOOKUP($A64,CTRP,MATCH(C$5,Period_CTRP,FALSE),FALSE)</f>
        <v>106.03686399999999</v>
      </c>
      <c r="D64" s="262">
        <f t="shared" si="115"/>
        <v>126.989085</v>
      </c>
      <c r="E64" s="262">
        <f t="shared" si="115"/>
        <v>138.38865300000001</v>
      </c>
      <c r="F64" s="262">
        <f t="shared" si="115"/>
        <v>192.28147300000001</v>
      </c>
      <c r="G64" s="262">
        <f t="shared" si="115"/>
        <v>285.22047500000002</v>
      </c>
      <c r="H64" s="413">
        <f t="shared" si="115"/>
        <v>734.29018499999995</v>
      </c>
      <c r="I64" s="413">
        <f t="shared" si="115"/>
        <v>1514.978795</v>
      </c>
      <c r="J64" s="264">
        <f t="shared" ref="J64:S64" si="116">I64*(1+J65)</f>
        <v>1969.4724335000001</v>
      </c>
      <c r="K64" s="264">
        <f t="shared" si="116"/>
        <v>2363.3669202000001</v>
      </c>
      <c r="L64" s="264">
        <f t="shared" si="116"/>
        <v>2717.87195823</v>
      </c>
      <c r="M64" s="264">
        <f t="shared" si="116"/>
        <v>2989.6591540530003</v>
      </c>
      <c r="N64" s="264">
        <f t="shared" si="116"/>
        <v>3228.8318863772406</v>
      </c>
      <c r="O64" s="264">
        <f t="shared" si="116"/>
        <v>3422.561799559875</v>
      </c>
      <c r="P64" s="264">
        <f t="shared" si="116"/>
        <v>3559.4642715422701</v>
      </c>
      <c r="Q64" s="264">
        <f t="shared" si="116"/>
        <v>3701.8428424039612</v>
      </c>
      <c r="R64" s="264">
        <f t="shared" si="116"/>
        <v>3849.9165561001196</v>
      </c>
      <c r="S64" s="264">
        <f t="shared" si="116"/>
        <v>4003.9132183441243</v>
      </c>
      <c r="T64" s="265"/>
      <c r="U64" s="510">
        <f>(K64/I64)^(1/2)-1</f>
        <v>0.24899959967967966</v>
      </c>
      <c r="V64" s="265"/>
      <c r="W64" s="343">
        <f t="shared" ref="W64:AL64" si="117">VLOOKUP($A64,CTRP,MATCH(W$5,Period_CTRP,FALSE),FALSE)</f>
        <v>35.198399999999999</v>
      </c>
      <c r="X64" s="343">
        <f t="shared" si="117"/>
        <v>34.190294000000002</v>
      </c>
      <c r="Y64" s="343">
        <f t="shared" si="117"/>
        <v>34.141393999999998</v>
      </c>
      <c r="Z64" s="343">
        <f t="shared" si="117"/>
        <v>34.858564999999999</v>
      </c>
      <c r="AA64" s="343">
        <f t="shared" si="117"/>
        <v>35.268438000000003</v>
      </c>
      <c r="AB64" s="343">
        <f t="shared" si="117"/>
        <v>45.842407999999999</v>
      </c>
      <c r="AC64" s="343">
        <f t="shared" si="117"/>
        <v>47.873735000000003</v>
      </c>
      <c r="AD64" s="343">
        <f t="shared" si="117"/>
        <v>63.296892</v>
      </c>
      <c r="AE64" s="260">
        <f t="shared" si="117"/>
        <v>54.989178000000003</v>
      </c>
      <c r="AF64" s="260">
        <f t="shared" si="117"/>
        <v>58.377132000000003</v>
      </c>
      <c r="AG64" s="260">
        <f t="shared" si="117"/>
        <v>56.452092</v>
      </c>
      <c r="AH64" s="260">
        <f t="shared" si="117"/>
        <v>115.402073</v>
      </c>
      <c r="AI64" s="262">
        <f t="shared" si="117"/>
        <v>163.979409</v>
      </c>
      <c r="AJ64" s="262">
        <f t="shared" si="117"/>
        <v>142.11943199999999</v>
      </c>
      <c r="AK64" s="262">
        <f t="shared" si="117"/>
        <v>188.85109399999999</v>
      </c>
      <c r="AL64" s="262">
        <f t="shared" si="117"/>
        <v>239.34025</v>
      </c>
      <c r="AM64" s="596">
        <f>VLOOKUP($A64,CTRP,MATCH(AM$5,Period_CTRP,FALSE),FALSE)</f>
        <v>341.64512100000002</v>
      </c>
      <c r="AN64" s="596">
        <f>VLOOKUP($A64,CTRP,MATCH(AN$5,Period_CTRP,FALSE),FALSE)</f>
        <v>346.43929400000002</v>
      </c>
      <c r="AO64" s="596">
        <f>VLOOKUP($A64,CTRP,MATCH(AO$5,Period_CTRP,FALSE),FALSE)</f>
        <v>472.404223</v>
      </c>
      <c r="AP64" s="596">
        <f>VLOOKUP($A64,CTRP,MATCH(AP$5,Period_CTRP,FALSE),FALSE)</f>
        <v>354.49015700000001</v>
      </c>
      <c r="AQ64" s="264">
        <f>AM64*(1+AQ65)</f>
        <v>444.13865730000003</v>
      </c>
      <c r="AR64" s="264">
        <f>AN64*(1+AR65)</f>
        <v>485.01501159999998</v>
      </c>
      <c r="AS64" s="264">
        <f>AO64*(1+AS65)</f>
        <v>519.64464530000009</v>
      </c>
      <c r="AT64" s="263">
        <f>J64-SUM(AQ64:AS64)</f>
        <v>520.67411930000003</v>
      </c>
      <c r="AU64" s="264">
        <f>AQ64*(1+AU65)</f>
        <v>555.17332162500009</v>
      </c>
      <c r="AV64" s="264">
        <f>AR64*(1+AV65)</f>
        <v>591.71831415199995</v>
      </c>
      <c r="AW64" s="264">
        <f>AS64*(1+AW65)</f>
        <v>597.59134209500007</v>
      </c>
      <c r="AX64" s="263">
        <f>K64-SUM(AU64:AW64)</f>
        <v>618.8839423280001</v>
      </c>
      <c r="AY64" s="22"/>
      <c r="AZ64" s="22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6"/>
      <c r="BQ64" s="266"/>
      <c r="BR64" s="266"/>
      <c r="BS64" s="266"/>
      <c r="BT64" s="266"/>
      <c r="BU64" s="266"/>
      <c r="BV64" s="266"/>
      <c r="BW64" s="266"/>
      <c r="BX64" s="266"/>
      <c r="BY64" s="266"/>
      <c r="BZ64" s="266"/>
      <c r="CA64" s="266"/>
      <c r="CF64" s="199"/>
      <c r="CG64" s="199"/>
      <c r="CH64" s="199"/>
      <c r="CI64" s="199"/>
      <c r="CJ64" s="199"/>
      <c r="CK64" s="200"/>
      <c r="CL64" s="201"/>
    </row>
    <row r="65" spans="1:90" outlineLevel="1">
      <c r="A65" s="242"/>
      <c r="B65" s="12" t="s">
        <v>82</v>
      </c>
      <c r="C65" s="23"/>
      <c r="D65" s="322">
        <f t="shared" ref="D65:I65" si="118">(D64/C64-1)*1</f>
        <v>0.19759374437931321</v>
      </c>
      <c r="E65" s="322">
        <f t="shared" si="118"/>
        <v>8.9768093060911491E-2</v>
      </c>
      <c r="F65" s="322">
        <f t="shared" si="118"/>
        <v>0.38943091670962349</v>
      </c>
      <c r="G65" s="322">
        <f t="shared" si="118"/>
        <v>0.4833487103565095</v>
      </c>
      <c r="H65" s="322">
        <f t="shared" si="118"/>
        <v>1.5744651922341828</v>
      </c>
      <c r="I65" s="322">
        <f t="shared" si="118"/>
        <v>1.0631881318146723</v>
      </c>
      <c r="J65" s="603">
        <v>0.3</v>
      </c>
      <c r="K65" s="603">
        <v>0.2</v>
      </c>
      <c r="L65" s="603">
        <f>K65-5%</f>
        <v>0.15000000000000002</v>
      </c>
      <c r="M65" s="603">
        <f>L65-5%</f>
        <v>0.10000000000000002</v>
      </c>
      <c r="N65" s="341">
        <f>M65-2%</f>
        <v>8.0000000000000016E-2</v>
      </c>
      <c r="O65" s="341">
        <f>N65-2%</f>
        <v>6.0000000000000012E-2</v>
      </c>
      <c r="P65" s="341">
        <f>O65-2%</f>
        <v>4.0000000000000008E-2</v>
      </c>
      <c r="Q65" s="341">
        <f>P65</f>
        <v>4.0000000000000008E-2</v>
      </c>
      <c r="R65" s="341">
        <f>Q65</f>
        <v>4.0000000000000008E-2</v>
      </c>
      <c r="S65" s="341">
        <f>R65</f>
        <v>4.0000000000000008E-2</v>
      </c>
      <c r="W65" s="23"/>
      <c r="X65" s="23"/>
      <c r="Y65" s="23"/>
      <c r="Z65" s="23"/>
      <c r="AA65" s="322">
        <f t="shared" ref="AA65:AP65" si="119">(AA64/W64-1)*1</f>
        <v>1.989806354834478E-3</v>
      </c>
      <c r="AB65" s="322">
        <f t="shared" si="119"/>
        <v>0.34080180767091384</v>
      </c>
      <c r="AC65" s="322">
        <f t="shared" si="119"/>
        <v>0.40221969261126267</v>
      </c>
      <c r="AD65" s="322">
        <f t="shared" si="119"/>
        <v>0.81582035864069558</v>
      </c>
      <c r="AE65" s="322">
        <f t="shared" si="119"/>
        <v>0.55916114005389184</v>
      </c>
      <c r="AF65" s="322">
        <f t="shared" si="119"/>
        <v>0.27343074997282013</v>
      </c>
      <c r="AG65" s="322">
        <f t="shared" si="119"/>
        <v>0.17918712630213607</v>
      </c>
      <c r="AH65" s="322">
        <f t="shared" si="119"/>
        <v>0.82318703736670051</v>
      </c>
      <c r="AI65" s="322">
        <f t="shared" si="119"/>
        <v>1.982030555175784</v>
      </c>
      <c r="AJ65" s="322">
        <f t="shared" si="119"/>
        <v>1.4345052100195668</v>
      </c>
      <c r="AK65" s="322">
        <f t="shared" si="119"/>
        <v>2.3453338452009889</v>
      </c>
      <c r="AL65" s="322">
        <f t="shared" si="119"/>
        <v>1.0739683766339274</v>
      </c>
      <c r="AM65" s="322">
        <f t="shared" si="119"/>
        <v>1.0834635463285518</v>
      </c>
      <c r="AN65" s="322">
        <f t="shared" si="119"/>
        <v>1.4376630917016335</v>
      </c>
      <c r="AO65" s="322">
        <f t="shared" si="119"/>
        <v>1.5014640529432146</v>
      </c>
      <c r="AP65" s="322">
        <f t="shared" si="119"/>
        <v>0.48111384106935629</v>
      </c>
      <c r="AQ65" s="341">
        <v>0.3</v>
      </c>
      <c r="AR65" s="341">
        <v>0.4</v>
      </c>
      <c r="AS65" s="341">
        <v>0.1</v>
      </c>
      <c r="AT65" s="322">
        <f>(AT64/AP64-1)*1</f>
        <v>0.46879711331448903</v>
      </c>
      <c r="AU65" s="341">
        <v>0.25</v>
      </c>
      <c r="AV65" s="341">
        <v>0.22</v>
      </c>
      <c r="AW65" s="341">
        <v>0.15</v>
      </c>
      <c r="AX65" s="322">
        <f>(AX64/AT64-1)*1</f>
        <v>0.18862051979851513</v>
      </c>
      <c r="AY65" s="37"/>
      <c r="AZ65" s="37"/>
    </row>
    <row r="66" spans="1:90" outlineLevel="1">
      <c r="C66" s="23"/>
      <c r="D66" s="23"/>
      <c r="E66" s="23"/>
      <c r="F66" s="23"/>
      <c r="G66" s="238"/>
      <c r="H66" s="238"/>
      <c r="I66" s="238"/>
      <c r="J66" s="23"/>
      <c r="K66" s="23"/>
      <c r="L66" s="23"/>
      <c r="M66" s="23"/>
      <c r="N66" s="23"/>
      <c r="O66" s="23"/>
      <c r="P66" s="23"/>
      <c r="Q66" s="23"/>
      <c r="R66" s="23"/>
      <c r="S66" s="23"/>
      <c r="W66" s="23"/>
      <c r="X66" s="23"/>
      <c r="Y66" s="23"/>
      <c r="Z66" s="23"/>
      <c r="AA66" s="23"/>
      <c r="AB66" s="23"/>
      <c r="AC66" s="23"/>
      <c r="AD66" s="23"/>
      <c r="AE66" s="178"/>
      <c r="AF66" s="178"/>
      <c r="AG66" s="178"/>
      <c r="AH66" s="178"/>
      <c r="AI66" s="178"/>
      <c r="AJ66" s="178"/>
      <c r="AK66" s="178"/>
      <c r="AL66" s="178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5"/>
      <c r="AZ66" s="5"/>
    </row>
    <row r="67" spans="1:90" outlineLevel="1">
      <c r="A67" s="258" t="s">
        <v>759</v>
      </c>
      <c r="B67" s="202" t="s">
        <v>730</v>
      </c>
      <c r="C67" s="262"/>
      <c r="D67" s="262"/>
      <c r="E67" s="262"/>
      <c r="F67" s="260">
        <v>802.59</v>
      </c>
      <c r="G67" s="260">
        <v>1035.6000000000001</v>
      </c>
      <c r="H67" s="264">
        <f>G67*(1+H68)</f>
        <v>1346.2800000000002</v>
      </c>
      <c r="I67" s="264">
        <f>H67*(1+I68)</f>
        <v>1925.1804000000002</v>
      </c>
      <c r="J67" s="264"/>
      <c r="K67" s="264"/>
      <c r="L67" s="264"/>
      <c r="M67" s="264"/>
      <c r="N67" s="264"/>
      <c r="O67" s="264"/>
      <c r="P67" s="264"/>
      <c r="Q67" s="264"/>
      <c r="R67" s="264"/>
      <c r="S67" s="264"/>
      <c r="T67" s="265"/>
      <c r="U67" s="265"/>
      <c r="V67" s="265"/>
      <c r="W67" s="343"/>
      <c r="X67" s="343"/>
      <c r="Y67" s="343"/>
      <c r="Z67" s="343"/>
      <c r="AA67" s="343"/>
      <c r="AB67" s="343"/>
      <c r="AC67" s="343"/>
      <c r="AD67" s="343"/>
      <c r="AE67" s="260"/>
      <c r="AF67" s="260"/>
      <c r="AG67" s="260"/>
      <c r="AH67" s="260"/>
      <c r="AI67" s="260"/>
      <c r="AJ67" s="260"/>
      <c r="AK67" s="260"/>
      <c r="AL67" s="260"/>
      <c r="AM67" s="343"/>
      <c r="AN67" s="259"/>
      <c r="AO67" s="259"/>
      <c r="AP67" s="298"/>
      <c r="AQ67" s="259"/>
      <c r="AR67" s="259"/>
      <c r="AS67" s="259"/>
      <c r="AT67" s="298"/>
      <c r="AU67" s="259"/>
      <c r="AV67" s="259"/>
      <c r="AW67" s="259"/>
      <c r="AX67" s="298"/>
      <c r="AY67" s="22"/>
      <c r="AZ67" s="22"/>
    </row>
    <row r="68" spans="1:90" outlineLevel="1">
      <c r="A68" s="417" t="s">
        <v>766</v>
      </c>
      <c r="B68" s="12" t="s">
        <v>82</v>
      </c>
      <c r="C68" s="23"/>
      <c r="D68" s="23"/>
      <c r="E68" s="23"/>
      <c r="F68" s="23"/>
      <c r="G68" s="322">
        <f>G67/F67-1</f>
        <v>0.29032258064516148</v>
      </c>
      <c r="H68" s="341">
        <f>VLOOKUP($A68,CTRP,MATCH(H$5,Period_CTRP,FALSE),FALSE)</f>
        <v>0.3</v>
      </c>
      <c r="I68" s="341">
        <f>VLOOKUP($A68,CTRP,MATCH(I$5,Period_CTRP,FALSE),FALSE)</f>
        <v>0.43</v>
      </c>
      <c r="J68" s="341"/>
      <c r="K68" s="341"/>
      <c r="L68" s="341"/>
      <c r="M68" s="341"/>
      <c r="N68" s="341"/>
      <c r="O68" s="341"/>
      <c r="P68" s="341"/>
      <c r="Q68" s="341"/>
      <c r="R68" s="341"/>
      <c r="S68" s="341"/>
      <c r="W68" s="23"/>
      <c r="X68" s="23"/>
      <c r="Y68" s="23"/>
      <c r="Z68" s="23"/>
      <c r="AA68" s="23"/>
      <c r="AB68" s="23"/>
      <c r="AC68" s="23"/>
      <c r="AD68" s="23"/>
      <c r="AE68" s="178"/>
      <c r="AF68" s="178"/>
      <c r="AG68" s="178"/>
      <c r="AH68" s="178"/>
      <c r="AI68" s="178"/>
      <c r="AJ68" s="178"/>
      <c r="AK68" s="178"/>
      <c r="AL68" s="178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5"/>
      <c r="AZ68" s="5"/>
    </row>
    <row r="69" spans="1:90" outlineLevel="1">
      <c r="C69" s="23"/>
      <c r="D69" s="23"/>
      <c r="E69" s="23"/>
      <c r="F69" s="23"/>
      <c r="G69" s="238"/>
      <c r="H69" s="238"/>
      <c r="I69" s="238"/>
      <c r="J69" s="23"/>
      <c r="K69" s="23"/>
      <c r="L69" s="23"/>
      <c r="M69" s="23"/>
      <c r="N69" s="23"/>
      <c r="O69" s="23"/>
      <c r="P69" s="23"/>
      <c r="Q69" s="23"/>
      <c r="R69" s="23"/>
      <c r="S69" s="23"/>
      <c r="W69" s="23"/>
      <c r="X69" s="23"/>
      <c r="Y69" s="23"/>
      <c r="Z69" s="23"/>
      <c r="AA69" s="23"/>
      <c r="AB69" s="23"/>
      <c r="AC69" s="23"/>
      <c r="AD69" s="23"/>
      <c r="AE69" s="178"/>
      <c r="AF69" s="178"/>
      <c r="AG69" s="178"/>
      <c r="AH69" s="178"/>
      <c r="AI69" s="178"/>
      <c r="AJ69" s="178"/>
      <c r="AK69" s="178"/>
      <c r="AL69" s="178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5"/>
      <c r="AZ69" s="5"/>
    </row>
    <row r="70" spans="1:90" s="202" customFormat="1" outlineLevel="1">
      <c r="A70" s="258" t="s">
        <v>478</v>
      </c>
      <c r="B70" s="202" t="s">
        <v>478</v>
      </c>
      <c r="C70" s="279">
        <f t="shared" ref="C70:I73" si="120">VLOOKUP($A70,CTRP,MATCH(C$5,Period_CTRP,FALSE),FALSE)</f>
        <v>-805.12978399999997</v>
      </c>
      <c r="D70" s="279">
        <f t="shared" si="120"/>
        <v>-1037.791093</v>
      </c>
      <c r="E70" s="279">
        <f t="shared" si="120"/>
        <v>-1386.767067</v>
      </c>
      <c r="F70" s="279">
        <f t="shared" si="120"/>
        <v>-2100.6064129999995</v>
      </c>
      <c r="G70" s="279">
        <f t="shared" si="120"/>
        <v>-3043.4398190000002</v>
      </c>
      <c r="H70" s="418">
        <f t="shared" si="120"/>
        <v>-4729.7501920000004</v>
      </c>
      <c r="I70" s="418">
        <f t="shared" si="120"/>
        <v>-4678.2091030000001</v>
      </c>
      <c r="J70" s="278">
        <f t="shared" ref="J70:Q70" si="121">-J71*J17</f>
        <v>-5413.992614863776</v>
      </c>
      <c r="K70" s="278">
        <f t="shared" si="121"/>
        <v>-6724.3312586533311</v>
      </c>
      <c r="L70" s="278">
        <f t="shared" si="121"/>
        <v>-8119.8062504415839</v>
      </c>
      <c r="M70" s="278">
        <f t="shared" si="121"/>
        <v>-9776.5091594651076</v>
      </c>
      <c r="N70" s="278">
        <f t="shared" si="121"/>
        <v>-11668.424807070107</v>
      </c>
      <c r="O70" s="278">
        <f t="shared" si="121"/>
        <v>-13345.894846065525</v>
      </c>
      <c r="P70" s="278">
        <f t="shared" si="121"/>
        <v>-15313.460069229375</v>
      </c>
      <c r="Q70" s="278">
        <f t="shared" si="121"/>
        <v>-17433.721271887749</v>
      </c>
      <c r="R70" s="278">
        <f>-R71*R17</f>
        <v>-19694.387569617797</v>
      </c>
      <c r="S70" s="278">
        <f>-S71*S17</f>
        <v>-22017.021259789835</v>
      </c>
      <c r="T70" s="265"/>
      <c r="U70" s="510">
        <f>(K70/I70)^(1/2)-1</f>
        <v>0.1989048996712226</v>
      </c>
      <c r="V70" s="265"/>
      <c r="W70" s="277">
        <f t="shared" ref="W70:AL70" si="122">VLOOKUP($A70,CTRP,MATCH(W$5,Period_CTRP,FALSE),FALSE)</f>
        <v>-304.17168700000002</v>
      </c>
      <c r="X70" s="277">
        <f t="shared" si="122"/>
        <v>-309.111062</v>
      </c>
      <c r="Y70" s="277">
        <f t="shared" si="122"/>
        <v>-379.12170900000001</v>
      </c>
      <c r="Z70" s="277">
        <f t="shared" si="122"/>
        <v>-394.36260900000002</v>
      </c>
      <c r="AA70" s="277">
        <f t="shared" si="122"/>
        <v>-449.41188699999998</v>
      </c>
      <c r="AB70" s="277">
        <f t="shared" si="122"/>
        <v>-478.60139299999997</v>
      </c>
      <c r="AC70" s="277">
        <f t="shared" si="122"/>
        <v>-588.98023000000001</v>
      </c>
      <c r="AD70" s="277">
        <f t="shared" si="122"/>
        <v>-583.61290299999996</v>
      </c>
      <c r="AE70" s="277">
        <f t="shared" si="122"/>
        <v>-704.606314</v>
      </c>
      <c r="AF70" s="277">
        <f t="shared" si="122"/>
        <v>-730.01903100000004</v>
      </c>
      <c r="AG70" s="277">
        <f t="shared" si="122"/>
        <v>-845.57812899999999</v>
      </c>
      <c r="AH70" s="277">
        <f t="shared" si="122"/>
        <v>-763.23634500000003</v>
      </c>
      <c r="AI70" s="279">
        <f t="shared" si="122"/>
        <v>-1135.944483</v>
      </c>
      <c r="AJ70" s="279">
        <f t="shared" si="122"/>
        <v>-1233.1485359999999</v>
      </c>
      <c r="AK70" s="279">
        <f t="shared" si="122"/>
        <v>-1234.297161</v>
      </c>
      <c r="AL70" s="279">
        <f t="shared" si="122"/>
        <v>-1126.3600120000001</v>
      </c>
      <c r="AM70" s="454">
        <f>VLOOKUP($A70,CTRP,MATCH(AM$5,Period_CTRP,FALSE),FALSE)</f>
        <v>-1189.3067900000001</v>
      </c>
      <c r="AN70" s="454">
        <f>VLOOKUP($A70,CTRP,MATCH(AN$5,Period_CTRP,FALSE),FALSE)</f>
        <v>-1124.0941459999999</v>
      </c>
      <c r="AO70" s="454">
        <f>VLOOKUP($A70,CTRP,MATCH(AO$5,Period_CTRP,FALSE),FALSE)</f>
        <v>-1303.4836580000001</v>
      </c>
      <c r="AP70" s="454">
        <f>VLOOKUP($A70,CTRP,MATCH(AP$5,Period_CTRP,FALSE),FALSE)</f>
        <v>-1061.324509</v>
      </c>
      <c r="AQ70" s="278">
        <f>-AQ71*AQ17</f>
        <v>-1152.8371165942431</v>
      </c>
      <c r="AR70" s="278">
        <f>-AR71*AR17</f>
        <v>-1266.1028620265497</v>
      </c>
      <c r="AS70" s="278">
        <f>-AS71*AS17</f>
        <v>-1573.6843334017651</v>
      </c>
      <c r="AT70" s="263">
        <f>J70-SUM(AQ70:AS70)</f>
        <v>-1421.3683028412179</v>
      </c>
      <c r="AU70" s="278">
        <f>-AU71*AU17</f>
        <v>-1530.9758109331369</v>
      </c>
      <c r="AV70" s="278">
        <f>-AV71*AV17</f>
        <v>-1643.5917188153339</v>
      </c>
      <c r="AW70" s="278">
        <f>-AW71*AW17</f>
        <v>-1873.5442134179452</v>
      </c>
      <c r="AX70" s="263">
        <f>K70-SUM(AU70:AW70)</f>
        <v>-1676.219515486915</v>
      </c>
      <c r="AY70" s="195"/>
      <c r="AZ70" s="195"/>
      <c r="BA70" s="265"/>
      <c r="BB70" s="265"/>
      <c r="BC70" s="265"/>
      <c r="BD70" s="265"/>
      <c r="BE70" s="265"/>
      <c r="BF70" s="265"/>
      <c r="BG70" s="265"/>
      <c r="BH70" s="265"/>
      <c r="BI70" s="265"/>
      <c r="BJ70" s="265"/>
      <c r="BK70" s="265"/>
      <c r="BL70" s="265"/>
      <c r="BM70" s="265"/>
      <c r="BN70" s="265"/>
      <c r="BO70" s="265"/>
      <c r="BP70" s="266"/>
      <c r="BQ70" s="266"/>
      <c r="BR70" s="266"/>
      <c r="BS70" s="266"/>
      <c r="BT70" s="266"/>
      <c r="BU70" s="266"/>
      <c r="BV70" s="266"/>
      <c r="BW70" s="266"/>
      <c r="BX70" s="266"/>
      <c r="BY70" s="266"/>
      <c r="BZ70" s="266"/>
      <c r="CA70" s="266"/>
      <c r="CF70" s="199"/>
      <c r="CG70" s="199"/>
      <c r="CH70" s="199"/>
      <c r="CI70" s="199"/>
      <c r="CJ70" s="199"/>
      <c r="CK70" s="200"/>
      <c r="CL70" s="201"/>
    </row>
    <row r="71" spans="1:90" outlineLevel="1">
      <c r="A71" s="242" t="s">
        <v>152</v>
      </c>
      <c r="B71" s="39" t="s">
        <v>165</v>
      </c>
      <c r="C71" s="321">
        <f t="shared" si="120"/>
        <v>0.2301630376679383</v>
      </c>
      <c r="D71" s="321">
        <f t="shared" si="120"/>
        <v>0.24954152080836989</v>
      </c>
      <c r="E71" s="321">
        <f t="shared" si="120"/>
        <v>0.25744061162486598</v>
      </c>
      <c r="F71" s="321">
        <f t="shared" si="120"/>
        <v>0.28591666702918817</v>
      </c>
      <c r="G71" s="321">
        <f t="shared" si="120"/>
        <v>0.27927697280384983</v>
      </c>
      <c r="H71" s="416">
        <f t="shared" si="120"/>
        <v>0.24597680507371825</v>
      </c>
      <c r="I71" s="678">
        <f t="shared" si="120"/>
        <v>0.17469281409648735</v>
      </c>
      <c r="J71" s="333">
        <v>0.17</v>
      </c>
      <c r="K71" s="333">
        <v>0.16800000000000001</v>
      </c>
      <c r="L71" s="333">
        <v>0.16600000000000001</v>
      </c>
      <c r="M71" s="333">
        <f t="shared" ref="M71:S71" si="123">L71</f>
        <v>0.16600000000000001</v>
      </c>
      <c r="N71" s="333">
        <f t="shared" si="123"/>
        <v>0.16600000000000001</v>
      </c>
      <c r="O71" s="333">
        <v>0.16400000000000001</v>
      </c>
      <c r="P71" s="333">
        <f t="shared" si="123"/>
        <v>0.16400000000000001</v>
      </c>
      <c r="Q71" s="333">
        <f t="shared" si="123"/>
        <v>0.16400000000000001</v>
      </c>
      <c r="R71" s="333">
        <f t="shared" si="123"/>
        <v>0.16400000000000001</v>
      </c>
      <c r="S71" s="333">
        <f t="shared" si="123"/>
        <v>0.16400000000000001</v>
      </c>
      <c r="W71" s="322">
        <f t="shared" ref="W71:AP71" si="124">VLOOKUP($A71,CTRP,MATCH(W$5,Period_CTRP,FALSE),FALSE)</f>
        <v>0.2621021586049479</v>
      </c>
      <c r="X71" s="322">
        <f t="shared" si="124"/>
        <v>0.24831075702594901</v>
      </c>
      <c r="Y71" s="322">
        <f t="shared" si="124"/>
        <v>0.24602706626092929</v>
      </c>
      <c r="Z71" s="322">
        <f t="shared" si="124"/>
        <v>0.27378571287395964</v>
      </c>
      <c r="AA71" s="322">
        <f t="shared" si="124"/>
        <v>0.2841163622039134</v>
      </c>
      <c r="AB71" s="322">
        <f t="shared" si="124"/>
        <v>0.27789133728998888</v>
      </c>
      <c r="AC71" s="322">
        <f t="shared" si="124"/>
        <v>0.27657230324489884</v>
      </c>
      <c r="AD71" s="322">
        <f t="shared" si="124"/>
        <v>0.30502967488965738</v>
      </c>
      <c r="AE71" s="322">
        <f t="shared" si="124"/>
        <v>0.30439499992068786</v>
      </c>
      <c r="AF71" s="322">
        <f t="shared" si="124"/>
        <v>0.28887205118263337</v>
      </c>
      <c r="AG71" s="322">
        <f t="shared" si="124"/>
        <v>0.26577131257042141</v>
      </c>
      <c r="AH71" s="322">
        <f t="shared" si="124"/>
        <v>0.26556078908156838</v>
      </c>
      <c r="AI71" s="317">
        <f t="shared" si="124"/>
        <v>0.2718867162543534</v>
      </c>
      <c r="AJ71" s="317">
        <f t="shared" si="124"/>
        <v>0.2795440777959603</v>
      </c>
      <c r="AK71" s="317">
        <f t="shared" si="124"/>
        <v>0.22152309814740179</v>
      </c>
      <c r="AL71" s="317">
        <f t="shared" si="124"/>
        <v>0.22228090891257879</v>
      </c>
      <c r="AM71" s="317">
        <f t="shared" si="124"/>
        <v>0.19544695053141803</v>
      </c>
      <c r="AN71" s="317">
        <f t="shared" si="124"/>
        <v>0.17520800870218212</v>
      </c>
      <c r="AO71" s="317">
        <f t="shared" si="124"/>
        <v>0.16500469748312874</v>
      </c>
      <c r="AP71" s="317">
        <f t="shared" si="124"/>
        <v>0.16637465120012246</v>
      </c>
      <c r="AQ71" s="333">
        <v>0.17199999999999999</v>
      </c>
      <c r="AR71" s="333">
        <v>0.16900000000000001</v>
      </c>
      <c r="AS71" s="333">
        <v>0.16900000000000001</v>
      </c>
      <c r="AT71" s="317">
        <f ca="1">VLOOKUP($A71,CTRP,MATCH(AT$5,Period_CTRP,FALSE),FALSE)</f>
        <v>0.17040743220132093</v>
      </c>
      <c r="AU71" s="333">
        <v>0.16800000000000001</v>
      </c>
      <c r="AV71" s="333">
        <v>0.16800000000000001</v>
      </c>
      <c r="AW71" s="333">
        <v>0.16800000000000001</v>
      </c>
      <c r="AX71" s="317">
        <f ca="1">VLOOKUP($A71,CTRP,MATCH(AX$5,Period_CTRP,FALSE),FALSE)</f>
        <v>0.16799999999999998</v>
      </c>
      <c r="AY71" s="37"/>
      <c r="AZ71" s="37"/>
    </row>
    <row r="72" spans="1:90" outlineLevel="1">
      <c r="A72" s="242" t="s">
        <v>544</v>
      </c>
      <c r="B72" s="39" t="s">
        <v>47</v>
      </c>
      <c r="C72" s="321">
        <f t="shared" si="120"/>
        <v>0.76983696233206167</v>
      </c>
      <c r="D72" s="321">
        <f t="shared" si="120"/>
        <v>0.75045847919163022</v>
      </c>
      <c r="E72" s="321">
        <f t="shared" si="120"/>
        <v>0.74255938837513413</v>
      </c>
      <c r="F72" s="321">
        <f t="shared" si="120"/>
        <v>0.71408333297081183</v>
      </c>
      <c r="G72" s="321">
        <f t="shared" si="120"/>
        <v>0.72072302719615011</v>
      </c>
      <c r="H72" s="416">
        <f t="shared" si="120"/>
        <v>0.754023194926282</v>
      </c>
      <c r="I72" s="416">
        <f t="shared" si="120"/>
        <v>0.8253071859035126</v>
      </c>
      <c r="J72" s="322">
        <f t="shared" ref="J72:Q72" si="125">1-J71</f>
        <v>0.83</v>
      </c>
      <c r="K72" s="322">
        <f t="shared" si="125"/>
        <v>0.83199999999999996</v>
      </c>
      <c r="L72" s="322">
        <f t="shared" si="125"/>
        <v>0.83399999999999996</v>
      </c>
      <c r="M72" s="322">
        <f t="shared" si="125"/>
        <v>0.83399999999999996</v>
      </c>
      <c r="N72" s="322">
        <f t="shared" si="125"/>
        <v>0.83399999999999996</v>
      </c>
      <c r="O72" s="322">
        <f t="shared" si="125"/>
        <v>0.83599999999999997</v>
      </c>
      <c r="P72" s="322">
        <f t="shared" si="125"/>
        <v>0.83599999999999997</v>
      </c>
      <c r="Q72" s="322">
        <f t="shared" si="125"/>
        <v>0.83599999999999997</v>
      </c>
      <c r="R72" s="322">
        <f>1-R71</f>
        <v>0.83599999999999997</v>
      </c>
      <c r="S72" s="322">
        <f>1-S71</f>
        <v>0.83599999999999997</v>
      </c>
      <c r="W72" s="322">
        <f t="shared" ref="W72:AE73" si="126">VLOOKUP($A72,CTRP,MATCH(W$5,Period_CTRP,FALSE),FALSE)</f>
        <v>0.7378978413950521</v>
      </c>
      <c r="X72" s="322">
        <f t="shared" si="126"/>
        <v>0.75168924297405104</v>
      </c>
      <c r="Y72" s="322">
        <f t="shared" si="126"/>
        <v>0.75397293373907071</v>
      </c>
      <c r="Z72" s="322">
        <f t="shared" si="126"/>
        <v>0.72621428712604041</v>
      </c>
      <c r="AA72" s="322">
        <f t="shared" si="126"/>
        <v>0.71588363779608666</v>
      </c>
      <c r="AB72" s="322">
        <f t="shared" si="126"/>
        <v>0.72210866271001117</v>
      </c>
      <c r="AC72" s="322">
        <f t="shared" si="126"/>
        <v>0.7234276967551011</v>
      </c>
      <c r="AD72" s="322">
        <f t="shared" si="126"/>
        <v>0.69497032511034262</v>
      </c>
      <c r="AE72" s="322">
        <f t="shared" si="126"/>
        <v>0.69560500007931203</v>
      </c>
      <c r="AF72" s="322">
        <f>1-AF71</f>
        <v>0.71112794881736663</v>
      </c>
      <c r="AG72" s="322">
        <f t="shared" ref="AG72:AO72" si="127">1-AG71</f>
        <v>0.73422868742957859</v>
      </c>
      <c r="AH72" s="322">
        <f t="shared" si="127"/>
        <v>0.73443921091843167</v>
      </c>
      <c r="AI72" s="322">
        <f t="shared" si="127"/>
        <v>0.72811328374564654</v>
      </c>
      <c r="AJ72" s="322">
        <f t="shared" si="127"/>
        <v>0.72045592220403964</v>
      </c>
      <c r="AK72" s="322">
        <f t="shared" si="127"/>
        <v>0.77847690185259821</v>
      </c>
      <c r="AL72" s="322">
        <f>1-AL71</f>
        <v>0.77771909108742121</v>
      </c>
      <c r="AM72" s="322">
        <f t="shared" si="127"/>
        <v>0.80455304946858197</v>
      </c>
      <c r="AN72" s="322">
        <f t="shared" si="127"/>
        <v>0.82479199129781788</v>
      </c>
      <c r="AO72" s="322">
        <f t="shared" si="127"/>
        <v>0.83499530251687126</v>
      </c>
      <c r="AP72" s="322">
        <f>1-AP71</f>
        <v>0.83362534879987749</v>
      </c>
      <c r="AQ72" s="322">
        <f t="shared" ref="AQ72:AX72" si="128">1-AQ71</f>
        <v>0.82800000000000007</v>
      </c>
      <c r="AR72" s="322">
        <f t="shared" si="128"/>
        <v>0.83099999999999996</v>
      </c>
      <c r="AS72" s="322">
        <f t="shared" si="128"/>
        <v>0.83099999999999996</v>
      </c>
      <c r="AT72" s="322">
        <f t="shared" ca="1" si="128"/>
        <v>0.82959256779867907</v>
      </c>
      <c r="AU72" s="322">
        <f t="shared" si="128"/>
        <v>0.83199999999999996</v>
      </c>
      <c r="AV72" s="322">
        <f t="shared" si="128"/>
        <v>0.83199999999999996</v>
      </c>
      <c r="AW72" s="322">
        <f t="shared" si="128"/>
        <v>0.83199999999999996</v>
      </c>
      <c r="AX72" s="322">
        <f t="shared" ca="1" si="128"/>
        <v>0.83200000000000007</v>
      </c>
      <c r="AY72" s="117"/>
      <c r="AZ72" s="117"/>
    </row>
    <row r="73" spans="1:90" outlineLevel="1">
      <c r="A73" s="242" t="s">
        <v>61</v>
      </c>
      <c r="B73" s="39" t="s">
        <v>157</v>
      </c>
      <c r="C73" s="203">
        <f t="shared" si="120"/>
        <v>2692.9548439999999</v>
      </c>
      <c r="D73" s="203">
        <f t="shared" si="120"/>
        <v>3121.0001560000001</v>
      </c>
      <c r="E73" s="203">
        <f t="shared" si="120"/>
        <v>3999.9784749999999</v>
      </c>
      <c r="F73" s="203">
        <f t="shared" si="120"/>
        <v>5246.3119560000014</v>
      </c>
      <c r="G73" s="203">
        <f t="shared" si="120"/>
        <v>7854.1282420000016</v>
      </c>
      <c r="H73" s="419">
        <f t="shared" si="120"/>
        <v>14498.689622000002</v>
      </c>
      <c r="I73" s="419">
        <f t="shared" si="120"/>
        <v>22101.421914999999</v>
      </c>
      <c r="J73" s="23">
        <f t="shared" ref="J73:Q73" si="129">J17+J70</f>
        <v>26433.022766687845</v>
      </c>
      <c r="K73" s="23">
        <f t="shared" si="129"/>
        <v>33301.450042854594</v>
      </c>
      <c r="L73" s="23">
        <f t="shared" si="129"/>
        <v>40794.689234146266</v>
      </c>
      <c r="M73" s="23">
        <f t="shared" si="129"/>
        <v>49118.124331288549</v>
      </c>
      <c r="N73" s="23">
        <f t="shared" si="129"/>
        <v>58623.290898171494</v>
      </c>
      <c r="O73" s="23">
        <f t="shared" si="129"/>
        <v>68031.512751894988</v>
      </c>
      <c r="P73" s="23">
        <f t="shared" si="129"/>
        <v>78061.29645046193</v>
      </c>
      <c r="Q73" s="23">
        <f t="shared" si="129"/>
        <v>88869.457215232658</v>
      </c>
      <c r="R73" s="23">
        <f>R17+R70</f>
        <v>100393.34151341753</v>
      </c>
      <c r="S73" s="23">
        <f>S17+S70</f>
        <v>112233.10837307501</v>
      </c>
      <c r="W73" s="250">
        <f t="shared" si="126"/>
        <v>856.33644699999968</v>
      </c>
      <c r="X73" s="250">
        <f t="shared" si="126"/>
        <v>935.74464100000023</v>
      </c>
      <c r="Y73" s="250">
        <f t="shared" si="126"/>
        <v>1161.8539029999997</v>
      </c>
      <c r="Z73" s="250">
        <f t="shared" si="126"/>
        <v>1046.043484</v>
      </c>
      <c r="AA73" s="250">
        <f t="shared" si="126"/>
        <v>1132.3762350000002</v>
      </c>
      <c r="AB73" s="250">
        <f t="shared" si="126"/>
        <v>1243.6595370000002</v>
      </c>
      <c r="AC73" s="250">
        <f t="shared" si="126"/>
        <v>1540.5903130000002</v>
      </c>
      <c r="AD73" s="250">
        <f t="shared" si="126"/>
        <v>1329.6858709999999</v>
      </c>
      <c r="AE73" s="179">
        <f t="shared" si="126"/>
        <v>1610.1699279999993</v>
      </c>
      <c r="AF73" s="178">
        <f t="shared" ref="AF73:AT73" si="130">AF17+AF70</f>
        <v>1797.1172150000004</v>
      </c>
      <c r="AG73" s="178">
        <f t="shared" si="130"/>
        <v>2336.0223260000002</v>
      </c>
      <c r="AH73" s="178">
        <f t="shared" si="130"/>
        <v>2110.818773</v>
      </c>
      <c r="AI73" s="178">
        <f t="shared" si="130"/>
        <v>3042.0620729999991</v>
      </c>
      <c r="AJ73" s="178">
        <f t="shared" si="130"/>
        <v>3178.1362450000015</v>
      </c>
      <c r="AK73" s="178">
        <f t="shared" si="130"/>
        <v>4337.5694810000005</v>
      </c>
      <c r="AL73" s="178">
        <f>AL17+AL70</f>
        <v>3940.9218229999997</v>
      </c>
      <c r="AM73" s="23">
        <f t="shared" si="130"/>
        <v>4895.755099</v>
      </c>
      <c r="AN73" s="23">
        <f t="shared" si="130"/>
        <v>5291.6750549999997</v>
      </c>
      <c r="AO73" s="23">
        <f t="shared" si="130"/>
        <v>6596.1923989999996</v>
      </c>
      <c r="AP73" s="23">
        <f>AP17+AP70</f>
        <v>5317.7993620000007</v>
      </c>
      <c r="AQ73" s="23">
        <f t="shared" si="130"/>
        <v>5549.7042589536813</v>
      </c>
      <c r="AR73" s="23">
        <f t="shared" si="130"/>
        <v>6225.6300493731524</v>
      </c>
      <c r="AS73" s="23">
        <f t="shared" si="130"/>
        <v>7738.0572843601585</v>
      </c>
      <c r="AT73" s="23">
        <f t="shared" si="130"/>
        <v>6919.6311740008496</v>
      </c>
      <c r="AU73" s="23">
        <f>AU17+AU70</f>
        <v>7581.9754446212492</v>
      </c>
      <c r="AV73" s="23">
        <f>AV17+AV70</f>
        <v>8139.6923217521289</v>
      </c>
      <c r="AW73" s="23">
        <f>AW17+AW70</f>
        <v>9278.5046759745856</v>
      </c>
      <c r="AX73" s="23">
        <f>AX17+AX70</f>
        <v>8301.277600506628</v>
      </c>
      <c r="AY73" s="5"/>
      <c r="AZ73" s="5"/>
    </row>
    <row r="74" spans="1:90" outlineLevel="1">
      <c r="C74" s="23"/>
      <c r="D74" s="23"/>
      <c r="E74" s="23"/>
      <c r="F74" s="23"/>
      <c r="G74" s="238"/>
      <c r="H74" s="238"/>
      <c r="I74" s="238"/>
      <c r="J74" s="23"/>
      <c r="K74" s="23"/>
      <c r="L74" s="23"/>
      <c r="M74" s="23"/>
      <c r="N74" s="23"/>
      <c r="O74" s="23"/>
      <c r="P74" s="23"/>
      <c r="Q74" s="23"/>
      <c r="R74" s="23"/>
      <c r="S74" s="23"/>
      <c r="W74" s="23"/>
      <c r="X74" s="23"/>
      <c r="Y74" s="23"/>
      <c r="Z74" s="23"/>
      <c r="AA74" s="23"/>
      <c r="AB74" s="23"/>
      <c r="AC74" s="23"/>
      <c r="AD74" s="23"/>
      <c r="AE74" s="178"/>
      <c r="AF74" s="178"/>
      <c r="AG74" s="178"/>
      <c r="AH74" s="178"/>
      <c r="AI74" s="178"/>
      <c r="AJ74" s="178"/>
      <c r="AK74" s="178"/>
      <c r="AL74" s="178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5"/>
      <c r="AZ74" s="5"/>
    </row>
    <row r="75" spans="1:90" s="202" customFormat="1" outlineLevel="1">
      <c r="A75" s="258" t="s">
        <v>539</v>
      </c>
      <c r="B75" s="202" t="s">
        <v>539</v>
      </c>
      <c r="C75" s="279">
        <f t="shared" ref="C75:I80" si="131">VLOOKUP($A75,CTRP,MATCH(C$5,Period_CTRP,FALSE),FALSE)</f>
        <v>-1626.9606739999999</v>
      </c>
      <c r="D75" s="279">
        <f t="shared" si="131"/>
        <v>-2466.3943440000003</v>
      </c>
      <c r="E75" s="279">
        <f t="shared" si="131"/>
        <v>-3161.536791</v>
      </c>
      <c r="F75" s="279">
        <f t="shared" si="131"/>
        <v>-5397.1090999999997</v>
      </c>
      <c r="G75" s="279">
        <f t="shared" si="131"/>
        <v>-7473.0852969999996</v>
      </c>
      <c r="H75" s="418">
        <f t="shared" si="131"/>
        <v>-16067.168108</v>
      </c>
      <c r="I75" s="418">
        <f t="shared" si="131"/>
        <v>-19175.251370999998</v>
      </c>
      <c r="J75" s="278">
        <f t="shared" ref="J75:Q75" si="132">-J76*J17</f>
        <v>-23248.321228532681</v>
      </c>
      <c r="K75" s="278">
        <f t="shared" si="132"/>
        <v>-27617.789098040466</v>
      </c>
      <c r="L75" s="278">
        <f t="shared" si="132"/>
        <v>-32772.711974673861</v>
      </c>
      <c r="M75" s="278">
        <f t="shared" si="132"/>
        <v>-38281.511768989876</v>
      </c>
      <c r="N75" s="278">
        <f t="shared" si="132"/>
        <v>-44283.78089430221</v>
      </c>
      <c r="O75" s="278">
        <f t="shared" si="132"/>
        <v>-50453.992710735518</v>
      </c>
      <c r="P75" s="278">
        <f t="shared" si="132"/>
        <v>-56958.601477011696</v>
      </c>
      <c r="Q75" s="278">
        <f t="shared" si="132"/>
        <v>-63781.907092272246</v>
      </c>
      <c r="R75" s="278">
        <f>-R76*R17</f>
        <v>-72052.637449821195</v>
      </c>
      <c r="S75" s="278">
        <f>-S76*S17</f>
        <v>-80550.077779718908</v>
      </c>
      <c r="T75" s="265"/>
      <c r="U75" s="510">
        <f>(K75/I75)^(1/2)-1</f>
        <v>0.20011792233842196</v>
      </c>
      <c r="V75" s="265"/>
      <c r="W75" s="276">
        <f t="shared" ref="W75:AL83" si="133">VLOOKUP($A75,CTRP,MATCH(W$5,Period_CTRP,FALSE),FALSE)</f>
        <v>-696.31970100000001</v>
      </c>
      <c r="X75" s="276">
        <f t="shared" si="133"/>
        <v>-739.80396799999994</v>
      </c>
      <c r="Y75" s="276">
        <f t="shared" si="133"/>
        <v>-862.31250399999999</v>
      </c>
      <c r="Z75" s="276">
        <f t="shared" si="133"/>
        <v>-863.10061799999994</v>
      </c>
      <c r="AA75" s="276">
        <f t="shared" si="133"/>
        <v>-1061.4291040000001</v>
      </c>
      <c r="AB75" s="276">
        <f t="shared" si="133"/>
        <v>-1152.7398780000001</v>
      </c>
      <c r="AC75" s="276">
        <f t="shared" si="133"/>
        <v>-1452.3477669999997</v>
      </c>
      <c r="AD75" s="276">
        <f t="shared" si="133"/>
        <v>-1730.592351</v>
      </c>
      <c r="AE75" s="277">
        <f t="shared" si="133"/>
        <v>-1790.4372860000001</v>
      </c>
      <c r="AF75" s="277">
        <f t="shared" si="133"/>
        <v>-1736.233923</v>
      </c>
      <c r="AG75" s="277">
        <f t="shared" si="133"/>
        <v>-1930.788</v>
      </c>
      <c r="AH75" s="277">
        <f t="shared" si="133"/>
        <v>-2015.626088</v>
      </c>
      <c r="AI75" s="279">
        <f t="shared" si="133"/>
        <v>-4869.4377039999999</v>
      </c>
      <c r="AJ75" s="279">
        <f t="shared" si="133"/>
        <v>-3574.0492469999999</v>
      </c>
      <c r="AK75" s="279">
        <f t="shared" si="133"/>
        <v>-3890.1457370000003</v>
      </c>
      <c r="AL75" s="279">
        <f t="shared" si="133"/>
        <v>-3733.5354200000002</v>
      </c>
      <c r="AM75" s="454">
        <f t="shared" ref="AM75:AP80" si="134">VLOOKUP($A75,CTRP,MATCH(AM$5,Period_CTRP,FALSE),FALSE)</f>
        <v>-4481.5813129999997</v>
      </c>
      <c r="AN75" s="454">
        <f t="shared" si="134"/>
        <v>-4646.4128010000004</v>
      </c>
      <c r="AO75" s="454">
        <f t="shared" si="134"/>
        <v>-5237.1941299999999</v>
      </c>
      <c r="AP75" s="454">
        <f t="shared" si="134"/>
        <v>-4810.0631270000003</v>
      </c>
      <c r="AQ75" s="278">
        <f>-AQ76*AQ17</f>
        <v>-5268.1975211806694</v>
      </c>
      <c r="AR75" s="278">
        <f>-AR76*AR17</f>
        <v>-5693.7170126637739</v>
      </c>
      <c r="AS75" s="278">
        <f>-AS76*AS17</f>
        <v>-6611.3365486109651</v>
      </c>
      <c r="AT75" s="263">
        <f>J75-SUM(AQ75:AS75)</f>
        <v>-5675.0701460772725</v>
      </c>
      <c r="AU75" s="278">
        <f>-AU76*AU17</f>
        <v>-6379.0658788880701</v>
      </c>
      <c r="AV75" s="278">
        <f>-AV76*AV17</f>
        <v>-6750.4659879915489</v>
      </c>
      <c r="AW75" s="278">
        <f>-AW76*AW17</f>
        <v>-7471.8727558929959</v>
      </c>
      <c r="AX75" s="263">
        <f>K75-SUM(AU75:AW75)</f>
        <v>-7016.3844752678524</v>
      </c>
      <c r="AY75" s="195"/>
      <c r="AZ75" s="195"/>
      <c r="BA75" s="265"/>
      <c r="BB75" s="265"/>
      <c r="BC75" s="265"/>
      <c r="BD75" s="265"/>
      <c r="BE75" s="265"/>
      <c r="BF75" s="265"/>
      <c r="BG75" s="265"/>
      <c r="BH75" s="265"/>
      <c r="BI75" s="265"/>
      <c r="BJ75" s="265"/>
      <c r="BK75" s="265"/>
      <c r="BL75" s="265"/>
      <c r="BM75" s="265"/>
      <c r="BN75" s="265"/>
      <c r="BO75" s="265"/>
      <c r="BP75" s="266"/>
      <c r="BQ75" s="266"/>
      <c r="BR75" s="266"/>
      <c r="BS75" s="266"/>
      <c r="BT75" s="266"/>
      <c r="BU75" s="266"/>
      <c r="BV75" s="266"/>
      <c r="BW75" s="266"/>
      <c r="BX75" s="266"/>
      <c r="BY75" s="266"/>
      <c r="BZ75" s="266"/>
      <c r="CA75" s="266"/>
      <c r="CF75" s="199"/>
      <c r="CG75" s="199"/>
      <c r="CH75" s="199"/>
      <c r="CI75" s="199"/>
      <c r="CJ75" s="199"/>
      <c r="CK75" s="200"/>
      <c r="CL75" s="201"/>
    </row>
    <row r="76" spans="1:90" outlineLevel="1">
      <c r="A76" s="242" t="s">
        <v>153</v>
      </c>
      <c r="B76" s="39" t="s">
        <v>166</v>
      </c>
      <c r="C76" s="321">
        <f t="shared" si="131"/>
        <v>0.46510043267026413</v>
      </c>
      <c r="D76" s="321">
        <f t="shared" si="131"/>
        <v>0.59305557704851286</v>
      </c>
      <c r="E76" s="321">
        <f t="shared" si="131"/>
        <v>0.58691036477401148</v>
      </c>
      <c r="F76" s="321">
        <f t="shared" si="131"/>
        <v>0.73460855680292625</v>
      </c>
      <c r="G76" s="321">
        <f t="shared" si="131"/>
        <v>0.68575715748401955</v>
      </c>
      <c r="H76" s="416">
        <f t="shared" si="131"/>
        <v>0.83559395683791704</v>
      </c>
      <c r="I76" s="416">
        <f t="shared" si="131"/>
        <v>0.71603866976775377</v>
      </c>
      <c r="J76" s="341">
        <v>0.73</v>
      </c>
      <c r="K76" s="603">
        <v>0.69</v>
      </c>
      <c r="L76" s="603">
        <v>0.67</v>
      </c>
      <c r="M76" s="603">
        <f>L76-2%</f>
        <v>0.65</v>
      </c>
      <c r="N76" s="603">
        <f>M76-2%</f>
        <v>0.63</v>
      </c>
      <c r="O76" s="603">
        <v>0.62</v>
      </c>
      <c r="P76" s="603">
        <v>0.61</v>
      </c>
      <c r="Q76" s="603">
        <v>0.6</v>
      </c>
      <c r="R76" s="603">
        <f>Q76</f>
        <v>0.6</v>
      </c>
      <c r="S76" s="603">
        <f>R76</f>
        <v>0.6</v>
      </c>
      <c r="W76" s="322">
        <f t="shared" si="133"/>
        <v>0.60001277078511217</v>
      </c>
      <c r="X76" s="322">
        <f t="shared" si="133"/>
        <v>0.59428893342186817</v>
      </c>
      <c r="Y76" s="322">
        <f t="shared" si="133"/>
        <v>0.55958867699458448</v>
      </c>
      <c r="Z76" s="322">
        <f t="shared" si="133"/>
        <v>0.59920644753895791</v>
      </c>
      <c r="AA76" s="322">
        <f t="shared" si="133"/>
        <v>0.67103115090909748</v>
      </c>
      <c r="AB76" s="322">
        <f t="shared" si="133"/>
        <v>0.66931778914592222</v>
      </c>
      <c r="AC76" s="322">
        <f t="shared" si="133"/>
        <v>0.68199091679490775</v>
      </c>
      <c r="AD76" s="322">
        <f t="shared" si="133"/>
        <v>0.90450711332552192</v>
      </c>
      <c r="AE76" s="321">
        <f t="shared" si="133"/>
        <v>0.77348179643188186</v>
      </c>
      <c r="AF76" s="321">
        <f t="shared" si="133"/>
        <v>0.68703613655502116</v>
      </c>
      <c r="AG76" s="321">
        <f t="shared" si="133"/>
        <v>0.60686061223234267</v>
      </c>
      <c r="AH76" s="321">
        <f t="shared" si="133"/>
        <v>0.70131782629229322</v>
      </c>
      <c r="AI76" s="321">
        <f t="shared" si="133"/>
        <v>1.1654930739653919</v>
      </c>
      <c r="AJ76" s="321">
        <f t="shared" si="133"/>
        <v>0.81020596593398642</v>
      </c>
      <c r="AK76" s="321">
        <f t="shared" si="133"/>
        <v>0.69817638987921782</v>
      </c>
      <c r="AL76" s="321">
        <f t="shared" si="133"/>
        <v>0.73679253326946637</v>
      </c>
      <c r="AM76" s="451">
        <f t="shared" si="134"/>
        <v>0.73648902751529599</v>
      </c>
      <c r="AN76" s="451">
        <f t="shared" si="134"/>
        <v>0.7242175732063092</v>
      </c>
      <c r="AO76" s="451">
        <f t="shared" si="134"/>
        <v>0.66296315092050617</v>
      </c>
      <c r="AP76" s="456">
        <f t="shared" si="134"/>
        <v>0.75403193671578095</v>
      </c>
      <c r="AQ76" s="333">
        <v>0.78600000000000003</v>
      </c>
      <c r="AR76" s="333">
        <v>0.76</v>
      </c>
      <c r="AS76" s="333">
        <v>0.71</v>
      </c>
      <c r="AT76" s="317">
        <f>-AT75/AT17</f>
        <v>0.680382508335305</v>
      </c>
      <c r="AU76" s="333">
        <v>0.7</v>
      </c>
      <c r="AV76" s="333">
        <v>0.69</v>
      </c>
      <c r="AW76" s="333">
        <v>0.67</v>
      </c>
      <c r="AX76" s="317">
        <f>-AX75/AX17</f>
        <v>0.70322089735519533</v>
      </c>
      <c r="AY76" s="251"/>
      <c r="AZ76" s="251"/>
    </row>
    <row r="77" spans="1:90" outlineLevel="1">
      <c r="A77" s="242" t="s">
        <v>62</v>
      </c>
      <c r="B77" s="39" t="s">
        <v>76</v>
      </c>
      <c r="C77" s="203">
        <f t="shared" si="131"/>
        <v>1065.9941699999999</v>
      </c>
      <c r="D77" s="203">
        <f t="shared" si="131"/>
        <v>654.60581199999979</v>
      </c>
      <c r="E77" s="203">
        <f t="shared" si="131"/>
        <v>838.4416839999999</v>
      </c>
      <c r="F77" s="203">
        <f t="shared" si="131"/>
        <v>-150.7971439999983</v>
      </c>
      <c r="G77" s="203">
        <f t="shared" si="131"/>
        <v>381.04294500000196</v>
      </c>
      <c r="H77" s="419">
        <f t="shared" si="131"/>
        <v>-1568.4784859999995</v>
      </c>
      <c r="I77" s="419">
        <f t="shared" si="131"/>
        <v>2926.1705440000005</v>
      </c>
      <c r="J77" s="250">
        <f t="shared" ref="J77:S80" ca="1" si="135">VLOOKUP($A77,CTRP,MATCH(J$5,Period_CTRP,FALSE),FALSE)</f>
        <v>3184.7015381551682</v>
      </c>
      <c r="K77" s="250">
        <f t="shared" ca="1" si="135"/>
        <v>5683.660944814128</v>
      </c>
      <c r="L77" s="250">
        <f t="shared" ca="1" si="135"/>
        <v>8021.9772594724054</v>
      </c>
      <c r="M77" s="250">
        <f t="shared" ca="1" si="135"/>
        <v>10836.612562298673</v>
      </c>
      <c r="N77" s="250">
        <f t="shared" ca="1" si="135"/>
        <v>14339.510003869284</v>
      </c>
      <c r="O77" s="250">
        <f t="shared" ca="1" si="135"/>
        <v>17577.520041159471</v>
      </c>
      <c r="P77" s="250">
        <f t="shared" ca="1" si="135"/>
        <v>21102.694973450234</v>
      </c>
      <c r="Q77" s="250">
        <f t="shared" ca="1" si="135"/>
        <v>25087.550122960412</v>
      </c>
      <c r="R77" s="250">
        <f t="shared" ca="1" si="135"/>
        <v>28340.704063596335</v>
      </c>
      <c r="S77" s="250">
        <f t="shared" ca="1" si="135"/>
        <v>31683.030593356089</v>
      </c>
      <c r="W77" s="250">
        <f t="shared" si="133"/>
        <v>160.01674599999967</v>
      </c>
      <c r="X77" s="250">
        <f t="shared" si="133"/>
        <v>195.94067300000029</v>
      </c>
      <c r="Y77" s="250">
        <f t="shared" si="133"/>
        <v>299.54139899999973</v>
      </c>
      <c r="Z77" s="250">
        <f t="shared" si="133"/>
        <v>182.94286600000009</v>
      </c>
      <c r="AA77" s="250">
        <f t="shared" si="133"/>
        <v>70.947131000000127</v>
      </c>
      <c r="AB77" s="250">
        <f t="shared" si="133"/>
        <v>90.919659000000138</v>
      </c>
      <c r="AC77" s="250">
        <f t="shared" si="133"/>
        <v>88.242546000000402</v>
      </c>
      <c r="AD77" s="250">
        <f t="shared" si="133"/>
        <v>-400.9064800000001</v>
      </c>
      <c r="AE77" s="206">
        <f t="shared" si="133"/>
        <v>-180.26735800000074</v>
      </c>
      <c r="AF77" s="206">
        <f t="shared" si="133"/>
        <v>60.883292000000438</v>
      </c>
      <c r="AG77" s="206">
        <f t="shared" si="133"/>
        <v>405.23432600000024</v>
      </c>
      <c r="AH77" s="206">
        <f t="shared" si="133"/>
        <v>95.192684999999983</v>
      </c>
      <c r="AI77" s="203">
        <f t="shared" si="133"/>
        <v>-1827.3756310000008</v>
      </c>
      <c r="AJ77" s="203">
        <f t="shared" si="133"/>
        <v>-395.91300199999841</v>
      </c>
      <c r="AK77" s="203">
        <f t="shared" si="133"/>
        <v>447.42374400000017</v>
      </c>
      <c r="AL77" s="203">
        <f t="shared" si="133"/>
        <v>207.38640299999952</v>
      </c>
      <c r="AM77" s="455">
        <f t="shared" si="134"/>
        <v>414.17378600000029</v>
      </c>
      <c r="AN77" s="455">
        <f t="shared" si="134"/>
        <v>645.2622539999993</v>
      </c>
      <c r="AO77" s="455">
        <f t="shared" si="134"/>
        <v>1358.9982689999997</v>
      </c>
      <c r="AP77" s="455">
        <f t="shared" si="134"/>
        <v>507.73623500000031</v>
      </c>
      <c r="AQ77" s="250">
        <f t="shared" ref="AQ77:AX77" ca="1" si="136">VLOOKUP($A77,CTRP,MATCH(AQ$5,Period_CTRP,FALSE),FALSE)</f>
        <v>281.50673777301199</v>
      </c>
      <c r="AR77" s="250">
        <f t="shared" ca="1" si="136"/>
        <v>531.9130367093785</v>
      </c>
      <c r="AS77" s="250">
        <f t="shared" ca="1" si="136"/>
        <v>1126.7207357491934</v>
      </c>
      <c r="AT77" s="250">
        <f t="shared" ca="1" si="136"/>
        <v>1244.5610279235771</v>
      </c>
      <c r="AU77" s="250">
        <f t="shared" ca="1" si="136"/>
        <v>1202.9095657331791</v>
      </c>
      <c r="AV77" s="250">
        <f t="shared" ca="1" si="136"/>
        <v>1389.22633376058</v>
      </c>
      <c r="AW77" s="250">
        <f t="shared" ca="1" si="136"/>
        <v>1806.6319200815897</v>
      </c>
      <c r="AX77" s="250">
        <f t="shared" ca="1" si="136"/>
        <v>1284.8931252387792</v>
      </c>
      <c r="AY77" s="62"/>
      <c r="AZ77" s="62"/>
    </row>
    <row r="78" spans="1:90" outlineLevel="1">
      <c r="A78" s="242" t="s">
        <v>75</v>
      </c>
      <c r="B78" s="39" t="s">
        <v>156</v>
      </c>
      <c r="C78" s="321">
        <f t="shared" si="131"/>
        <v>0.30473652966179754</v>
      </c>
      <c r="D78" s="321">
        <f t="shared" si="131"/>
        <v>0.15740290214311736</v>
      </c>
      <c r="E78" s="321">
        <f t="shared" si="131"/>
        <v>0.15564902360112259</v>
      </c>
      <c r="F78" s="321">
        <f t="shared" si="131"/>
        <v>-2.0525223832114456E-2</v>
      </c>
      <c r="G78" s="321">
        <f t="shared" si="131"/>
        <v>3.4965869712130622E-2</v>
      </c>
      <c r="H78" s="416">
        <f t="shared" si="131"/>
        <v>-8.1570761911635134E-2</v>
      </c>
      <c r="I78" s="416">
        <f t="shared" si="131"/>
        <v>0.10926851613575883</v>
      </c>
      <c r="J78" s="322">
        <f t="shared" ca="1" si="135"/>
        <v>0.1000000000000002</v>
      </c>
      <c r="K78" s="322">
        <f t="shared" ca="1" si="135"/>
        <v>0.14200000000000007</v>
      </c>
      <c r="L78" s="322">
        <f t="shared" ca="1" si="135"/>
        <v>0.16399999999999995</v>
      </c>
      <c r="M78" s="322">
        <f t="shared" ca="1" si="135"/>
        <v>0.184</v>
      </c>
      <c r="N78" s="322">
        <f t="shared" ca="1" si="135"/>
        <v>0.20399999999999996</v>
      </c>
      <c r="O78" s="322">
        <f t="shared" ca="1" si="135"/>
        <v>0.216</v>
      </c>
      <c r="P78" s="322">
        <f t="shared" ca="1" si="135"/>
        <v>0.22599999999999998</v>
      </c>
      <c r="Q78" s="322">
        <f t="shared" ca="1" si="135"/>
        <v>0.23599999999999996</v>
      </c>
      <c r="R78" s="322">
        <f t="shared" ca="1" si="135"/>
        <v>0.23599999999999999</v>
      </c>
      <c r="S78" s="322">
        <f t="shared" ca="1" si="135"/>
        <v>0.23599999999999988</v>
      </c>
      <c r="W78" s="322">
        <f t="shared" si="133"/>
        <v>0.13788507060994001</v>
      </c>
      <c r="X78" s="322">
        <f t="shared" si="133"/>
        <v>0.1574003095521829</v>
      </c>
      <c r="Y78" s="322">
        <f t="shared" si="133"/>
        <v>0.19438425674448623</v>
      </c>
      <c r="Z78" s="322">
        <f t="shared" si="133"/>
        <v>0.12700783958708239</v>
      </c>
      <c r="AA78" s="322">
        <f t="shared" si="133"/>
        <v>4.4852486886989104E-2</v>
      </c>
      <c r="AB78" s="322">
        <f t="shared" si="133"/>
        <v>5.2790873564088882E-2</v>
      </c>
      <c r="AC78" s="322">
        <f t="shared" si="133"/>
        <v>4.1436779960193314E-2</v>
      </c>
      <c r="AD78" s="322">
        <f t="shared" si="133"/>
        <v>-0.20953678821517926</v>
      </c>
      <c r="AE78" s="321">
        <f t="shared" si="133"/>
        <v>-7.7876796352569777E-2</v>
      </c>
      <c r="AF78" s="321">
        <f t="shared" si="133"/>
        <v>2.4091812262345441E-2</v>
      </c>
      <c r="AG78" s="321">
        <f t="shared" si="133"/>
        <v>0.12736807519723597</v>
      </c>
      <c r="AH78" s="321">
        <f t="shared" si="133"/>
        <v>3.3121384626138541E-2</v>
      </c>
      <c r="AI78" s="321">
        <f t="shared" ref="AI78:AX78" si="137">VLOOKUP($A78,CTRP,MATCH(AI$5,Period_CTRP,FALSE),FALSE)</f>
        <v>-0.43737979021974543</v>
      </c>
      <c r="AJ78" s="321">
        <f t="shared" si="137"/>
        <v>-8.9750043729946688E-2</v>
      </c>
      <c r="AK78" s="321">
        <f t="shared" si="137"/>
        <v>8.0300511973380465E-2</v>
      </c>
      <c r="AL78" s="321">
        <f t="shared" si="137"/>
        <v>4.092655781795479E-2</v>
      </c>
      <c r="AM78" s="451">
        <f t="shared" si="134"/>
        <v>6.806402195328605E-2</v>
      </c>
      <c r="AN78" s="451">
        <f t="shared" si="134"/>
        <v>0.1005744180915088</v>
      </c>
      <c r="AO78" s="451">
        <f t="shared" si="134"/>
        <v>0.17203215159636512</v>
      </c>
      <c r="AP78" s="451">
        <f t="shared" si="134"/>
        <v>7.9593412084096565E-2</v>
      </c>
      <c r="AQ78" s="322">
        <f t="shared" ca="1" si="137"/>
        <v>4.1999999999999871E-2</v>
      </c>
      <c r="AR78" s="322">
        <f t="shared" ca="1" si="137"/>
        <v>7.0999999999999952E-2</v>
      </c>
      <c r="AS78" s="322">
        <f t="shared" ca="1" si="137"/>
        <v>0.12100000000000007</v>
      </c>
      <c r="AT78" s="322">
        <f t="shared" ca="1" si="137"/>
        <v>0.1492100594633741</v>
      </c>
      <c r="AU78" s="322">
        <f t="shared" ca="1" si="137"/>
        <v>0.13200000000000001</v>
      </c>
      <c r="AV78" s="322">
        <f t="shared" ca="1" si="137"/>
        <v>0.14200000000000002</v>
      </c>
      <c r="AW78" s="322">
        <f t="shared" ca="1" si="137"/>
        <v>0.16199999999999998</v>
      </c>
      <c r="AX78" s="322">
        <f t="shared" ca="1" si="137"/>
        <v>0.1287791026448051</v>
      </c>
      <c r="AY78" s="62"/>
      <c r="AZ78" s="62"/>
    </row>
    <row r="79" spans="1:90" outlineLevel="1">
      <c r="A79" s="3" t="s">
        <v>565</v>
      </c>
      <c r="B79" s="65" t="s">
        <v>473</v>
      </c>
      <c r="C79" s="352">
        <f t="shared" si="131"/>
        <v>0.40273054451671775</v>
      </c>
      <c r="D79" s="352">
        <f t="shared" si="131"/>
        <v>0.26121222945758865</v>
      </c>
      <c r="E79" s="352">
        <f t="shared" si="131"/>
        <v>0.23694662223196586</v>
      </c>
      <c r="F79" s="352">
        <f t="shared" si="131"/>
        <v>4.7073661041244878E-2</v>
      </c>
      <c r="G79" s="352">
        <f t="shared" si="131"/>
        <v>9.3932831001384803E-2</v>
      </c>
      <c r="H79" s="420">
        <f t="shared" si="131"/>
        <v>0.10355703526971553</v>
      </c>
      <c r="I79" s="420">
        <f t="shared" si="131"/>
        <v>0.17774638663992665</v>
      </c>
      <c r="J79" s="654">
        <f t="shared" ca="1" si="135"/>
        <v>0.16705005404603782</v>
      </c>
      <c r="K79" s="351">
        <f t="shared" ca="1" si="135"/>
        <v>0.20244217438067172</v>
      </c>
      <c r="L79" s="351">
        <f t="shared" ca="1" si="135"/>
        <v>0.2244421743806716</v>
      </c>
      <c r="M79" s="351">
        <f t="shared" ca="1" si="135"/>
        <v>0.24444217438067167</v>
      </c>
      <c r="N79" s="351">
        <f t="shared" ca="1" si="135"/>
        <v>0.26444217438067164</v>
      </c>
      <c r="O79" s="351">
        <f t="shared" ca="1" si="135"/>
        <v>0.27644217438067165</v>
      </c>
      <c r="P79" s="351">
        <f t="shared" ca="1" si="135"/>
        <v>0.28644217438067165</v>
      </c>
      <c r="Q79" s="351">
        <f t="shared" ca="1" si="135"/>
        <v>0.29644217438067161</v>
      </c>
      <c r="R79" s="351">
        <f t="shared" ca="1" si="135"/>
        <v>0.29644217438067161</v>
      </c>
      <c r="S79" s="351">
        <f t="shared" ca="1" si="135"/>
        <v>0.29644217438067155</v>
      </c>
      <c r="U79" s="510"/>
      <c r="V79" s="23"/>
      <c r="W79" s="351">
        <f t="shared" si="133"/>
        <v>0.23403956339697637</v>
      </c>
      <c r="X79" s="351">
        <f t="shared" si="133"/>
        <v>0.24670178018214872</v>
      </c>
      <c r="Y79" s="351">
        <f t="shared" si="133"/>
        <v>0.26505323888279669</v>
      </c>
      <c r="Z79" s="351">
        <f t="shared" si="133"/>
        <v>0.20078896528244558</v>
      </c>
      <c r="AA79" s="351">
        <f t="shared" si="133"/>
        <v>0.12175548123125943</v>
      </c>
      <c r="AB79" s="351">
        <f t="shared" si="133"/>
        <v>0.11743719170358241</v>
      </c>
      <c r="AC79" s="351">
        <f t="shared" si="133"/>
        <v>0.10579422444612598</v>
      </c>
      <c r="AD79" s="351">
        <f t="shared" si="133"/>
        <v>-0.14336432120663664</v>
      </c>
      <c r="AE79" s="352">
        <f t="shared" si="133"/>
        <v>-9.2262308608923194E-3</v>
      </c>
      <c r="AF79" s="352">
        <f t="shared" si="133"/>
        <v>8.4671824615189517E-2</v>
      </c>
      <c r="AG79" s="352">
        <f t="shared" si="133"/>
        <v>0.1695184362802086</v>
      </c>
      <c r="AH79" s="352">
        <f t="shared" si="133"/>
        <v>0.10148688735064126</v>
      </c>
      <c r="AI79" s="352">
        <f t="shared" ref="AI79:AX79" si="138">VLOOKUP($A79,CTRP,MATCH(AI$5,Period_CTRP,FALSE),FALSE)</f>
        <v>1.9771153753065868E-3</v>
      </c>
      <c r="AJ79" s="352">
        <f t="shared" si="138"/>
        <v>4.1286419272780449E-2</v>
      </c>
      <c r="AK79" s="352">
        <f t="shared" si="138"/>
        <v>0.18023708041216255</v>
      </c>
      <c r="AL79" s="352">
        <f t="shared" si="138"/>
        <v>0.1572038650974304</v>
      </c>
      <c r="AM79" s="453">
        <f t="shared" si="134"/>
        <v>0.15380533297317139</v>
      </c>
      <c r="AN79" s="453">
        <f t="shared" si="134"/>
        <v>0.18284962975556379</v>
      </c>
      <c r="AO79" s="453">
        <f t="shared" si="134"/>
        <v>0.22064599578807764</v>
      </c>
      <c r="AP79" s="453">
        <f t="shared" si="134"/>
        <v>0.14232593446373606</v>
      </c>
      <c r="AQ79" s="654">
        <f t="shared" ca="1" si="138"/>
        <v>0.12256394763343391</v>
      </c>
      <c r="AR79" s="351">
        <f t="shared" ca="1" si="138"/>
        <v>0.14149345417925474</v>
      </c>
      <c r="AS79" s="351">
        <f t="shared" ca="1" si="138"/>
        <v>0.1814229607250756</v>
      </c>
      <c r="AT79" s="351">
        <f t="shared" ca="1" si="138"/>
        <v>0.20970638041188627</v>
      </c>
      <c r="AU79" s="351">
        <f t="shared" ca="1" si="138"/>
        <v>0.19242296072507553</v>
      </c>
      <c r="AV79" s="351">
        <f t="shared" ca="1" si="138"/>
        <v>0.20242296072507554</v>
      </c>
      <c r="AW79" s="351">
        <f t="shared" ca="1" si="138"/>
        <v>0.2224229607250755</v>
      </c>
      <c r="AX79" s="351">
        <f t="shared" ca="1" si="138"/>
        <v>0.1892791409744094</v>
      </c>
      <c r="AY79" s="62"/>
      <c r="AZ79" s="62"/>
    </row>
    <row r="80" spans="1:90" outlineLevel="1">
      <c r="A80" s="3" t="s">
        <v>546</v>
      </c>
      <c r="B80" s="39" t="s">
        <v>502</v>
      </c>
      <c r="C80" s="203">
        <f t="shared" si="131"/>
        <v>1408.785527</v>
      </c>
      <c r="D80" s="203">
        <f t="shared" si="131"/>
        <v>1086.3271339999997</v>
      </c>
      <c r="E80" s="203">
        <f t="shared" si="131"/>
        <v>1276.371161</v>
      </c>
      <c r="F80" s="203">
        <f t="shared" si="131"/>
        <v>345.84634500000169</v>
      </c>
      <c r="G80" s="203">
        <f t="shared" si="131"/>
        <v>1023.6394190000019</v>
      </c>
      <c r="H80" s="421">
        <f t="shared" si="131"/>
        <v>1991.2402200000001</v>
      </c>
      <c r="I80" s="421">
        <f t="shared" si="131"/>
        <v>4759.9826490000005</v>
      </c>
      <c r="J80" s="250">
        <f t="shared" ca="1" si="135"/>
        <v>5320.0456406931962</v>
      </c>
      <c r="K80" s="250">
        <f t="shared" ca="1" si="135"/>
        <v>8102.9061979624967</v>
      </c>
      <c r="L80" s="250">
        <f t="shared" ca="1" si="135"/>
        <v>10978.47572529444</v>
      </c>
      <c r="M80" s="250">
        <f t="shared" ca="1" si="135"/>
        <v>14396.332269832552</v>
      </c>
      <c r="N80" s="250">
        <f t="shared" ca="1" si="135"/>
        <v>18588.094142042093</v>
      </c>
      <c r="O80" s="250">
        <f t="shared" ca="1" si="135"/>
        <v>22496.147501842395</v>
      </c>
      <c r="P80" s="250">
        <f t="shared" ca="1" si="135"/>
        <v>26746.468289766173</v>
      </c>
      <c r="Q80" s="250">
        <f t="shared" ca="1" si="135"/>
        <v>31512.745374298611</v>
      </c>
      <c r="R80" s="250">
        <f t="shared" ca="1" si="135"/>
        <v>35599.06752581201</v>
      </c>
      <c r="S80" s="250">
        <f t="shared" ca="1" si="135"/>
        <v>39797.40033925348</v>
      </c>
      <c r="W80" s="250">
        <f t="shared" si="133"/>
        <v>271.60481699999968</v>
      </c>
      <c r="X80" s="250">
        <f t="shared" si="133"/>
        <v>307.10811800000027</v>
      </c>
      <c r="Y80" s="250">
        <f t="shared" si="133"/>
        <v>408.44057699999973</v>
      </c>
      <c r="Z80" s="250">
        <f t="shared" si="133"/>
        <v>289.21764900000011</v>
      </c>
      <c r="AA80" s="250">
        <f t="shared" si="133"/>
        <v>192.59137400000012</v>
      </c>
      <c r="AB80" s="250">
        <f t="shared" si="133"/>
        <v>202.25748700000014</v>
      </c>
      <c r="AC80" s="250">
        <f t="shared" si="133"/>
        <v>225.29626400000041</v>
      </c>
      <c r="AD80" s="250">
        <f t="shared" si="133"/>
        <v>-274.29878000000008</v>
      </c>
      <c r="AE80" s="206">
        <f t="shared" si="133"/>
        <v>-21.356660000000744</v>
      </c>
      <c r="AF80" s="206">
        <f t="shared" si="133"/>
        <v>213.97723700000046</v>
      </c>
      <c r="AG80" s="206">
        <f t="shared" si="133"/>
        <v>539.3399340000002</v>
      </c>
      <c r="AH80" s="206">
        <f t="shared" si="133"/>
        <v>291.67890799999998</v>
      </c>
      <c r="AI80" s="203">
        <f t="shared" ref="AI80:AX80" si="139">VLOOKUP($A80,CTRP,MATCH(AI$5,Period_CTRP,FALSE),FALSE)</f>
        <v>8.2604009999993195</v>
      </c>
      <c r="AJ80" s="203">
        <f t="shared" si="139"/>
        <v>182.12615300000152</v>
      </c>
      <c r="AK80" s="203">
        <f t="shared" si="139"/>
        <v>1004.2569760000001</v>
      </c>
      <c r="AL80" s="203">
        <f t="shared" si="139"/>
        <v>796.5962899999995</v>
      </c>
      <c r="AM80" s="455">
        <f t="shared" si="134"/>
        <v>935.91497000000027</v>
      </c>
      <c r="AN80" s="455">
        <f t="shared" si="134"/>
        <v>1173.1210229999992</v>
      </c>
      <c r="AO80" s="455">
        <f t="shared" si="134"/>
        <v>1743.0318899999997</v>
      </c>
      <c r="AP80" s="455">
        <f t="shared" si="134"/>
        <v>907.91476600000033</v>
      </c>
      <c r="AQ80" s="250">
        <f t="shared" ca="1" si="139"/>
        <v>821.48993016357997</v>
      </c>
      <c r="AR80" s="250">
        <f t="shared" ca="1" si="139"/>
        <v>1060.0311674223485</v>
      </c>
      <c r="AS80" s="250">
        <f t="shared" ca="1" si="139"/>
        <v>1689.3637338012734</v>
      </c>
      <c r="AT80" s="250">
        <f t="shared" ca="1" si="139"/>
        <v>1749.160809305987</v>
      </c>
      <c r="AU80" s="250">
        <f t="shared" ca="1" si="139"/>
        <v>1753.5410615370695</v>
      </c>
      <c r="AV80" s="250">
        <f t="shared" ca="1" si="139"/>
        <v>1980.361321106046</v>
      </c>
      <c r="AW80" s="250">
        <f t="shared" ca="1" si="139"/>
        <v>2480.4717321294765</v>
      </c>
      <c r="AX80" s="250">
        <f t="shared" ca="1" si="139"/>
        <v>1888.5320831899051</v>
      </c>
      <c r="AY80" s="62"/>
      <c r="AZ80" s="62"/>
    </row>
    <row r="81" spans="1:52" outlineLevel="1">
      <c r="A81" s="3"/>
      <c r="B81" s="335" t="s">
        <v>678</v>
      </c>
      <c r="C81" s="203"/>
      <c r="D81" s="203"/>
      <c r="E81" s="203"/>
      <c r="F81" s="203"/>
      <c r="G81" s="203"/>
      <c r="H81" s="250"/>
      <c r="I81" s="250"/>
      <c r="J81" s="605" t="s">
        <v>807</v>
      </c>
      <c r="K81" s="605" t="s">
        <v>808</v>
      </c>
      <c r="L81" s="250"/>
      <c r="M81" s="250"/>
      <c r="N81" s="250"/>
      <c r="O81" s="250"/>
      <c r="P81" s="250"/>
      <c r="Q81" s="250"/>
      <c r="R81" s="250"/>
      <c r="S81" s="250"/>
      <c r="W81" s="337"/>
      <c r="X81" s="337"/>
      <c r="Y81" s="337"/>
      <c r="Z81" s="337"/>
      <c r="AA81" s="337"/>
      <c r="AB81" s="337"/>
      <c r="AC81" s="337"/>
      <c r="AD81" s="337"/>
      <c r="AE81" s="338"/>
      <c r="AF81" s="339" t="s">
        <v>682</v>
      </c>
      <c r="AG81" s="339" t="s">
        <v>514</v>
      </c>
      <c r="AH81" s="339"/>
      <c r="AI81" s="340" t="s">
        <v>681</v>
      </c>
      <c r="AJ81" s="339" t="s">
        <v>680</v>
      </c>
      <c r="AK81" s="339" t="s">
        <v>679</v>
      </c>
      <c r="AL81" s="339" t="s">
        <v>679</v>
      </c>
      <c r="AM81" s="325" t="s">
        <v>767</v>
      </c>
      <c r="AN81" s="450" t="s">
        <v>782</v>
      </c>
      <c r="AO81" s="450" t="s">
        <v>805</v>
      </c>
      <c r="AP81" s="450" t="s">
        <v>806</v>
      </c>
      <c r="AQ81" s="450" t="s">
        <v>852</v>
      </c>
      <c r="AR81" s="322"/>
      <c r="AS81" s="322"/>
      <c r="AT81" s="322"/>
      <c r="AU81" s="322"/>
      <c r="AV81" s="322"/>
      <c r="AW81" s="322"/>
      <c r="AX81" s="322"/>
      <c r="AY81" s="62"/>
      <c r="AZ81" s="62"/>
    </row>
    <row r="82" spans="1:52" outlineLevel="1">
      <c r="A82" s="3" t="s">
        <v>540</v>
      </c>
      <c r="B82" s="39" t="s">
        <v>474</v>
      </c>
      <c r="C82" s="203">
        <f t="shared" ref="C82:L83" si="140">VLOOKUP($A82,CTRP,MATCH(C$5,Period_CTRP,FALSE),FALSE)</f>
        <v>1076.4148969999999</v>
      </c>
      <c r="D82" s="203">
        <f t="shared" si="140"/>
        <v>714.40586399999961</v>
      </c>
      <c r="E82" s="203">
        <f t="shared" si="140"/>
        <v>998.31968400000005</v>
      </c>
      <c r="F82" s="203">
        <f t="shared" si="140"/>
        <v>242.73978100000176</v>
      </c>
      <c r="G82" s="203">
        <f t="shared" si="140"/>
        <v>2507.6558840000021</v>
      </c>
      <c r="H82" s="421">
        <f t="shared" si="140"/>
        <v>-1430.7031950000001</v>
      </c>
      <c r="I82" s="421">
        <f t="shared" si="140"/>
        <v>2142.0115370000003</v>
      </c>
      <c r="J82" s="250">
        <f t="shared" ca="1" si="140"/>
        <v>2198.8995198788039</v>
      </c>
      <c r="K82" s="250">
        <f t="shared" ca="1" si="140"/>
        <v>4769.769318779925</v>
      </c>
      <c r="L82" s="250">
        <f t="shared" ca="1" si="140"/>
        <v>6658.3111531531576</v>
      </c>
      <c r="M82" s="250">
        <f t="shared" ref="M82:S83" ca="1" si="141">VLOOKUP($A82,CTRP,MATCH(M$5,Period_CTRP,FALSE),FALSE)</f>
        <v>8920.6445608685553</v>
      </c>
      <c r="N82" s="250">
        <f t="shared" ca="1" si="141"/>
        <v>11720.663686927455</v>
      </c>
      <c r="O82" s="250">
        <f t="shared" ca="1" si="141"/>
        <v>14317.294771640994</v>
      </c>
      <c r="P82" s="250">
        <f t="shared" ca="1" si="141"/>
        <v>17143.125549808472</v>
      </c>
      <c r="Q82" s="250">
        <f t="shared" ca="1" si="141"/>
        <v>20327.836972818732</v>
      </c>
      <c r="R82" s="250">
        <f t="shared" ca="1" si="141"/>
        <v>22976.756377905367</v>
      </c>
      <c r="S82" s="250">
        <f t="shared" ca="1" si="141"/>
        <v>25698.285627482102</v>
      </c>
      <c r="W82" s="250">
        <f t="shared" si="133"/>
        <v>153.47147299999969</v>
      </c>
      <c r="X82" s="250">
        <f t="shared" si="133"/>
        <v>210.3810940000003</v>
      </c>
      <c r="Y82" s="250">
        <f t="shared" si="133"/>
        <v>372.98771599999969</v>
      </c>
      <c r="Z82" s="250">
        <f t="shared" si="133"/>
        <v>261.47940100000005</v>
      </c>
      <c r="AA82" s="250">
        <f t="shared" si="133"/>
        <v>115.35175300000013</v>
      </c>
      <c r="AB82" s="250">
        <f t="shared" si="133"/>
        <v>134.88818000000015</v>
      </c>
      <c r="AC82" s="250">
        <f t="shared" si="133"/>
        <v>216.92455400000037</v>
      </c>
      <c r="AD82" s="250">
        <f t="shared" si="133"/>
        <v>-224.42470600000013</v>
      </c>
      <c r="AE82" s="206">
        <f t="shared" si="133"/>
        <v>-125.98668100000073</v>
      </c>
      <c r="AF82" s="206">
        <f t="shared" si="133"/>
        <v>142.77842200000043</v>
      </c>
      <c r="AG82" s="206">
        <f t="shared" si="133"/>
        <v>2415.1362810000001</v>
      </c>
      <c r="AH82" s="206">
        <f t="shared" si="133"/>
        <v>75.727861999999988</v>
      </c>
      <c r="AI82" s="203">
        <f t="shared" ref="AI82:AL83" si="142">VLOOKUP($A82,CTRP,MATCH(AI$5,Period_CTRP,FALSE),FALSE)</f>
        <v>-1578.684091000001</v>
      </c>
      <c r="AJ82" s="203">
        <f t="shared" si="142"/>
        <v>-521.25253399999849</v>
      </c>
      <c r="AK82" s="203">
        <f t="shared" si="142"/>
        <v>23.917442000000154</v>
      </c>
      <c r="AL82" s="203">
        <f t="shared" si="142"/>
        <v>645.31598799999949</v>
      </c>
      <c r="AM82" s="455">
        <f t="shared" ref="AM82:AP83" si="143">VLOOKUP($A82,CTRP,MATCH(AM$5,Period_CTRP,FALSE),FALSE)</f>
        <v>82.447981000000269</v>
      </c>
      <c r="AN82" s="455">
        <f t="shared" si="143"/>
        <v>326.87206899999927</v>
      </c>
      <c r="AO82" s="455">
        <f t="shared" si="143"/>
        <v>1229.1177869999999</v>
      </c>
      <c r="AP82" s="455">
        <f t="shared" si="143"/>
        <v>503.57370000000026</v>
      </c>
      <c r="AQ82" s="250">
        <f t="shared" ref="AQ82:AX85" ca="1" si="144">VLOOKUP($A82,CTRP,MATCH(AQ$5,Period_CTRP,FALSE),FALSE)</f>
        <v>105.99110078567713</v>
      </c>
      <c r="AR82" s="250">
        <f t="shared" ca="1" si="144"/>
        <v>317.22710858116324</v>
      </c>
      <c r="AS82" s="250">
        <f t="shared" ca="1" si="144"/>
        <v>781.59845861517442</v>
      </c>
      <c r="AT82" s="250">
        <f t="shared" ca="1" si="144"/>
        <v>934.08285189678224</v>
      </c>
      <c r="AU82" s="250">
        <f t="shared" ca="1" si="144"/>
        <v>980.90738232194212</v>
      </c>
      <c r="AV82" s="250">
        <f t="shared" ca="1" si="144"/>
        <v>1128.2748035616373</v>
      </c>
      <c r="AW82" s="250">
        <f t="shared" ca="1" si="144"/>
        <v>1456.9085146557131</v>
      </c>
      <c r="AX82" s="250">
        <f t="shared" ca="1" si="144"/>
        <v>1203.6786182406324</v>
      </c>
      <c r="AY82" s="62"/>
      <c r="AZ82" s="62"/>
    </row>
    <row r="83" spans="1:52" outlineLevel="1">
      <c r="A83" s="3" t="s">
        <v>547</v>
      </c>
      <c r="B83" s="39" t="s">
        <v>475</v>
      </c>
      <c r="C83" s="203">
        <f t="shared" si="140"/>
        <v>1419.2062539999999</v>
      </c>
      <c r="D83" s="203">
        <f t="shared" si="140"/>
        <v>1146.1271859999997</v>
      </c>
      <c r="E83" s="203">
        <f t="shared" si="140"/>
        <v>1436.2491610000002</v>
      </c>
      <c r="F83" s="203">
        <f t="shared" si="140"/>
        <v>739.38327000000174</v>
      </c>
      <c r="G83" s="203">
        <f t="shared" si="140"/>
        <v>3150.252358000002</v>
      </c>
      <c r="H83" s="421">
        <f t="shared" si="140"/>
        <v>2129.0155109999996</v>
      </c>
      <c r="I83" s="421">
        <f t="shared" si="140"/>
        <v>3975.8236420000003</v>
      </c>
      <c r="J83" s="250">
        <f t="shared" ca="1" si="140"/>
        <v>4334.2436224168323</v>
      </c>
      <c r="K83" s="250">
        <f t="shared" ca="1" si="140"/>
        <v>7189.0145719282937</v>
      </c>
      <c r="L83" s="250">
        <f t="shared" ca="1" si="140"/>
        <v>9614.8096189751923</v>
      </c>
      <c r="M83" s="250">
        <f t="shared" ca="1" si="141"/>
        <v>12480.364268402434</v>
      </c>
      <c r="N83" s="250">
        <f t="shared" ca="1" si="141"/>
        <v>15969.247825100265</v>
      </c>
      <c r="O83" s="250">
        <f t="shared" ca="1" si="141"/>
        <v>19235.922232323919</v>
      </c>
      <c r="P83" s="250">
        <f t="shared" ca="1" si="141"/>
        <v>22786.898866124411</v>
      </c>
      <c r="Q83" s="250">
        <f t="shared" ca="1" si="141"/>
        <v>26753.03222415693</v>
      </c>
      <c r="R83" s="250">
        <f t="shared" ca="1" si="141"/>
        <v>30235.119840121046</v>
      </c>
      <c r="S83" s="250">
        <f t="shared" ca="1" si="141"/>
        <v>33812.655373379501</v>
      </c>
      <c r="U83" s="510">
        <f ca="1">(K83/I83)^(1/2)-1</f>
        <v>0.34468675147791461</v>
      </c>
      <c r="W83" s="250">
        <f t="shared" si="133"/>
        <v>265.05954399999968</v>
      </c>
      <c r="X83" s="250">
        <f t="shared" si="133"/>
        <v>321.54853900000029</v>
      </c>
      <c r="Y83" s="250">
        <f t="shared" si="133"/>
        <v>481.8868939999997</v>
      </c>
      <c r="Z83" s="250">
        <f t="shared" si="133"/>
        <v>367.75418400000007</v>
      </c>
      <c r="AA83" s="250">
        <f t="shared" si="133"/>
        <v>236.9959960000001</v>
      </c>
      <c r="AB83" s="250">
        <f t="shared" si="133"/>
        <v>246.22600800000015</v>
      </c>
      <c r="AC83" s="250">
        <f t="shared" si="133"/>
        <v>353.9782720000004</v>
      </c>
      <c r="AD83" s="250">
        <f t="shared" si="133"/>
        <v>-97.81700600000012</v>
      </c>
      <c r="AE83" s="206">
        <f t="shared" si="133"/>
        <v>32.924016999999267</v>
      </c>
      <c r="AF83" s="206">
        <f t="shared" si="133"/>
        <v>295.87236700000045</v>
      </c>
      <c r="AG83" s="206">
        <f t="shared" si="133"/>
        <v>2549.2418889999999</v>
      </c>
      <c r="AH83" s="206">
        <f t="shared" si="133"/>
        <v>272.21408499999995</v>
      </c>
      <c r="AI83" s="203">
        <f t="shared" si="142"/>
        <v>256.95194099999912</v>
      </c>
      <c r="AJ83" s="203">
        <f t="shared" si="142"/>
        <v>56.786621000001446</v>
      </c>
      <c r="AK83" s="203">
        <f t="shared" si="142"/>
        <v>580.75067400000012</v>
      </c>
      <c r="AL83" s="203">
        <f t="shared" si="142"/>
        <v>1234.5258749999994</v>
      </c>
      <c r="AM83" s="455">
        <f t="shared" si="143"/>
        <v>604.18916500000023</v>
      </c>
      <c r="AN83" s="455">
        <f t="shared" si="143"/>
        <v>854.73083799999927</v>
      </c>
      <c r="AO83" s="455">
        <f t="shared" si="143"/>
        <v>1613.1514079999999</v>
      </c>
      <c r="AP83" s="455">
        <f t="shared" si="143"/>
        <v>903.75223100000028</v>
      </c>
      <c r="AQ83" s="250">
        <f t="shared" ca="1" si="144"/>
        <v>645.97429317624506</v>
      </c>
      <c r="AR83" s="250">
        <f t="shared" ca="1" si="144"/>
        <v>845.34523929413331</v>
      </c>
      <c r="AS83" s="250">
        <f t="shared" ca="1" si="144"/>
        <v>1344.2414566672544</v>
      </c>
      <c r="AT83" s="250">
        <f t="shared" ca="1" si="144"/>
        <v>1438.682633279192</v>
      </c>
      <c r="AU83" s="250">
        <f t="shared" ca="1" si="144"/>
        <v>1531.5388781258325</v>
      </c>
      <c r="AV83" s="250">
        <f t="shared" ca="1" si="144"/>
        <v>1719.4097909071033</v>
      </c>
      <c r="AW83" s="250">
        <f t="shared" ca="1" si="144"/>
        <v>2130.7483267036</v>
      </c>
      <c r="AX83" s="250">
        <f t="shared" ca="1" si="144"/>
        <v>1807.3175761917582</v>
      </c>
      <c r="AY83" s="62"/>
      <c r="AZ83" s="62"/>
    </row>
    <row r="84" spans="1:52" outlineLevel="1">
      <c r="A84" s="51" t="s">
        <v>735</v>
      </c>
      <c r="B84" s="39" t="s">
        <v>529</v>
      </c>
      <c r="C84" s="250">
        <f t="shared" ref="C84:S84" si="145">VLOOKUP($A84,CTRP,MATCH(C$5,Period_CTRP,FALSE),FALSE)*100</f>
        <v>40.570952533284448</v>
      </c>
      <c r="D84" s="250">
        <f t="shared" si="145"/>
        <v>27.559142004917682</v>
      </c>
      <c r="E84" s="250">
        <f t="shared" si="145"/>
        <v>26.662650942051876</v>
      </c>
      <c r="F84" s="250">
        <f t="shared" si="145"/>
        <v>10.063855794557307</v>
      </c>
      <c r="G84" s="250">
        <f t="shared" si="145"/>
        <v>28.90784751575961</v>
      </c>
      <c r="H84" s="250">
        <f t="shared" si="145"/>
        <v>11.072221831798796</v>
      </c>
      <c r="I84" s="250">
        <f t="shared" si="145"/>
        <v>14.846446686765921</v>
      </c>
      <c r="J84" s="250">
        <f t="shared" ca="1" si="145"/>
        <v>13.609575561443595</v>
      </c>
      <c r="K84" s="250">
        <f t="shared" ca="1" si="145"/>
        <v>17.960960006688129</v>
      </c>
      <c r="L84" s="250">
        <f t="shared" ca="1" si="145"/>
        <v>19.656360601745671</v>
      </c>
      <c r="M84" s="250">
        <f t="shared" ca="1" si="145"/>
        <v>21.191004220039549</v>
      </c>
      <c r="N84" s="250">
        <f t="shared" ca="1" si="145"/>
        <v>22.718534701962682</v>
      </c>
      <c r="O84" s="250">
        <f t="shared" ca="1" si="145"/>
        <v>23.637914748227999</v>
      </c>
      <c r="P84" s="250">
        <f t="shared" ca="1" si="145"/>
        <v>24.403703651231478</v>
      </c>
      <c r="Q84" s="250">
        <f t="shared" ca="1" si="145"/>
        <v>25.166728412921636</v>
      </c>
      <c r="R84" s="250">
        <f t="shared" ca="1" si="145"/>
        <v>25.177526522476583</v>
      </c>
      <c r="S84" s="250">
        <f t="shared" ca="1" si="145"/>
        <v>25.18631115355144</v>
      </c>
      <c r="W84" s="250">
        <f t="shared" ref="W84:AK84" si="146">W83/W8*100</f>
        <v>21.5774798921206</v>
      </c>
      <c r="X84" s="250">
        <f t="shared" si="146"/>
        <v>24.356963637133276</v>
      </c>
      <c r="Y84" s="250">
        <f t="shared" si="146"/>
        <v>29.374638349217353</v>
      </c>
      <c r="Z84" s="250">
        <f t="shared" si="146"/>
        <v>24.06811936294817</v>
      </c>
      <c r="AA84" s="250">
        <f t="shared" si="146"/>
        <v>14.164466106466678</v>
      </c>
      <c r="AB84" s="250">
        <f t="shared" si="146"/>
        <v>13.532576197995891</v>
      </c>
      <c r="AC84" s="250">
        <f t="shared" si="146"/>
        <v>15.66641788092463</v>
      </c>
      <c r="AD84" s="250">
        <f t="shared" si="146"/>
        <v>-4.8414509402267516</v>
      </c>
      <c r="AE84" s="179">
        <f t="shared" si="146"/>
        <v>1.3475210781917764</v>
      </c>
      <c r="AF84" s="179">
        <f t="shared" si="146"/>
        <v>11.100116209299694</v>
      </c>
      <c r="AG84" s="179">
        <f t="shared" si="146"/>
        <v>75.965961144286553</v>
      </c>
      <c r="AH84" s="179">
        <f t="shared" si="146"/>
        <v>8.9768933497130838</v>
      </c>
      <c r="AI84" s="179">
        <f t="shared" si="146"/>
        <v>5.8409567699972449</v>
      </c>
      <c r="AJ84" s="179">
        <f t="shared" si="146"/>
        <v>1.250147902243619</v>
      </c>
      <c r="AK84" s="179">
        <f t="shared" si="146"/>
        <v>10.246501551092434</v>
      </c>
      <c r="AL84" s="179">
        <f>AL83/AL8*100</f>
        <v>23.838259617938363</v>
      </c>
      <c r="AM84" s="179">
        <f>AM83/AM8*100</f>
        <v>9.8510113595819746</v>
      </c>
      <c r="AN84" s="179">
        <f>AN83/AN8*100</f>
        <v>13.227926303624329</v>
      </c>
      <c r="AO84" s="179">
        <f>AO83/AO8*100</f>
        <v>20.273487090059103</v>
      </c>
      <c r="AP84" s="179">
        <f>AP83/AP8*100</f>
        <v>14.065742924655908</v>
      </c>
      <c r="AQ84" s="179">
        <f t="shared" ref="AQ84:AX84" ca="1" si="147">VLOOKUP($A84,CTRP,MATCH(AQ$5,Period_CTRP,FALSE),FALSE)*100</f>
        <v>9.6377516673433057</v>
      </c>
      <c r="AR84" s="179">
        <f t="shared" ca="1" si="147"/>
        <v>11.283707645367659</v>
      </c>
      <c r="AS84" s="179">
        <f t="shared" ca="1" si="147"/>
        <v>14.435983211810196</v>
      </c>
      <c r="AT84" s="179">
        <f t="shared" ca="1" si="147"/>
        <v>17.248324223896034</v>
      </c>
      <c r="AU84" s="179">
        <f t="shared" ca="1" si="147"/>
        <v>16.806178757867848</v>
      </c>
      <c r="AV84" s="179">
        <f t="shared" ca="1" si="147"/>
        <v>17.574975680736461</v>
      </c>
      <c r="AW84" s="179">
        <f t="shared" ca="1" si="147"/>
        <v>19.106339542057597</v>
      </c>
      <c r="AX84" s="179">
        <f t="shared" ca="1" si="147"/>
        <v>18.113937345015092</v>
      </c>
      <c r="AY84" s="62"/>
      <c r="AZ84" s="62"/>
    </row>
    <row r="85" spans="1:52" outlineLevel="1">
      <c r="A85" s="3" t="s">
        <v>549</v>
      </c>
      <c r="B85" s="39" t="s">
        <v>476</v>
      </c>
      <c r="C85" s="203">
        <f t="shared" ref="C85:S85" si="148">VLOOKUP($A85,CTRP,MATCH(C$5,Period_CTRP,FALSE),FALSE)</f>
        <v>4.6646394528312634</v>
      </c>
      <c r="D85" s="203">
        <f t="shared" si="148"/>
        <v>3.9695977311105861</v>
      </c>
      <c r="E85" s="203">
        <f t="shared" si="148"/>
        <v>4.7158364839243756</v>
      </c>
      <c r="F85" s="203">
        <f t="shared" si="148"/>
        <v>2.4189502785003079</v>
      </c>
      <c r="G85" s="203">
        <f t="shared" si="148"/>
        <v>8.8000000000000007</v>
      </c>
      <c r="H85" s="421">
        <f t="shared" si="148"/>
        <v>4.05</v>
      </c>
      <c r="I85" s="421">
        <f t="shared" si="148"/>
        <v>6.9</v>
      </c>
      <c r="J85" s="179">
        <f t="shared" ca="1" si="148"/>
        <v>7.3911934613613539</v>
      </c>
      <c r="K85" s="179">
        <f t="shared" ca="1" si="148"/>
        <v>11.933827077805548</v>
      </c>
      <c r="L85" s="179">
        <f t="shared" ca="1" si="148"/>
        <v>14.480134968336133</v>
      </c>
      <c r="M85" s="179">
        <f t="shared" ca="1" si="148"/>
        <v>18.795729319883183</v>
      </c>
      <c r="N85" s="179">
        <f t="shared" ca="1" si="148"/>
        <v>24.050072025753412</v>
      </c>
      <c r="O85" s="179">
        <f t="shared" ca="1" si="148"/>
        <v>28.969762398078192</v>
      </c>
      <c r="P85" s="179">
        <f t="shared" ca="1" si="148"/>
        <v>34.317618774283751</v>
      </c>
      <c r="Q85" s="179">
        <f t="shared" ca="1" si="148"/>
        <v>40.290711180959235</v>
      </c>
      <c r="R85" s="179">
        <f t="shared" ca="1" si="148"/>
        <v>45.534819036326873</v>
      </c>
      <c r="S85" s="179">
        <f t="shared" ca="1" si="148"/>
        <v>50.922673755089612</v>
      </c>
      <c r="U85" s="510">
        <f ca="1">(K85/I85)^(1/2)-1</f>
        <v>0.3151198257967609</v>
      </c>
      <c r="V85" s="23"/>
      <c r="W85" s="250">
        <f t="shared" ref="W85:AL85" si="149">VLOOKUP($A85,CTRP,MATCH(W$5,Period_CTRP,FALSE),FALSE)</f>
        <v>0.91995956252581446</v>
      </c>
      <c r="X85" s="250">
        <f t="shared" si="149"/>
        <v>1.0989682911944618</v>
      </c>
      <c r="Y85" s="250">
        <f t="shared" si="149"/>
        <v>1.5546604911123771</v>
      </c>
      <c r="Z85" s="250">
        <f t="shared" si="149"/>
        <v>1.1699884139536905</v>
      </c>
      <c r="AA85" s="250">
        <f t="shared" si="149"/>
        <v>0.75005625833462708</v>
      </c>
      <c r="AB85" s="250">
        <f t="shared" si="149"/>
        <v>0.78237148748176477</v>
      </c>
      <c r="AC85" s="250">
        <f t="shared" si="149"/>
        <v>1.1087958922767627</v>
      </c>
      <c r="AD85" s="250">
        <f t="shared" si="149"/>
        <v>-0.3490208833200395</v>
      </c>
      <c r="AE85" s="206">
        <f t="shared" si="149"/>
        <v>0.11698865155234263</v>
      </c>
      <c r="AF85" s="206">
        <f t="shared" si="149"/>
        <v>0.92597564196854854</v>
      </c>
      <c r="AG85" s="206">
        <f t="shared" si="149"/>
        <v>13.97</v>
      </c>
      <c r="AH85" s="206">
        <f t="shared" si="149"/>
        <v>0.68921389029655877</v>
      </c>
      <c r="AI85" s="206">
        <f t="shared" si="149"/>
        <v>0.56756219241873385</v>
      </c>
      <c r="AJ85" s="206">
        <f t="shared" si="149"/>
        <v>0.12298595110628244</v>
      </c>
      <c r="AK85" s="206">
        <f t="shared" si="149"/>
        <v>1.1448276567110824</v>
      </c>
      <c r="AL85" s="206">
        <f t="shared" si="149"/>
        <v>2.2400000000000002</v>
      </c>
      <c r="AM85" s="452">
        <f>VLOOKUP($A85,CTRP,MATCH(AM$5,Period_CTRP,FALSE),FALSE)</f>
        <v>1.0900000000000001</v>
      </c>
      <c r="AN85" s="452">
        <f>VLOOKUP($A85,CTRP,MATCH(AN$5,Period_CTRP,FALSE),FALSE)</f>
        <v>1.49</v>
      </c>
      <c r="AO85" s="452">
        <f>VLOOKUP($A85,CTRP,MATCH(AO$5,Period_CTRP,FALSE),FALSE)</f>
        <v>2.7</v>
      </c>
      <c r="AP85" s="452">
        <f>VLOOKUP($A85,CTRP,MATCH(AP$5,Period_CTRP,FALSE),FALSE)</f>
        <v>1.56</v>
      </c>
      <c r="AQ85" s="179">
        <f t="shared" ca="1" si="144"/>
        <v>1.1015811264594877</v>
      </c>
      <c r="AR85" s="179">
        <f t="shared" ca="1" si="144"/>
        <v>1.4415687602211242</v>
      </c>
      <c r="AS85" s="179">
        <f t="shared" ca="1" si="144"/>
        <v>2.292337378919572</v>
      </c>
      <c r="AT85" s="179">
        <f t="shared" ca="1" si="144"/>
        <v>2.453388087616974</v>
      </c>
      <c r="AU85" s="179">
        <f t="shared" ca="1" si="144"/>
        <v>2.5423679353577331</v>
      </c>
      <c r="AV85" s="179">
        <f t="shared" ca="1" si="144"/>
        <v>2.8542352940407745</v>
      </c>
      <c r="AW85" s="179">
        <f t="shared" ca="1" si="144"/>
        <v>3.5370608617898229</v>
      </c>
      <c r="AX85" s="179">
        <f t="shared" ca="1" si="144"/>
        <v>3.000162986617219</v>
      </c>
      <c r="AY85" s="62"/>
      <c r="AZ85" s="62"/>
    </row>
    <row r="86" spans="1:52" outlineLevel="1">
      <c r="A86" s="242"/>
      <c r="C86" s="250"/>
      <c r="D86" s="250"/>
      <c r="E86" s="250"/>
      <c r="F86" s="250"/>
      <c r="G86" s="281"/>
      <c r="H86" s="239"/>
      <c r="I86" s="239"/>
      <c r="J86" s="239"/>
      <c r="K86" s="239"/>
      <c r="L86" s="239"/>
      <c r="M86" s="239"/>
      <c r="N86" s="239"/>
      <c r="O86" s="239"/>
      <c r="P86" s="239"/>
      <c r="Q86" s="239"/>
      <c r="R86" s="239"/>
      <c r="S86" s="239"/>
      <c r="W86" s="250"/>
      <c r="X86" s="250"/>
      <c r="Y86" s="250"/>
      <c r="Z86" s="250"/>
      <c r="AA86" s="250"/>
      <c r="AB86" s="250"/>
      <c r="AC86" s="250"/>
      <c r="AD86" s="250"/>
      <c r="AE86" s="250"/>
      <c r="AF86" s="250"/>
      <c r="AG86" s="250"/>
      <c r="AH86" s="250"/>
      <c r="AI86" s="23"/>
      <c r="AJ86" s="23"/>
      <c r="AK86" s="27"/>
      <c r="AL86" s="322"/>
      <c r="AM86" s="23"/>
      <c r="AN86" s="23"/>
      <c r="AO86" s="27"/>
      <c r="AP86" s="27"/>
      <c r="AQ86" s="322"/>
      <c r="AR86" s="322"/>
      <c r="AS86" s="322"/>
      <c r="AT86" s="322"/>
      <c r="AU86" s="322"/>
      <c r="AV86" s="322"/>
      <c r="AW86" s="322"/>
      <c r="AX86" s="322"/>
      <c r="AY86" s="117"/>
      <c r="AZ86" s="117"/>
    </row>
    <row r="87" spans="1:52" outlineLevel="1">
      <c r="A87" s="242"/>
      <c r="B87" s="282" t="s">
        <v>169</v>
      </c>
      <c r="C87" s="283"/>
      <c r="D87" s="283"/>
      <c r="E87" s="283"/>
      <c r="F87" s="283"/>
      <c r="G87" s="285"/>
      <c r="H87" s="285"/>
      <c r="I87" s="286"/>
      <c r="J87" s="286"/>
      <c r="K87" s="286"/>
      <c r="L87" s="286"/>
      <c r="M87" s="286"/>
      <c r="N87" s="286"/>
      <c r="O87" s="286"/>
      <c r="P87" s="286"/>
      <c r="Q87" s="286"/>
      <c r="R87" s="286"/>
      <c r="S87" s="286"/>
      <c r="W87" s="283"/>
      <c r="X87" s="283"/>
      <c r="Y87" s="283"/>
      <c r="Z87" s="283"/>
      <c r="AA87" s="283"/>
      <c r="AB87" s="283"/>
      <c r="AC87" s="283"/>
      <c r="AD87" s="283"/>
      <c r="AE87" s="283"/>
      <c r="AF87" s="283"/>
      <c r="AG87" s="283"/>
      <c r="AH87" s="283"/>
      <c r="AI87" s="284"/>
      <c r="AJ87" s="284"/>
      <c r="AK87" s="284"/>
      <c r="AL87" s="284"/>
      <c r="AM87" s="284"/>
      <c r="AN87" s="284"/>
      <c r="AO87" s="284"/>
      <c r="AP87" s="284"/>
      <c r="AQ87" s="284"/>
      <c r="AR87" s="284"/>
      <c r="AS87" s="284"/>
      <c r="AT87" s="284"/>
      <c r="AU87" s="284"/>
      <c r="AV87" s="284"/>
      <c r="AW87" s="284"/>
      <c r="AX87" s="284"/>
      <c r="AY87" s="5"/>
      <c r="AZ87" s="5"/>
    </row>
    <row r="88" spans="1:52" outlineLevel="1">
      <c r="A88" s="242"/>
      <c r="B88" s="282" t="s">
        <v>559</v>
      </c>
      <c r="C88" s="283"/>
      <c r="D88" s="283"/>
      <c r="E88" s="283"/>
      <c r="F88" s="283"/>
      <c r="G88" s="285"/>
      <c r="H88" s="288">
        <v>3986.3042577663591</v>
      </c>
      <c r="I88" s="289">
        <v>4326.4158250981609</v>
      </c>
      <c r="J88" s="289">
        <v>4677.2138787860704</v>
      </c>
      <c r="K88" s="287"/>
      <c r="L88" s="287"/>
      <c r="M88" s="287"/>
      <c r="N88" s="287"/>
      <c r="O88" s="287"/>
      <c r="P88" s="287"/>
      <c r="Q88" s="287"/>
      <c r="R88" s="287"/>
      <c r="S88" s="287"/>
      <c r="W88" s="283"/>
      <c r="X88" s="283"/>
      <c r="Y88" s="283"/>
      <c r="Z88" s="283"/>
      <c r="AA88" s="283"/>
      <c r="AB88" s="283"/>
      <c r="AC88" s="283"/>
      <c r="AD88" s="283"/>
      <c r="AE88" s="283"/>
      <c r="AF88" s="283"/>
      <c r="AG88" s="283"/>
      <c r="AH88" s="283"/>
      <c r="AI88" s="284"/>
      <c r="AJ88" s="284"/>
      <c r="AK88" s="284"/>
      <c r="AL88" s="284"/>
      <c r="AM88" s="284"/>
      <c r="AN88" s="284"/>
      <c r="AO88" s="284"/>
      <c r="AP88" s="284"/>
      <c r="AQ88" s="284"/>
      <c r="AR88" s="284"/>
      <c r="AS88" s="284"/>
      <c r="AT88" s="284"/>
      <c r="AU88" s="284"/>
      <c r="AV88" s="284"/>
      <c r="AW88" s="284"/>
      <c r="AX88" s="284"/>
      <c r="AY88" s="5"/>
      <c r="AZ88" s="5"/>
    </row>
    <row r="89" spans="1:52" outlineLevel="1">
      <c r="A89" s="242"/>
      <c r="B89" s="282" t="s">
        <v>560</v>
      </c>
      <c r="C89" s="283"/>
      <c r="D89" s="283"/>
      <c r="E89" s="283"/>
      <c r="F89" s="283"/>
      <c r="G89" s="285"/>
      <c r="H89" s="288">
        <v>526.04999999999995</v>
      </c>
      <c r="I89" s="289">
        <v>658.65</v>
      </c>
      <c r="J89" s="289">
        <v>805.3</v>
      </c>
      <c r="K89" s="287"/>
      <c r="L89" s="287"/>
      <c r="M89" s="287"/>
      <c r="N89" s="287"/>
      <c r="O89" s="287"/>
      <c r="P89" s="287"/>
      <c r="Q89" s="287"/>
      <c r="R89" s="287"/>
      <c r="S89" s="287"/>
      <c r="W89" s="283"/>
      <c r="X89" s="283"/>
      <c r="Y89" s="283"/>
      <c r="Z89" s="283"/>
      <c r="AA89" s="283"/>
      <c r="AB89" s="283"/>
      <c r="AC89" s="283"/>
      <c r="AD89" s="283"/>
      <c r="AE89" s="283"/>
      <c r="AF89" s="283"/>
      <c r="AG89" s="283"/>
      <c r="AH89" s="283"/>
      <c r="AI89" s="284"/>
      <c r="AJ89" s="284"/>
      <c r="AK89" s="284"/>
      <c r="AL89" s="284"/>
      <c r="AM89" s="284"/>
      <c r="AN89" s="284"/>
      <c r="AO89" s="284"/>
      <c r="AP89" s="284"/>
      <c r="AQ89" s="284"/>
      <c r="AR89" s="284"/>
      <c r="AS89" s="284"/>
      <c r="AT89" s="284"/>
      <c r="AU89" s="284"/>
      <c r="AV89" s="284"/>
      <c r="AW89" s="284"/>
      <c r="AX89" s="284"/>
      <c r="AY89" s="5"/>
      <c r="AZ89" s="5"/>
    </row>
    <row r="90" spans="1:52" outlineLevel="1">
      <c r="A90" s="242" t="s">
        <v>550</v>
      </c>
      <c r="B90" s="290" t="s">
        <v>167</v>
      </c>
      <c r="C90" s="283"/>
      <c r="D90" s="283"/>
      <c r="E90" s="283"/>
      <c r="F90" s="283"/>
      <c r="G90" s="285"/>
      <c r="H90" s="292">
        <f>VLOOKUP($A90,CTRP,MATCH(H$5,Period_CTRP,FALSE),FALSE)/1000/H88</f>
        <v>8.4592425685584532E-2</v>
      </c>
      <c r="I90" s="292">
        <f>VLOOKUP($A90,CTRP,MATCH(I$5,Period_CTRP,FALSE),FALSE)/1000/I88</f>
        <v>0.12900874391844647</v>
      </c>
      <c r="J90" s="292">
        <f ca="1">VLOOKUP($A90,CTRP,MATCH(J$5,Period_CTRP,FALSE),FALSE)/1000/J88</f>
        <v>0.17101475400554256</v>
      </c>
      <c r="K90" s="284"/>
      <c r="L90" s="284"/>
      <c r="M90" s="284"/>
      <c r="N90" s="284"/>
      <c r="O90" s="284"/>
      <c r="P90" s="284"/>
      <c r="Q90" s="284"/>
      <c r="R90" s="284"/>
      <c r="S90" s="284"/>
      <c r="W90" s="283"/>
      <c r="X90" s="283"/>
      <c r="Y90" s="283"/>
      <c r="Z90" s="283"/>
      <c r="AA90" s="283"/>
      <c r="AB90" s="283"/>
      <c r="AC90" s="283"/>
      <c r="AD90" s="283"/>
      <c r="AE90" s="283"/>
      <c r="AF90" s="283"/>
      <c r="AG90" s="283"/>
      <c r="AH90" s="283"/>
      <c r="AI90" s="284"/>
      <c r="AJ90" s="284"/>
      <c r="AK90" s="284"/>
      <c r="AL90" s="284"/>
      <c r="AM90" s="284"/>
      <c r="AN90" s="284"/>
      <c r="AO90" s="284"/>
      <c r="AP90" s="291"/>
      <c r="AQ90" s="291"/>
      <c r="AR90" s="291"/>
      <c r="AS90" s="291"/>
      <c r="AT90" s="291"/>
      <c r="AU90" s="291"/>
      <c r="AV90" s="291"/>
      <c r="AW90" s="291"/>
      <c r="AX90" s="291"/>
      <c r="AY90" s="5"/>
      <c r="AZ90" s="5"/>
    </row>
    <row r="91" spans="1:52" outlineLevel="1">
      <c r="A91" s="242"/>
      <c r="B91" s="290" t="s">
        <v>561</v>
      </c>
      <c r="C91" s="283"/>
      <c r="D91" s="283"/>
      <c r="E91" s="283"/>
      <c r="F91" s="283"/>
      <c r="G91" s="285"/>
      <c r="H91" s="292">
        <f>VLOOKUP($A90,CTRP,MATCH(H$5,Period_CTRP,FALSE),FALSE)/1000/H89</f>
        <v>0.64102489627455561</v>
      </c>
      <c r="I91" s="292">
        <f>VLOOKUP($A90,CTRP,MATCH(I$5,Period_CTRP,FALSE),FALSE)/1000/I89</f>
        <v>0.84740829160373943</v>
      </c>
      <c r="J91" s="292">
        <f ca="1">VLOOKUP($A90,CTRP,MATCH(J$5,Period_CTRP,FALSE),FALSE)/1000/J89</f>
        <v>0.99326037614790685</v>
      </c>
      <c r="K91" s="284"/>
      <c r="L91" s="284"/>
      <c r="M91" s="284"/>
      <c r="N91" s="284"/>
      <c r="O91" s="284"/>
      <c r="P91" s="284"/>
      <c r="Q91" s="284"/>
      <c r="R91" s="284"/>
      <c r="S91" s="284"/>
      <c r="W91" s="283"/>
      <c r="X91" s="283"/>
      <c r="Y91" s="283"/>
      <c r="Z91" s="283"/>
      <c r="AA91" s="283"/>
      <c r="AB91" s="283"/>
      <c r="AC91" s="283"/>
      <c r="AD91" s="283"/>
      <c r="AE91" s="283"/>
      <c r="AF91" s="283"/>
      <c r="AG91" s="283"/>
      <c r="AH91" s="283"/>
      <c r="AI91" s="284"/>
      <c r="AJ91" s="284"/>
      <c r="AK91" s="284"/>
      <c r="AL91" s="284"/>
      <c r="AM91" s="284"/>
      <c r="AN91" s="284"/>
      <c r="AO91" s="284"/>
      <c r="AP91" s="291"/>
      <c r="AQ91" s="291"/>
      <c r="AR91" s="291"/>
      <c r="AS91" s="291"/>
      <c r="AT91" s="291"/>
      <c r="AU91" s="291"/>
      <c r="AV91" s="291"/>
      <c r="AW91" s="291"/>
      <c r="AX91" s="291"/>
      <c r="AY91" s="5"/>
      <c r="AZ91" s="5"/>
    </row>
    <row r="92" spans="1:52" outlineLevel="1">
      <c r="A92" s="242"/>
      <c r="B92" s="290" t="s">
        <v>84</v>
      </c>
      <c r="C92" s="283"/>
      <c r="D92" s="283"/>
      <c r="E92" s="283"/>
      <c r="F92" s="283"/>
      <c r="G92" s="285"/>
      <c r="H92" s="285"/>
      <c r="I92" s="285"/>
      <c r="J92" s="284"/>
      <c r="K92" s="284"/>
      <c r="L92" s="284"/>
      <c r="M92" s="284"/>
      <c r="N92" s="284"/>
      <c r="O92" s="284"/>
      <c r="P92" s="284"/>
      <c r="Q92" s="284"/>
      <c r="R92" s="284"/>
      <c r="S92" s="284"/>
      <c r="W92" s="283"/>
      <c r="X92" s="283"/>
      <c r="Y92" s="283"/>
      <c r="Z92" s="283"/>
      <c r="AA92" s="283"/>
      <c r="AB92" s="283"/>
      <c r="AC92" s="283"/>
      <c r="AD92" s="283"/>
      <c r="AE92" s="283"/>
      <c r="AF92" s="283"/>
      <c r="AG92" s="283"/>
      <c r="AH92" s="283"/>
      <c r="AI92" s="284"/>
      <c r="AJ92" s="284"/>
      <c r="AK92" s="284"/>
      <c r="AL92" s="284"/>
      <c r="AM92" s="284"/>
      <c r="AN92" s="284"/>
      <c r="AO92" s="284"/>
      <c r="AP92" s="284"/>
      <c r="AQ92" s="284"/>
      <c r="AR92" s="284"/>
      <c r="AS92" s="284"/>
      <c r="AT92" s="284"/>
      <c r="AU92" s="284"/>
      <c r="AV92" s="284"/>
      <c r="AW92" s="284"/>
      <c r="AX92" s="284"/>
      <c r="AY92" s="5"/>
      <c r="AZ92" s="5"/>
    </row>
    <row r="93" spans="1:52" outlineLevel="1">
      <c r="A93" s="242"/>
      <c r="B93" s="290" t="s">
        <v>168</v>
      </c>
      <c r="C93" s="283"/>
      <c r="D93" s="283"/>
      <c r="E93" s="283"/>
      <c r="F93" s="283"/>
      <c r="G93" s="285"/>
      <c r="H93" s="285"/>
      <c r="I93" s="285"/>
      <c r="J93" s="284"/>
      <c r="K93" s="284"/>
      <c r="L93" s="284"/>
      <c r="M93" s="284"/>
      <c r="N93" s="284"/>
      <c r="O93" s="284"/>
      <c r="P93" s="284"/>
      <c r="Q93" s="284"/>
      <c r="R93" s="284"/>
      <c r="S93" s="284"/>
      <c r="W93" s="283"/>
      <c r="X93" s="283"/>
      <c r="Y93" s="283"/>
      <c r="Z93" s="283"/>
      <c r="AA93" s="283"/>
      <c r="AB93" s="283"/>
      <c r="AC93" s="283"/>
      <c r="AD93" s="283"/>
      <c r="AE93" s="283"/>
      <c r="AF93" s="283"/>
      <c r="AG93" s="283"/>
      <c r="AH93" s="283"/>
      <c r="AI93" s="284"/>
      <c r="AJ93" s="284"/>
      <c r="AK93" s="284"/>
      <c r="AL93" s="284"/>
      <c r="AM93" s="284"/>
      <c r="AN93" s="284"/>
      <c r="AO93" s="284"/>
      <c r="AP93" s="284"/>
      <c r="AQ93" s="284"/>
      <c r="AR93" s="284"/>
      <c r="AS93" s="284"/>
      <c r="AT93" s="284"/>
      <c r="AU93" s="284"/>
      <c r="AV93" s="284"/>
      <c r="AW93" s="284"/>
      <c r="AX93" s="284"/>
      <c r="AY93" s="5"/>
      <c r="AZ93" s="5"/>
    </row>
    <row r="94" spans="1:52" outlineLevel="1">
      <c r="A94" s="242"/>
      <c r="B94" s="290" t="s">
        <v>119</v>
      </c>
      <c r="C94" s="283"/>
      <c r="D94" s="283"/>
      <c r="E94" s="283"/>
      <c r="F94" s="283"/>
      <c r="G94" s="285"/>
      <c r="H94" s="285"/>
      <c r="I94" s="285"/>
      <c r="J94" s="284"/>
      <c r="K94" s="284"/>
      <c r="L94" s="284"/>
      <c r="M94" s="284"/>
      <c r="N94" s="284"/>
      <c r="O94" s="284"/>
      <c r="P94" s="284"/>
      <c r="Q94" s="284"/>
      <c r="R94" s="284"/>
      <c r="S94" s="284"/>
      <c r="W94" s="283"/>
      <c r="X94" s="283"/>
      <c r="Y94" s="283"/>
      <c r="Z94" s="283"/>
      <c r="AA94" s="283"/>
      <c r="AB94" s="283"/>
      <c r="AC94" s="283"/>
      <c r="AD94" s="283"/>
      <c r="AE94" s="283"/>
      <c r="AF94" s="283"/>
      <c r="AG94" s="283"/>
      <c r="AH94" s="283"/>
      <c r="AI94" s="284"/>
      <c r="AJ94" s="284"/>
      <c r="AK94" s="284"/>
      <c r="AL94" s="284"/>
      <c r="AM94" s="284"/>
      <c r="AN94" s="284"/>
      <c r="AO94" s="284"/>
      <c r="AP94" s="284"/>
      <c r="AQ94" s="284"/>
      <c r="AR94" s="284"/>
      <c r="AS94" s="284"/>
      <c r="AT94" s="284"/>
      <c r="AU94" s="284"/>
      <c r="AV94" s="284"/>
      <c r="AW94" s="284"/>
      <c r="AX94" s="284"/>
      <c r="AY94" s="5"/>
      <c r="AZ94" s="5"/>
    </row>
    <row r="95" spans="1:52" outlineLevel="1">
      <c r="A95" s="242"/>
      <c r="B95" s="290" t="s">
        <v>125</v>
      </c>
      <c r="C95" s="283"/>
      <c r="D95" s="283"/>
      <c r="E95" s="283"/>
      <c r="F95" s="283"/>
      <c r="G95" s="285"/>
      <c r="H95" s="285"/>
      <c r="I95" s="285"/>
      <c r="J95" s="284"/>
      <c r="K95" s="284"/>
      <c r="L95" s="284"/>
      <c r="M95" s="284"/>
      <c r="N95" s="284"/>
      <c r="O95" s="284"/>
      <c r="P95" s="284"/>
      <c r="Q95" s="284"/>
      <c r="R95" s="284"/>
      <c r="S95" s="284"/>
      <c r="W95" s="283"/>
      <c r="X95" s="283"/>
      <c r="Y95" s="283"/>
      <c r="Z95" s="283"/>
      <c r="AA95" s="283"/>
      <c r="AB95" s="283"/>
      <c r="AC95" s="283"/>
      <c r="AD95" s="283"/>
      <c r="AE95" s="283"/>
      <c r="AF95" s="283"/>
      <c r="AG95" s="283"/>
      <c r="AH95" s="283"/>
      <c r="AI95" s="284"/>
      <c r="AJ95" s="284"/>
      <c r="AK95" s="284"/>
      <c r="AL95" s="284"/>
      <c r="AM95" s="284"/>
      <c r="AN95" s="284"/>
      <c r="AO95" s="284"/>
      <c r="AP95" s="284"/>
      <c r="AQ95" s="284"/>
      <c r="AR95" s="284"/>
      <c r="AS95" s="284"/>
      <c r="AT95" s="284"/>
      <c r="AU95" s="284"/>
      <c r="AV95" s="284"/>
      <c r="AW95" s="284"/>
      <c r="AX95" s="284"/>
      <c r="AY95" s="5"/>
      <c r="AZ95" s="5"/>
    </row>
    <row r="96" spans="1:52" s="65" customFormat="1" outlineLevel="1">
      <c r="A96" s="258"/>
      <c r="C96" s="280"/>
      <c r="D96" s="280"/>
      <c r="E96" s="280"/>
      <c r="F96" s="280"/>
      <c r="G96" s="269"/>
      <c r="H96" s="269"/>
      <c r="I96" s="269"/>
      <c r="J96" s="268"/>
      <c r="K96" s="268"/>
      <c r="L96" s="268"/>
      <c r="M96" s="268"/>
      <c r="N96" s="268"/>
      <c r="O96" s="268"/>
      <c r="P96" s="268"/>
      <c r="Q96" s="268"/>
      <c r="R96" s="268"/>
      <c r="S96" s="268"/>
      <c r="W96" s="280"/>
      <c r="X96" s="280"/>
      <c r="Y96" s="280"/>
      <c r="Z96" s="280"/>
      <c r="AA96" s="280"/>
      <c r="AB96" s="280"/>
      <c r="AC96" s="280"/>
      <c r="AD96" s="280"/>
      <c r="AE96" s="280"/>
      <c r="AF96" s="280"/>
      <c r="AG96" s="280"/>
      <c r="AH96" s="280"/>
      <c r="AI96" s="268"/>
      <c r="AJ96" s="268"/>
      <c r="AK96" s="268"/>
      <c r="AL96" s="268"/>
      <c r="AM96" s="268"/>
      <c r="AN96" s="268"/>
      <c r="AO96" s="268"/>
      <c r="AP96" s="268"/>
      <c r="AQ96" s="268"/>
      <c r="AR96" s="268"/>
      <c r="AS96" s="268"/>
      <c r="AT96" s="268"/>
      <c r="AU96" s="268"/>
      <c r="AV96" s="268"/>
      <c r="AW96" s="268"/>
      <c r="AX96" s="268"/>
      <c r="AY96" s="5"/>
      <c r="AZ96" s="5"/>
    </row>
    <row r="97" spans="1:90">
      <c r="B97" s="94" t="s">
        <v>155</v>
      </c>
      <c r="C97" s="23"/>
      <c r="D97" s="23"/>
      <c r="E97" s="23"/>
      <c r="F97" s="23"/>
      <c r="G97" s="238"/>
      <c r="H97" s="238"/>
      <c r="I97" s="238"/>
      <c r="J97" s="23"/>
      <c r="K97" s="23"/>
      <c r="L97" s="23"/>
      <c r="M97" s="23"/>
      <c r="N97" s="23"/>
      <c r="O97" s="23"/>
      <c r="P97" s="23"/>
      <c r="Q97" s="23"/>
      <c r="R97" s="23"/>
      <c r="S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5"/>
      <c r="AZ97" s="5"/>
    </row>
    <row r="98" spans="1:90" s="248" customFormat="1" outlineLevel="1">
      <c r="A98" s="249" t="s">
        <v>477</v>
      </c>
      <c r="B98" s="116" t="s">
        <v>146</v>
      </c>
      <c r="C98" s="253">
        <f t="shared" ref="C98:I98" si="150">VLOOKUP($A98,CTRP,MATCH(C$5,Period_CTRP,FALSE),FALSE)</f>
        <v>3726.3041920000001</v>
      </c>
      <c r="D98" s="253">
        <f t="shared" si="150"/>
        <v>4409.192258</v>
      </c>
      <c r="E98" s="253">
        <f t="shared" si="150"/>
        <v>5717.0170619999999</v>
      </c>
      <c r="F98" s="253">
        <f t="shared" si="150"/>
        <v>7772.5571070000005</v>
      </c>
      <c r="G98" s="422">
        <f t="shared" si="150"/>
        <v>11496.946408000002</v>
      </c>
      <c r="H98" s="422">
        <f t="shared" si="150"/>
        <v>19788.086638000001</v>
      </c>
      <c r="I98" s="422">
        <f t="shared" si="150"/>
        <v>26976.985464000001</v>
      </c>
      <c r="J98" s="245">
        <f t="shared" ref="J98:Q98" si="151">J111+J123+J135+J146+J149</f>
        <v>34098.482857482086</v>
      </c>
      <c r="K98" s="245">
        <f t="shared" si="151"/>
        <v>44119.601301789829</v>
      </c>
      <c r="L98" s="245">
        <f t="shared" si="151"/>
        <v>55611.624830333385</v>
      </c>
      <c r="M98" s="245">
        <f t="shared" si="151"/>
        <v>69151.756643401051</v>
      </c>
      <c r="N98" s="245">
        <f t="shared" si="151"/>
        <v>85326.706778318519</v>
      </c>
      <c r="O98" s="245">
        <f t="shared" si="151"/>
        <v>102287.62414064612</v>
      </c>
      <c r="P98" s="245">
        <f t="shared" si="151"/>
        <v>121654.58412675081</v>
      </c>
      <c r="Q98" s="245">
        <f t="shared" si="151"/>
        <v>143237.53248528281</v>
      </c>
      <c r="R98" s="245">
        <f>R111+R123+R135+R146+R149</f>
        <v>167474.20348228619</v>
      </c>
      <c r="S98" s="245">
        <f>S111+S123+S135+S146+S149</f>
        <v>193831.74600697876</v>
      </c>
      <c r="U98" s="510">
        <f>(K98/I98)^(1/2)-1</f>
        <v>0.27884844759642036</v>
      </c>
      <c r="V98" s="246"/>
      <c r="W98" s="253">
        <f t="shared" ref="W98:AP98" si="152">VLOOKUP($A98,CTRP,MATCH(W$5,Period_CTRP,FALSE),FALSE)</f>
        <v>1228.4082539999997</v>
      </c>
      <c r="X98" s="253">
        <f t="shared" si="152"/>
        <v>1320.1503430000002</v>
      </c>
      <c r="Y98" s="253">
        <f t="shared" si="152"/>
        <v>1640.4862189999997</v>
      </c>
      <c r="Z98" s="253">
        <f t="shared" si="152"/>
        <v>1527.972246</v>
      </c>
      <c r="AA98" s="253">
        <f t="shared" si="152"/>
        <v>1673.1728130000001</v>
      </c>
      <c r="AB98" s="253">
        <f t="shared" si="152"/>
        <v>1819.5057940000002</v>
      </c>
      <c r="AC98" s="253">
        <f t="shared" si="152"/>
        <v>2259.4716590000003</v>
      </c>
      <c r="AD98" s="253">
        <f t="shared" si="152"/>
        <v>2020.406841</v>
      </c>
      <c r="AE98" s="253">
        <f t="shared" si="152"/>
        <v>2443.3025599999996</v>
      </c>
      <c r="AF98" s="253">
        <f t="shared" si="152"/>
        <v>2665.4889140000005</v>
      </c>
      <c r="AG98" s="253">
        <f t="shared" si="152"/>
        <v>3355.7686240000003</v>
      </c>
      <c r="AH98" s="253">
        <f t="shared" si="152"/>
        <v>3032.3863099999999</v>
      </c>
      <c r="AI98" s="253">
        <f t="shared" si="152"/>
        <v>4399.1412899999996</v>
      </c>
      <c r="AJ98" s="253">
        <f t="shared" si="152"/>
        <v>4542.3922160000011</v>
      </c>
      <c r="AK98" s="253">
        <f t="shared" si="152"/>
        <v>5667.7947210000002</v>
      </c>
      <c r="AL98" s="253">
        <f t="shared" si="152"/>
        <v>5178.7584109999998</v>
      </c>
      <c r="AM98" s="253">
        <f t="shared" si="152"/>
        <v>6133.2704119999999</v>
      </c>
      <c r="AN98" s="253">
        <f t="shared" si="152"/>
        <v>6461.5633499999994</v>
      </c>
      <c r="AO98" s="253">
        <f t="shared" si="152"/>
        <v>7956.9508729999998</v>
      </c>
      <c r="AP98" s="253">
        <f t="shared" si="152"/>
        <v>6425.2008290000003</v>
      </c>
      <c r="AQ98" s="245">
        <f t="shared" ref="AQ98:AX98" si="153">AQ111+AQ123+AQ135+AQ146+AQ149</f>
        <v>7203.7854851565235</v>
      </c>
      <c r="AR98" s="245">
        <f t="shared" si="153"/>
        <v>7984.706031698769</v>
      </c>
      <c r="AS98" s="245">
        <f t="shared" si="153"/>
        <v>9998.2842791722705</v>
      </c>
      <c r="AT98" s="245">
        <f t="shared" si="153"/>
        <v>8911.7070614545191</v>
      </c>
      <c r="AU98" s="245">
        <f t="shared" si="153"/>
        <v>10030.578933561923</v>
      </c>
      <c r="AV98" s="245">
        <f t="shared" si="153"/>
        <v>10688.78663355567</v>
      </c>
      <c r="AW98" s="245">
        <f t="shared" si="153"/>
        <v>12304.132408015608</v>
      </c>
      <c r="AX98" s="245">
        <f t="shared" si="153"/>
        <v>11096.103326656628</v>
      </c>
      <c r="AY98" s="22"/>
      <c r="AZ98" s="22"/>
    </row>
    <row r="99" spans="1:90" outlineLevel="1">
      <c r="A99" s="242"/>
      <c r="B99" s="12" t="s">
        <v>82</v>
      </c>
      <c r="C99" s="23"/>
      <c r="D99" s="322">
        <f t="shared" ref="D99:S99" si="154">(D98/C98-1)*1</f>
        <v>0.18326149203441089</v>
      </c>
      <c r="E99" s="322">
        <f t="shared" si="154"/>
        <v>0.29661324058325955</v>
      </c>
      <c r="F99" s="322">
        <f t="shared" si="154"/>
        <v>0.35954764918628834</v>
      </c>
      <c r="G99" s="423">
        <f>(G98/F98-1)*1</f>
        <v>0.47917168696590196</v>
      </c>
      <c r="H99" s="322">
        <f>(H98/G98-1)*1</f>
        <v>0.72116020513331414</v>
      </c>
      <c r="I99" s="322">
        <f>(I98/H98-1)*1</f>
        <v>0.36329428698754618</v>
      </c>
      <c r="J99" s="322">
        <f t="shared" si="154"/>
        <v>0.26398418025562997</v>
      </c>
      <c r="K99" s="322">
        <f t="shared" si="154"/>
        <v>0.29388751652652645</v>
      </c>
      <c r="L99" s="322">
        <f t="shared" si="154"/>
        <v>0.26047432863082909</v>
      </c>
      <c r="M99" s="322">
        <f t="shared" si="154"/>
        <v>0.24347664457525786</v>
      </c>
      <c r="N99" s="322">
        <f t="shared" si="154"/>
        <v>0.23390512287819076</v>
      </c>
      <c r="O99" s="322">
        <f t="shared" si="154"/>
        <v>0.1987761862929105</v>
      </c>
      <c r="P99" s="322">
        <f t="shared" si="154"/>
        <v>0.18933825229408985</v>
      </c>
      <c r="Q99" s="322">
        <f t="shared" si="154"/>
        <v>0.17741171459716565</v>
      </c>
      <c r="R99" s="322">
        <f t="shared" si="154"/>
        <v>0.16920614713530924</v>
      </c>
      <c r="S99" s="322">
        <f t="shared" si="154"/>
        <v>0.15738270119601094</v>
      </c>
      <c r="U99" s="246"/>
      <c r="V99" s="246"/>
      <c r="W99" s="322"/>
      <c r="X99" s="322"/>
      <c r="Y99" s="322"/>
      <c r="Z99" s="322"/>
      <c r="AA99" s="322">
        <f t="shared" ref="AA99:AL99" si="155">(AA98/W98-1)*1</f>
        <v>0.3620657526125679</v>
      </c>
      <c r="AB99" s="322">
        <f t="shared" si="155"/>
        <v>0.37825650210810857</v>
      </c>
      <c r="AC99" s="322">
        <f t="shared" si="155"/>
        <v>0.37731828090413289</v>
      </c>
      <c r="AD99" s="322">
        <f t="shared" si="155"/>
        <v>0.32227980337281603</v>
      </c>
      <c r="AE99" s="322">
        <f t="shared" si="155"/>
        <v>0.46028105466234304</v>
      </c>
      <c r="AF99" s="322">
        <f t="shared" si="155"/>
        <v>0.46495214403257923</v>
      </c>
      <c r="AG99" s="322">
        <f t="shared" si="155"/>
        <v>0.48520058246059183</v>
      </c>
      <c r="AH99" s="322">
        <f t="shared" si="155"/>
        <v>0.50087905488338214</v>
      </c>
      <c r="AI99" s="322">
        <f t="shared" si="155"/>
        <v>0.80048978052067365</v>
      </c>
      <c r="AJ99" s="322">
        <f t="shared" si="155"/>
        <v>0.70414973108381873</v>
      </c>
      <c r="AK99" s="322">
        <f t="shared" si="155"/>
        <v>0.68897065204814889</v>
      </c>
      <c r="AL99" s="322">
        <f t="shared" si="155"/>
        <v>0.70781618223306131</v>
      </c>
      <c r="AM99" s="322">
        <f>(AM98/AI98-1)*1</f>
        <v>0.3941971870605685</v>
      </c>
      <c r="AN99" s="322">
        <f>(AN98/AJ98-1)*1</f>
        <v>0.42250229454866561</v>
      </c>
      <c r="AO99" s="322">
        <f>(AO98/AK98-1)*1</f>
        <v>0.40388833129724055</v>
      </c>
      <c r="AP99" s="322">
        <f>(AP98/AL98-1)*1</f>
        <v>0.2406836386405824</v>
      </c>
      <c r="AQ99" s="322">
        <f t="shared" ref="AQ99:AX99" si="156">(AQ98/AM98-1)*1</f>
        <v>0.1745422916723216</v>
      </c>
      <c r="AR99" s="322">
        <f t="shared" si="156"/>
        <v>0.23572355468723671</v>
      </c>
      <c r="AS99" s="322">
        <f t="shared" si="156"/>
        <v>0.25654719235468004</v>
      </c>
      <c r="AT99" s="322">
        <f t="shared" si="156"/>
        <v>0.38699276468242494</v>
      </c>
      <c r="AU99" s="322">
        <f t="shared" si="156"/>
        <v>0.39240389018107735</v>
      </c>
      <c r="AV99" s="322">
        <f t="shared" si="156"/>
        <v>0.33865750237039105</v>
      </c>
      <c r="AW99" s="322">
        <f t="shared" si="156"/>
        <v>0.23062438158982146</v>
      </c>
      <c r="AX99" s="322">
        <f t="shared" si="156"/>
        <v>0.2451153578252363</v>
      </c>
      <c r="AY99" s="5"/>
      <c r="AZ99" s="5"/>
    </row>
    <row r="100" spans="1:90" outlineLevel="1">
      <c r="A100" s="242"/>
      <c r="B100" s="12" t="s">
        <v>83</v>
      </c>
      <c r="C100" s="23"/>
      <c r="D100" s="23"/>
      <c r="E100" s="23"/>
      <c r="F100" s="23"/>
      <c r="G100" s="238"/>
      <c r="H100" s="238"/>
      <c r="I100" s="238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U100" s="246"/>
      <c r="V100" s="246"/>
      <c r="W100" s="322"/>
      <c r="X100" s="322">
        <f t="shared" ref="X100:AL100" si="157">(X98/W98-1)*1</f>
        <v>7.4683712602276797E-2</v>
      </c>
      <c r="Y100" s="322">
        <f t="shared" si="157"/>
        <v>0.24265105690314503</v>
      </c>
      <c r="Z100" s="322">
        <f t="shared" si="157"/>
        <v>-6.8585747138177999E-2</v>
      </c>
      <c r="AA100" s="322">
        <f t="shared" si="157"/>
        <v>9.5028275140542018E-2</v>
      </c>
      <c r="AB100" s="322">
        <f t="shared" si="157"/>
        <v>8.7458378395250724E-2</v>
      </c>
      <c r="AC100" s="322">
        <f t="shared" si="157"/>
        <v>0.24180514645835749</v>
      </c>
      <c r="AD100" s="322">
        <f t="shared" si="157"/>
        <v>-0.10580562807581573</v>
      </c>
      <c r="AE100" s="322">
        <f t="shared" si="157"/>
        <v>0.20931215952064752</v>
      </c>
      <c r="AF100" s="322">
        <f t="shared" si="157"/>
        <v>9.0936897311645559E-2</v>
      </c>
      <c r="AG100" s="322">
        <f t="shared" si="157"/>
        <v>0.25896926690425537</v>
      </c>
      <c r="AH100" s="322">
        <f t="shared" si="157"/>
        <v>-9.6366093802538799E-2</v>
      </c>
      <c r="AI100" s="322">
        <f t="shared" si="157"/>
        <v>0.4507192818714445</v>
      </c>
      <c r="AJ100" s="322">
        <f t="shared" si="157"/>
        <v>3.2563383750741304E-2</v>
      </c>
      <c r="AK100" s="322">
        <f t="shared" si="157"/>
        <v>0.24775546705013962</v>
      </c>
      <c r="AL100" s="322">
        <f t="shared" si="157"/>
        <v>-8.6283349004869558E-2</v>
      </c>
      <c r="AM100" s="322">
        <f>(AM98/AL98-1)*1</f>
        <v>0.1843129038366722</v>
      </c>
      <c r="AN100" s="322">
        <f>(AN98/AM98-1)*1</f>
        <v>5.3526571624443742E-2</v>
      </c>
      <c r="AO100" s="322">
        <f>(AO98/AN98-1)*1</f>
        <v>0.23142813000510176</v>
      </c>
      <c r="AP100" s="322">
        <f>(AP98/AO98-1)*1</f>
        <v>-0.19250465014150397</v>
      </c>
      <c r="AQ100" s="322">
        <f t="shared" ref="AQ100:AX100" si="158">(AQ98/AP98-1)*1</f>
        <v>0.12117670355802712</v>
      </c>
      <c r="AR100" s="322">
        <f t="shared" si="158"/>
        <v>0.10840419223356124</v>
      </c>
      <c r="AS100" s="322">
        <f t="shared" si="158"/>
        <v>0.25217938387208316</v>
      </c>
      <c r="AT100" s="322">
        <f t="shared" si="158"/>
        <v>-0.10867636760251287</v>
      </c>
      <c r="AU100" s="322">
        <f t="shared" si="158"/>
        <v>0.1255507911550211</v>
      </c>
      <c r="AV100" s="322">
        <f t="shared" si="158"/>
        <v>6.5620110698836109E-2</v>
      </c>
      <c r="AW100" s="322">
        <f t="shared" si="158"/>
        <v>0.15112527079442573</v>
      </c>
      <c r="AX100" s="322">
        <f t="shared" si="158"/>
        <v>-9.8180760845193893E-2</v>
      </c>
      <c r="AY100" s="5"/>
      <c r="AZ100" s="5"/>
    </row>
    <row r="101" spans="1:90" outlineLevel="1">
      <c r="C101" s="23"/>
      <c r="D101" s="23"/>
      <c r="E101" s="23"/>
      <c r="F101" s="23"/>
      <c r="G101" s="238"/>
      <c r="H101" s="238"/>
      <c r="I101" s="238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U101" s="246"/>
      <c r="V101" s="246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5"/>
      <c r="AZ101" s="5"/>
    </row>
    <row r="102" spans="1:90" s="248" customFormat="1" outlineLevel="1">
      <c r="A102" s="249" t="s">
        <v>59</v>
      </c>
      <c r="B102" s="116" t="s">
        <v>18</v>
      </c>
      <c r="C102" s="253">
        <f t="shared" ref="C102:I102" si="159">VLOOKUP($A102,CTRP,MATCH(C$5,Period_CTRP,FALSE),FALSE)</f>
        <v>-228.21956399999999</v>
      </c>
      <c r="D102" s="253">
        <f t="shared" si="159"/>
        <v>-250.40100899999999</v>
      </c>
      <c r="E102" s="253">
        <f t="shared" si="159"/>
        <v>-330.27152000000001</v>
      </c>
      <c r="F102" s="253">
        <f t="shared" si="159"/>
        <v>-425.63873799999999</v>
      </c>
      <c r="G102" s="424">
        <f t="shared" si="159"/>
        <v>-599.37834699999996</v>
      </c>
      <c r="H102" s="424">
        <f t="shared" si="159"/>
        <v>-559.64682400000004</v>
      </c>
      <c r="I102" s="424">
        <f t="shared" si="159"/>
        <v>-197.354446</v>
      </c>
      <c r="J102" s="247">
        <f t="shared" ref="J102:Q102" si="160">-J103*J98</f>
        <v>-249.45289764711396</v>
      </c>
      <c r="K102" s="247">
        <f t="shared" si="160"/>
        <v>-322.76399022697007</v>
      </c>
      <c r="L102" s="247">
        <f t="shared" si="160"/>
        <v>-406.83572388754754</v>
      </c>
      <c r="M102" s="247">
        <f t="shared" si="160"/>
        <v>-505.8907208330337</v>
      </c>
      <c r="N102" s="247">
        <f t="shared" si="160"/>
        <v>-624.22115205242096</v>
      </c>
      <c r="O102" s="247">
        <f t="shared" si="160"/>
        <v>-748.30145206076827</v>
      </c>
      <c r="P102" s="247">
        <f t="shared" si="160"/>
        <v>-889.98354118308384</v>
      </c>
      <c r="Q102" s="247">
        <f t="shared" si="160"/>
        <v>-1047.8770471876319</v>
      </c>
      <c r="R102" s="247">
        <f>-R103*R98</f>
        <v>-1225.1842850137757</v>
      </c>
      <c r="S102" s="247">
        <f>-S103*S98</f>
        <v>-1418.0070972521469</v>
      </c>
      <c r="U102" s="510">
        <f>(K102/I102)^(1/2)-1</f>
        <v>0.27884844759642036</v>
      </c>
      <c r="V102" s="246"/>
      <c r="W102" s="253">
        <f t="shared" ref="W102:AP102" si="161">VLOOKUP($A102,CTRP,MATCH(W$5,Period_CTRP,FALSE),FALSE)</f>
        <v>-67.900120000000001</v>
      </c>
      <c r="X102" s="253">
        <f t="shared" si="161"/>
        <v>-75.294640000000001</v>
      </c>
      <c r="Y102" s="253">
        <f t="shared" si="161"/>
        <v>-99.510606999999993</v>
      </c>
      <c r="Z102" s="253">
        <f t="shared" si="161"/>
        <v>-87.566153</v>
      </c>
      <c r="AA102" s="253">
        <f t="shared" si="161"/>
        <v>-91.384691000000004</v>
      </c>
      <c r="AB102" s="253">
        <f t="shared" si="161"/>
        <v>-97.244864000000007</v>
      </c>
      <c r="AC102" s="253">
        <f t="shared" si="161"/>
        <v>-129.901116</v>
      </c>
      <c r="AD102" s="253">
        <f t="shared" si="161"/>
        <v>-107.10806700000001</v>
      </c>
      <c r="AE102" s="253">
        <f t="shared" si="161"/>
        <v>-128.526318</v>
      </c>
      <c r="AF102" s="253">
        <f t="shared" si="161"/>
        <v>-138.35266799999999</v>
      </c>
      <c r="AG102" s="253">
        <f t="shared" si="161"/>
        <v>-174.16816900000001</v>
      </c>
      <c r="AH102" s="253">
        <f t="shared" si="161"/>
        <v>-158.33119199999999</v>
      </c>
      <c r="AI102" s="253">
        <f t="shared" si="161"/>
        <v>-221.13473400000001</v>
      </c>
      <c r="AJ102" s="253">
        <f t="shared" si="161"/>
        <v>-131.10743500000001</v>
      </c>
      <c r="AK102" s="253">
        <f t="shared" si="161"/>
        <v>-95.928078999999997</v>
      </c>
      <c r="AL102" s="253">
        <f t="shared" si="161"/>
        <v>-111.47657599999999</v>
      </c>
      <c r="AM102" s="253">
        <f t="shared" si="161"/>
        <v>-48.208523</v>
      </c>
      <c r="AN102" s="253">
        <f t="shared" si="161"/>
        <v>-45.794148999999997</v>
      </c>
      <c r="AO102" s="253">
        <f t="shared" si="161"/>
        <v>-57.274816000000001</v>
      </c>
      <c r="AP102" s="253">
        <f t="shared" si="161"/>
        <v>-46.076957999999998</v>
      </c>
      <c r="AQ102" s="247">
        <f>-AQ103*AQ98</f>
        <v>-50.426498396095667</v>
      </c>
      <c r="AR102" s="247">
        <f>-AR103*AR98</f>
        <v>-55.892942221891381</v>
      </c>
      <c r="AS102" s="247">
        <f>-AS103*AS98</f>
        <v>-69.987989954205901</v>
      </c>
      <c r="AT102" s="390">
        <f>J102-SUM(AQ102:AS102)</f>
        <v>-73.145467074920987</v>
      </c>
      <c r="AU102" s="247">
        <f>-AU103*AU98</f>
        <v>-70.214052534933458</v>
      </c>
      <c r="AV102" s="247">
        <f>-AV103*AV98</f>
        <v>-74.821506434889699</v>
      </c>
      <c r="AW102" s="247">
        <f>-AW103*AW98</f>
        <v>-86.12892685610926</v>
      </c>
      <c r="AX102" s="390">
        <f>K102-SUM(AU102:AW102)</f>
        <v>-91.59950440103762</v>
      </c>
      <c r="AY102" s="195"/>
      <c r="AZ102" s="195"/>
    </row>
    <row r="103" spans="1:90" s="248" customFormat="1" outlineLevel="1">
      <c r="A103" s="249"/>
      <c r="B103" s="13" t="s">
        <v>134</v>
      </c>
      <c r="C103" s="322">
        <f t="shared" ref="C103:H103" si="162">-C102/C98</f>
        <v>6.1245553835879644E-2</v>
      </c>
      <c r="D103" s="322">
        <f t="shared" si="162"/>
        <v>5.6790676012295579E-2</v>
      </c>
      <c r="E103" s="322">
        <f t="shared" si="162"/>
        <v>5.7769902803903858E-2</v>
      </c>
      <c r="F103" s="322">
        <f t="shared" si="162"/>
        <v>5.4761738272294941E-2</v>
      </c>
      <c r="G103" s="322">
        <f t="shared" si="162"/>
        <v>5.2133699308446829E-2</v>
      </c>
      <c r="H103" s="322">
        <f t="shared" si="162"/>
        <v>2.8282007969647947E-2</v>
      </c>
      <c r="I103" s="322">
        <f>-I102/I98</f>
        <v>7.315659722742696E-3</v>
      </c>
      <c r="J103" s="240">
        <f t="shared" ref="J103:Q103" si="163">J13</f>
        <v>7.315659722742696E-3</v>
      </c>
      <c r="K103" s="240">
        <f t="shared" si="163"/>
        <v>7.315659722742696E-3</v>
      </c>
      <c r="L103" s="240">
        <f t="shared" si="163"/>
        <v>7.315659722742696E-3</v>
      </c>
      <c r="M103" s="240">
        <f t="shared" si="163"/>
        <v>7.315659722742696E-3</v>
      </c>
      <c r="N103" s="240">
        <f t="shared" si="163"/>
        <v>7.315659722742696E-3</v>
      </c>
      <c r="O103" s="240">
        <f t="shared" si="163"/>
        <v>7.315659722742696E-3</v>
      </c>
      <c r="P103" s="240">
        <f t="shared" si="163"/>
        <v>7.315659722742696E-3</v>
      </c>
      <c r="Q103" s="240">
        <f t="shared" si="163"/>
        <v>7.315659722742696E-3</v>
      </c>
      <c r="R103" s="240">
        <f>R13</f>
        <v>7.315659722742696E-3</v>
      </c>
      <c r="S103" s="240">
        <f>S13</f>
        <v>7.315659722742696E-3</v>
      </c>
      <c r="U103" s="252"/>
      <c r="V103" s="252"/>
      <c r="W103" s="322">
        <f>-W102/W98</f>
        <v>5.5274880951752398E-2</v>
      </c>
      <c r="X103" s="322">
        <f t="shared" ref="X103:AK103" si="164">-X102/X98</f>
        <v>5.7034897880566614E-2</v>
      </c>
      <c r="Y103" s="322">
        <f t="shared" si="164"/>
        <v>6.0659215449343565E-2</v>
      </c>
      <c r="Z103" s="322">
        <f t="shared" si="164"/>
        <v>5.7308732687543856E-2</v>
      </c>
      <c r="AA103" s="322">
        <f t="shared" si="164"/>
        <v>5.4617604523556164E-2</v>
      </c>
      <c r="AB103" s="322">
        <f t="shared" si="164"/>
        <v>5.3445756710791763E-2</v>
      </c>
      <c r="AC103" s="322">
        <f t="shared" si="164"/>
        <v>5.7491810301126677E-2</v>
      </c>
      <c r="AD103" s="322">
        <f t="shared" si="164"/>
        <v>5.3013118361342947E-2</v>
      </c>
      <c r="AE103" s="322">
        <f t="shared" si="164"/>
        <v>5.2603521194689869E-2</v>
      </c>
      <c r="AF103" s="322">
        <f t="shared" si="164"/>
        <v>5.1905174796761495E-2</v>
      </c>
      <c r="AG103" s="322">
        <f t="shared" si="164"/>
        <v>5.1901125648047657E-2</v>
      </c>
      <c r="AH103" s="322">
        <f t="shared" si="164"/>
        <v>5.2213397573345463E-2</v>
      </c>
      <c r="AI103" s="322">
        <f t="shared" si="164"/>
        <v>5.0267704404647576E-2</v>
      </c>
      <c r="AJ103" s="322">
        <f t="shared" si="164"/>
        <v>2.8863081117960418E-2</v>
      </c>
      <c r="AK103" s="322">
        <f t="shared" si="164"/>
        <v>1.6925115273595314E-2</v>
      </c>
      <c r="AL103" s="322">
        <f>-AL102/AL98</f>
        <v>2.1525733998947881E-2</v>
      </c>
      <c r="AM103" s="322">
        <f>-AM102/AM98</f>
        <v>7.8601659084976926E-3</v>
      </c>
      <c r="AN103" s="322">
        <f>-AN102/AN98</f>
        <v>7.0871624279594814E-3</v>
      </c>
      <c r="AO103" s="322">
        <f>-AO102/AO98</f>
        <v>7.198085914335392E-3</v>
      </c>
      <c r="AP103" s="322">
        <f>-AP102/AP98</f>
        <v>7.1712868167532881E-3</v>
      </c>
      <c r="AQ103" s="240">
        <f>AQ13</f>
        <v>7.0000000000000001E-3</v>
      </c>
      <c r="AR103" s="240">
        <f>AR13</f>
        <v>7.0000000000000001E-3</v>
      </c>
      <c r="AS103" s="240">
        <f>AS13</f>
        <v>7.0000000000000001E-3</v>
      </c>
      <c r="AT103" s="322">
        <f>-AT102/AT98</f>
        <v>8.2077952709301225E-3</v>
      </c>
      <c r="AU103" s="240">
        <f>AU13</f>
        <v>7.0000000000000001E-3</v>
      </c>
      <c r="AV103" s="240">
        <f>AV13</f>
        <v>7.0000000000000001E-3</v>
      </c>
      <c r="AW103" s="240">
        <f>AW13</f>
        <v>7.0000000000000001E-3</v>
      </c>
      <c r="AX103" s="322">
        <f>-AX102/AX98</f>
        <v>8.2551055721502113E-3</v>
      </c>
      <c r="AY103" s="251"/>
      <c r="AZ103" s="251"/>
    </row>
    <row r="104" spans="1:90" outlineLevel="1">
      <c r="A104" s="242"/>
      <c r="B104" s="12" t="s">
        <v>82</v>
      </c>
      <c r="C104" s="23"/>
      <c r="D104" s="322">
        <f t="shared" ref="D104:S104" si="165">(D102/C102-1)*1</f>
        <v>9.7193442188856283E-2</v>
      </c>
      <c r="E104" s="322">
        <f t="shared" si="165"/>
        <v>0.31897040398906706</v>
      </c>
      <c r="F104" s="322">
        <f t="shared" si="165"/>
        <v>0.28875398641699412</v>
      </c>
      <c r="G104" s="423">
        <f>(G102/F102-1)*1</f>
        <v>0.4081856125604808</v>
      </c>
      <c r="H104" s="322">
        <f>(H102/G102-1)*1</f>
        <v>-6.628788510439787E-2</v>
      </c>
      <c r="I104" s="322">
        <f>(I102/H102-1)*1</f>
        <v>-0.64735894579114062</v>
      </c>
      <c r="J104" s="322">
        <f t="shared" si="165"/>
        <v>0.26398418025562975</v>
      </c>
      <c r="K104" s="322">
        <f t="shared" si="165"/>
        <v>0.29388751652652645</v>
      </c>
      <c r="L104" s="322">
        <f t="shared" si="165"/>
        <v>0.26047432863082909</v>
      </c>
      <c r="M104" s="322">
        <f t="shared" si="165"/>
        <v>0.24347664457525786</v>
      </c>
      <c r="N104" s="322">
        <f t="shared" si="165"/>
        <v>0.23390512287819076</v>
      </c>
      <c r="O104" s="322">
        <f t="shared" si="165"/>
        <v>0.19877618629291072</v>
      </c>
      <c r="P104" s="322">
        <f t="shared" si="165"/>
        <v>0.18933825229408985</v>
      </c>
      <c r="Q104" s="322">
        <f t="shared" si="165"/>
        <v>0.17741171459716565</v>
      </c>
      <c r="R104" s="322">
        <f t="shared" si="165"/>
        <v>0.16920614713530924</v>
      </c>
      <c r="S104" s="322">
        <f t="shared" si="165"/>
        <v>0.15738270119601072</v>
      </c>
      <c r="W104" s="23"/>
      <c r="X104" s="23"/>
      <c r="Y104" s="23"/>
      <c r="Z104" s="23"/>
      <c r="AA104" s="23">
        <f t="shared" ref="AA104:AL104" si="166">(AA102/W102-1)*1</f>
        <v>0.3458693592883193</v>
      </c>
      <c r="AB104" s="23">
        <f t="shared" si="166"/>
        <v>0.29152439004954411</v>
      </c>
      <c r="AC104" s="23">
        <f t="shared" si="166"/>
        <v>0.30539969472802042</v>
      </c>
      <c r="AD104" s="23">
        <f t="shared" si="166"/>
        <v>0.22316743776559433</v>
      </c>
      <c r="AE104" s="322">
        <f t="shared" si="166"/>
        <v>0.40643160898798691</v>
      </c>
      <c r="AF104" s="322">
        <f t="shared" si="166"/>
        <v>0.42272467983501927</v>
      </c>
      <c r="AG104" s="322">
        <f t="shared" si="166"/>
        <v>0.34077500150191176</v>
      </c>
      <c r="AH104" s="322">
        <f t="shared" si="166"/>
        <v>0.47823778763554747</v>
      </c>
      <c r="AI104" s="322">
        <f t="shared" si="166"/>
        <v>0.72054048883591304</v>
      </c>
      <c r="AJ104" s="322">
        <f t="shared" si="166"/>
        <v>-5.2367858927013899E-2</v>
      </c>
      <c r="AK104" s="322">
        <f t="shared" si="166"/>
        <v>-0.44922152221741507</v>
      </c>
      <c r="AL104" s="322">
        <f t="shared" si="166"/>
        <v>-0.29592789271743747</v>
      </c>
      <c r="AM104" s="322">
        <f>(AM102/AI102-1)*1</f>
        <v>-0.78199479508271186</v>
      </c>
      <c r="AN104" s="322">
        <f>(AN102/AJ102-1)*1</f>
        <v>-0.65071279901097911</v>
      </c>
      <c r="AO104" s="322">
        <f>(AO102/AK102-1)*1</f>
        <v>-0.40294002968619846</v>
      </c>
      <c r="AP104" s="322">
        <f>(AP102/AL102-1)*1</f>
        <v>-0.5866669065974901</v>
      </c>
      <c r="AQ104" s="322">
        <f t="shared" ref="AQ104:AX104" si="167">(AQ102/AM102-1)*1</f>
        <v>4.6007951666465097E-2</v>
      </c>
      <c r="AR104" s="322">
        <f t="shared" si="167"/>
        <v>0.22052584101718731</v>
      </c>
      <c r="AS104" s="322">
        <f t="shared" si="167"/>
        <v>0.22196795803247804</v>
      </c>
      <c r="AT104" s="322">
        <f t="shared" si="167"/>
        <v>0.58746302381595994</v>
      </c>
      <c r="AU104" s="322">
        <f t="shared" si="167"/>
        <v>0.39240389018107713</v>
      </c>
      <c r="AV104" s="322">
        <f t="shared" si="167"/>
        <v>0.33865750237039127</v>
      </c>
      <c r="AW104" s="322">
        <f t="shared" si="167"/>
        <v>0.23062438158982124</v>
      </c>
      <c r="AX104" s="322">
        <f t="shared" si="167"/>
        <v>0.25229228910678292</v>
      </c>
      <c r="AY104" s="5"/>
      <c r="AZ104" s="5"/>
    </row>
    <row r="105" spans="1:90" outlineLevel="1">
      <c r="A105" s="242"/>
      <c r="B105" s="12" t="s">
        <v>83</v>
      </c>
      <c r="C105" s="23"/>
      <c r="D105" s="23"/>
      <c r="E105" s="23"/>
      <c r="F105" s="23"/>
      <c r="G105" s="410"/>
      <c r="H105" s="410"/>
      <c r="I105" s="410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W105" s="23"/>
      <c r="X105" s="23">
        <f t="shared" ref="X105:AL105" si="168">(X102/W102-1)*1</f>
        <v>0.10890290031888017</v>
      </c>
      <c r="Y105" s="23">
        <f t="shared" si="168"/>
        <v>0.32161608050719126</v>
      </c>
      <c r="Z105" s="23">
        <f t="shared" si="168"/>
        <v>-0.12003196804939598</v>
      </c>
      <c r="AA105" s="23">
        <f t="shared" si="168"/>
        <v>4.360746554664785E-2</v>
      </c>
      <c r="AB105" s="23">
        <f t="shared" si="168"/>
        <v>6.4126419161388837E-2</v>
      </c>
      <c r="AC105" s="23">
        <f t="shared" si="168"/>
        <v>0.33581467089099948</v>
      </c>
      <c r="AD105" s="23">
        <f t="shared" si="168"/>
        <v>-0.17546461263658419</v>
      </c>
      <c r="AE105" s="322">
        <f t="shared" si="168"/>
        <v>0.19996860740657385</v>
      </c>
      <c r="AF105" s="322">
        <f t="shared" si="168"/>
        <v>7.6453991314058944E-2</v>
      </c>
      <c r="AG105" s="322">
        <f t="shared" si="168"/>
        <v>0.25887105408043176</v>
      </c>
      <c r="AH105" s="322">
        <f t="shared" si="168"/>
        <v>-9.0929227142532709E-2</v>
      </c>
      <c r="AI105" s="322">
        <f t="shared" si="168"/>
        <v>0.39665931397775389</v>
      </c>
      <c r="AJ105" s="322">
        <f t="shared" si="168"/>
        <v>-0.40711514365716961</v>
      </c>
      <c r="AK105" s="322">
        <f t="shared" si="168"/>
        <v>-0.26832464535668787</v>
      </c>
      <c r="AL105" s="322">
        <f t="shared" si="168"/>
        <v>0.16208494073982238</v>
      </c>
      <c r="AM105" s="322">
        <f>(AM102/AL102-1)*1</f>
        <v>-0.56754571471588799</v>
      </c>
      <c r="AN105" s="322">
        <f>(AN102/AM102-1)*1</f>
        <v>-5.0081891121202871E-2</v>
      </c>
      <c r="AO105" s="322">
        <f>(AO102/AN102-1)*1</f>
        <v>0.25070161255753454</v>
      </c>
      <c r="AP105" s="322">
        <f>(AP102/AO102-1)*1</f>
        <v>-0.19551102529949649</v>
      </c>
      <c r="AQ105" s="322">
        <f t="shared" ref="AQ105:AX105" si="169">(AQ102/AP102-1)*1</f>
        <v>9.4397299320316819E-2</v>
      </c>
      <c r="AR105" s="322">
        <f t="shared" si="169"/>
        <v>0.10840419223356101</v>
      </c>
      <c r="AS105" s="322">
        <f t="shared" si="169"/>
        <v>0.25217938387208338</v>
      </c>
      <c r="AT105" s="322">
        <f t="shared" si="169"/>
        <v>4.5114556408621942E-2</v>
      </c>
      <c r="AU105" s="322">
        <f t="shared" si="169"/>
        <v>-4.007650312745914E-2</v>
      </c>
      <c r="AV105" s="322">
        <f t="shared" si="169"/>
        <v>6.5620110698836331E-2</v>
      </c>
      <c r="AW105" s="322">
        <f t="shared" si="169"/>
        <v>0.1511252707944255</v>
      </c>
      <c r="AX105" s="322">
        <f t="shared" si="169"/>
        <v>6.3516146602728973E-2</v>
      </c>
      <c r="AY105" s="5"/>
      <c r="AZ105" s="5"/>
    </row>
    <row r="106" spans="1:90" outlineLevel="1">
      <c r="A106" s="242"/>
      <c r="B106" s="12"/>
      <c r="C106" s="23"/>
      <c r="D106" s="23"/>
      <c r="E106" s="23"/>
      <c r="F106" s="23"/>
      <c r="G106" s="410"/>
      <c r="H106" s="410"/>
      <c r="I106" s="410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5"/>
      <c r="AZ106" s="5"/>
    </row>
    <row r="107" spans="1:90" s="248" customFormat="1" outlineLevel="1">
      <c r="A107" s="249" t="s">
        <v>60</v>
      </c>
      <c r="B107" s="116" t="s">
        <v>163</v>
      </c>
      <c r="C107" s="253">
        <f t="shared" ref="C107:I107" si="170">VLOOKUP($A107,CTRP,MATCH(C$5,Period_CTRP,FALSE),FALSE)</f>
        <v>3498.0846280000001</v>
      </c>
      <c r="D107" s="253">
        <f t="shared" si="170"/>
        <v>4158.7912489999999</v>
      </c>
      <c r="E107" s="253">
        <f t="shared" si="170"/>
        <v>5386.7455419999997</v>
      </c>
      <c r="F107" s="253">
        <f t="shared" si="170"/>
        <v>7346.9183690000009</v>
      </c>
      <c r="G107" s="425">
        <f t="shared" si="170"/>
        <v>10897.568061000002</v>
      </c>
      <c r="H107" s="425">
        <f t="shared" si="170"/>
        <v>19228.439813999998</v>
      </c>
      <c r="I107" s="425">
        <f t="shared" si="170"/>
        <v>26779.631018</v>
      </c>
      <c r="J107" s="253">
        <f t="shared" ref="J107:Q107" si="171">J102+J98</f>
        <v>33849.029959834974</v>
      </c>
      <c r="K107" s="253">
        <f t="shared" si="171"/>
        <v>43796.837311562856</v>
      </c>
      <c r="L107" s="253">
        <f t="shared" si="171"/>
        <v>55204.789106445838</v>
      </c>
      <c r="M107" s="253">
        <f t="shared" si="171"/>
        <v>68645.865922568017</v>
      </c>
      <c r="N107" s="253">
        <f t="shared" si="171"/>
        <v>84702.485626266105</v>
      </c>
      <c r="O107" s="253">
        <f t="shared" si="171"/>
        <v>101539.32268858535</v>
      </c>
      <c r="P107" s="253">
        <f t="shared" si="171"/>
        <v>120764.60058556772</v>
      </c>
      <c r="Q107" s="253">
        <f t="shared" si="171"/>
        <v>142189.65543809519</v>
      </c>
      <c r="R107" s="253">
        <f>R102+R98</f>
        <v>166249.01919727243</v>
      </c>
      <c r="S107" s="253">
        <f>S102+S98</f>
        <v>192413.73890972661</v>
      </c>
      <c r="U107" s="510">
        <f>(K107/I107)^(1/2)-1</f>
        <v>0.27884844759642036</v>
      </c>
      <c r="V107" s="246"/>
      <c r="W107" s="253">
        <f t="shared" ref="W107:AE107" si="172">VLOOKUP($A107,CTRP,MATCH(W$5,Period_CTRP,FALSE),FALSE)</f>
        <v>1160.5081339999997</v>
      </c>
      <c r="X107" s="253">
        <f t="shared" si="172"/>
        <v>1244.8557030000002</v>
      </c>
      <c r="Y107" s="253">
        <f t="shared" si="172"/>
        <v>1540.9756119999997</v>
      </c>
      <c r="Z107" s="253">
        <f t="shared" si="172"/>
        <v>1440.4060930000001</v>
      </c>
      <c r="AA107" s="253">
        <f t="shared" si="172"/>
        <v>1581.7881220000002</v>
      </c>
      <c r="AB107" s="253">
        <f t="shared" si="172"/>
        <v>1722.2609300000001</v>
      </c>
      <c r="AC107" s="253">
        <f t="shared" si="172"/>
        <v>2129.5705430000003</v>
      </c>
      <c r="AD107" s="253">
        <f t="shared" si="172"/>
        <v>1913.2987739999999</v>
      </c>
      <c r="AE107" s="253">
        <f t="shared" si="172"/>
        <v>2314.7762419999995</v>
      </c>
      <c r="AF107" s="253">
        <f t="shared" ref="AF107:AK107" si="173">AF102+AF98</f>
        <v>2527.1362460000005</v>
      </c>
      <c r="AG107" s="253">
        <f t="shared" si="173"/>
        <v>3181.6004550000002</v>
      </c>
      <c r="AH107" s="253">
        <f t="shared" si="173"/>
        <v>2874.0551179999998</v>
      </c>
      <c r="AI107" s="253">
        <f t="shared" si="173"/>
        <v>4178.0065559999994</v>
      </c>
      <c r="AJ107" s="253">
        <f t="shared" si="173"/>
        <v>4411.2847810000012</v>
      </c>
      <c r="AK107" s="253">
        <f t="shared" si="173"/>
        <v>5571.866642</v>
      </c>
      <c r="AL107" s="253">
        <f t="shared" ref="AL107:AT107" si="174">AL102+AL98</f>
        <v>5067.2818349999998</v>
      </c>
      <c r="AM107" s="253">
        <f t="shared" si="174"/>
        <v>6085.0618889999996</v>
      </c>
      <c r="AN107" s="253">
        <f t="shared" si="174"/>
        <v>6415.7692009999992</v>
      </c>
      <c r="AO107" s="253">
        <f t="shared" si="174"/>
        <v>7899.6760569999997</v>
      </c>
      <c r="AP107" s="253">
        <f>AP102+AP98</f>
        <v>6379.1238710000007</v>
      </c>
      <c r="AQ107" s="253">
        <f t="shared" si="174"/>
        <v>7153.3589867604278</v>
      </c>
      <c r="AR107" s="253">
        <f t="shared" si="174"/>
        <v>7928.8130894768774</v>
      </c>
      <c r="AS107" s="253">
        <f t="shared" si="174"/>
        <v>9928.296289218064</v>
      </c>
      <c r="AT107" s="253">
        <f t="shared" si="174"/>
        <v>8838.5615943795983</v>
      </c>
      <c r="AU107" s="253">
        <f>AU102+AU98</f>
        <v>9960.3648810269897</v>
      </c>
      <c r="AV107" s="253">
        <f>AV102+AV98</f>
        <v>10613.96512712078</v>
      </c>
      <c r="AW107" s="253">
        <f>AW102+AW98</f>
        <v>12218.0034811595</v>
      </c>
      <c r="AX107" s="253">
        <f>AX102+AX98</f>
        <v>11004.50382225559</v>
      </c>
      <c r="AY107" s="195"/>
      <c r="AZ107" s="195"/>
    </row>
    <row r="108" spans="1:90" outlineLevel="1">
      <c r="A108" s="242"/>
      <c r="B108" s="12" t="s">
        <v>82</v>
      </c>
      <c r="C108" s="23"/>
      <c r="D108" s="322">
        <f t="shared" ref="D108:S108" si="175">(D107/C107-1)*1</f>
        <v>0.18887668288853066</v>
      </c>
      <c r="E108" s="322">
        <f t="shared" si="175"/>
        <v>0.29526711476448031</v>
      </c>
      <c r="F108" s="322">
        <f t="shared" si="175"/>
        <v>0.36388814205473397</v>
      </c>
      <c r="G108" s="423">
        <f>(G107/F107-1)*1</f>
        <v>0.48328421709186409</v>
      </c>
      <c r="H108" s="322">
        <f>(H107/G107-1)*1</f>
        <v>0.7644707246944713</v>
      </c>
      <c r="I108" s="322">
        <f>(I107/H107-1)*1</f>
        <v>0.39270951138230514</v>
      </c>
      <c r="J108" s="322">
        <f t="shared" si="175"/>
        <v>0.26398418025562997</v>
      </c>
      <c r="K108" s="322">
        <f t="shared" si="175"/>
        <v>0.29388751652652623</v>
      </c>
      <c r="L108" s="322">
        <f t="shared" si="175"/>
        <v>0.26047432863082909</v>
      </c>
      <c r="M108" s="322">
        <f t="shared" si="175"/>
        <v>0.24347664457525786</v>
      </c>
      <c r="N108" s="322">
        <f t="shared" si="175"/>
        <v>0.23390512287819099</v>
      </c>
      <c r="O108" s="322">
        <f t="shared" si="175"/>
        <v>0.1987761862929105</v>
      </c>
      <c r="P108" s="322">
        <f t="shared" si="175"/>
        <v>0.18933825229408985</v>
      </c>
      <c r="Q108" s="322">
        <f t="shared" si="175"/>
        <v>0.17741171459716587</v>
      </c>
      <c r="R108" s="322">
        <f t="shared" si="175"/>
        <v>0.16920614713530924</v>
      </c>
      <c r="S108" s="322">
        <f t="shared" si="175"/>
        <v>0.15738270119601072</v>
      </c>
      <c r="W108" s="23"/>
      <c r="X108" s="322"/>
      <c r="Y108" s="322"/>
      <c r="Z108" s="322"/>
      <c r="AA108" s="322">
        <f t="shared" ref="AA108:AL108" si="176">(AA107/W107-1)*1</f>
        <v>0.3630133866860088</v>
      </c>
      <c r="AB108" s="322">
        <f t="shared" si="176"/>
        <v>0.38350246205202132</v>
      </c>
      <c r="AC108" s="322">
        <f t="shared" si="176"/>
        <v>0.38196252193509772</v>
      </c>
      <c r="AD108" s="322">
        <f t="shared" si="176"/>
        <v>0.32830511013396535</v>
      </c>
      <c r="AE108" s="322">
        <f t="shared" si="176"/>
        <v>0.46339210024741817</v>
      </c>
      <c r="AF108" s="322">
        <f t="shared" si="176"/>
        <v>0.46733645406448376</v>
      </c>
      <c r="AG108" s="322">
        <f t="shared" si="176"/>
        <v>0.49401036066077841</v>
      </c>
      <c r="AH108" s="322">
        <f t="shared" si="176"/>
        <v>0.50214653197702819</v>
      </c>
      <c r="AI108" s="322">
        <f t="shared" si="176"/>
        <v>0.80492890854545074</v>
      </c>
      <c r="AJ108" s="322">
        <f t="shared" si="176"/>
        <v>0.74556666186172871</v>
      </c>
      <c r="AK108" s="322">
        <f t="shared" si="176"/>
        <v>0.75127792468209198</v>
      </c>
      <c r="AL108" s="322">
        <f t="shared" si="176"/>
        <v>0.76311226714615854</v>
      </c>
      <c r="AM108" s="322">
        <f>(AM107/AI107-1)*1</f>
        <v>0.45645101496102125</v>
      </c>
      <c r="AN108" s="322">
        <f>(AN107/AJ107-1)*1</f>
        <v>0.45439923276628669</v>
      </c>
      <c r="AO108" s="322">
        <f>(AO107/AK107-1)*1</f>
        <v>0.41777909712577777</v>
      </c>
      <c r="AP108" s="322">
        <f>(AP107/AL107-1)*1</f>
        <v>0.25888475887388673</v>
      </c>
      <c r="AQ108" s="322">
        <f t="shared" ref="AQ108:AX108" si="177">(AQ107/AM107-1)*1</f>
        <v>0.17556059695819926</v>
      </c>
      <c r="AR108" s="322">
        <f t="shared" si="177"/>
        <v>0.23583203214994808</v>
      </c>
      <c r="AS108" s="322">
        <f t="shared" si="177"/>
        <v>0.25679790127855684</v>
      </c>
      <c r="AT108" s="322">
        <f t="shared" si="177"/>
        <v>0.38554475083332296</v>
      </c>
      <c r="AU108" s="322">
        <f t="shared" si="177"/>
        <v>0.39240389018107735</v>
      </c>
      <c r="AV108" s="322">
        <f t="shared" si="177"/>
        <v>0.33865750237039105</v>
      </c>
      <c r="AW108" s="322">
        <f t="shared" si="177"/>
        <v>0.23062438158982146</v>
      </c>
      <c r="AX108" s="322">
        <f t="shared" si="177"/>
        <v>0.2450559635465237</v>
      </c>
      <c r="AY108" s="5"/>
      <c r="AZ108" s="5"/>
    </row>
    <row r="109" spans="1:90" outlineLevel="1">
      <c r="A109" s="242"/>
      <c r="B109" s="12" t="s">
        <v>83</v>
      </c>
      <c r="C109" s="23"/>
      <c r="D109" s="23"/>
      <c r="E109" s="23"/>
      <c r="F109" s="23"/>
      <c r="G109" s="238"/>
      <c r="H109" s="238"/>
      <c r="I109" s="238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W109" s="23"/>
      <c r="X109" s="322">
        <f t="shared" ref="X109:AL109" si="178">(X107/W107-1)*1</f>
        <v>7.2681583634639502E-2</v>
      </c>
      <c r="Y109" s="322">
        <f t="shared" si="178"/>
        <v>0.23787488645179899</v>
      </c>
      <c r="Z109" s="322">
        <f t="shared" si="178"/>
        <v>-6.5263537084452983E-2</v>
      </c>
      <c r="AA109" s="322">
        <f t="shared" si="178"/>
        <v>9.8154284189077012E-2</v>
      </c>
      <c r="AB109" s="322">
        <f t="shared" si="178"/>
        <v>8.8806336352043935E-2</v>
      </c>
      <c r="AC109" s="322">
        <f t="shared" si="178"/>
        <v>0.23649704055006349</v>
      </c>
      <c r="AD109" s="322">
        <f t="shared" si="178"/>
        <v>-0.10155651791432596</v>
      </c>
      <c r="AE109" s="322">
        <f t="shared" si="178"/>
        <v>0.20983521938952521</v>
      </c>
      <c r="AF109" s="322">
        <f t="shared" si="178"/>
        <v>9.174105045095815E-2</v>
      </c>
      <c r="AG109" s="322">
        <f t="shared" si="178"/>
        <v>0.25897464374384183</v>
      </c>
      <c r="AH109" s="322">
        <f t="shared" si="178"/>
        <v>-9.666372046077687E-2</v>
      </c>
      <c r="AI109" s="322">
        <f t="shared" si="178"/>
        <v>0.45369743601416901</v>
      </c>
      <c r="AJ109" s="322">
        <f t="shared" si="178"/>
        <v>5.5834815449246511E-2</v>
      </c>
      <c r="AK109" s="322">
        <f t="shared" si="178"/>
        <v>0.26309384195706009</v>
      </c>
      <c r="AL109" s="322">
        <f t="shared" si="178"/>
        <v>-9.0559383312677655E-2</v>
      </c>
      <c r="AM109" s="322">
        <f>(AM107/AL107-1)*1</f>
        <v>0.20085325567844592</v>
      </c>
      <c r="AN109" s="322">
        <f>(AN107/AM107-1)*1</f>
        <v>5.4347403203543587E-2</v>
      </c>
      <c r="AO109" s="322">
        <f>(AO107/AN107-1)*1</f>
        <v>0.23129056072788745</v>
      </c>
      <c r="AP109" s="322">
        <f>(AP107/AO107-1)*1</f>
        <v>-0.19248285309783297</v>
      </c>
      <c r="AQ109" s="322">
        <f t="shared" ref="AQ109:AX109" si="179">(AQ107/AP107-1)*1</f>
        <v>0.12137013348810499</v>
      </c>
      <c r="AR109" s="322">
        <f t="shared" si="179"/>
        <v>0.10840419223356124</v>
      </c>
      <c r="AS109" s="322">
        <f t="shared" si="179"/>
        <v>0.25217938387208316</v>
      </c>
      <c r="AT109" s="322">
        <f t="shared" si="179"/>
        <v>-0.10976049294800927</v>
      </c>
      <c r="AU109" s="322">
        <f t="shared" si="179"/>
        <v>0.12692147638148965</v>
      </c>
      <c r="AV109" s="322">
        <f t="shared" si="179"/>
        <v>6.5620110698836109E-2</v>
      </c>
      <c r="AW109" s="322">
        <f t="shared" si="179"/>
        <v>0.15112527079442573</v>
      </c>
      <c r="AX109" s="322">
        <f t="shared" si="179"/>
        <v>-9.9320618198804667E-2</v>
      </c>
      <c r="AY109" s="5"/>
      <c r="AZ109" s="5"/>
    </row>
    <row r="110" spans="1:90" outlineLevel="1">
      <c r="C110" s="23"/>
      <c r="D110" s="23"/>
      <c r="E110" s="23"/>
      <c r="F110" s="23"/>
      <c r="G110" s="238"/>
      <c r="H110" s="238"/>
      <c r="I110" s="238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5"/>
      <c r="AZ110" s="5"/>
    </row>
    <row r="111" spans="1:90" s="202" customFormat="1" outlineLevel="1">
      <c r="A111" s="258" t="s">
        <v>54</v>
      </c>
      <c r="B111" s="202" t="s">
        <v>84</v>
      </c>
      <c r="C111" s="259">
        <f t="shared" ref="C111:I111" si="180">VLOOKUP($A111,CTRP,MATCH(C$5,Period_CTRP,FALSE),FALSE)</f>
        <v>1486.898858</v>
      </c>
      <c r="D111" s="259">
        <f t="shared" si="180"/>
        <v>1702.500571</v>
      </c>
      <c r="E111" s="259">
        <f t="shared" si="180"/>
        <v>2214.1708870000002</v>
      </c>
      <c r="F111" s="259">
        <f t="shared" si="180"/>
        <v>3201.4269330000002</v>
      </c>
      <c r="G111" s="426">
        <f t="shared" si="180"/>
        <v>4616.649394</v>
      </c>
      <c r="H111" s="426">
        <f t="shared" si="180"/>
        <v>7308.9588629999998</v>
      </c>
      <c r="I111" s="426">
        <f t="shared" si="180"/>
        <v>9517.374339</v>
      </c>
      <c r="J111" s="264">
        <f t="shared" ref="J111:Q111" si="181">J115*J119</f>
        <v>12486.795132767998</v>
      </c>
      <c r="K111" s="264">
        <f t="shared" si="181"/>
        <v>16205.362723306309</v>
      </c>
      <c r="L111" s="264">
        <f t="shared" si="181"/>
        <v>20029.828326006598</v>
      </c>
      <c r="M111" s="264">
        <f t="shared" si="181"/>
        <v>24550.560579186284</v>
      </c>
      <c r="N111" s="264">
        <f t="shared" si="181"/>
        <v>29838.751327943002</v>
      </c>
      <c r="O111" s="264">
        <f t="shared" si="181"/>
        <v>35958.679225304113</v>
      </c>
      <c r="P111" s="264">
        <f t="shared" si="181"/>
        <v>42963.429938393354</v>
      </c>
      <c r="Q111" s="264">
        <f t="shared" si="181"/>
        <v>50447.659433661473</v>
      </c>
      <c r="R111" s="264">
        <f>R115*R119</f>
        <v>58716.030814838581</v>
      </c>
      <c r="S111" s="264">
        <f>S115*S119</f>
        <v>67130.038030604948</v>
      </c>
      <c r="T111" s="265"/>
      <c r="U111" s="510">
        <f>(K111/I111)^(1/2)-1</f>
        <v>0.30488068420066661</v>
      </c>
      <c r="V111" s="265"/>
      <c r="W111" s="259">
        <f t="shared" ref="W111:AP111" si="182">VLOOKUP($A111,CTRP,MATCH(W$5,Period_CTRP,FALSE),FALSE)</f>
        <v>450.52488599999998</v>
      </c>
      <c r="X111" s="259">
        <f t="shared" si="182"/>
        <v>510.97784999999999</v>
      </c>
      <c r="Y111" s="259">
        <f t="shared" si="182"/>
        <v>610.65341799999999</v>
      </c>
      <c r="Z111" s="259">
        <f t="shared" si="182"/>
        <v>642.01473299999998</v>
      </c>
      <c r="AA111" s="259">
        <f t="shared" si="182"/>
        <v>656.66229699999997</v>
      </c>
      <c r="AB111" s="259">
        <f t="shared" si="182"/>
        <v>752.56545300000005</v>
      </c>
      <c r="AC111" s="259">
        <f t="shared" si="182"/>
        <v>950.29933400000004</v>
      </c>
      <c r="AD111" s="259">
        <f t="shared" si="182"/>
        <v>841.89984900000002</v>
      </c>
      <c r="AE111" s="259">
        <f t="shared" si="182"/>
        <v>951.77993000000004</v>
      </c>
      <c r="AF111" s="259">
        <f t="shared" si="182"/>
        <v>1104.440783</v>
      </c>
      <c r="AG111" s="259">
        <f t="shared" si="182"/>
        <v>1373.210943</v>
      </c>
      <c r="AH111" s="259">
        <f t="shared" si="182"/>
        <v>1187.2177380000001</v>
      </c>
      <c r="AI111" s="259">
        <f t="shared" si="182"/>
        <v>1614.031154</v>
      </c>
      <c r="AJ111" s="259">
        <f t="shared" si="182"/>
        <v>1775.818174</v>
      </c>
      <c r="AK111" s="259">
        <f t="shared" si="182"/>
        <v>2071.6084310000001</v>
      </c>
      <c r="AL111" s="259">
        <f t="shared" si="182"/>
        <v>1847.5011039999999</v>
      </c>
      <c r="AM111" s="259">
        <f t="shared" si="182"/>
        <v>2069.9361450000001</v>
      </c>
      <c r="AN111" s="259">
        <f t="shared" si="182"/>
        <v>2311.1429870000002</v>
      </c>
      <c r="AO111" s="259">
        <f t="shared" si="182"/>
        <v>2820.3844600000002</v>
      </c>
      <c r="AP111" s="259">
        <f t="shared" si="182"/>
        <v>2315.9107469999999</v>
      </c>
      <c r="AQ111" s="264">
        <f>AQ115*AQ119</f>
        <v>2525.8271613193806</v>
      </c>
      <c r="AR111" s="264">
        <f>AR115*AR119</f>
        <v>2982.268865565969</v>
      </c>
      <c r="AS111" s="264">
        <f>AS115*AS119</f>
        <v>3526.5382191724998</v>
      </c>
      <c r="AT111" s="263">
        <f>J111-SUM(AQ111:AS111)</f>
        <v>3452.1608867101495</v>
      </c>
      <c r="AU111" s="264">
        <f>AU115*AU119</f>
        <v>3461.4213259708536</v>
      </c>
      <c r="AV111" s="264">
        <f>AV115*AV119</f>
        <v>3878.1126100933307</v>
      </c>
      <c r="AW111" s="264">
        <f>AW115*AW119</f>
        <v>4197.8394549595187</v>
      </c>
      <c r="AX111" s="263">
        <f>K111-SUM(AU111:AW111)</f>
        <v>4667.9893322826065</v>
      </c>
      <c r="AY111" s="22"/>
      <c r="AZ111" s="22"/>
      <c r="BA111" s="265"/>
      <c r="BB111" s="265"/>
      <c r="BC111" s="265"/>
      <c r="BD111" s="265"/>
      <c r="BE111" s="265"/>
      <c r="BF111" s="265"/>
      <c r="BG111" s="265"/>
      <c r="BH111" s="265"/>
      <c r="BI111" s="265"/>
      <c r="BJ111" s="265"/>
      <c r="BK111" s="265"/>
      <c r="BL111" s="265"/>
      <c r="BM111" s="265"/>
      <c r="BN111" s="265"/>
      <c r="BO111" s="265"/>
      <c r="BP111" s="266"/>
      <c r="BQ111" s="266"/>
      <c r="BR111" s="266"/>
      <c r="BS111" s="266"/>
      <c r="BT111" s="266"/>
      <c r="BU111" s="266"/>
      <c r="BV111" s="266"/>
      <c r="BW111" s="266"/>
      <c r="BX111" s="266"/>
      <c r="BY111" s="266"/>
      <c r="BZ111" s="266"/>
      <c r="CA111" s="266"/>
      <c r="CF111" s="199"/>
      <c r="CG111" s="199"/>
      <c r="CH111" s="199"/>
      <c r="CI111" s="199"/>
      <c r="CJ111" s="199"/>
      <c r="CK111" s="200"/>
      <c r="CL111" s="201"/>
    </row>
    <row r="112" spans="1:90" outlineLevel="1">
      <c r="B112" s="12" t="s">
        <v>82</v>
      </c>
      <c r="C112" s="322"/>
      <c r="D112" s="322">
        <f t="shared" ref="D112:S112" si="183">(D111/C111-1)*1</f>
        <v>0.14500092715788471</v>
      </c>
      <c r="E112" s="322">
        <f t="shared" si="183"/>
        <v>0.30054046660287437</v>
      </c>
      <c r="F112" s="322">
        <f t="shared" si="183"/>
        <v>0.44588069141205344</v>
      </c>
      <c r="G112" s="423">
        <f>(G111/F111-1)*1</f>
        <v>0.44205989723270678</v>
      </c>
      <c r="H112" s="322">
        <f>(H111/G111-1)*1</f>
        <v>0.58317390800762192</v>
      </c>
      <c r="I112" s="322">
        <f>(I111/H111-1)*1</f>
        <v>0.30215185464781014</v>
      </c>
      <c r="J112" s="322">
        <f t="shared" si="183"/>
        <v>0.31199999999999983</v>
      </c>
      <c r="K112" s="322">
        <f t="shared" si="183"/>
        <v>0.29780000000000006</v>
      </c>
      <c r="L112" s="322">
        <f t="shared" si="183"/>
        <v>0.23599999999999999</v>
      </c>
      <c r="M112" s="322">
        <f t="shared" si="183"/>
        <v>0.22569999999999979</v>
      </c>
      <c r="N112" s="322">
        <f t="shared" si="183"/>
        <v>0.21539999999999981</v>
      </c>
      <c r="O112" s="322">
        <f t="shared" si="183"/>
        <v>0.20510000000000006</v>
      </c>
      <c r="P112" s="322">
        <f t="shared" si="183"/>
        <v>0.19480000000000008</v>
      </c>
      <c r="Q112" s="322">
        <f t="shared" si="183"/>
        <v>0.17419999999999991</v>
      </c>
      <c r="R112" s="322">
        <f t="shared" si="183"/>
        <v>0.16389999999999993</v>
      </c>
      <c r="S112" s="322">
        <f t="shared" si="183"/>
        <v>0.14329999999999998</v>
      </c>
      <c r="W112" s="322"/>
      <c r="X112" s="322"/>
      <c r="Y112" s="322"/>
      <c r="Z112" s="322"/>
      <c r="AA112" s="322">
        <f t="shared" ref="AA112:AL112" si="184">(AA111/W111-1)*1</f>
        <v>0.45754944378366713</v>
      </c>
      <c r="AB112" s="322">
        <f t="shared" si="184"/>
        <v>0.47279466810547666</v>
      </c>
      <c r="AC112" s="322">
        <f t="shared" si="184"/>
        <v>0.55620079408120193</v>
      </c>
      <c r="AD112" s="322">
        <f t="shared" si="184"/>
        <v>0.31134038788483687</v>
      </c>
      <c r="AE112" s="322">
        <f t="shared" si="184"/>
        <v>0.44942070581524507</v>
      </c>
      <c r="AF112" s="322">
        <f t="shared" si="184"/>
        <v>0.46756774257613976</v>
      </c>
      <c r="AG112" s="322">
        <f t="shared" si="184"/>
        <v>0.44502989097117474</v>
      </c>
      <c r="AH112" s="322">
        <f t="shared" si="184"/>
        <v>0.41016504446480795</v>
      </c>
      <c r="AI112" s="322">
        <f t="shared" si="184"/>
        <v>0.6958028879638174</v>
      </c>
      <c r="AJ112" s="322">
        <f t="shared" si="184"/>
        <v>0.60788898901064936</v>
      </c>
      <c r="AK112" s="322">
        <f t="shared" si="184"/>
        <v>0.50858718506439993</v>
      </c>
      <c r="AL112" s="322">
        <f t="shared" si="184"/>
        <v>0.55616029382472032</v>
      </c>
      <c r="AM112" s="322">
        <f>(AM111/AI111-1)*1</f>
        <v>0.28246356327766398</v>
      </c>
      <c r="AN112" s="322">
        <f>(AN111/AJ111-1)*1</f>
        <v>0.30145249149815267</v>
      </c>
      <c r="AO112" s="322">
        <f>(AO111/AK111-1)*1</f>
        <v>0.36144669899733572</v>
      </c>
      <c r="AP112" s="322">
        <f>(AP111/AL111-1)*1</f>
        <v>0.2535368677105807</v>
      </c>
      <c r="AQ112" s="322">
        <f t="shared" ref="AQ112:AX112" si="185">(AQ111/AM111-1)*1</f>
        <v>0.22024400000000011</v>
      </c>
      <c r="AR112" s="322">
        <f t="shared" si="185"/>
        <v>0.29038699999999995</v>
      </c>
      <c r="AS112" s="322">
        <f t="shared" si="185"/>
        <v>0.25037499999999979</v>
      </c>
      <c r="AT112" s="322">
        <f t="shared" si="185"/>
        <v>0.49062777621375653</v>
      </c>
      <c r="AU112" s="322">
        <f t="shared" si="185"/>
        <v>0.37041100000000005</v>
      </c>
      <c r="AV112" s="322">
        <f t="shared" si="185"/>
        <v>0.30039000000000016</v>
      </c>
      <c r="AW112" s="322">
        <f t="shared" si="185"/>
        <v>0.19035699999999989</v>
      </c>
      <c r="AX112" s="322">
        <f t="shared" si="185"/>
        <v>0.35219344795112395</v>
      </c>
      <c r="AY112" s="117"/>
      <c r="AZ112" s="117"/>
    </row>
    <row r="113" spans="1:90" outlineLevel="1">
      <c r="B113" s="12" t="s">
        <v>83</v>
      </c>
      <c r="C113" s="322"/>
      <c r="D113" s="322"/>
      <c r="E113" s="322"/>
      <c r="F113" s="322"/>
      <c r="G113" s="423"/>
      <c r="H113" s="423"/>
      <c r="I113" s="423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W113" s="322"/>
      <c r="X113" s="322">
        <f t="shared" ref="X113:AL113" si="186">(X111/W111-1)*1</f>
        <v>0.13418340668533024</v>
      </c>
      <c r="Y113" s="322">
        <f t="shared" si="186"/>
        <v>0.19506827546438665</v>
      </c>
      <c r="Z113" s="322">
        <f t="shared" si="186"/>
        <v>5.1356979385645651E-2</v>
      </c>
      <c r="AA113" s="322">
        <f t="shared" si="186"/>
        <v>2.2814996677031019E-2</v>
      </c>
      <c r="AB113" s="322">
        <f t="shared" si="186"/>
        <v>0.14604638706704987</v>
      </c>
      <c r="AC113" s="322">
        <f t="shared" si="186"/>
        <v>0.26274642320048147</v>
      </c>
      <c r="AD113" s="322">
        <f t="shared" si="186"/>
        <v>-0.11406877930107018</v>
      </c>
      <c r="AE113" s="322">
        <f t="shared" si="186"/>
        <v>0.13051443248328698</v>
      </c>
      <c r="AF113" s="322">
        <f t="shared" si="186"/>
        <v>0.16039511675771512</v>
      </c>
      <c r="AG113" s="322">
        <f t="shared" si="186"/>
        <v>0.2433540703467485</v>
      </c>
      <c r="AH113" s="322">
        <f t="shared" si="186"/>
        <v>-0.1354440160472854</v>
      </c>
      <c r="AI113" s="322">
        <f t="shared" si="186"/>
        <v>0.35950727683618888</v>
      </c>
      <c r="AJ113" s="322">
        <f t="shared" si="186"/>
        <v>0.10023785451665446</v>
      </c>
      <c r="AK113" s="322">
        <f t="shared" si="186"/>
        <v>0.16656562103637995</v>
      </c>
      <c r="AL113" s="322">
        <f t="shared" si="186"/>
        <v>-0.10818035090338951</v>
      </c>
      <c r="AM113" s="322">
        <f>(AM111/AL111-1)*1</f>
        <v>0.12039778515877964</v>
      </c>
      <c r="AN113" s="322">
        <f>(AN111/AM111-1)*1</f>
        <v>0.11652863909963762</v>
      </c>
      <c r="AO113" s="322">
        <f>(AO111/AN111-1)*1</f>
        <v>0.22034182907091582</v>
      </c>
      <c r="AP113" s="322">
        <f>(AP111/AO111-1)*1</f>
        <v>-0.17886700205403916</v>
      </c>
      <c r="AQ113" s="322">
        <f t="shared" ref="AQ113:AX113" si="187">(AQ111/AP111-1)*1</f>
        <v>9.0640977676408108E-2</v>
      </c>
      <c r="AR113" s="322">
        <f t="shared" si="187"/>
        <v>0.18070979330516157</v>
      </c>
      <c r="AS113" s="322">
        <f t="shared" si="187"/>
        <v>0.18250177235553866</v>
      </c>
      <c r="AT113" s="322">
        <f t="shared" si="187"/>
        <v>-2.1090749012158128E-2</v>
      </c>
      <c r="AU113" s="322">
        <f t="shared" si="187"/>
        <v>2.6825051220393803E-3</v>
      </c>
      <c r="AV113" s="322">
        <f t="shared" si="187"/>
        <v>0.12038155569102948</v>
      </c>
      <c r="AW113" s="322">
        <f t="shared" si="187"/>
        <v>8.2443930079300509E-2</v>
      </c>
      <c r="AX113" s="322">
        <f t="shared" si="187"/>
        <v>0.111998060518401</v>
      </c>
      <c r="AY113" s="117"/>
      <c r="AZ113" s="117"/>
    </row>
    <row r="114" spans="1:90" outlineLevel="1">
      <c r="B114" s="13"/>
      <c r="C114" s="23"/>
      <c r="D114" s="23"/>
      <c r="E114" s="23"/>
      <c r="F114" s="23"/>
      <c r="G114" s="410"/>
      <c r="H114" s="410"/>
      <c r="I114" s="410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5"/>
      <c r="AZ114" s="5"/>
    </row>
    <row r="115" spans="1:90" outlineLevel="1">
      <c r="A115" s="242" t="s">
        <v>126</v>
      </c>
      <c r="B115" s="13" t="s">
        <v>85</v>
      </c>
      <c r="C115" s="250">
        <f t="shared" ref="C115:I115" si="188">VLOOKUP($A115,CTRP,MATCH(C$5,Period_CTRP,FALSE),FALSE)</f>
        <v>21.284075616993391</v>
      </c>
      <c r="D115" s="250">
        <f t="shared" si="188"/>
        <v>27.676065487184495</v>
      </c>
      <c r="E115" s="250">
        <f t="shared" si="188"/>
        <v>40.289082418051166</v>
      </c>
      <c r="F115" s="250">
        <f t="shared" si="188"/>
        <v>65.540617877339287</v>
      </c>
      <c r="G115" s="427">
        <f t="shared" si="188"/>
        <v>101.51615296887189</v>
      </c>
      <c r="H115" s="427">
        <f t="shared" si="188"/>
        <v>207</v>
      </c>
      <c r="I115" s="427">
        <f t="shared" si="188"/>
        <v>266.77748621322382</v>
      </c>
      <c r="J115" s="272">
        <f>I115*(1+J116)</f>
        <v>341.47518235292648</v>
      </c>
      <c r="K115" s="272">
        <f t="shared" ref="K115:S115" si="189">J115*(1+K116)</f>
        <v>430.25872976468736</v>
      </c>
      <c r="L115" s="272">
        <f t="shared" si="189"/>
        <v>516.31047571762485</v>
      </c>
      <c r="M115" s="272">
        <f t="shared" si="189"/>
        <v>614.4094661039735</v>
      </c>
      <c r="N115" s="272">
        <f t="shared" si="189"/>
        <v>725.00317000268865</v>
      </c>
      <c r="O115" s="272">
        <f t="shared" si="189"/>
        <v>848.25370890314571</v>
      </c>
      <c r="P115" s="272">
        <f t="shared" si="189"/>
        <v>983.97430232764896</v>
      </c>
      <c r="Q115" s="272">
        <f t="shared" si="189"/>
        <v>1121.7307046535198</v>
      </c>
      <c r="R115" s="272">
        <f t="shared" si="189"/>
        <v>1267.5556962584772</v>
      </c>
      <c r="S115" s="272">
        <f t="shared" si="189"/>
        <v>1406.9868228469095</v>
      </c>
      <c r="W115" s="250">
        <f t="shared" ref="W115:AP115" si="190">VLOOKUP($A115,CTRP,MATCH(W$5,Period_CTRP,FALSE),FALSE)</f>
        <v>7.4938412343365988</v>
      </c>
      <c r="X115" s="250">
        <f t="shared" si="190"/>
        <v>9.1979042626043999</v>
      </c>
      <c r="Y115" s="250">
        <f t="shared" si="190"/>
        <v>11.483840850171253</v>
      </c>
      <c r="Z115" s="250">
        <f t="shared" si="190"/>
        <v>12.113496070938913</v>
      </c>
      <c r="AA115" s="250">
        <f t="shared" si="190"/>
        <v>12.514714861342119</v>
      </c>
      <c r="AB115" s="250">
        <f t="shared" si="190"/>
        <v>15.084562990671216</v>
      </c>
      <c r="AC115" s="250">
        <f t="shared" si="190"/>
        <v>19.407691036789416</v>
      </c>
      <c r="AD115" s="250">
        <f t="shared" si="190"/>
        <v>18.533648988536537</v>
      </c>
      <c r="AE115" s="250">
        <f t="shared" si="190"/>
        <v>20.023543778147392</v>
      </c>
      <c r="AF115" s="250">
        <f t="shared" si="190"/>
        <v>23.381072635540384</v>
      </c>
      <c r="AG115" s="250">
        <f t="shared" si="190"/>
        <v>29.111536555184124</v>
      </c>
      <c r="AH115" s="250">
        <f t="shared" si="190"/>
        <v>29</v>
      </c>
      <c r="AI115" s="250">
        <f t="shared" si="190"/>
        <v>50</v>
      </c>
      <c r="AJ115" s="250">
        <f t="shared" si="190"/>
        <v>52</v>
      </c>
      <c r="AK115" s="250">
        <f t="shared" si="190"/>
        <v>53</v>
      </c>
      <c r="AL115" s="250">
        <f t="shared" si="190"/>
        <v>52</v>
      </c>
      <c r="AM115" s="250">
        <f t="shared" si="190"/>
        <v>59</v>
      </c>
      <c r="AN115" s="250">
        <f t="shared" si="190"/>
        <v>65.102619352112683</v>
      </c>
      <c r="AO115" s="250">
        <f t="shared" si="190"/>
        <v>78.344012777777778</v>
      </c>
      <c r="AP115" s="250">
        <f t="shared" si="190"/>
        <v>64.330854083333335</v>
      </c>
      <c r="AQ115" s="274">
        <f>AM115*(1+AQ116)</f>
        <v>71.98</v>
      </c>
      <c r="AR115" s="274">
        <f>AN115*(1+AR116)</f>
        <v>83.982378964225362</v>
      </c>
      <c r="AS115" s="274">
        <f>AO115*(1+AS116)</f>
        <v>97.930015972222222</v>
      </c>
      <c r="AT115" s="296">
        <f>J115-SUM(AQ115:AS115)</f>
        <v>87.58278741647888</v>
      </c>
      <c r="AU115" s="274">
        <f>AQ115*(1+AU116)</f>
        <v>98.612600000000015</v>
      </c>
      <c r="AV115" s="274">
        <f>AR115*(1+AV116)</f>
        <v>109.17709265349298</v>
      </c>
      <c r="AW115" s="274">
        <f>AS115*(1+AW116)</f>
        <v>116.53671900694444</v>
      </c>
      <c r="AX115" s="296">
        <f>K115-SUM(AU115:AW115)</f>
        <v>105.93231810424993</v>
      </c>
      <c r="AY115" s="62"/>
      <c r="AZ115" s="62"/>
    </row>
    <row r="116" spans="1:90" outlineLevel="1">
      <c r="B116" s="12" t="s">
        <v>82</v>
      </c>
      <c r="C116" s="23"/>
      <c r="D116" s="322">
        <f t="shared" ref="D116:I116" si="191">(D115/C115-1)*1</f>
        <v>0.30031794592421401</v>
      </c>
      <c r="E116" s="322">
        <f t="shared" si="191"/>
        <v>0.45573735676796878</v>
      </c>
      <c r="F116" s="322">
        <f t="shared" si="191"/>
        <v>0.62675876301353517</v>
      </c>
      <c r="G116" s="423">
        <f t="shared" si="191"/>
        <v>0.54890442380115512</v>
      </c>
      <c r="H116" s="322">
        <f t="shared" si="191"/>
        <v>1.0390843619091124</v>
      </c>
      <c r="I116" s="322">
        <f t="shared" si="191"/>
        <v>0.2887801266339316</v>
      </c>
      <c r="J116" s="240">
        <f>J28+4%</f>
        <v>0.27999999999999997</v>
      </c>
      <c r="K116" s="240">
        <f t="shared" ref="K116:P116" si="192">K28+4%</f>
        <v>0.26</v>
      </c>
      <c r="L116" s="240">
        <f t="shared" si="192"/>
        <v>0.2</v>
      </c>
      <c r="M116" s="240">
        <f t="shared" si="192"/>
        <v>0.19</v>
      </c>
      <c r="N116" s="240">
        <f t="shared" si="192"/>
        <v>0.18</v>
      </c>
      <c r="O116" s="240">
        <f t="shared" si="192"/>
        <v>0.16999999999999998</v>
      </c>
      <c r="P116" s="240">
        <f t="shared" si="192"/>
        <v>0.15999999999999998</v>
      </c>
      <c r="Q116" s="347">
        <f>Q28+3%</f>
        <v>0.13999999999999999</v>
      </c>
      <c r="R116" s="347">
        <f>R28+3%</f>
        <v>0.13</v>
      </c>
      <c r="S116" s="347">
        <f>S28+3%</f>
        <v>0.10999999999999999</v>
      </c>
      <c r="W116" s="322"/>
      <c r="X116" s="322"/>
      <c r="Y116" s="322"/>
      <c r="Z116" s="322"/>
      <c r="AA116" s="322">
        <f t="shared" ref="AA116:AL116" si="193">(AA115/W115-1)*1</f>
        <v>0.66999999999999993</v>
      </c>
      <c r="AB116" s="322">
        <f t="shared" si="193"/>
        <v>0.64000000000000012</v>
      </c>
      <c r="AC116" s="322">
        <f t="shared" si="193"/>
        <v>0.68999999999999972</v>
      </c>
      <c r="AD116" s="322">
        <f t="shared" si="193"/>
        <v>0.53</v>
      </c>
      <c r="AE116" s="322">
        <f t="shared" si="193"/>
        <v>0.60000000000000009</v>
      </c>
      <c r="AF116" s="322">
        <f t="shared" si="193"/>
        <v>0.55000000000000004</v>
      </c>
      <c r="AG116" s="322">
        <f t="shared" si="193"/>
        <v>0.5</v>
      </c>
      <c r="AH116" s="322">
        <f t="shared" si="193"/>
        <v>0.56472155148385128</v>
      </c>
      <c r="AI116" s="322">
        <f t="shared" si="193"/>
        <v>1.4970604880923868</v>
      </c>
      <c r="AJ116" s="322">
        <f t="shared" si="193"/>
        <v>1.2240211478132714</v>
      </c>
      <c r="AK116" s="322">
        <f t="shared" si="193"/>
        <v>0.8205840801131421</v>
      </c>
      <c r="AL116" s="322">
        <f t="shared" si="193"/>
        <v>0.7931034482758621</v>
      </c>
      <c r="AM116" s="322">
        <f>(AM115/AI115-1)*1</f>
        <v>0.17999999999999994</v>
      </c>
      <c r="AN116" s="322">
        <f>(AN115/AJ115-1)*1</f>
        <v>0.25197344907909014</v>
      </c>
      <c r="AO116" s="322">
        <f>(AO115/AK115-1)*1</f>
        <v>0.4781889203354297</v>
      </c>
      <c r="AP116" s="322">
        <f>(AP115/AL115-1)*1</f>
        <v>0.23713180929487176</v>
      </c>
      <c r="AQ116" s="240">
        <f>AQ28+4%</f>
        <v>0.22</v>
      </c>
      <c r="AR116" s="240">
        <f>AR28+4%</f>
        <v>0.28999999999999998</v>
      </c>
      <c r="AS116" s="240">
        <f>AS28+4%</f>
        <v>0.25</v>
      </c>
      <c r="AT116" s="322">
        <f>(AT115/AP115-1)*1</f>
        <v>0.36144294467201221</v>
      </c>
      <c r="AU116" s="240">
        <f>AU28+4%</f>
        <v>0.37</v>
      </c>
      <c r="AV116" s="240">
        <f>AV28+4%</f>
        <v>0.3</v>
      </c>
      <c r="AW116" s="240">
        <f>AW28+4%</f>
        <v>0.19</v>
      </c>
      <c r="AX116" s="322">
        <f>(AX115/AT115-1)*1</f>
        <v>0.20951069529808719</v>
      </c>
      <c r="AY116" s="37"/>
      <c r="AZ116" s="37"/>
    </row>
    <row r="117" spans="1:90" outlineLevel="1">
      <c r="B117" s="12" t="s">
        <v>83</v>
      </c>
      <c r="C117" s="23"/>
      <c r="D117" s="23"/>
      <c r="E117" s="23"/>
      <c r="F117" s="23"/>
      <c r="G117" s="410"/>
      <c r="H117" s="410"/>
      <c r="I117" s="410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W117" s="322"/>
      <c r="X117" s="322">
        <f t="shared" ref="X117:AL117" si="194">(X115/W115-1)*1</f>
        <v>0.22739513354777596</v>
      </c>
      <c r="Y117" s="322">
        <f t="shared" si="194"/>
        <v>0.24852798227751793</v>
      </c>
      <c r="Z117" s="322">
        <f t="shared" si="194"/>
        <v>5.482967144727291E-2</v>
      </c>
      <c r="AA117" s="322">
        <f t="shared" si="194"/>
        <v>3.3121634584565296E-2</v>
      </c>
      <c r="AB117" s="322">
        <f t="shared" si="194"/>
        <v>0.20534611917266643</v>
      </c>
      <c r="AC117" s="322">
        <f t="shared" si="194"/>
        <v>0.28659285978597882</v>
      </c>
      <c r="AD117" s="322">
        <f t="shared" si="194"/>
        <v>-4.5035859577320925E-2</v>
      </c>
      <c r="AE117" s="322">
        <f t="shared" si="194"/>
        <v>8.0388637474055225E-2</v>
      </c>
      <c r="AF117" s="322">
        <f t="shared" si="194"/>
        <v>0.16767905294852037</v>
      </c>
      <c r="AG117" s="322">
        <f t="shared" si="194"/>
        <v>0.24508986430901158</v>
      </c>
      <c r="AH117" s="322">
        <f t="shared" si="194"/>
        <v>-3.8313523909222491E-3</v>
      </c>
      <c r="AI117" s="322">
        <f t="shared" si="194"/>
        <v>0.72413793103448265</v>
      </c>
      <c r="AJ117" s="322">
        <f t="shared" si="194"/>
        <v>4.0000000000000036E-2</v>
      </c>
      <c r="AK117" s="322">
        <f t="shared" si="194"/>
        <v>1.9230769230769162E-2</v>
      </c>
      <c r="AL117" s="322">
        <f t="shared" si="194"/>
        <v>-1.8867924528301883E-2</v>
      </c>
      <c r="AM117" s="322">
        <f>(AM115/AL115-1)*1</f>
        <v>0.13461538461538458</v>
      </c>
      <c r="AN117" s="322">
        <f>(AN115/AM115-1)*1</f>
        <v>0.10343422630699473</v>
      </c>
      <c r="AO117" s="322">
        <f>(AO115/AN115-1)*1</f>
        <v>0.20339263700048638</v>
      </c>
      <c r="AP117" s="322">
        <f>(AP115/AO115-1)*1</f>
        <v>-0.17886700205403905</v>
      </c>
      <c r="AQ117" s="322">
        <f t="shared" ref="AQ117:AX117" si="195">(AQ115/AP115-1)*1</f>
        <v>0.11890322343238391</v>
      </c>
      <c r="AR117" s="322">
        <f t="shared" si="195"/>
        <v>0.16674602617706813</v>
      </c>
      <c r="AS117" s="322">
        <f t="shared" si="195"/>
        <v>0.16607813662837834</v>
      </c>
      <c r="AT117" s="322">
        <f t="shared" si="195"/>
        <v>-0.10565941864727491</v>
      </c>
      <c r="AU117" s="322">
        <f t="shared" si="195"/>
        <v>0.1259358477719088</v>
      </c>
      <c r="AV117" s="322">
        <f t="shared" si="195"/>
        <v>0.10713126571546594</v>
      </c>
      <c r="AW117" s="322">
        <f t="shared" si="195"/>
        <v>6.7409986605976968E-2</v>
      </c>
      <c r="AX117" s="322">
        <f t="shared" si="195"/>
        <v>-9.0996219844344473E-2</v>
      </c>
      <c r="AY117" s="5"/>
      <c r="AZ117" s="5"/>
    </row>
    <row r="118" spans="1:90" outlineLevel="1">
      <c r="C118" s="23"/>
      <c r="D118" s="23"/>
      <c r="E118" s="23"/>
      <c r="F118" s="23"/>
      <c r="G118" s="410"/>
      <c r="H118" s="410"/>
      <c r="I118" s="410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5"/>
      <c r="AZ118" s="5"/>
    </row>
    <row r="119" spans="1:90" outlineLevel="1">
      <c r="A119" s="242" t="s">
        <v>151</v>
      </c>
      <c r="B119" s="13" t="s">
        <v>112</v>
      </c>
      <c r="C119" s="250">
        <f t="shared" ref="C119:I119" si="196">VLOOKUP($A119,CTRP,MATCH(C$5,Period_CTRP,FALSE),FALSE)</f>
        <v>69.859686873732358</v>
      </c>
      <c r="D119" s="250">
        <f t="shared" si="196"/>
        <v>61.51526747139507</v>
      </c>
      <c r="E119" s="250">
        <f t="shared" si="196"/>
        <v>54.957093934905814</v>
      </c>
      <c r="F119" s="250">
        <f t="shared" si="196"/>
        <v>48.846456391234234</v>
      </c>
      <c r="G119" s="427">
        <f t="shared" si="196"/>
        <v>45.476993158080099</v>
      </c>
      <c r="H119" s="427">
        <f t="shared" si="196"/>
        <v>35.308980014492754</v>
      </c>
      <c r="I119" s="427">
        <f t="shared" si="196"/>
        <v>35.675328057455232</v>
      </c>
      <c r="J119" s="274">
        <f>I119*(1+J120)</f>
        <v>36.567211258891611</v>
      </c>
      <c r="K119" s="274">
        <f t="shared" ref="K119:S119" si="197">J119*(1+K120)</f>
        <v>37.664227596658357</v>
      </c>
      <c r="L119" s="274">
        <f t="shared" si="197"/>
        <v>38.794154424558108</v>
      </c>
      <c r="M119" s="274">
        <f t="shared" si="197"/>
        <v>39.95797905729485</v>
      </c>
      <c r="N119" s="274">
        <f t="shared" si="197"/>
        <v>41.156718429013694</v>
      </c>
      <c r="O119" s="274">
        <f t="shared" si="197"/>
        <v>42.391419981884106</v>
      </c>
      <c r="P119" s="274">
        <f t="shared" si="197"/>
        <v>43.663162581340629</v>
      </c>
      <c r="Q119" s="274">
        <f t="shared" si="197"/>
        <v>44.97305745878085</v>
      </c>
      <c r="R119" s="274">
        <f t="shared" si="197"/>
        <v>46.322249182544276</v>
      </c>
      <c r="S119" s="274">
        <f t="shared" si="197"/>
        <v>47.711916658020606</v>
      </c>
      <c r="W119" s="250">
        <f t="shared" ref="W119:AP119" si="198">VLOOKUP($A119,CTRP,MATCH(W$5,Period_CTRP,FALSE),FALSE)</f>
        <v>60.119352934207612</v>
      </c>
      <c r="X119" s="250">
        <f t="shared" si="198"/>
        <v>55.553725654382475</v>
      </c>
      <c r="Y119" s="250">
        <f t="shared" si="198"/>
        <v>53.17501574317739</v>
      </c>
      <c r="Z119" s="250">
        <f t="shared" si="198"/>
        <v>52.999953872956318</v>
      </c>
      <c r="AA119" s="250">
        <f t="shared" si="198"/>
        <v>52.471215227478012</v>
      </c>
      <c r="AB119" s="250">
        <f t="shared" si="198"/>
        <v>49.889774961688381</v>
      </c>
      <c r="AC119" s="250">
        <f t="shared" si="198"/>
        <v>48.9650897779959</v>
      </c>
      <c r="AD119" s="250">
        <f t="shared" si="198"/>
        <v>45.425477169700002</v>
      </c>
      <c r="AE119" s="250">
        <f t="shared" si="198"/>
        <v>47.533041131246755</v>
      </c>
      <c r="AF119" s="250">
        <f t="shared" si="198"/>
        <v>47.236531882681703</v>
      </c>
      <c r="AG119" s="250">
        <f t="shared" si="198"/>
        <v>47.170678895527466</v>
      </c>
      <c r="AH119" s="250">
        <f t="shared" si="198"/>
        <v>40.938542689655172</v>
      </c>
      <c r="AI119" s="250">
        <f t="shared" si="198"/>
        <v>32.280623079999998</v>
      </c>
      <c r="AJ119" s="250">
        <f t="shared" si="198"/>
        <v>34.150349499999997</v>
      </c>
      <c r="AK119" s="250">
        <f t="shared" si="198"/>
        <v>39.086951528301888</v>
      </c>
      <c r="AL119" s="250">
        <f t="shared" si="198"/>
        <v>35.528867384615381</v>
      </c>
      <c r="AM119" s="250">
        <f t="shared" si="198"/>
        <v>35.083663474576277</v>
      </c>
      <c r="AN119" s="250">
        <f t="shared" si="198"/>
        <v>35.5</v>
      </c>
      <c r="AO119" s="250">
        <f t="shared" si="198"/>
        <v>36</v>
      </c>
      <c r="AP119" s="250">
        <f t="shared" si="198"/>
        <v>36</v>
      </c>
      <c r="AQ119" s="274">
        <f>AM119*(1+AQ120/100)</f>
        <v>35.090680207271191</v>
      </c>
      <c r="AR119" s="274">
        <f>AN119*(1+AR120/100)</f>
        <v>35.510649999999998</v>
      </c>
      <c r="AS119" s="274">
        <f>AO119*(1+AS120/100)</f>
        <v>36.010799999999996</v>
      </c>
      <c r="AT119" s="271">
        <f>AT111/AT115</f>
        <v>39.415974171890973</v>
      </c>
      <c r="AU119" s="274">
        <f>AQ119*(1+AU120/100)</f>
        <v>35.10120741133337</v>
      </c>
      <c r="AV119" s="274">
        <f>AR119*(1+AV120/100)</f>
        <v>35.521303194999994</v>
      </c>
      <c r="AW119" s="274">
        <f>AS119*(1+AW120/100)</f>
        <v>36.021603239999997</v>
      </c>
      <c r="AX119" s="271">
        <f>AX111/AX115</f>
        <v>44.06577157774224</v>
      </c>
      <c r="AY119" s="62"/>
      <c r="AZ119" s="62"/>
    </row>
    <row r="120" spans="1:90" outlineLevel="1">
      <c r="B120" s="12" t="s">
        <v>82</v>
      </c>
      <c r="C120" s="23"/>
      <c r="D120" s="322">
        <f t="shared" ref="D120:I120" si="199">(D119/C119-1)*1</f>
        <v>-0.11944541660227281</v>
      </c>
      <c r="E120" s="322">
        <f t="shared" si="199"/>
        <v>-0.10661050184881082</v>
      </c>
      <c r="F120" s="322">
        <f t="shared" si="199"/>
        <v>-0.11118924066307712</v>
      </c>
      <c r="G120" s="423">
        <f t="shared" si="199"/>
        <v>-6.8980709801475082E-2</v>
      </c>
      <c r="H120" s="322">
        <f t="shared" si="199"/>
        <v>-0.22358587139309916</v>
      </c>
      <c r="I120" s="322">
        <f t="shared" si="199"/>
        <v>1.0375492093289251E-2</v>
      </c>
      <c r="J120" s="349">
        <f>J32+1%</f>
        <v>2.5000000000000001E-2</v>
      </c>
      <c r="K120" s="349">
        <f t="shared" ref="K120:Q120" si="200">K32+1%</f>
        <v>0.03</v>
      </c>
      <c r="L120" s="349">
        <f t="shared" si="200"/>
        <v>0.03</v>
      </c>
      <c r="M120" s="349">
        <f t="shared" si="200"/>
        <v>0.03</v>
      </c>
      <c r="N120" s="349">
        <f t="shared" si="200"/>
        <v>0.03</v>
      </c>
      <c r="O120" s="349">
        <f t="shared" si="200"/>
        <v>0.03</v>
      </c>
      <c r="P120" s="349">
        <f t="shared" si="200"/>
        <v>0.03</v>
      </c>
      <c r="Q120" s="349">
        <f t="shared" si="200"/>
        <v>0.03</v>
      </c>
      <c r="R120" s="349">
        <f>R32+1%</f>
        <v>0.03</v>
      </c>
      <c r="S120" s="349">
        <f>S32+1%</f>
        <v>0.03</v>
      </c>
      <c r="W120" s="322"/>
      <c r="X120" s="322"/>
      <c r="Y120" s="322"/>
      <c r="Z120" s="322"/>
      <c r="AA120" s="322">
        <f t="shared" ref="AA120:AL120" si="201">(AA119/W119-1)*1</f>
        <v>-0.12721590192594778</v>
      </c>
      <c r="AB120" s="322">
        <f t="shared" si="201"/>
        <v>-0.10195447066739227</v>
      </c>
      <c r="AC120" s="322">
        <f t="shared" si="201"/>
        <v>-7.9171127762602378E-2</v>
      </c>
      <c r="AD120" s="322">
        <f t="shared" si="201"/>
        <v>-0.14291477916023732</v>
      </c>
      <c r="AE120" s="322">
        <f t="shared" si="201"/>
        <v>-9.4112058865471915E-2</v>
      </c>
      <c r="AF120" s="322">
        <f t="shared" si="201"/>
        <v>-5.3182101563780781E-2</v>
      </c>
      <c r="AG120" s="322">
        <f t="shared" si="201"/>
        <v>-3.6646739352550139E-2</v>
      </c>
      <c r="AH120" s="322">
        <f t="shared" si="201"/>
        <v>-9.8775725861559804E-2</v>
      </c>
      <c r="AI120" s="322">
        <f t="shared" si="201"/>
        <v>-0.32088033267495453</v>
      </c>
      <c r="AJ120" s="322">
        <f t="shared" si="201"/>
        <v>-0.27703520688570038</v>
      </c>
      <c r="AK120" s="322">
        <f t="shared" si="201"/>
        <v>-0.17137186821349826</v>
      </c>
      <c r="AL120" s="322">
        <f t="shared" si="201"/>
        <v>-0.1321413745977521</v>
      </c>
      <c r="AM120" s="322">
        <f>(AM119/AI119-1)*1</f>
        <v>8.6833528201410326E-2</v>
      </c>
      <c r="AN120" s="322">
        <f>(AN119/AJ119-1)*1</f>
        <v>3.9520840042940097E-2</v>
      </c>
      <c r="AO120" s="322">
        <f>(AO119/AK119-1)*1</f>
        <v>-7.8976523049302139E-2</v>
      </c>
      <c r="AP120" s="322">
        <f>(AP119/AL119-1)*1</f>
        <v>1.3260558246464882E-2</v>
      </c>
      <c r="AQ120" s="240">
        <f>AQ32+1%</f>
        <v>0.02</v>
      </c>
      <c r="AR120" s="240">
        <f>AR32+1%</f>
        <v>0.03</v>
      </c>
      <c r="AS120" s="240">
        <f>AS32+1%</f>
        <v>0.03</v>
      </c>
      <c r="AT120" s="322">
        <f>(AT119/AP119-1)*1</f>
        <v>9.4888171441415814E-2</v>
      </c>
      <c r="AU120" s="240">
        <f>AU32+1%</f>
        <v>0.03</v>
      </c>
      <c r="AV120" s="240">
        <f>AV32+1%</f>
        <v>0.03</v>
      </c>
      <c r="AW120" s="240">
        <f>AW32+1%</f>
        <v>0.03</v>
      </c>
      <c r="AX120" s="322">
        <f>(AX119/AT119-1)*1</f>
        <v>0.11796733440035623</v>
      </c>
      <c r="AY120" s="37"/>
      <c r="AZ120" s="37"/>
    </row>
    <row r="121" spans="1:90" outlineLevel="1">
      <c r="B121" s="12" t="s">
        <v>83</v>
      </c>
      <c r="C121" s="23"/>
      <c r="D121" s="23"/>
      <c r="E121" s="23"/>
      <c r="F121" s="23"/>
      <c r="G121" s="238"/>
      <c r="H121" s="238"/>
      <c r="I121" s="238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W121" s="322"/>
      <c r="X121" s="322">
        <f t="shared" ref="X121:AE121" si="202">(X119/W119-1)*1</f>
        <v>-7.5942721552934689E-2</v>
      </c>
      <c r="Y121" s="322">
        <f t="shared" si="202"/>
        <v>-4.2818188756660547E-2</v>
      </c>
      <c r="Z121" s="322">
        <f t="shared" si="202"/>
        <v>-3.2921827624194933E-3</v>
      </c>
      <c r="AA121" s="322">
        <f t="shared" si="202"/>
        <v>-9.9762095405916407E-3</v>
      </c>
      <c r="AB121" s="322">
        <f t="shared" si="202"/>
        <v>-4.9197264721206335E-2</v>
      </c>
      <c r="AC121" s="322">
        <f t="shared" si="202"/>
        <v>-1.8534563132476922E-2</v>
      </c>
      <c r="AD121" s="322">
        <f t="shared" si="202"/>
        <v>-7.2288494197483177E-2</v>
      </c>
      <c r="AE121" s="322">
        <f t="shared" si="202"/>
        <v>4.6396077550783676E-2</v>
      </c>
      <c r="AF121" s="322">
        <f t="shared" ref="AF121:AL121" si="203">(AF119/AE119-1)*1</f>
        <v>-6.2379608270032305E-3</v>
      </c>
      <c r="AG121" s="322">
        <f t="shared" si="203"/>
        <v>-1.3941113906879021E-3</v>
      </c>
      <c r="AH121" s="322">
        <f t="shared" si="203"/>
        <v>-0.1321188575571508</v>
      </c>
      <c r="AI121" s="322">
        <f t="shared" si="203"/>
        <v>-0.21148577943501046</v>
      </c>
      <c r="AJ121" s="322">
        <f t="shared" si="203"/>
        <v>5.7921013958321721E-2</v>
      </c>
      <c r="AK121" s="322">
        <f t="shared" si="203"/>
        <v>0.14455494894135401</v>
      </c>
      <c r="AL121" s="322">
        <f t="shared" si="203"/>
        <v>-9.1029973036147016E-2</v>
      </c>
      <c r="AM121" s="322">
        <f>(AM119/AL119-1)*1</f>
        <v>-1.2530765622770335E-2</v>
      </c>
      <c r="AN121" s="322">
        <f>(AN119/AM119-1)*1</f>
        <v>1.1866962688358518E-2</v>
      </c>
      <c r="AO121" s="322">
        <f>(AO119/AN119-1)*1</f>
        <v>1.4084507042253502E-2</v>
      </c>
      <c r="AP121" s="322">
        <f>(AP119/AO119-1)*1</f>
        <v>0</v>
      </c>
      <c r="AQ121" s="322">
        <f t="shared" ref="AQ121:AX121" si="204">(AQ119/AP119-1)*1</f>
        <v>-2.5258883131355825E-2</v>
      </c>
      <c r="AR121" s="322">
        <f t="shared" si="204"/>
        <v>1.1968129151334717E-2</v>
      </c>
      <c r="AS121" s="322">
        <f t="shared" si="204"/>
        <v>1.4084507042253502E-2</v>
      </c>
      <c r="AT121" s="322">
        <f t="shared" si="204"/>
        <v>9.4559803500365858E-2</v>
      </c>
      <c r="AU121" s="322">
        <f t="shared" si="204"/>
        <v>-0.10946746468173374</v>
      </c>
      <c r="AV121" s="322">
        <f t="shared" si="204"/>
        <v>1.1968129151334717E-2</v>
      </c>
      <c r="AW121" s="322">
        <f t="shared" si="204"/>
        <v>1.4084507042253502E-2</v>
      </c>
      <c r="AX121" s="322">
        <f t="shared" si="204"/>
        <v>0.22331511132768345</v>
      </c>
      <c r="AY121" s="5"/>
      <c r="AZ121" s="5"/>
    </row>
    <row r="122" spans="1:90" outlineLevel="1">
      <c r="B122" s="13"/>
      <c r="C122" s="23"/>
      <c r="D122" s="23"/>
      <c r="E122" s="23"/>
      <c r="F122" s="23"/>
      <c r="G122" s="238"/>
      <c r="H122" s="238"/>
      <c r="I122" s="238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5"/>
      <c r="AZ122" s="5"/>
    </row>
    <row r="123" spans="1:90" s="202" customFormat="1" outlineLevel="1">
      <c r="A123" s="258" t="s">
        <v>115</v>
      </c>
      <c r="B123" s="202" t="s">
        <v>116</v>
      </c>
      <c r="C123" s="259">
        <f t="shared" ref="C123:I123" si="205">VLOOKUP($A123,CTRP,MATCH(C$5,Period_CTRP,FALSE),FALSE)</f>
        <v>1437.118164</v>
      </c>
      <c r="D123" s="259">
        <f t="shared" si="205"/>
        <v>1690.285903</v>
      </c>
      <c r="E123" s="259">
        <f t="shared" si="205"/>
        <v>2161.784259</v>
      </c>
      <c r="F123" s="259">
        <f t="shared" si="205"/>
        <v>2950.0724840000003</v>
      </c>
      <c r="G123" s="426">
        <f t="shared" si="205"/>
        <v>4453.885749</v>
      </c>
      <c r="H123" s="426">
        <f t="shared" si="205"/>
        <v>8826.5165710000001</v>
      </c>
      <c r="I123" s="426">
        <f t="shared" si="205"/>
        <v>12221.029997</v>
      </c>
      <c r="J123" s="264">
        <f t="shared" ref="J123:Q123" si="206">J127*J131</f>
        <v>13968.637286571</v>
      </c>
      <c r="K123" s="264">
        <f t="shared" si="206"/>
        <v>18656.51195994423</v>
      </c>
      <c r="L123" s="264">
        <f t="shared" si="206"/>
        <v>24719.878346926103</v>
      </c>
      <c r="M123" s="264">
        <f t="shared" si="206"/>
        <v>32229.777388722254</v>
      </c>
      <c r="N123" s="264">
        <f t="shared" si="206"/>
        <v>41679.54811909562</v>
      </c>
      <c r="O123" s="264">
        <f t="shared" si="206"/>
        <v>51188.737022467278</v>
      </c>
      <c r="P123" s="264">
        <f t="shared" si="206"/>
        <v>62347.881693365132</v>
      </c>
      <c r="Q123" s="264">
        <f t="shared" si="206"/>
        <v>75306.88890333107</v>
      </c>
      <c r="R123" s="264">
        <f>R127*R131</f>
        <v>90195.060839519603</v>
      </c>
      <c r="S123" s="264">
        <f>S127*S131</f>
        <v>107111.14449997149</v>
      </c>
      <c r="T123" s="265"/>
      <c r="U123" s="510">
        <f>(K123/I123)^(1/2)-1</f>
        <v>0.23555283173161001</v>
      </c>
      <c r="V123" s="265"/>
      <c r="W123" s="259">
        <f t="shared" ref="W123:AP123" si="207">VLOOKUP($A123,CTRP,MATCH(W$5,Period_CTRP,FALSE),FALSE)</f>
        <v>456.50252399999999</v>
      </c>
      <c r="X123" s="259">
        <f t="shared" si="207"/>
        <v>522.01377100000002</v>
      </c>
      <c r="Y123" s="259">
        <f t="shared" si="207"/>
        <v>604.27234399999998</v>
      </c>
      <c r="Z123" s="259">
        <f t="shared" si="207"/>
        <v>578.99562000000003</v>
      </c>
      <c r="AA123" s="259">
        <f t="shared" si="207"/>
        <v>651.065201</v>
      </c>
      <c r="AB123" s="259">
        <f t="shared" si="207"/>
        <v>725.513462</v>
      </c>
      <c r="AC123" s="259">
        <f t="shared" si="207"/>
        <v>799.79692699999998</v>
      </c>
      <c r="AD123" s="259">
        <f t="shared" si="207"/>
        <v>773.69689400000004</v>
      </c>
      <c r="AE123" s="259">
        <f t="shared" si="207"/>
        <v>947.90779099999997</v>
      </c>
      <c r="AF123" s="259">
        <f t="shared" si="207"/>
        <v>1052.5506640000001</v>
      </c>
      <c r="AG123" s="259">
        <f t="shared" si="207"/>
        <v>1208.9885750000001</v>
      </c>
      <c r="AH123" s="259">
        <f t="shared" si="207"/>
        <v>1244.438719</v>
      </c>
      <c r="AI123" s="259">
        <f t="shared" si="207"/>
        <v>1949.0031260000001</v>
      </c>
      <c r="AJ123" s="259">
        <f t="shared" si="207"/>
        <v>2003.4267950000001</v>
      </c>
      <c r="AK123" s="259">
        <f t="shared" si="207"/>
        <v>2427.736429</v>
      </c>
      <c r="AL123" s="259">
        <f t="shared" si="207"/>
        <v>2446.3502210000001</v>
      </c>
      <c r="AM123" s="259">
        <f t="shared" si="207"/>
        <v>2875.3753459999998</v>
      </c>
      <c r="AN123" s="259">
        <f t="shared" si="207"/>
        <v>2992.3303559999999</v>
      </c>
      <c r="AO123" s="259">
        <f t="shared" si="207"/>
        <v>3428.1946090000001</v>
      </c>
      <c r="AP123" s="259">
        <f t="shared" si="207"/>
        <v>2925.1296860000002</v>
      </c>
      <c r="AQ123" s="264">
        <f>AQ127*AQ131</f>
        <v>3019.1441132999998</v>
      </c>
      <c r="AR123" s="264">
        <f>AR127*AR131</f>
        <v>3228.1259880528005</v>
      </c>
      <c r="AS123" s="264">
        <f>AS127*AS131</f>
        <v>4068.5813619612004</v>
      </c>
      <c r="AT123" s="263">
        <f>J123-SUM(AQ123:AS123)</f>
        <v>3652.7858232569997</v>
      </c>
      <c r="AU123" s="264">
        <f>AU127*AU131</f>
        <v>4416.4040089352402</v>
      </c>
      <c r="AV123" s="264">
        <f>AV127*AV131</f>
        <v>4593.9460935979405</v>
      </c>
      <c r="AW123" s="264">
        <f>AW127*AW131</f>
        <v>5254.5728289728904</v>
      </c>
      <c r="AX123" s="263">
        <f>K123-SUM(AU123:AW123)</f>
        <v>4391.5890284381585</v>
      </c>
      <c r="AY123" s="22"/>
      <c r="AZ123" s="22"/>
      <c r="BA123" s="265"/>
      <c r="BB123" s="265"/>
      <c r="BC123" s="265"/>
      <c r="BD123" s="265"/>
      <c r="BE123" s="265"/>
      <c r="BF123" s="265"/>
      <c r="BG123" s="265"/>
      <c r="BH123" s="265"/>
      <c r="BI123" s="265"/>
      <c r="BJ123" s="265"/>
      <c r="BK123" s="265"/>
      <c r="BL123" s="265"/>
      <c r="BM123" s="265"/>
      <c r="BN123" s="265"/>
      <c r="BO123" s="265"/>
      <c r="BP123" s="266"/>
      <c r="BQ123" s="266"/>
      <c r="BR123" s="266"/>
      <c r="BS123" s="266"/>
      <c r="BT123" s="266"/>
      <c r="BU123" s="266"/>
      <c r="BV123" s="266"/>
      <c r="BW123" s="266"/>
      <c r="BX123" s="266"/>
      <c r="BY123" s="266"/>
      <c r="BZ123" s="266"/>
      <c r="CA123" s="266"/>
      <c r="CF123" s="199"/>
      <c r="CG123" s="199"/>
      <c r="CH123" s="199"/>
      <c r="CI123" s="199"/>
      <c r="CJ123" s="199"/>
      <c r="CK123" s="200"/>
      <c r="CL123" s="201"/>
    </row>
    <row r="124" spans="1:90" outlineLevel="1">
      <c r="B124" s="12" t="s">
        <v>82</v>
      </c>
      <c r="C124" s="23"/>
      <c r="D124" s="322">
        <f t="shared" ref="D124:S124" si="208">(D123/C123-1)*1</f>
        <v>0.17616348143241467</v>
      </c>
      <c r="E124" s="322">
        <f t="shared" si="208"/>
        <v>0.27894591983708938</v>
      </c>
      <c r="F124" s="322">
        <f t="shared" si="208"/>
        <v>0.3646470371491406</v>
      </c>
      <c r="G124" s="423">
        <f>(G123/F123-1)*1</f>
        <v>0.50975468337001018</v>
      </c>
      <c r="H124" s="322">
        <f>(H123/G123-1)*1</f>
        <v>0.98175639619443689</v>
      </c>
      <c r="I124" s="322">
        <f>(I123/H123-1)*1</f>
        <v>0.38458132363936848</v>
      </c>
      <c r="J124" s="322">
        <f t="shared" si="208"/>
        <v>0.14300000000000002</v>
      </c>
      <c r="K124" s="322">
        <f t="shared" si="208"/>
        <v>0.33560000000000012</v>
      </c>
      <c r="L124" s="322">
        <f t="shared" si="208"/>
        <v>0.32499999999999996</v>
      </c>
      <c r="M124" s="322">
        <f t="shared" si="208"/>
        <v>0.30380000000000007</v>
      </c>
      <c r="N124" s="322">
        <f t="shared" si="208"/>
        <v>0.29320000000000013</v>
      </c>
      <c r="O124" s="322">
        <f t="shared" si="208"/>
        <v>0.22814999999999985</v>
      </c>
      <c r="P124" s="322">
        <f t="shared" si="208"/>
        <v>0.21799999999999975</v>
      </c>
      <c r="Q124" s="322">
        <f t="shared" si="208"/>
        <v>0.20784999999999987</v>
      </c>
      <c r="R124" s="322">
        <f t="shared" si="208"/>
        <v>0.19769999999999976</v>
      </c>
      <c r="S124" s="322">
        <f t="shared" si="208"/>
        <v>0.18754999999999988</v>
      </c>
      <c r="W124" s="23"/>
      <c r="X124" s="23"/>
      <c r="Y124" s="23"/>
      <c r="Z124" s="23"/>
      <c r="AA124" s="322">
        <f t="shared" ref="AA124:AL124" si="209">(AA123/W123-1)*1</f>
        <v>0.42620285052356022</v>
      </c>
      <c r="AB124" s="322">
        <f t="shared" si="209"/>
        <v>0.38983586699286521</v>
      </c>
      <c r="AC124" s="322">
        <f t="shared" si="209"/>
        <v>0.32357029895778244</v>
      </c>
      <c r="AD124" s="322">
        <f t="shared" si="209"/>
        <v>0.33627417423295869</v>
      </c>
      <c r="AE124" s="322">
        <f t="shared" si="209"/>
        <v>0.45593373681171445</v>
      </c>
      <c r="AF124" s="322">
        <f t="shared" si="209"/>
        <v>0.4507665524199469</v>
      </c>
      <c r="AG124" s="322">
        <f t="shared" si="209"/>
        <v>0.51161943011566491</v>
      </c>
      <c r="AH124" s="322">
        <f t="shared" si="209"/>
        <v>0.60843184023432295</v>
      </c>
      <c r="AI124" s="322">
        <f t="shared" si="209"/>
        <v>1.0561104619088422</v>
      </c>
      <c r="AJ124" s="322">
        <f t="shared" si="209"/>
        <v>0.90340176822120166</v>
      </c>
      <c r="AK124" s="322">
        <f t="shared" si="209"/>
        <v>1.0080722673495899</v>
      </c>
      <c r="AL124" s="322">
        <f t="shared" si="209"/>
        <v>0.96582618625513872</v>
      </c>
      <c r="AM124" s="322">
        <f>(AM123/AI123-1)*1</f>
        <v>0.47530566146459829</v>
      </c>
      <c r="AN124" s="322">
        <f>(AN123/AJ123-1)*1</f>
        <v>0.49360603714996221</v>
      </c>
      <c r="AO124" s="322">
        <f>(AO123/AK123-1)*1</f>
        <v>0.41209505613922648</v>
      </c>
      <c r="AP124" s="322">
        <f>(AP123/AL123-1)*1</f>
        <v>0.19571174269736757</v>
      </c>
      <c r="AQ124" s="322">
        <f t="shared" ref="AQ124:AX124" si="210">(AQ123/AM123-1)*1</f>
        <v>5.0000000000000044E-2</v>
      </c>
      <c r="AR124" s="322">
        <f t="shared" si="210"/>
        <v>7.8800000000000203E-2</v>
      </c>
      <c r="AS124" s="322">
        <f t="shared" si="210"/>
        <v>0.18680000000000008</v>
      </c>
      <c r="AT124" s="322">
        <f t="shared" si="210"/>
        <v>0.24876029966795787</v>
      </c>
      <c r="AU124" s="322">
        <f t="shared" si="210"/>
        <v>0.4628000000000001</v>
      </c>
      <c r="AV124" s="322">
        <f t="shared" si="210"/>
        <v>0.42310000000000003</v>
      </c>
      <c r="AW124" s="322">
        <f t="shared" si="210"/>
        <v>0.29150000000000009</v>
      </c>
      <c r="AX124" s="322">
        <f t="shared" si="210"/>
        <v>0.20225746619942964</v>
      </c>
      <c r="AY124" s="5"/>
      <c r="AZ124" s="5"/>
    </row>
    <row r="125" spans="1:90" outlineLevel="1">
      <c r="B125" s="12" t="s">
        <v>83</v>
      </c>
      <c r="C125" s="23"/>
      <c r="D125" s="23"/>
      <c r="E125" s="23"/>
      <c r="F125" s="23"/>
      <c r="G125" s="410"/>
      <c r="H125" s="410"/>
      <c r="I125" s="410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W125" s="23"/>
      <c r="X125" s="322">
        <f t="shared" ref="X125:AL125" si="211">(X123/W123-1)*1</f>
        <v>0.14350686700693904</v>
      </c>
      <c r="Y125" s="322">
        <f t="shared" si="211"/>
        <v>0.15757931604451869</v>
      </c>
      <c r="Z125" s="322">
        <f t="shared" si="211"/>
        <v>-4.1830019611157176E-2</v>
      </c>
      <c r="AA125" s="322">
        <f t="shared" si="211"/>
        <v>0.12447344765751422</v>
      </c>
      <c r="AB125" s="322">
        <f t="shared" si="211"/>
        <v>0.11434839534604468</v>
      </c>
      <c r="AC125" s="322">
        <f t="shared" si="211"/>
        <v>0.1023874385393555</v>
      </c>
      <c r="AD125" s="322">
        <f t="shared" si="211"/>
        <v>-3.2633324933992847E-2</v>
      </c>
      <c r="AE125" s="322">
        <f t="shared" si="211"/>
        <v>0.22516685584626361</v>
      </c>
      <c r="AF125" s="322">
        <f t="shared" si="211"/>
        <v>0.11039351505868167</v>
      </c>
      <c r="AG125" s="322">
        <f t="shared" si="211"/>
        <v>0.14862744032243569</v>
      </c>
      <c r="AH125" s="322">
        <f t="shared" si="211"/>
        <v>2.9322149715103718E-2</v>
      </c>
      <c r="AI125" s="322">
        <f t="shared" si="211"/>
        <v>0.56617043189251648</v>
      </c>
      <c r="AJ125" s="322">
        <f t="shared" si="211"/>
        <v>2.7923849004642287E-2</v>
      </c>
      <c r="AK125" s="322">
        <f t="shared" si="211"/>
        <v>0.21179193323108159</v>
      </c>
      <c r="AL125" s="322">
        <f t="shared" si="211"/>
        <v>7.6671387295808024E-3</v>
      </c>
      <c r="AM125" s="322">
        <f>(AM123/AL123-1)*1</f>
        <v>0.17537355089927642</v>
      </c>
      <c r="AN125" s="322">
        <f>(AN123/AM123-1)*1</f>
        <v>4.0674693188386346E-2</v>
      </c>
      <c r="AO125" s="322">
        <f>(AO123/AN123-1)*1</f>
        <v>0.14566047232252854</v>
      </c>
      <c r="AP125" s="322">
        <f>(AP123/AO123-1)*1</f>
        <v>-0.14674339714533979</v>
      </c>
      <c r="AQ125" s="322">
        <f t="shared" ref="AQ125:AX125" si="212">(AQ123/AP123-1)*1</f>
        <v>3.2140259541299399E-2</v>
      </c>
      <c r="AR125" s="322">
        <f t="shared" si="212"/>
        <v>6.9218913344410771E-2</v>
      </c>
      <c r="AS125" s="322">
        <f t="shared" si="212"/>
        <v>0.26035395675971151</v>
      </c>
      <c r="AT125" s="322">
        <f t="shared" si="212"/>
        <v>-0.1021966876689846</v>
      </c>
      <c r="AU125" s="322">
        <f t="shared" si="212"/>
        <v>0.20905090597328302</v>
      </c>
      <c r="AV125" s="322">
        <f t="shared" si="212"/>
        <v>4.0200598564691603E-2</v>
      </c>
      <c r="AW125" s="322">
        <f t="shared" si="212"/>
        <v>0.14380376302098763</v>
      </c>
      <c r="AX125" s="322">
        <f t="shared" si="212"/>
        <v>-0.16423481577348675</v>
      </c>
      <c r="AY125" s="5"/>
      <c r="AZ125" s="5"/>
    </row>
    <row r="126" spans="1:90" outlineLevel="1">
      <c r="C126" s="23"/>
      <c r="D126" s="23"/>
      <c r="E126" s="23"/>
      <c r="F126" s="23"/>
      <c r="G126" s="410"/>
      <c r="H126" s="410"/>
      <c r="I126" s="410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5"/>
      <c r="AZ126" s="5"/>
    </row>
    <row r="127" spans="1:90" outlineLevel="1">
      <c r="A127" s="242" t="s">
        <v>127</v>
      </c>
      <c r="B127" s="13" t="s">
        <v>161</v>
      </c>
      <c r="C127" s="250">
        <f t="shared" ref="C127:I127" si="213">VLOOKUP($A127,CTRP,MATCH(C$5,Period_CTRP,FALSE),FALSE)</f>
        <v>32.523974231774233</v>
      </c>
      <c r="D127" s="250">
        <f t="shared" si="213"/>
        <v>38.703529335811339</v>
      </c>
      <c r="E127" s="250">
        <f t="shared" si="213"/>
        <v>51.27161051476098</v>
      </c>
      <c r="F127" s="250">
        <f t="shared" si="213"/>
        <v>97.331602148554836</v>
      </c>
      <c r="G127" s="427">
        <f t="shared" si="213"/>
        <v>219.42208479853596</v>
      </c>
      <c r="H127" s="427">
        <f t="shared" si="213"/>
        <v>498</v>
      </c>
      <c r="I127" s="427">
        <f t="shared" si="213"/>
        <v>703.35801550833332</v>
      </c>
      <c r="J127" s="272">
        <f>I127*(1+J128)</f>
        <v>893.26467969558337</v>
      </c>
      <c r="K127" s="272">
        <f t="shared" ref="K127:S127" si="214">J127*(1+K128)</f>
        <v>1125.5134964164351</v>
      </c>
      <c r="L127" s="272">
        <f t="shared" si="214"/>
        <v>1406.891870520544</v>
      </c>
      <c r="M127" s="272">
        <f t="shared" si="214"/>
        <v>1730.477000740269</v>
      </c>
      <c r="N127" s="272">
        <f t="shared" si="214"/>
        <v>2111.1819409031282</v>
      </c>
      <c r="O127" s="272">
        <f t="shared" si="214"/>
        <v>2554.530148492785</v>
      </c>
      <c r="P127" s="272">
        <f t="shared" si="214"/>
        <v>3065.4361781913417</v>
      </c>
      <c r="Q127" s="272">
        <f t="shared" si="214"/>
        <v>3647.8690520476966</v>
      </c>
      <c r="R127" s="272">
        <f t="shared" si="214"/>
        <v>4304.4854814162818</v>
      </c>
      <c r="S127" s="272">
        <f t="shared" si="214"/>
        <v>5036.248013257049</v>
      </c>
      <c r="W127" s="250">
        <f t="shared" ref="W127:AP127" si="215">VLOOKUP($A127,CTRP,MATCH(W$5,Period_CTRP,FALSE),FALSE)</f>
        <v>10.799918069245463</v>
      </c>
      <c r="X127" s="250">
        <f t="shared" si="215"/>
        <v>12.329125298664406</v>
      </c>
      <c r="Y127" s="250">
        <f t="shared" si="215"/>
        <v>13.663567076249999</v>
      </c>
      <c r="Z127" s="250">
        <f t="shared" si="215"/>
        <v>14.479000070601103</v>
      </c>
      <c r="AA127" s="250">
        <f t="shared" si="215"/>
        <v>18.467859898409742</v>
      </c>
      <c r="AB127" s="250">
        <f t="shared" si="215"/>
        <v>22.562299296555867</v>
      </c>
      <c r="AC127" s="250">
        <f t="shared" si="215"/>
        <v>27.053862810974998</v>
      </c>
      <c r="AD127" s="250">
        <f t="shared" si="215"/>
        <v>29.247580142614229</v>
      </c>
      <c r="AE127" s="250">
        <f t="shared" si="215"/>
        <v>37.674434192755868</v>
      </c>
      <c r="AF127" s="250">
        <f t="shared" si="215"/>
        <v>46.478336550905091</v>
      </c>
      <c r="AG127" s="250">
        <f t="shared" si="215"/>
        <v>67.634657027437498</v>
      </c>
      <c r="AH127" s="250">
        <f t="shared" si="215"/>
        <v>67.634657027437498</v>
      </c>
      <c r="AI127" s="250">
        <f t="shared" si="215"/>
        <v>110</v>
      </c>
      <c r="AJ127" s="250">
        <f t="shared" si="215"/>
        <v>115</v>
      </c>
      <c r="AK127" s="250">
        <f t="shared" si="215"/>
        <v>140</v>
      </c>
      <c r="AL127" s="250">
        <f t="shared" si="215"/>
        <v>133</v>
      </c>
      <c r="AM127" s="250">
        <f t="shared" si="215"/>
        <v>158.4</v>
      </c>
      <c r="AN127" s="250">
        <f t="shared" si="215"/>
        <v>166.24057533333334</v>
      </c>
      <c r="AO127" s="250">
        <f t="shared" si="215"/>
        <v>195.89683479999999</v>
      </c>
      <c r="AP127" s="250">
        <f t="shared" si="215"/>
        <v>182.82060537500001</v>
      </c>
      <c r="AQ127" s="274">
        <f>AM127*(1+AQ128)</f>
        <v>190.08</v>
      </c>
      <c r="AR127" s="274">
        <f>AN127*(1+AR128)</f>
        <v>206.13831341333335</v>
      </c>
      <c r="AS127" s="274">
        <f>AO127*(1+AS128)</f>
        <v>252.70691689200001</v>
      </c>
      <c r="AT127" s="296">
        <f>J127-SUM(AQ127:AS127)</f>
        <v>244.33944939025002</v>
      </c>
      <c r="AU127" s="274">
        <f>AQ127*(1+AU128)</f>
        <v>262.31040000000002</v>
      </c>
      <c r="AV127" s="274">
        <f>AR127*(1+AV128)</f>
        <v>274.16395683973337</v>
      </c>
      <c r="AW127" s="274">
        <f>AS127*(1+AW128)</f>
        <v>310.82950777716002</v>
      </c>
      <c r="AX127" s="296">
        <f>K127-SUM(AU127:AW127)</f>
        <v>278.20963179954174</v>
      </c>
      <c r="AY127" s="62"/>
      <c r="AZ127" s="62"/>
    </row>
    <row r="128" spans="1:90" outlineLevel="1">
      <c r="A128" s="242"/>
      <c r="B128" s="12" t="s">
        <v>82</v>
      </c>
      <c r="C128" s="322"/>
      <c r="D128" s="322">
        <f t="shared" ref="D128:I128" si="216">(D127/C127-1)*1</f>
        <v>0.19000000000000017</v>
      </c>
      <c r="E128" s="322">
        <f t="shared" si="216"/>
        <v>0.32472700538244537</v>
      </c>
      <c r="F128" s="322">
        <f t="shared" si="216"/>
        <v>0.89835273695046669</v>
      </c>
      <c r="G128" s="423">
        <f t="shared" si="216"/>
        <v>1.2543765843249699</v>
      </c>
      <c r="H128" s="322">
        <f t="shared" si="216"/>
        <v>1.2695983426519826</v>
      </c>
      <c r="I128" s="322">
        <f t="shared" si="216"/>
        <v>0.41236549298862113</v>
      </c>
      <c r="J128" s="603">
        <f t="shared" ref="J128:S128" si="217">J41+3%</f>
        <v>0.27</v>
      </c>
      <c r="K128" s="603">
        <f t="shared" si="217"/>
        <v>0.26</v>
      </c>
      <c r="L128" s="603">
        <f t="shared" si="217"/>
        <v>0.25</v>
      </c>
      <c r="M128" s="603">
        <f t="shared" si="217"/>
        <v>0.23</v>
      </c>
      <c r="N128" s="603">
        <f t="shared" si="217"/>
        <v>0.22</v>
      </c>
      <c r="O128" s="603">
        <f t="shared" si="217"/>
        <v>0.21</v>
      </c>
      <c r="P128" s="603">
        <f t="shared" si="217"/>
        <v>0.19999999999999998</v>
      </c>
      <c r="Q128" s="603">
        <f t="shared" si="217"/>
        <v>0.18999999999999997</v>
      </c>
      <c r="R128" s="603">
        <f t="shared" si="217"/>
        <v>0.17999999999999997</v>
      </c>
      <c r="S128" s="603">
        <f t="shared" si="217"/>
        <v>0.16999999999999996</v>
      </c>
      <c r="W128" s="322"/>
      <c r="X128" s="322"/>
      <c r="Y128" s="322"/>
      <c r="Z128" s="322"/>
      <c r="AA128" s="322">
        <f t="shared" ref="AA128:AL128" si="218">(AA127/W127-1)*1</f>
        <v>0.71000000000000019</v>
      </c>
      <c r="AB128" s="322">
        <f t="shared" si="218"/>
        <v>0.83000000000000029</v>
      </c>
      <c r="AC128" s="322">
        <f t="shared" si="218"/>
        <v>0.98</v>
      </c>
      <c r="AD128" s="322">
        <f t="shared" si="218"/>
        <v>1.02</v>
      </c>
      <c r="AE128" s="322">
        <f t="shared" si="218"/>
        <v>1.0399999999999996</v>
      </c>
      <c r="AF128" s="322">
        <f t="shared" si="218"/>
        <v>1.06</v>
      </c>
      <c r="AG128" s="322">
        <f t="shared" si="218"/>
        <v>1.5</v>
      </c>
      <c r="AH128" s="322">
        <f t="shared" si="218"/>
        <v>1.3124872792088751</v>
      </c>
      <c r="AI128" s="322">
        <f t="shared" si="218"/>
        <v>1.919751878348078</v>
      </c>
      <c r="AJ128" s="322">
        <f t="shared" si="218"/>
        <v>1.4742709944889487</v>
      </c>
      <c r="AK128" s="322">
        <f t="shared" si="218"/>
        <v>1.0699447022139239</v>
      </c>
      <c r="AL128" s="322">
        <f t="shared" si="218"/>
        <v>0.96644746710322793</v>
      </c>
      <c r="AM128" s="322">
        <f>(AM127/AI127-1)*1</f>
        <v>0.43999999999999995</v>
      </c>
      <c r="AN128" s="322">
        <f>(AN127/AJ127-1)*1</f>
        <v>0.44557022028985505</v>
      </c>
      <c r="AO128" s="322">
        <f>(AO127/AK127-1)*1</f>
        <v>0.39926310571428569</v>
      </c>
      <c r="AP128" s="322">
        <f>(AP127/AL127-1)*1</f>
        <v>0.37459101785714299</v>
      </c>
      <c r="AQ128" s="348">
        <f t="shared" ref="AQ128:AX128" si="219">AQ41+3%</f>
        <v>0.2</v>
      </c>
      <c r="AR128" s="348">
        <f t="shared" si="219"/>
        <v>0.24</v>
      </c>
      <c r="AS128" s="348">
        <f t="shared" si="219"/>
        <v>0.29000000000000004</v>
      </c>
      <c r="AT128" s="348">
        <f t="shared" si="219"/>
        <v>0.33649841542239201</v>
      </c>
      <c r="AU128" s="348">
        <f t="shared" si="219"/>
        <v>0.38</v>
      </c>
      <c r="AV128" s="348">
        <f t="shared" si="219"/>
        <v>0.32999999999999996</v>
      </c>
      <c r="AW128" s="348">
        <f t="shared" si="219"/>
        <v>0.23</v>
      </c>
      <c r="AX128" s="348">
        <f t="shared" si="219"/>
        <v>0.13894305412825744</v>
      </c>
      <c r="AY128" s="350"/>
      <c r="AZ128" s="350"/>
    </row>
    <row r="129" spans="1:90" outlineLevel="1">
      <c r="A129" s="242"/>
      <c r="B129" s="12" t="s">
        <v>83</v>
      </c>
      <c r="C129" s="322"/>
      <c r="D129" s="322"/>
      <c r="E129" s="322"/>
      <c r="F129" s="322"/>
      <c r="G129" s="423"/>
      <c r="H129" s="423"/>
      <c r="I129" s="423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W129" s="322"/>
      <c r="X129" s="322">
        <f t="shared" ref="X129:AE129" si="220">(X127/W127-1)*1</f>
        <v>0.14159433614349459</v>
      </c>
      <c r="Y129" s="322">
        <f t="shared" si="220"/>
        <v>0.10823491085212278</v>
      </c>
      <c r="Z129" s="322">
        <f t="shared" si="220"/>
        <v>5.9679364092886766E-2</v>
      </c>
      <c r="AA129" s="322">
        <f t="shared" si="220"/>
        <v>0.27549276941491452</v>
      </c>
      <c r="AB129" s="322">
        <f t="shared" si="220"/>
        <v>0.22170621938163482</v>
      </c>
      <c r="AC129" s="322">
        <f t="shared" si="220"/>
        <v>0.19907383797114897</v>
      </c>
      <c r="AD129" s="322">
        <f t="shared" si="220"/>
        <v>8.1087028013955287E-2</v>
      </c>
      <c r="AE129" s="322">
        <f t="shared" si="220"/>
        <v>0.28812141069624997</v>
      </c>
      <c r="AF129" s="322">
        <f t="shared" ref="AF129:AL129" si="221">(AF127/AE127-1)*1</f>
        <v>0.23368373133635689</v>
      </c>
      <c r="AG129" s="322">
        <f t="shared" si="221"/>
        <v>0.45518669656692823</v>
      </c>
      <c r="AH129" s="322">
        <f t="shared" si="221"/>
        <v>0</v>
      </c>
      <c r="AI129" s="322">
        <f t="shared" si="221"/>
        <v>0.62638512316808326</v>
      </c>
      <c r="AJ129" s="322">
        <f t="shared" si="221"/>
        <v>4.5454545454545414E-2</v>
      </c>
      <c r="AK129" s="322">
        <f t="shared" si="221"/>
        <v>0.21739130434782616</v>
      </c>
      <c r="AL129" s="322">
        <f t="shared" si="221"/>
        <v>-5.0000000000000044E-2</v>
      </c>
      <c r="AM129" s="322">
        <f>(AM127/AL127-1)*1</f>
        <v>0.19097744360902258</v>
      </c>
      <c r="AN129" s="322">
        <f>(AN127/AM127-1)*1</f>
        <v>4.9498581649831674E-2</v>
      </c>
      <c r="AO129" s="322">
        <f>(AO127/AN127-1)*1</f>
        <v>0.17839362867460062</v>
      </c>
      <c r="AP129" s="322">
        <f>(AP127/AO127-1)*1</f>
        <v>-6.6750590627715378E-2</v>
      </c>
      <c r="AQ129" s="322">
        <f t="shared" ref="AQ129:AX129" si="222">(AQ127/AP127-1)*1</f>
        <v>3.9707748533649001E-2</v>
      </c>
      <c r="AR129" s="322">
        <f t="shared" si="222"/>
        <v>8.4481867704826019E-2</v>
      </c>
      <c r="AS129" s="322">
        <f t="shared" si="222"/>
        <v>0.22590950079857652</v>
      </c>
      <c r="AT129" s="322">
        <f t="shared" si="222"/>
        <v>-3.311135130237064E-2</v>
      </c>
      <c r="AU129" s="322">
        <f t="shared" si="222"/>
        <v>7.3549116422241934E-2</v>
      </c>
      <c r="AV129" s="322">
        <f t="shared" si="222"/>
        <v>4.5189046411173051E-2</v>
      </c>
      <c r="AW129" s="322">
        <f t="shared" si="222"/>
        <v>0.13373585412199174</v>
      </c>
      <c r="AX129" s="322">
        <f t="shared" si="222"/>
        <v>-0.10494459232938758</v>
      </c>
      <c r="AY129" s="117"/>
      <c r="AZ129" s="117"/>
    </row>
    <row r="130" spans="1:90" outlineLevel="1">
      <c r="C130" s="23"/>
      <c r="D130" s="23"/>
      <c r="E130" s="23"/>
      <c r="F130" s="23"/>
      <c r="G130" s="410"/>
      <c r="H130" s="410"/>
      <c r="I130" s="410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5"/>
      <c r="AZ130" s="5"/>
    </row>
    <row r="131" spans="1:90" outlineLevel="1">
      <c r="A131" s="242" t="s">
        <v>147</v>
      </c>
      <c r="B131" s="13" t="s">
        <v>117</v>
      </c>
      <c r="C131" s="250">
        <f t="shared" ref="C131:I131" si="223">VLOOKUP($A131,CTRP,MATCH(C$5,Period_CTRP,FALSE),FALSE)</f>
        <v>44.186425489047714</v>
      </c>
      <c r="D131" s="250">
        <f t="shared" si="223"/>
        <v>43.67265549180869</v>
      </c>
      <c r="E131" s="250">
        <f t="shared" si="223"/>
        <v>42.163377301706319</v>
      </c>
      <c r="F131" s="250">
        <f t="shared" si="223"/>
        <v>30.309502965926495</v>
      </c>
      <c r="G131" s="428">
        <f t="shared" si="223"/>
        <v>20.29825645440097</v>
      </c>
      <c r="H131" s="428">
        <f t="shared" si="223"/>
        <v>17.723928857429719</v>
      </c>
      <c r="I131" s="428">
        <f t="shared" si="223"/>
        <v>17.375262281140813</v>
      </c>
      <c r="J131" s="272">
        <f t="shared" ref="J131:S131" si="224">I131*(1+J132)</f>
        <v>15.637736053026732</v>
      </c>
      <c r="K131" s="272">
        <f t="shared" si="224"/>
        <v>16.576000216208335</v>
      </c>
      <c r="L131" s="272">
        <f t="shared" si="224"/>
        <v>17.570560229180835</v>
      </c>
      <c r="M131" s="272">
        <f t="shared" si="224"/>
        <v>18.624793842931687</v>
      </c>
      <c r="N131" s="272">
        <f t="shared" si="224"/>
        <v>19.742281473507589</v>
      </c>
      <c r="O131" s="272">
        <f t="shared" si="224"/>
        <v>20.038415695610201</v>
      </c>
      <c r="P131" s="272">
        <f t="shared" si="224"/>
        <v>20.338991931044351</v>
      </c>
      <c r="Q131" s="272">
        <f t="shared" si="224"/>
        <v>20.644076810010013</v>
      </c>
      <c r="R131" s="272">
        <f t="shared" si="224"/>
        <v>20.953737962160162</v>
      </c>
      <c r="S131" s="272">
        <f t="shared" si="224"/>
        <v>21.268044031592563</v>
      </c>
      <c r="W131" s="250">
        <f t="shared" ref="W131:AP131" si="225">VLOOKUP($A131,CTRP,MATCH(W$5,Period_CTRP,FALSE),FALSE)</f>
        <v>42.26907288305879</v>
      </c>
      <c r="X131" s="250">
        <f t="shared" si="225"/>
        <v>42.339886922598545</v>
      </c>
      <c r="Y131" s="250">
        <f t="shared" si="225"/>
        <v>44.22507977805779</v>
      </c>
      <c r="Z131" s="250">
        <f t="shared" si="225"/>
        <v>39.988646811019926</v>
      </c>
      <c r="AA131" s="250">
        <f t="shared" si="225"/>
        <v>35.253960371231912</v>
      </c>
      <c r="AB131" s="250">
        <f t="shared" si="225"/>
        <v>32.156007349426019</v>
      </c>
      <c r="AC131" s="250">
        <f t="shared" si="225"/>
        <v>29.563132355189762</v>
      </c>
      <c r="AD131" s="250">
        <f t="shared" si="225"/>
        <v>26.453364354499548</v>
      </c>
      <c r="AE131" s="250">
        <f t="shared" si="225"/>
        <v>25.160505029754795</v>
      </c>
      <c r="AF131" s="250">
        <f t="shared" si="225"/>
        <v>22.646048505785075</v>
      </c>
      <c r="AG131" s="250">
        <f t="shared" si="225"/>
        <v>17.87528211327437</v>
      </c>
      <c r="AH131" s="250">
        <f t="shared" si="225"/>
        <v>18.399423811599515</v>
      </c>
      <c r="AI131" s="250">
        <f t="shared" si="225"/>
        <v>17.718210236363635</v>
      </c>
      <c r="AJ131" s="250">
        <f t="shared" si="225"/>
        <v>17.421102565217392</v>
      </c>
      <c r="AK131" s="250">
        <f t="shared" si="225"/>
        <v>17.340974492857143</v>
      </c>
      <c r="AL131" s="250">
        <f t="shared" si="225"/>
        <v>18.393610684210529</v>
      </c>
      <c r="AM131" s="250">
        <f t="shared" si="225"/>
        <v>18.152622133838381</v>
      </c>
      <c r="AN131" s="250">
        <f t="shared" si="225"/>
        <v>18</v>
      </c>
      <c r="AO131" s="250">
        <f t="shared" si="225"/>
        <v>17.5</v>
      </c>
      <c r="AP131" s="250">
        <f t="shared" si="225"/>
        <v>16</v>
      </c>
      <c r="AQ131" s="272">
        <f>AM131*(1+AQ132)</f>
        <v>15.883544367108584</v>
      </c>
      <c r="AR131" s="272">
        <f>AN131*(1+AR132)</f>
        <v>15.66</v>
      </c>
      <c r="AS131" s="272">
        <f>AO131*(1+AS132)</f>
        <v>16.100000000000001</v>
      </c>
      <c r="AT131" s="296">
        <f>AT123/AT127</f>
        <v>14.949635977213422</v>
      </c>
      <c r="AU131" s="272">
        <f>AQ131*(1+AU132)</f>
        <v>16.836557029135101</v>
      </c>
      <c r="AV131" s="272">
        <f>AR131*(1+AV132)</f>
        <v>16.7562</v>
      </c>
      <c r="AW131" s="272">
        <f>AS131*(1+AW132)</f>
        <v>16.905000000000001</v>
      </c>
      <c r="AX131" s="296">
        <f>AX123/AX127</f>
        <v>15.785179686382778</v>
      </c>
      <c r="AY131" s="5"/>
      <c r="AZ131" s="5"/>
    </row>
    <row r="132" spans="1:90" outlineLevel="1">
      <c r="A132" s="242"/>
      <c r="B132" s="12" t="s">
        <v>82</v>
      </c>
      <c r="C132" s="23"/>
      <c r="D132" s="322">
        <f t="shared" ref="D132:I132" si="226">(D131/C131-1)*1</f>
        <v>-1.1627326527382742E-2</v>
      </c>
      <c r="E132" s="322">
        <f t="shared" si="226"/>
        <v>-3.4558882969354943E-2</v>
      </c>
      <c r="F132" s="322">
        <f t="shared" si="226"/>
        <v>-0.28114148093397884</v>
      </c>
      <c r="G132" s="423">
        <f t="shared" si="226"/>
        <v>-0.33030058337743196</v>
      </c>
      <c r="H132" s="423">
        <f t="shared" si="226"/>
        <v>-0.12682506020920326</v>
      </c>
      <c r="I132" s="423">
        <f t="shared" si="226"/>
        <v>-1.9672081686490595E-2</v>
      </c>
      <c r="J132" s="341">
        <f>J46+1%</f>
        <v>-0.1</v>
      </c>
      <c r="K132" s="341">
        <f t="shared" ref="K132:Q132" si="227">K46+1%</f>
        <v>6.0000000000000005E-2</v>
      </c>
      <c r="L132" s="341">
        <f t="shared" si="227"/>
        <v>6.0000000000000005E-2</v>
      </c>
      <c r="M132" s="341">
        <f t="shared" si="227"/>
        <v>6.0000000000000005E-2</v>
      </c>
      <c r="N132" s="341">
        <f t="shared" si="227"/>
        <v>6.0000000000000005E-2</v>
      </c>
      <c r="O132" s="341">
        <f t="shared" si="227"/>
        <v>1.4999999999999999E-2</v>
      </c>
      <c r="P132" s="341">
        <f t="shared" si="227"/>
        <v>1.4999999999999999E-2</v>
      </c>
      <c r="Q132" s="341">
        <f t="shared" si="227"/>
        <v>1.4999999999999999E-2</v>
      </c>
      <c r="R132" s="341">
        <f>R46+1%</f>
        <v>1.4999999999999999E-2</v>
      </c>
      <c r="S132" s="341">
        <f>S46+1%</f>
        <v>1.4999999999999999E-2</v>
      </c>
      <c r="W132" s="23"/>
      <c r="X132" s="23"/>
      <c r="Y132" s="23"/>
      <c r="Z132" s="23"/>
      <c r="AA132" s="322">
        <f t="shared" ref="AA132:AL132" si="228">(AA131/W131-1)*1</f>
        <v>-0.16596324530785955</v>
      </c>
      <c r="AB132" s="322">
        <f t="shared" si="228"/>
        <v>-0.24052684863777873</v>
      </c>
      <c r="AC132" s="322">
        <f t="shared" si="228"/>
        <v>-0.33153015204152403</v>
      </c>
      <c r="AD132" s="322">
        <f t="shared" si="228"/>
        <v>-0.33847813156784223</v>
      </c>
      <c r="AE132" s="322">
        <f t="shared" si="228"/>
        <v>-0.28630699175896335</v>
      </c>
      <c r="AF132" s="322">
        <f t="shared" si="228"/>
        <v>-0.29574439202915215</v>
      </c>
      <c r="AG132" s="322">
        <f t="shared" si="228"/>
        <v>-0.39535222795373404</v>
      </c>
      <c r="AH132" s="322">
        <f t="shared" si="228"/>
        <v>-0.30445808083122361</v>
      </c>
      <c r="AI132" s="322">
        <f t="shared" si="228"/>
        <v>-0.29579274281616796</v>
      </c>
      <c r="AJ132" s="322">
        <f t="shared" si="228"/>
        <v>-0.23072219152197515</v>
      </c>
      <c r="AK132" s="322">
        <f t="shared" si="228"/>
        <v>-2.9890863653583621E-2</v>
      </c>
      <c r="AL132" s="322">
        <f t="shared" si="228"/>
        <v>-3.1594072991136812E-4</v>
      </c>
      <c r="AM132" s="322">
        <f>(AM131/AI131-1)*1</f>
        <v>2.4517820461526618E-2</v>
      </c>
      <c r="AN132" s="322">
        <f>(AN131/AJ131-1)*1</f>
        <v>3.3229666871855912E-2</v>
      </c>
      <c r="AO132" s="322">
        <f>(AO131/AK131-1)*1</f>
        <v>9.1705057987578886E-3</v>
      </c>
      <c r="AP132" s="322">
        <f>(AP131/AL131-1)*1</f>
        <v>-0.13013272517859997</v>
      </c>
      <c r="AQ132" s="240">
        <f>AQ46+2%</f>
        <v>-0.12499999999999999</v>
      </c>
      <c r="AR132" s="240">
        <f>AR46+2%</f>
        <v>-0.13</v>
      </c>
      <c r="AS132" s="240">
        <f>AS46+2%</f>
        <v>-0.08</v>
      </c>
      <c r="AT132" s="322">
        <f>(AT131/AP131-1)*1</f>
        <v>-6.5647751424161127E-2</v>
      </c>
      <c r="AU132" s="240">
        <f>AU46+2%</f>
        <v>0.06</v>
      </c>
      <c r="AV132" s="240">
        <f>AV46+2%</f>
        <v>7.0000000000000007E-2</v>
      </c>
      <c r="AW132" s="240">
        <f>AW46+2%</f>
        <v>0.05</v>
      </c>
      <c r="AX132" s="322">
        <f>(AX131/AT131-1)*1</f>
        <v>5.5890572214795764E-2</v>
      </c>
      <c r="AY132" s="37"/>
      <c r="AZ132" s="37"/>
    </row>
    <row r="133" spans="1:90" outlineLevel="1">
      <c r="A133" s="242"/>
      <c r="B133" s="12" t="s">
        <v>83</v>
      </c>
      <c r="C133" s="23"/>
      <c r="D133" s="23"/>
      <c r="E133" s="23"/>
      <c r="F133" s="23"/>
      <c r="G133" s="238"/>
      <c r="H133" s="238"/>
      <c r="I133" s="238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W133" s="23"/>
      <c r="X133" s="322">
        <f t="shared" ref="X133:AE133" si="229">(X131/W131-1)*1</f>
        <v>1.6753156553888093E-3</v>
      </c>
      <c r="Y133" s="322">
        <f t="shared" si="229"/>
        <v>4.4525221782135693E-2</v>
      </c>
      <c r="Z133" s="322">
        <f t="shared" si="229"/>
        <v>-9.5792545503552984E-2</v>
      </c>
      <c r="AA133" s="322">
        <f t="shared" si="229"/>
        <v>-0.11840076665167987</v>
      </c>
      <c r="AB133" s="322">
        <f t="shared" si="229"/>
        <v>-8.7875319231762061E-2</v>
      </c>
      <c r="AC133" s="322">
        <f t="shared" si="229"/>
        <v>-8.0634233163979552E-2</v>
      </c>
      <c r="AD133" s="322">
        <f t="shared" si="229"/>
        <v>-0.10519074783170934</v>
      </c>
      <c r="AE133" s="322">
        <f t="shared" si="229"/>
        <v>-4.8873153048483498E-2</v>
      </c>
      <c r="AF133" s="322">
        <f t="shared" ref="AF133:AL133" si="230">(AF131/AE131-1)*1</f>
        <v>-9.993664757508347E-2</v>
      </c>
      <c r="AG133" s="322">
        <f t="shared" si="230"/>
        <v>-0.2106666154712149</v>
      </c>
      <c r="AH133" s="322">
        <f t="shared" si="230"/>
        <v>2.9322149715103718E-2</v>
      </c>
      <c r="AI133" s="322">
        <f t="shared" si="230"/>
        <v>-3.7023636294872597E-2</v>
      </c>
      <c r="AJ133" s="322">
        <f t="shared" si="230"/>
        <v>-1.6768492256428957E-2</v>
      </c>
      <c r="AK133" s="322">
        <f t="shared" si="230"/>
        <v>-4.5994834173258559E-3</v>
      </c>
      <c r="AL133" s="322">
        <f t="shared" si="230"/>
        <v>6.0702251294295628E-2</v>
      </c>
      <c r="AM133" s="322">
        <f>(AM131/AL131-1)*1</f>
        <v>-1.3101753348461198E-2</v>
      </c>
      <c r="AN133" s="322">
        <f>(AN131/AM131-1)*1</f>
        <v>-8.4077183292367019E-3</v>
      </c>
      <c r="AO133" s="322">
        <f>(AO131/AN131-1)*1</f>
        <v>-2.777777777777779E-2</v>
      </c>
      <c r="AP133" s="322">
        <f>(AP131/AO131-1)*1</f>
        <v>-8.5714285714285743E-2</v>
      </c>
      <c r="AQ133" s="322">
        <f t="shared" ref="AQ133:AX133" si="231">(AQ131/AP131-1)*1</f>
        <v>-7.2784770557134948E-3</v>
      </c>
      <c r="AR133" s="322">
        <f t="shared" si="231"/>
        <v>-1.407395993878402E-2</v>
      </c>
      <c r="AS133" s="322">
        <f t="shared" si="231"/>
        <v>2.8097062579821364E-2</v>
      </c>
      <c r="AT133" s="322">
        <f t="shared" si="231"/>
        <v>-7.145118153953911E-2</v>
      </c>
      <c r="AU133" s="322">
        <f t="shared" si="231"/>
        <v>0.12621852831719571</v>
      </c>
      <c r="AV133" s="322">
        <f t="shared" si="231"/>
        <v>-4.7727708816027725E-3</v>
      </c>
      <c r="AW133" s="322">
        <f t="shared" si="231"/>
        <v>8.880295054964904E-3</v>
      </c>
      <c r="AX133" s="322">
        <f t="shared" si="231"/>
        <v>-6.624195880610606E-2</v>
      </c>
      <c r="AY133" s="5"/>
      <c r="AZ133" s="5"/>
    </row>
    <row r="134" spans="1:90" outlineLevel="1">
      <c r="C134" s="23"/>
      <c r="D134" s="23"/>
      <c r="E134" s="23"/>
      <c r="F134" s="23"/>
      <c r="G134" s="238"/>
      <c r="H134" s="238"/>
      <c r="I134" s="238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5"/>
      <c r="AZ134" s="5"/>
    </row>
    <row r="135" spans="1:90" s="202" customFormat="1" outlineLevel="1">
      <c r="A135" s="258" t="s">
        <v>120</v>
      </c>
      <c r="B135" s="202" t="s">
        <v>119</v>
      </c>
      <c r="C135" s="259">
        <f t="shared" ref="C135:I135" si="232">VLOOKUP($A135,CTRP,MATCH(C$5,Period_CTRP,FALSE),FALSE)</f>
        <v>534.64018299999998</v>
      </c>
      <c r="D135" s="259">
        <f t="shared" si="232"/>
        <v>689.66063099999997</v>
      </c>
      <c r="E135" s="259">
        <f t="shared" si="232"/>
        <v>935.68472899999995</v>
      </c>
      <c r="F135" s="259">
        <f t="shared" si="232"/>
        <v>1055.369205</v>
      </c>
      <c r="G135" s="426">
        <f t="shared" si="232"/>
        <v>1667.94535</v>
      </c>
      <c r="H135" s="426">
        <f t="shared" si="232"/>
        <v>2310.1988940000001</v>
      </c>
      <c r="I135" s="426">
        <f t="shared" si="232"/>
        <v>2970.383429</v>
      </c>
      <c r="J135" s="264">
        <f>J139*J143</f>
        <v>4888.4024431542857</v>
      </c>
      <c r="K135" s="264">
        <f t="shared" ref="K135:Q135" si="233">K139*K143</f>
        <v>6061.6190295113147</v>
      </c>
      <c r="L135" s="264">
        <f t="shared" si="233"/>
        <v>7249.6963592955317</v>
      </c>
      <c r="M135" s="264">
        <f t="shared" si="233"/>
        <v>8415.4475338702541</v>
      </c>
      <c r="N135" s="264">
        <f t="shared" si="233"/>
        <v>9531.6724947628063</v>
      </c>
      <c r="O135" s="264">
        <f t="shared" si="233"/>
        <v>10581.224016506128</v>
      </c>
      <c r="P135" s="264">
        <f t="shared" si="233"/>
        <v>11555.644703696571</v>
      </c>
      <c r="Q135" s="264">
        <f t="shared" si="233"/>
        <v>12453.191041315786</v>
      </c>
      <c r="R135" s="264">
        <f>R139*R143</f>
        <v>13276.812021113004</v>
      </c>
      <c r="S135" s="264">
        <f>S139*S143</f>
        <v>14032.393736288406</v>
      </c>
      <c r="T135" s="265"/>
      <c r="U135" s="510">
        <f>(K135/I135)^(1/2)-1</f>
        <v>0.42852571355426239</v>
      </c>
      <c r="V135" s="265"/>
      <c r="W135" s="259">
        <f t="shared" ref="W135:AP135" si="234">VLOOKUP($A135,CTRP,MATCH(W$5,Period_CTRP,FALSE),FALSE)</f>
        <v>235.208743</v>
      </c>
      <c r="X135" s="259">
        <f t="shared" si="234"/>
        <v>187.02442500000001</v>
      </c>
      <c r="Y135" s="259">
        <f t="shared" si="234"/>
        <v>319.56615599999998</v>
      </c>
      <c r="Z135" s="259">
        <f t="shared" si="234"/>
        <v>193.88540499999999</v>
      </c>
      <c r="AA135" s="259">
        <f t="shared" si="234"/>
        <v>259.22054800000001</v>
      </c>
      <c r="AB135" s="259">
        <f t="shared" si="234"/>
        <v>205.141896</v>
      </c>
      <c r="AC135" s="259">
        <f t="shared" si="234"/>
        <v>357.64316100000002</v>
      </c>
      <c r="AD135" s="259">
        <f t="shared" si="234"/>
        <v>233.36359999999999</v>
      </c>
      <c r="AE135" s="259">
        <f t="shared" si="234"/>
        <v>395.91224399999999</v>
      </c>
      <c r="AF135" s="259">
        <f t="shared" si="234"/>
        <v>329.37398899999999</v>
      </c>
      <c r="AG135" s="259">
        <f t="shared" si="234"/>
        <v>593.10435199999995</v>
      </c>
      <c r="AH135" s="259">
        <f t="shared" si="234"/>
        <v>349.55476499999997</v>
      </c>
      <c r="AI135" s="259">
        <f t="shared" si="234"/>
        <v>556.49554000000001</v>
      </c>
      <c r="AJ135" s="259">
        <f t="shared" si="234"/>
        <v>473.93145299999998</v>
      </c>
      <c r="AK135" s="259">
        <f t="shared" si="234"/>
        <v>813.26097600000003</v>
      </c>
      <c r="AL135" s="259">
        <f t="shared" si="234"/>
        <v>466.51092499999999</v>
      </c>
      <c r="AM135" s="259">
        <f t="shared" si="234"/>
        <v>701.832134</v>
      </c>
      <c r="AN135" s="259">
        <f t="shared" si="234"/>
        <v>612.297777</v>
      </c>
      <c r="AO135" s="259">
        <f t="shared" si="234"/>
        <v>1033.08854</v>
      </c>
      <c r="AP135" s="259">
        <f t="shared" si="234"/>
        <v>623.16497800000002</v>
      </c>
      <c r="AQ135" s="264">
        <f>AQ139*AQ143</f>
        <v>1028.6853849771428</v>
      </c>
      <c r="AR135" s="264">
        <f>AR139*AR143</f>
        <v>1039.1567986800001</v>
      </c>
      <c r="AS135" s="264">
        <f>AS139*AS143</f>
        <v>1620.4731670285717</v>
      </c>
      <c r="AT135" s="263">
        <f>J135-SUM(AQ135:AS135)</f>
        <v>1200.0870924685714</v>
      </c>
      <c r="AU135" s="264">
        <f>AU139*AU143</f>
        <v>1357.8647081698286</v>
      </c>
      <c r="AV135" s="264">
        <f>AV139*AV143</f>
        <v>1319.7291343236</v>
      </c>
      <c r="AW135" s="264">
        <f>AW139*AW143</f>
        <v>1928.363068764</v>
      </c>
      <c r="AX135" s="263">
        <f>K135-SUM(AU135:AW135)</f>
        <v>1455.6621182538865</v>
      </c>
      <c r="AY135" s="22"/>
      <c r="AZ135" s="22"/>
      <c r="BA135" s="265"/>
      <c r="BB135" s="265"/>
      <c r="BC135" s="265"/>
      <c r="BD135" s="265"/>
      <c r="BE135" s="265"/>
      <c r="BF135" s="265"/>
      <c r="BG135" s="265"/>
      <c r="BH135" s="265"/>
      <c r="BI135" s="265"/>
      <c r="BJ135" s="265"/>
      <c r="BK135" s="265"/>
      <c r="BL135" s="265"/>
      <c r="BM135" s="265"/>
      <c r="BN135" s="265"/>
      <c r="BO135" s="265"/>
      <c r="BP135" s="266"/>
      <c r="BQ135" s="266"/>
      <c r="BR135" s="266"/>
      <c r="BS135" s="266"/>
      <c r="BT135" s="266"/>
      <c r="BU135" s="266"/>
      <c r="BV135" s="266"/>
      <c r="BW135" s="266"/>
      <c r="BX135" s="266"/>
      <c r="BY135" s="266"/>
      <c r="BZ135" s="266"/>
      <c r="CA135" s="266"/>
      <c r="CF135" s="199"/>
      <c r="CG135" s="199"/>
      <c r="CH135" s="199"/>
      <c r="CI135" s="199"/>
      <c r="CJ135" s="199"/>
      <c r="CK135" s="200"/>
      <c r="CL135" s="201"/>
    </row>
    <row r="136" spans="1:90" outlineLevel="1">
      <c r="A136" s="242"/>
      <c r="B136" s="12" t="s">
        <v>82</v>
      </c>
      <c r="C136" s="23"/>
      <c r="D136" s="322">
        <f t="shared" ref="D136:S136" si="235">(D135/C135-1)*1</f>
        <v>0.28995285601269516</v>
      </c>
      <c r="E136" s="322">
        <f t="shared" si="235"/>
        <v>0.35673211858311804</v>
      </c>
      <c r="F136" s="322">
        <f t="shared" si="235"/>
        <v>0.12791111395812904</v>
      </c>
      <c r="G136" s="423">
        <f>(G135/F135-1)*1</f>
        <v>0.58043776727406038</v>
      </c>
      <c r="H136" s="322">
        <f>(H135/G135-1)*1</f>
        <v>0.38505670704378914</v>
      </c>
      <c r="I136" s="322">
        <f>(I135/H135-1)*1</f>
        <v>0.28576956586492064</v>
      </c>
      <c r="J136" s="322">
        <f t="shared" si="235"/>
        <v>0.64571428571428569</v>
      </c>
      <c r="K136" s="322">
        <f t="shared" si="235"/>
        <v>0.24</v>
      </c>
      <c r="L136" s="322">
        <f t="shared" si="235"/>
        <v>0.19599999999999995</v>
      </c>
      <c r="M136" s="322">
        <f t="shared" si="235"/>
        <v>0.16080000000000005</v>
      </c>
      <c r="N136" s="322">
        <f t="shared" si="235"/>
        <v>0.13264000000000009</v>
      </c>
      <c r="O136" s="322">
        <f t="shared" si="235"/>
        <v>0.11011199999999999</v>
      </c>
      <c r="P136" s="322">
        <f t="shared" si="235"/>
        <v>9.2089599999999994E-2</v>
      </c>
      <c r="Q136" s="322">
        <f t="shared" si="235"/>
        <v>7.767167999999991E-2</v>
      </c>
      <c r="R136" s="322">
        <f t="shared" si="235"/>
        <v>6.6137343999999931E-2</v>
      </c>
      <c r="S136" s="322">
        <f t="shared" si="235"/>
        <v>5.6909875200000126E-2</v>
      </c>
      <c r="W136" s="322"/>
      <c r="X136" s="322"/>
      <c r="Y136" s="322"/>
      <c r="Z136" s="322"/>
      <c r="AA136" s="322">
        <f t="shared" ref="AA136:AL136" si="236">(AA135/W135-1)*1</f>
        <v>0.10208721280399002</v>
      </c>
      <c r="AB136" s="322">
        <f t="shared" si="236"/>
        <v>9.6872218695499335E-2</v>
      </c>
      <c r="AC136" s="322">
        <f t="shared" si="236"/>
        <v>0.11915218268607908</v>
      </c>
      <c r="AD136" s="322">
        <f t="shared" si="236"/>
        <v>0.20361612572127341</v>
      </c>
      <c r="AE136" s="322">
        <f t="shared" si="236"/>
        <v>0.52731813528918225</v>
      </c>
      <c r="AF136" s="322">
        <f t="shared" si="236"/>
        <v>0.6055910344125901</v>
      </c>
      <c r="AG136" s="322">
        <f t="shared" si="236"/>
        <v>0.65836905797843537</v>
      </c>
      <c r="AH136" s="322">
        <f t="shared" si="236"/>
        <v>0.49789755128906132</v>
      </c>
      <c r="AI136" s="322">
        <f t="shared" si="236"/>
        <v>0.40560325787752105</v>
      </c>
      <c r="AJ136" s="322">
        <f t="shared" si="236"/>
        <v>0.43888548831340768</v>
      </c>
      <c r="AK136" s="322">
        <f t="shared" si="236"/>
        <v>0.37119374231130253</v>
      </c>
      <c r="AL136" s="322">
        <f t="shared" si="236"/>
        <v>0.33458608410044133</v>
      </c>
      <c r="AM136" s="322">
        <f>(AM135/AI135-1)*1</f>
        <v>0.26116398704650901</v>
      </c>
      <c r="AN136" s="322">
        <f>(AN135/AJ135-1)*1</f>
        <v>0.29195429660584282</v>
      </c>
      <c r="AO136" s="322">
        <f>(AO135/AK135-1)*1</f>
        <v>0.27030383909629507</v>
      </c>
      <c r="AP136" s="322">
        <f>(AP135/AL135-1)*1</f>
        <v>0.33579932345635854</v>
      </c>
      <c r="AQ136" s="322">
        <f t="shared" ref="AQ136:AX136" si="237">(AQ135/AM135-1)*1</f>
        <v>0.46571428571428575</v>
      </c>
      <c r="AR136" s="322">
        <f t="shared" si="237"/>
        <v>0.69714285714285729</v>
      </c>
      <c r="AS136" s="322">
        <f t="shared" si="237"/>
        <v>0.56857142857142895</v>
      </c>
      <c r="AT136" s="322">
        <f t="shared" si="237"/>
        <v>0.92579354558749194</v>
      </c>
      <c r="AU136" s="322">
        <f t="shared" si="237"/>
        <v>0.32000000000000006</v>
      </c>
      <c r="AV136" s="322">
        <f t="shared" si="237"/>
        <v>0.2699999999999998</v>
      </c>
      <c r="AW136" s="322">
        <f t="shared" si="237"/>
        <v>0.18999999999999972</v>
      </c>
      <c r="AX136" s="322">
        <f t="shared" si="237"/>
        <v>0.21296373187349182</v>
      </c>
      <c r="AY136" s="5"/>
      <c r="AZ136" s="5"/>
    </row>
    <row r="137" spans="1:90" outlineLevel="1">
      <c r="A137" s="242"/>
      <c r="B137" s="12" t="s">
        <v>83</v>
      </c>
      <c r="C137" s="23"/>
      <c r="D137" s="23"/>
      <c r="E137" s="23"/>
      <c r="F137" s="23"/>
      <c r="G137" s="410"/>
      <c r="H137" s="410"/>
      <c r="I137" s="410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W137" s="322"/>
      <c r="X137" s="322">
        <f t="shared" ref="X137:AL137" si="238">(X135/W135-1)*1</f>
        <v>-0.20485768252245617</v>
      </c>
      <c r="Y137" s="322">
        <f t="shared" si="238"/>
        <v>0.70868674506017038</v>
      </c>
      <c r="Z137" s="322">
        <f t="shared" si="238"/>
        <v>-0.3932855486736837</v>
      </c>
      <c r="AA137" s="322">
        <f t="shared" si="238"/>
        <v>0.33697813922610642</v>
      </c>
      <c r="AB137" s="322">
        <f t="shared" si="238"/>
        <v>-0.20862023638650751</v>
      </c>
      <c r="AC137" s="322">
        <f t="shared" si="238"/>
        <v>0.74339405052588581</v>
      </c>
      <c r="AD137" s="322">
        <f t="shared" si="238"/>
        <v>-0.34749598077733135</v>
      </c>
      <c r="AE137" s="322">
        <f t="shared" si="238"/>
        <v>0.69654669365745137</v>
      </c>
      <c r="AF137" s="322">
        <f t="shared" si="238"/>
        <v>-0.16806314027509595</v>
      </c>
      <c r="AG137" s="322">
        <f t="shared" si="238"/>
        <v>0.80070185202147193</v>
      </c>
      <c r="AH137" s="322">
        <f t="shared" si="238"/>
        <v>-0.41063530587615715</v>
      </c>
      <c r="AI137" s="322">
        <f t="shared" si="238"/>
        <v>0.59201245618837461</v>
      </c>
      <c r="AJ137" s="322">
        <f t="shared" si="238"/>
        <v>-0.14836432831069957</v>
      </c>
      <c r="AK137" s="322">
        <f t="shared" si="238"/>
        <v>0.71598861154294413</v>
      </c>
      <c r="AL137" s="322">
        <f t="shared" si="238"/>
        <v>-0.42636996146732609</v>
      </c>
      <c r="AM137" s="322">
        <f>(AM135/AL135-1)*1</f>
        <v>0.50442807743462814</v>
      </c>
      <c r="AN137" s="322">
        <f>(AN135/AM135-1)*1</f>
        <v>-0.12757232486593439</v>
      </c>
      <c r="AO137" s="322">
        <f>(AO135/AN135-1)*1</f>
        <v>0.68723222393799399</v>
      </c>
      <c r="AP137" s="322">
        <f>(AP135/AO135-1)*1</f>
        <v>-0.39679422056119218</v>
      </c>
      <c r="AQ137" s="322">
        <f t="shared" ref="AQ137:AX137" si="239">(AQ135/AP135-1)*1</f>
        <v>0.65074325626999974</v>
      </c>
      <c r="AR137" s="322">
        <f t="shared" si="239"/>
        <v>1.0179413313128771E-2</v>
      </c>
      <c r="AS137" s="322">
        <f t="shared" si="239"/>
        <v>0.55941160091238862</v>
      </c>
      <c r="AT137" s="322">
        <f t="shared" si="239"/>
        <v>-0.25942180537975434</v>
      </c>
      <c r="AU137" s="322">
        <f t="shared" si="239"/>
        <v>0.13147180458104057</v>
      </c>
      <c r="AV137" s="322">
        <f t="shared" si="239"/>
        <v>-2.8084958403277849E-2</v>
      </c>
      <c r="AW137" s="322">
        <f t="shared" si="239"/>
        <v>0.46118094888641137</v>
      </c>
      <c r="AX137" s="322">
        <f t="shared" si="239"/>
        <v>-0.24513068009184336</v>
      </c>
      <c r="AY137" s="5"/>
      <c r="AZ137" s="5"/>
    </row>
    <row r="138" spans="1:90" outlineLevel="1">
      <c r="C138" s="23"/>
      <c r="D138" s="23"/>
      <c r="E138" s="23"/>
      <c r="F138" s="23"/>
      <c r="G138" s="410"/>
      <c r="H138" s="410"/>
      <c r="I138" s="410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5"/>
      <c r="AZ138" s="5"/>
    </row>
    <row r="139" spans="1:90" outlineLevel="1">
      <c r="A139" s="242" t="s">
        <v>130</v>
      </c>
      <c r="B139" s="12" t="s">
        <v>121</v>
      </c>
      <c r="C139" s="250">
        <f t="shared" ref="C139:I139" si="240">VLOOKUP($A139,CTRP,MATCH(C$5,Period_CTRP,FALSE),FALSE)</f>
        <v>4455.3348583333336</v>
      </c>
      <c r="D139" s="250">
        <f t="shared" si="240"/>
        <v>5747.1719249999996</v>
      </c>
      <c r="E139" s="250">
        <f t="shared" si="240"/>
        <v>7797.3727416666661</v>
      </c>
      <c r="F139" s="250">
        <f t="shared" si="240"/>
        <v>10553.69205</v>
      </c>
      <c r="G139" s="427">
        <f t="shared" si="240"/>
        <v>18532.726111111111</v>
      </c>
      <c r="H139" s="427">
        <f t="shared" si="240"/>
        <v>28877.486175000002</v>
      </c>
      <c r="I139" s="427">
        <f t="shared" si="240"/>
        <v>42434.048985714282</v>
      </c>
      <c r="J139" s="272">
        <f>I139*(1+J140)</f>
        <v>54315.58270171428</v>
      </c>
      <c r="K139" s="272">
        <f t="shared" ref="K139:S139" si="241">J139*(1+K140)</f>
        <v>67351.322550125711</v>
      </c>
      <c r="L139" s="272">
        <f t="shared" si="241"/>
        <v>80552.181769950344</v>
      </c>
      <c r="M139" s="272">
        <f t="shared" si="241"/>
        <v>93504.972598558365</v>
      </c>
      <c r="N139" s="272">
        <f t="shared" si="241"/>
        <v>105907.47216403116</v>
      </c>
      <c r="O139" s="272">
        <f t="shared" si="241"/>
        <v>117569.15573895696</v>
      </c>
      <c r="P139" s="272">
        <f t="shared" si="241"/>
        <v>128396.05226329522</v>
      </c>
      <c r="Q139" s="272">
        <f t="shared" si="241"/>
        <v>138368.78934795316</v>
      </c>
      <c r="R139" s="272">
        <f t="shared" si="241"/>
        <v>147520.13356792225</v>
      </c>
      <c r="S139" s="272">
        <f t="shared" si="241"/>
        <v>155915.48595876005</v>
      </c>
      <c r="W139" s="250">
        <f t="shared" ref="W139:AP139" si="242">VLOOKUP($A139,CTRP,MATCH(W$5,Period_CTRP,FALSE),FALSE)</f>
        <v>1960.0728583333334</v>
      </c>
      <c r="X139" s="250">
        <f t="shared" si="242"/>
        <v>1558.5368750000002</v>
      </c>
      <c r="Y139" s="250">
        <f t="shared" si="242"/>
        <v>2663.0513000000001</v>
      </c>
      <c r="Z139" s="250">
        <f t="shared" si="242"/>
        <v>1615.7117083333333</v>
      </c>
      <c r="AA139" s="250">
        <f t="shared" si="242"/>
        <v>2592.2054800000001</v>
      </c>
      <c r="AB139" s="250">
        <f t="shared" si="242"/>
        <v>2051.41896</v>
      </c>
      <c r="AC139" s="250">
        <f t="shared" si="242"/>
        <v>3576.4316100000001</v>
      </c>
      <c r="AD139" s="250">
        <f t="shared" si="242"/>
        <v>2333.636</v>
      </c>
      <c r="AE139" s="250">
        <f t="shared" si="242"/>
        <v>4399.0249333333331</v>
      </c>
      <c r="AF139" s="250">
        <f t="shared" si="242"/>
        <v>3659.710988888889</v>
      </c>
      <c r="AG139" s="250">
        <f t="shared" si="242"/>
        <v>6590.0483555555556</v>
      </c>
      <c r="AH139" s="250">
        <f t="shared" si="242"/>
        <v>3883.9418333333333</v>
      </c>
      <c r="AI139" s="250">
        <f t="shared" si="242"/>
        <v>6956.1942499999996</v>
      </c>
      <c r="AJ139" s="250">
        <f t="shared" si="242"/>
        <v>5924.1431624999996</v>
      </c>
      <c r="AK139" s="250">
        <f t="shared" si="242"/>
        <v>10165.762200000001</v>
      </c>
      <c r="AL139" s="250">
        <f t="shared" si="242"/>
        <v>5831.3865624999999</v>
      </c>
      <c r="AM139" s="250">
        <f t="shared" si="242"/>
        <v>10026.173342857142</v>
      </c>
      <c r="AN139" s="250">
        <f t="shared" si="242"/>
        <v>8747.1110999999983</v>
      </c>
      <c r="AO139" s="250">
        <f t="shared" si="242"/>
        <v>14758.407714285713</v>
      </c>
      <c r="AP139" s="250">
        <f t="shared" si="242"/>
        <v>8902.3568285714282</v>
      </c>
      <c r="AQ139" s="274">
        <f>AM139*(1+AQ140)</f>
        <v>11429.837610857141</v>
      </c>
      <c r="AR139" s="274">
        <f>AN139*(1+AR140)</f>
        <v>11546.186651999999</v>
      </c>
      <c r="AS139" s="274">
        <f>AO139*(1+AS140)</f>
        <v>18005.257411428571</v>
      </c>
      <c r="AT139" s="296">
        <f>J139-SUM(AQ139:AS139)</f>
        <v>13334.30102742857</v>
      </c>
      <c r="AU139" s="274">
        <f>AQ139*(1+AU140)</f>
        <v>15087.385646331428</v>
      </c>
      <c r="AV139" s="274">
        <f>AR139*(1+AV140)</f>
        <v>14663.657048039999</v>
      </c>
      <c r="AW139" s="274">
        <f>AS139*(1+AW140)</f>
        <v>21426.256319599997</v>
      </c>
      <c r="AX139" s="296">
        <f>K139-SUM(AU139:AW139)</f>
        <v>16174.023536154287</v>
      </c>
      <c r="AY139" s="62"/>
      <c r="AZ139" s="62"/>
    </row>
    <row r="140" spans="1:90" outlineLevel="1">
      <c r="A140" s="242"/>
      <c r="B140" s="12" t="s">
        <v>82</v>
      </c>
      <c r="C140" s="23"/>
      <c r="D140" s="322">
        <f t="shared" ref="D140:I140" si="243">(D139/C139-1)*1</f>
        <v>0.28995285601269494</v>
      </c>
      <c r="E140" s="322">
        <f t="shared" si="243"/>
        <v>0.35673211858311804</v>
      </c>
      <c r="F140" s="322">
        <f t="shared" si="243"/>
        <v>0.35349333674975481</v>
      </c>
      <c r="G140" s="423">
        <f t="shared" si="243"/>
        <v>0.75604196363784482</v>
      </c>
      <c r="H140" s="322">
        <f t="shared" si="243"/>
        <v>0.55818879542426258</v>
      </c>
      <c r="I140" s="322">
        <f t="shared" si="243"/>
        <v>0.46945093241705194</v>
      </c>
      <c r="J140" s="341">
        <f>J55+2%</f>
        <v>0.28000000000000003</v>
      </c>
      <c r="K140" s="341">
        <f t="shared" ref="K140:Q140" si="244">K55+2%</f>
        <v>0.24</v>
      </c>
      <c r="L140" s="341">
        <f t="shared" si="244"/>
        <v>0.19600000000000001</v>
      </c>
      <c r="M140" s="341">
        <f t="shared" si="244"/>
        <v>0.1608</v>
      </c>
      <c r="N140" s="341">
        <f t="shared" si="244"/>
        <v>0.13264000000000001</v>
      </c>
      <c r="O140" s="341">
        <f t="shared" si="244"/>
        <v>0.11011200000000003</v>
      </c>
      <c r="P140" s="341">
        <f t="shared" si="244"/>
        <v>9.2089600000000021E-2</v>
      </c>
      <c r="Q140" s="341">
        <f t="shared" si="244"/>
        <v>7.7671680000000021E-2</v>
      </c>
      <c r="R140" s="341">
        <f>R55+2%</f>
        <v>6.6137344000000015E-2</v>
      </c>
      <c r="S140" s="341">
        <f>S55+2%</f>
        <v>5.6909875200000015E-2</v>
      </c>
      <c r="W140" s="322"/>
      <c r="X140" s="322"/>
      <c r="Y140" s="322"/>
      <c r="Z140" s="322"/>
      <c r="AA140" s="322">
        <f t="shared" ref="AA140:AL140" si="245">(AA139/W139-1)*1</f>
        <v>0.3225046553647879</v>
      </c>
      <c r="AB140" s="322">
        <f t="shared" si="245"/>
        <v>0.31624666243459898</v>
      </c>
      <c r="AC140" s="322">
        <f t="shared" si="245"/>
        <v>0.34298261922329476</v>
      </c>
      <c r="AD140" s="322">
        <f t="shared" si="245"/>
        <v>0.444339350865528</v>
      </c>
      <c r="AE140" s="322">
        <f t="shared" si="245"/>
        <v>0.69702015032131359</v>
      </c>
      <c r="AF140" s="322">
        <f t="shared" si="245"/>
        <v>0.7839900382362115</v>
      </c>
      <c r="AG140" s="322">
        <f t="shared" si="245"/>
        <v>0.84263228664270629</v>
      </c>
      <c r="AH140" s="322">
        <f t="shared" si="245"/>
        <v>0.66433061254340142</v>
      </c>
      <c r="AI140" s="322">
        <f t="shared" si="245"/>
        <v>0.58130366511221099</v>
      </c>
      <c r="AJ140" s="322">
        <f t="shared" si="245"/>
        <v>0.6187461743525835</v>
      </c>
      <c r="AK140" s="322">
        <f t="shared" si="245"/>
        <v>0.54259296010021529</v>
      </c>
      <c r="AL140" s="322">
        <f t="shared" si="245"/>
        <v>0.50140934461299635</v>
      </c>
      <c r="AM140" s="322">
        <f>(AM139/AI139-1)*1</f>
        <v>0.44133027091029597</v>
      </c>
      <c r="AN140" s="322">
        <f>(AN139/AJ139-1)*1</f>
        <v>0.47651919612096294</v>
      </c>
      <c r="AO140" s="322">
        <f>(AO139/AK139-1)*1</f>
        <v>0.45177581611005135</v>
      </c>
      <c r="AP140" s="322">
        <f>(AP139/AL139-1)*1</f>
        <v>0.52662779823583827</v>
      </c>
      <c r="AQ140" s="347">
        <f>AQ55+2%</f>
        <v>0.13999999999999999</v>
      </c>
      <c r="AR140" s="347">
        <f>AR55+2%</f>
        <v>0.32</v>
      </c>
      <c r="AS140" s="347">
        <f>AS55+2%</f>
        <v>0.22</v>
      </c>
      <c r="AT140" s="322">
        <f>(AT139/AP139-1)*1</f>
        <v>0.49783942434582706</v>
      </c>
      <c r="AU140" s="347">
        <f>AU55+2%</f>
        <v>0.32</v>
      </c>
      <c r="AV140" s="347">
        <f>AV55+2%</f>
        <v>0.27</v>
      </c>
      <c r="AW140" s="347">
        <f>AW55+2%</f>
        <v>0.19</v>
      </c>
      <c r="AX140" s="322">
        <f>(AX139/AT139-1)*1</f>
        <v>0.21296373187349138</v>
      </c>
      <c r="AY140" s="37"/>
      <c r="AZ140" s="37"/>
    </row>
    <row r="141" spans="1:90" outlineLevel="1">
      <c r="A141" s="242"/>
      <c r="B141" s="12" t="s">
        <v>83</v>
      </c>
      <c r="C141" s="23"/>
      <c r="D141" s="23"/>
      <c r="E141" s="23"/>
      <c r="F141" s="23"/>
      <c r="G141" s="410"/>
      <c r="H141" s="410"/>
      <c r="I141" s="410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W141" s="322"/>
      <c r="X141" s="322">
        <f t="shared" ref="X141:AL141" si="246">(X139/W139-1)*1</f>
        <v>-0.20485768252245617</v>
      </c>
      <c r="Y141" s="322">
        <f t="shared" si="246"/>
        <v>0.70868674506017038</v>
      </c>
      <c r="Z141" s="322">
        <f t="shared" si="246"/>
        <v>-0.3932855486736837</v>
      </c>
      <c r="AA141" s="322">
        <f t="shared" si="246"/>
        <v>0.60437376707132762</v>
      </c>
      <c r="AB141" s="322">
        <f t="shared" si="246"/>
        <v>-0.20862023638650751</v>
      </c>
      <c r="AC141" s="322">
        <f t="shared" si="246"/>
        <v>0.74339405052588581</v>
      </c>
      <c r="AD141" s="322">
        <f t="shared" si="246"/>
        <v>-0.34749598077733135</v>
      </c>
      <c r="AE141" s="322">
        <f t="shared" si="246"/>
        <v>0.88505188184161243</v>
      </c>
      <c r="AF141" s="322">
        <f t="shared" si="246"/>
        <v>-0.16806314027509583</v>
      </c>
      <c r="AG141" s="322">
        <f t="shared" si="246"/>
        <v>0.80070185202147215</v>
      </c>
      <c r="AH141" s="322">
        <f t="shared" si="246"/>
        <v>-0.41063530587615715</v>
      </c>
      <c r="AI141" s="322">
        <f t="shared" si="246"/>
        <v>0.791014013211921</v>
      </c>
      <c r="AJ141" s="322">
        <f t="shared" si="246"/>
        <v>-0.14836432831069946</v>
      </c>
      <c r="AK141" s="322">
        <f t="shared" si="246"/>
        <v>0.71598861154294435</v>
      </c>
      <c r="AL141" s="322">
        <f t="shared" si="246"/>
        <v>-0.4263699614673262</v>
      </c>
      <c r="AM141" s="322">
        <f>(AM139/AL139-1)*1</f>
        <v>0.71934637421100356</v>
      </c>
      <c r="AN141" s="322">
        <f>(AN139/AM139-1)*1</f>
        <v>-0.12757232486593451</v>
      </c>
      <c r="AO141" s="322">
        <f>(AO139/AN139-1)*1</f>
        <v>0.68723222393799444</v>
      </c>
      <c r="AP141" s="322">
        <f>(AP139/AO139-1)*1</f>
        <v>-0.39679422056119218</v>
      </c>
      <c r="AQ141" s="322">
        <f t="shared" ref="AQ141:AX141" si="247">(AQ139/AP139-1)*1</f>
        <v>0.28391142154333315</v>
      </c>
      <c r="AR141" s="322">
        <f t="shared" si="247"/>
        <v>1.0179413313128549E-2</v>
      </c>
      <c r="AS141" s="322">
        <f t="shared" si="247"/>
        <v>0.55941160091238862</v>
      </c>
      <c r="AT141" s="322">
        <f t="shared" si="247"/>
        <v>-0.25942180537975423</v>
      </c>
      <c r="AU141" s="322">
        <f t="shared" si="247"/>
        <v>0.13147180458104057</v>
      </c>
      <c r="AV141" s="322">
        <f t="shared" si="247"/>
        <v>-2.8084958403277849E-2</v>
      </c>
      <c r="AW141" s="322">
        <f t="shared" si="247"/>
        <v>0.46118094888641115</v>
      </c>
      <c r="AX141" s="322">
        <f t="shared" si="247"/>
        <v>-0.24513068009184369</v>
      </c>
      <c r="AY141" s="5"/>
      <c r="AZ141" s="5"/>
    </row>
    <row r="142" spans="1:90" outlineLevel="1">
      <c r="A142" s="242"/>
      <c r="B142" s="12"/>
      <c r="C142" s="23"/>
      <c r="D142" s="23"/>
      <c r="E142" s="23"/>
      <c r="F142" s="23"/>
      <c r="G142" s="410"/>
      <c r="H142" s="410"/>
      <c r="I142" s="410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5"/>
      <c r="AZ142" s="5"/>
    </row>
    <row r="143" spans="1:90" outlineLevel="1">
      <c r="A143" s="242" t="s">
        <v>149</v>
      </c>
      <c r="B143" s="12" t="s">
        <v>122</v>
      </c>
      <c r="C143" s="322">
        <f t="shared" ref="C143:I143" si="248">VLOOKUP($A143,CTRP,MATCH(C$5,Period_CTRP,FALSE),FALSE)</f>
        <v>0.12</v>
      </c>
      <c r="D143" s="322">
        <f t="shared" si="248"/>
        <v>0.12</v>
      </c>
      <c r="E143" s="322">
        <f t="shared" si="248"/>
        <v>0.12</v>
      </c>
      <c r="F143" s="322">
        <f t="shared" si="248"/>
        <v>0.1</v>
      </c>
      <c r="G143" s="322">
        <f t="shared" si="248"/>
        <v>0.09</v>
      </c>
      <c r="H143" s="322">
        <f t="shared" si="248"/>
        <v>0.08</v>
      </c>
      <c r="I143" s="322">
        <f t="shared" si="248"/>
        <v>7.0000000000000007E-2</v>
      </c>
      <c r="J143" s="341">
        <f>J58+2%</f>
        <v>9.0000000000000011E-2</v>
      </c>
      <c r="K143" s="341">
        <f t="shared" ref="K143:Q143" si="249">K58+2%</f>
        <v>9.0000000000000011E-2</v>
      </c>
      <c r="L143" s="341">
        <f t="shared" si="249"/>
        <v>9.0000000000000011E-2</v>
      </c>
      <c r="M143" s="341">
        <f t="shared" si="249"/>
        <v>9.0000000000000011E-2</v>
      </c>
      <c r="N143" s="341">
        <f t="shared" si="249"/>
        <v>9.0000000000000011E-2</v>
      </c>
      <c r="O143" s="341">
        <f t="shared" si="249"/>
        <v>9.0000000000000011E-2</v>
      </c>
      <c r="P143" s="341">
        <f t="shared" si="249"/>
        <v>9.0000000000000011E-2</v>
      </c>
      <c r="Q143" s="341">
        <f t="shared" si="249"/>
        <v>9.0000000000000011E-2</v>
      </c>
      <c r="R143" s="341">
        <f>R58+2%</f>
        <v>9.0000000000000011E-2</v>
      </c>
      <c r="S143" s="341">
        <f>S58+2%</f>
        <v>9.0000000000000011E-2</v>
      </c>
      <c r="W143" s="322">
        <f t="shared" ref="W143:AP143" si="250">VLOOKUP($A143,CTRP,MATCH(W$5,Period_CTRP,FALSE),FALSE)</f>
        <v>0.12</v>
      </c>
      <c r="X143" s="322">
        <f t="shared" si="250"/>
        <v>0.12</v>
      </c>
      <c r="Y143" s="322">
        <f t="shared" si="250"/>
        <v>0.12</v>
      </c>
      <c r="Z143" s="322">
        <f t="shared" si="250"/>
        <v>0.12</v>
      </c>
      <c r="AA143" s="322">
        <f t="shared" si="250"/>
        <v>0.1</v>
      </c>
      <c r="AB143" s="322">
        <f t="shared" si="250"/>
        <v>0.1</v>
      </c>
      <c r="AC143" s="322">
        <f t="shared" si="250"/>
        <v>0.1</v>
      </c>
      <c r="AD143" s="322">
        <f t="shared" si="250"/>
        <v>0.1</v>
      </c>
      <c r="AE143" s="322">
        <f t="shared" si="250"/>
        <v>0.09</v>
      </c>
      <c r="AF143" s="322">
        <f t="shared" si="250"/>
        <v>0.09</v>
      </c>
      <c r="AG143" s="322">
        <f t="shared" si="250"/>
        <v>0.09</v>
      </c>
      <c r="AH143" s="322">
        <f t="shared" si="250"/>
        <v>0.09</v>
      </c>
      <c r="AI143" s="322">
        <f t="shared" si="250"/>
        <v>0.08</v>
      </c>
      <c r="AJ143" s="322">
        <f t="shared" si="250"/>
        <v>0.08</v>
      </c>
      <c r="AK143" s="322">
        <f t="shared" si="250"/>
        <v>0.08</v>
      </c>
      <c r="AL143" s="322">
        <f t="shared" si="250"/>
        <v>0.08</v>
      </c>
      <c r="AM143" s="322">
        <f t="shared" si="250"/>
        <v>7.0000000000000007E-2</v>
      </c>
      <c r="AN143" s="322">
        <f t="shared" si="250"/>
        <v>7.0000000000000007E-2</v>
      </c>
      <c r="AO143" s="322">
        <f t="shared" si="250"/>
        <v>7.0000000000000007E-2</v>
      </c>
      <c r="AP143" s="322">
        <f t="shared" si="250"/>
        <v>7.0000000000000007E-2</v>
      </c>
      <c r="AQ143" s="240">
        <f>AQ58+2%</f>
        <v>9.0000000000000011E-2</v>
      </c>
      <c r="AR143" s="240">
        <f>AR58+2%</f>
        <v>9.0000000000000011E-2</v>
      </c>
      <c r="AS143" s="240">
        <f>AS58+2%</f>
        <v>9.0000000000000011E-2</v>
      </c>
      <c r="AT143" s="322">
        <f>AT135/AT139</f>
        <v>9.0000000000000011E-2</v>
      </c>
      <c r="AU143" s="240">
        <f>AU58+2%</f>
        <v>9.0000000000000011E-2</v>
      </c>
      <c r="AV143" s="240">
        <f>AV58+2%</f>
        <v>9.0000000000000011E-2</v>
      </c>
      <c r="AW143" s="240">
        <f>AW58+2%</f>
        <v>9.0000000000000011E-2</v>
      </c>
      <c r="AX143" s="322">
        <f>AX135/AX139</f>
        <v>9.0000000000000038E-2</v>
      </c>
      <c r="AY143" s="37"/>
      <c r="AZ143" s="37"/>
    </row>
    <row r="144" spans="1:90" outlineLevel="1">
      <c r="A144" s="242"/>
      <c r="B144" s="12" t="s">
        <v>304</v>
      </c>
      <c r="C144" s="250"/>
      <c r="D144" s="250"/>
      <c r="E144" s="250"/>
      <c r="F144" s="250"/>
      <c r="G144" s="238"/>
      <c r="H144" s="238"/>
      <c r="I144" s="238"/>
      <c r="J144" s="295"/>
      <c r="K144" s="295"/>
      <c r="L144" s="295"/>
      <c r="M144" s="295"/>
      <c r="N144" s="295"/>
      <c r="O144" s="295"/>
      <c r="P144" s="295"/>
      <c r="Q144" s="295"/>
      <c r="R144" s="295"/>
      <c r="S144" s="295"/>
      <c r="W144" s="250"/>
      <c r="X144" s="250"/>
      <c r="Y144" s="250"/>
      <c r="Z144" s="250"/>
      <c r="AA144" s="250"/>
      <c r="AB144" s="250"/>
      <c r="AC144" s="250"/>
      <c r="AD144" s="250"/>
      <c r="AE144" s="250"/>
      <c r="AF144" s="295"/>
      <c r="AG144" s="295"/>
      <c r="AH144" s="295"/>
      <c r="AI144" s="295"/>
      <c r="AJ144" s="295"/>
      <c r="AK144" s="295"/>
      <c r="AL144" s="295"/>
      <c r="AM144" s="295"/>
      <c r="AN144" s="295"/>
      <c r="AO144" s="295"/>
      <c r="AP144" s="295"/>
      <c r="AQ144" s="295"/>
      <c r="AR144" s="295"/>
      <c r="AS144" s="295"/>
      <c r="AT144" s="295"/>
      <c r="AU144" s="295"/>
      <c r="AV144" s="295"/>
      <c r="AW144" s="295"/>
      <c r="AX144" s="295"/>
      <c r="AY144" s="37"/>
      <c r="AZ144" s="37"/>
    </row>
    <row r="145" spans="1:90" outlineLevel="1">
      <c r="C145" s="23"/>
      <c r="D145" s="23"/>
      <c r="E145" s="23"/>
      <c r="F145" s="23"/>
      <c r="G145" s="238"/>
      <c r="H145" s="238"/>
      <c r="I145" s="238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5"/>
      <c r="AZ145" s="5"/>
    </row>
    <row r="146" spans="1:90" s="202" customFormat="1" outlineLevel="1">
      <c r="A146" s="258" t="s">
        <v>123</v>
      </c>
      <c r="B146" s="202" t="s">
        <v>16</v>
      </c>
      <c r="C146" s="259">
        <f t="shared" ref="C146:I146" si="251">VLOOKUP($A146,CTRP,MATCH(C$5,Period_CTRP,FALSE),FALSE)</f>
        <v>161.61012299999999</v>
      </c>
      <c r="D146" s="259">
        <f t="shared" si="251"/>
        <v>199.756068</v>
      </c>
      <c r="E146" s="259">
        <f t="shared" si="251"/>
        <v>266.98853400000002</v>
      </c>
      <c r="F146" s="259">
        <f t="shared" si="251"/>
        <v>373.40701200000001</v>
      </c>
      <c r="G146" s="426">
        <f t="shared" si="251"/>
        <v>473.24543999999997</v>
      </c>
      <c r="H146" s="426">
        <f t="shared" si="251"/>
        <v>608.12212499999998</v>
      </c>
      <c r="I146" s="426">
        <f t="shared" si="251"/>
        <v>753.21890399999995</v>
      </c>
      <c r="J146" s="264">
        <f t="shared" ref="J146:S146" si="252">I146*(1+J147/100)</f>
        <v>754.87598558879995</v>
      </c>
      <c r="K146" s="264">
        <f t="shared" si="252"/>
        <v>756.38573755997754</v>
      </c>
      <c r="L146" s="264">
        <f t="shared" si="252"/>
        <v>757.74723188758549</v>
      </c>
      <c r="M146" s="264">
        <f t="shared" si="252"/>
        <v>758.95962745860561</v>
      </c>
      <c r="N146" s="264">
        <f t="shared" si="252"/>
        <v>760.02217093704769</v>
      </c>
      <c r="O146" s="264">
        <f t="shared" si="252"/>
        <v>760.93419754217223</v>
      </c>
      <c r="P146" s="264">
        <f t="shared" si="252"/>
        <v>761.69513173971427</v>
      </c>
      <c r="Q146" s="264">
        <f t="shared" si="252"/>
        <v>762.304487845106</v>
      </c>
      <c r="R146" s="264">
        <f t="shared" si="252"/>
        <v>762.76187053781302</v>
      </c>
      <c r="S146" s="264">
        <f t="shared" si="252"/>
        <v>763.21952766013567</v>
      </c>
      <c r="T146" s="265"/>
      <c r="U146" s="510">
        <f>(K146/I146)^(1/2)-1</f>
        <v>2.099995010477862E-3</v>
      </c>
      <c r="V146" s="265"/>
      <c r="W146" s="259">
        <f t="shared" ref="W146:AP146" si="253">VLOOKUP($A146,CTRP,MATCH(W$5,Period_CTRP,FALSE),FALSE)</f>
        <v>50.973700999999998</v>
      </c>
      <c r="X146" s="259">
        <f t="shared" si="253"/>
        <v>65.944002999999995</v>
      </c>
      <c r="Y146" s="259">
        <f t="shared" si="253"/>
        <v>71.852907000000002</v>
      </c>
      <c r="Z146" s="259">
        <f t="shared" si="253"/>
        <v>78.217922999999999</v>
      </c>
      <c r="AA146" s="259">
        <f t="shared" si="253"/>
        <v>70.956328999999997</v>
      </c>
      <c r="AB146" s="259">
        <f t="shared" si="253"/>
        <v>90.442575000000005</v>
      </c>
      <c r="AC146" s="259">
        <f t="shared" si="253"/>
        <v>103.858502</v>
      </c>
      <c r="AD146" s="259">
        <f t="shared" si="253"/>
        <v>108.14960600000001</v>
      </c>
      <c r="AE146" s="259">
        <f t="shared" si="253"/>
        <v>92.713417000000007</v>
      </c>
      <c r="AF146" s="259">
        <f t="shared" si="253"/>
        <v>120.746346</v>
      </c>
      <c r="AG146" s="259">
        <f t="shared" si="253"/>
        <v>124.01266200000001</v>
      </c>
      <c r="AH146" s="259">
        <f t="shared" si="253"/>
        <v>135.77301499999999</v>
      </c>
      <c r="AI146" s="259">
        <f t="shared" si="253"/>
        <v>115.63206099999999</v>
      </c>
      <c r="AJ146" s="259">
        <f t="shared" si="253"/>
        <v>147.096362</v>
      </c>
      <c r="AK146" s="259">
        <f t="shared" si="253"/>
        <v>166.33779100000001</v>
      </c>
      <c r="AL146" s="259">
        <f t="shared" si="253"/>
        <v>179.05591100000001</v>
      </c>
      <c r="AM146" s="259">
        <f t="shared" si="253"/>
        <v>144.48166599999999</v>
      </c>
      <c r="AN146" s="259">
        <f t="shared" si="253"/>
        <v>199.352936</v>
      </c>
      <c r="AO146" s="259">
        <f t="shared" si="253"/>
        <v>202.879041</v>
      </c>
      <c r="AP146" s="259">
        <f t="shared" si="253"/>
        <v>206.50526099999999</v>
      </c>
      <c r="AQ146" s="264">
        <f>AM146*(1+AQ147)</f>
        <v>179.15726583999998</v>
      </c>
      <c r="AR146" s="264">
        <f>AN146*(1+AR147)</f>
        <v>243.21058191999998</v>
      </c>
      <c r="AS146" s="264">
        <f>AO146*(1+AS147)</f>
        <v>253.59880125000001</v>
      </c>
      <c r="AT146" s="263">
        <f>J146-SUM(AQ146:AS146)</f>
        <v>78.90933657879998</v>
      </c>
      <c r="AU146" s="264">
        <f>AQ146*(1+AU147)</f>
        <v>222.15500964159997</v>
      </c>
      <c r="AV146" s="264">
        <f>AR146*(1+AV147)</f>
        <v>286.98848666559996</v>
      </c>
      <c r="AW146" s="264">
        <f>AS146*(1+AW147)</f>
        <v>304.31856149999999</v>
      </c>
      <c r="AX146" s="263">
        <f>K146-SUM(AU146:AW146)</f>
        <v>-57.076320247222384</v>
      </c>
      <c r="AY146" s="22"/>
      <c r="AZ146" s="22"/>
      <c r="BA146" s="265"/>
      <c r="BB146" s="265"/>
      <c r="BC146" s="265"/>
      <c r="BD146" s="265"/>
      <c r="BE146" s="265"/>
      <c r="BF146" s="265"/>
      <c r="BG146" s="265"/>
      <c r="BH146" s="265"/>
      <c r="BI146" s="265"/>
      <c r="BJ146" s="265"/>
      <c r="BK146" s="265"/>
      <c r="BL146" s="265"/>
      <c r="BM146" s="265"/>
      <c r="BN146" s="265"/>
      <c r="BO146" s="265"/>
      <c r="BP146" s="266"/>
      <c r="BQ146" s="266"/>
      <c r="BR146" s="266"/>
      <c r="BS146" s="266"/>
      <c r="BT146" s="266"/>
      <c r="BU146" s="266"/>
      <c r="BV146" s="266"/>
      <c r="BW146" s="266"/>
      <c r="BX146" s="266"/>
      <c r="BY146" s="266"/>
      <c r="BZ146" s="266"/>
      <c r="CA146" s="266"/>
      <c r="CF146" s="199"/>
      <c r="CG146" s="199"/>
      <c r="CH146" s="199"/>
      <c r="CI146" s="199"/>
      <c r="CJ146" s="199"/>
      <c r="CK146" s="200"/>
      <c r="CL146" s="201"/>
    </row>
    <row r="147" spans="1:90" outlineLevel="1">
      <c r="A147" s="242"/>
      <c r="B147" s="12" t="s">
        <v>82</v>
      </c>
      <c r="C147" s="23"/>
      <c r="D147" s="322">
        <f t="shared" ref="D147:I147" si="254">(D146/C146-1)*1</f>
        <v>0.23603685395375895</v>
      </c>
      <c r="E147" s="322">
        <f t="shared" si="254"/>
        <v>0.33657283442323283</v>
      </c>
      <c r="F147" s="322">
        <f t="shared" si="254"/>
        <v>0.39858819555149871</v>
      </c>
      <c r="G147" s="423">
        <f t="shared" si="254"/>
        <v>0.26737159397531607</v>
      </c>
      <c r="H147" s="322">
        <f t="shared" si="254"/>
        <v>0.28500366532850263</v>
      </c>
      <c r="I147" s="322">
        <f t="shared" si="254"/>
        <v>0.23859809244730235</v>
      </c>
      <c r="J147" s="603">
        <f>J61+2%</f>
        <v>0.22</v>
      </c>
      <c r="K147" s="603">
        <f t="shared" ref="K147:Q147" si="255">K61+2%</f>
        <v>0.2</v>
      </c>
      <c r="L147" s="603">
        <f t="shared" si="255"/>
        <v>0.18000000000000002</v>
      </c>
      <c r="M147" s="603">
        <f t="shared" si="255"/>
        <v>0.16000000000000003</v>
      </c>
      <c r="N147" s="603">
        <f t="shared" si="255"/>
        <v>0.14000000000000004</v>
      </c>
      <c r="O147" s="603">
        <f t="shared" si="255"/>
        <v>0.12000000000000004</v>
      </c>
      <c r="P147" s="603">
        <f t="shared" si="255"/>
        <v>0.10000000000000003</v>
      </c>
      <c r="Q147" s="603">
        <f t="shared" si="255"/>
        <v>8.0000000000000029E-2</v>
      </c>
      <c r="R147" s="603">
        <f>R61+2%</f>
        <v>6.0000000000000026E-2</v>
      </c>
      <c r="S147" s="603">
        <f>S61+2%</f>
        <v>6.0000000000000026E-2</v>
      </c>
      <c r="W147" s="23"/>
      <c r="X147" s="23"/>
      <c r="Y147" s="23"/>
      <c r="Z147" s="23"/>
      <c r="AA147" s="322">
        <f t="shared" ref="AA147:AL147" si="256">(AA146/W146-1)*1</f>
        <v>0.39201838610855422</v>
      </c>
      <c r="AB147" s="322">
        <f t="shared" si="256"/>
        <v>0.37150568490663227</v>
      </c>
      <c r="AC147" s="322">
        <f t="shared" si="256"/>
        <v>0.44543215210485498</v>
      </c>
      <c r="AD147" s="322">
        <f t="shared" si="256"/>
        <v>0.38267038872919201</v>
      </c>
      <c r="AE147" s="322">
        <f t="shared" si="256"/>
        <v>0.30662646034013408</v>
      </c>
      <c r="AF147" s="322">
        <f t="shared" si="256"/>
        <v>0.33506090466796201</v>
      </c>
      <c r="AG147" s="322">
        <f t="shared" si="256"/>
        <v>0.1940540216919362</v>
      </c>
      <c r="AH147" s="322">
        <f t="shared" si="256"/>
        <v>0.25541848945801959</v>
      </c>
      <c r="AI147" s="322">
        <f t="shared" si="256"/>
        <v>0.24719878461603884</v>
      </c>
      <c r="AJ147" s="322">
        <f t="shared" si="256"/>
        <v>0.21822619791740938</v>
      </c>
      <c r="AK147" s="322">
        <f t="shared" si="256"/>
        <v>0.34129683467322081</v>
      </c>
      <c r="AL147" s="322">
        <f t="shared" si="256"/>
        <v>0.31878864883423286</v>
      </c>
      <c r="AM147" s="322">
        <f>(AM146/AI146-1)*1</f>
        <v>0.24949486111814601</v>
      </c>
      <c r="AN147" s="322">
        <f>(AN146/AJ146-1)*1</f>
        <v>0.35525402049032317</v>
      </c>
      <c r="AO147" s="322">
        <f>(AO146/AK146-1)*1</f>
        <v>0.21968098638510836</v>
      </c>
      <c r="AP147" s="322">
        <f>(AP146/AL146-1)*1</f>
        <v>0.15330044033005974</v>
      </c>
      <c r="AQ147" s="349">
        <f>AQ61+2%</f>
        <v>0.24</v>
      </c>
      <c r="AR147" s="349">
        <f>AR61+2%</f>
        <v>0.22</v>
      </c>
      <c r="AS147" s="349">
        <f>AS61+2%</f>
        <v>0.25</v>
      </c>
      <c r="AT147" s="322">
        <f>(AT146/AP146-1)*1</f>
        <v>-0.61788219730246974</v>
      </c>
      <c r="AU147" s="349">
        <f>AU61+2%</f>
        <v>0.24</v>
      </c>
      <c r="AV147" s="349">
        <f>AV61+2%</f>
        <v>0.18</v>
      </c>
      <c r="AW147" s="349">
        <f>AW61+2%</f>
        <v>0.19999999999999998</v>
      </c>
      <c r="AX147" s="322">
        <f>(AX146/AT146-1)*1</f>
        <v>-1.7233151705720546</v>
      </c>
      <c r="AY147" s="37"/>
      <c r="AZ147" s="37"/>
    </row>
    <row r="148" spans="1:90" outlineLevel="1">
      <c r="C148" s="23"/>
      <c r="D148" s="23"/>
      <c r="E148" s="23"/>
      <c r="F148" s="23"/>
      <c r="G148" s="410"/>
      <c r="H148" s="410"/>
      <c r="I148" s="410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5"/>
      <c r="AZ148" s="5"/>
    </row>
    <row r="149" spans="1:90" s="202" customFormat="1" outlineLevel="1">
      <c r="A149" s="258" t="s">
        <v>124</v>
      </c>
      <c r="B149" s="202" t="s">
        <v>17</v>
      </c>
      <c r="C149" s="259">
        <f t="shared" ref="C149:I149" si="257">VLOOKUP($A149,CTRP,MATCH(C$5,Period_CTRP,FALSE),FALSE)</f>
        <v>106.03686399999999</v>
      </c>
      <c r="D149" s="259">
        <f t="shared" si="257"/>
        <v>126.989085</v>
      </c>
      <c r="E149" s="259">
        <f t="shared" si="257"/>
        <v>138.38865300000001</v>
      </c>
      <c r="F149" s="259">
        <f t="shared" si="257"/>
        <v>192.28147300000001</v>
      </c>
      <c r="G149" s="426">
        <f t="shared" si="257"/>
        <v>285.22047500000002</v>
      </c>
      <c r="H149" s="426">
        <f t="shared" si="257"/>
        <v>734.29018499999995</v>
      </c>
      <c r="I149" s="426">
        <f t="shared" si="257"/>
        <v>1514.978795</v>
      </c>
      <c r="J149" s="264">
        <f>I149*(1+J150)</f>
        <v>1999.7720094000001</v>
      </c>
      <c r="K149" s="264">
        <f t="shared" ref="K149:S149" si="258">J149*(1+K150)</f>
        <v>2439.7218514680003</v>
      </c>
      <c r="L149" s="264">
        <f t="shared" si="258"/>
        <v>2854.4745662175601</v>
      </c>
      <c r="M149" s="264">
        <f t="shared" si="258"/>
        <v>3197.0115141636675</v>
      </c>
      <c r="N149" s="264">
        <f t="shared" si="258"/>
        <v>3516.7126655800344</v>
      </c>
      <c r="O149" s="264">
        <f t="shared" si="258"/>
        <v>3798.0496788264372</v>
      </c>
      <c r="P149" s="264">
        <f t="shared" si="258"/>
        <v>4025.9326595560237</v>
      </c>
      <c r="Q149" s="264">
        <f t="shared" si="258"/>
        <v>4267.4886191293854</v>
      </c>
      <c r="R149" s="264">
        <f t="shared" si="258"/>
        <v>4523.5379362771491</v>
      </c>
      <c r="S149" s="264">
        <f t="shared" si="258"/>
        <v>4794.9502124537785</v>
      </c>
      <c r="T149" s="265"/>
      <c r="U149" s="510">
        <f>(K149/I149)^(1/2)-1</f>
        <v>0.26901536633722456</v>
      </c>
      <c r="V149" s="265"/>
      <c r="W149" s="259">
        <f t="shared" ref="W149:AP149" si="259">VLOOKUP($A149,CTRP,MATCH(W$5,Period_CTRP,FALSE),FALSE)</f>
        <v>35.198399999999999</v>
      </c>
      <c r="X149" s="259">
        <f t="shared" si="259"/>
        <v>34.190294000000002</v>
      </c>
      <c r="Y149" s="259">
        <f t="shared" si="259"/>
        <v>34.141393999999998</v>
      </c>
      <c r="Z149" s="259">
        <f t="shared" si="259"/>
        <v>34.858564999999999</v>
      </c>
      <c r="AA149" s="259">
        <f t="shared" si="259"/>
        <v>35.268438000000003</v>
      </c>
      <c r="AB149" s="259">
        <f t="shared" si="259"/>
        <v>45.842407999999999</v>
      </c>
      <c r="AC149" s="259">
        <f t="shared" si="259"/>
        <v>47.873735000000003</v>
      </c>
      <c r="AD149" s="259">
        <f t="shared" si="259"/>
        <v>63.296892</v>
      </c>
      <c r="AE149" s="259">
        <f t="shared" si="259"/>
        <v>54.989178000000003</v>
      </c>
      <c r="AF149" s="259">
        <f t="shared" si="259"/>
        <v>58.377132000000003</v>
      </c>
      <c r="AG149" s="259">
        <f t="shared" si="259"/>
        <v>56.452092</v>
      </c>
      <c r="AH149" s="259">
        <f t="shared" si="259"/>
        <v>115.402073</v>
      </c>
      <c r="AI149" s="259">
        <f t="shared" si="259"/>
        <v>163.979409</v>
      </c>
      <c r="AJ149" s="259">
        <f t="shared" si="259"/>
        <v>142.11943199999999</v>
      </c>
      <c r="AK149" s="259">
        <f t="shared" si="259"/>
        <v>188.85109399999999</v>
      </c>
      <c r="AL149" s="259">
        <f t="shared" si="259"/>
        <v>239.34025</v>
      </c>
      <c r="AM149" s="259">
        <f t="shared" si="259"/>
        <v>341.64512100000002</v>
      </c>
      <c r="AN149" s="259">
        <f t="shared" si="259"/>
        <v>346.43929400000002</v>
      </c>
      <c r="AO149" s="259">
        <f t="shared" si="259"/>
        <v>472.404223</v>
      </c>
      <c r="AP149" s="259">
        <f t="shared" si="259"/>
        <v>354.49015700000001</v>
      </c>
      <c r="AQ149" s="264">
        <f>AM149*(1+AQ150)</f>
        <v>450.97155972000002</v>
      </c>
      <c r="AR149" s="264">
        <f>AN149*(1+AR150)</f>
        <v>491.94379748</v>
      </c>
      <c r="AS149" s="264">
        <f>AO149*(1+AS150)</f>
        <v>529.09272976</v>
      </c>
      <c r="AT149" s="263">
        <f>J149-SUM(AQ149:AS149)</f>
        <v>527.76392243999999</v>
      </c>
      <c r="AU149" s="264">
        <f>AQ149*(1+AU150)</f>
        <v>572.73388084440001</v>
      </c>
      <c r="AV149" s="264">
        <f>AR149*(1+AV150)</f>
        <v>610.01030887520005</v>
      </c>
      <c r="AW149" s="264">
        <f>AS149*(1+AW150)</f>
        <v>619.03849381919997</v>
      </c>
      <c r="AX149" s="263">
        <f>K149-SUM(AU149:AW149)</f>
        <v>637.93916792920027</v>
      </c>
      <c r="AY149" s="22"/>
      <c r="AZ149" s="22"/>
      <c r="BA149" s="265"/>
      <c r="BB149" s="265"/>
      <c r="BC149" s="265"/>
      <c r="BD149" s="265"/>
      <c r="BE149" s="265"/>
      <c r="BF149" s="265"/>
      <c r="BG149" s="265"/>
      <c r="BH149" s="265"/>
      <c r="BI149" s="265"/>
      <c r="BJ149" s="265"/>
      <c r="BK149" s="265"/>
      <c r="BL149" s="265"/>
      <c r="BM149" s="265"/>
      <c r="BN149" s="265"/>
      <c r="BO149" s="265"/>
      <c r="BP149" s="266"/>
      <c r="BQ149" s="266"/>
      <c r="BR149" s="266"/>
      <c r="BS149" s="266"/>
      <c r="BT149" s="266"/>
      <c r="BU149" s="266"/>
      <c r="BV149" s="266"/>
      <c r="BW149" s="266"/>
      <c r="BX149" s="266"/>
      <c r="BY149" s="266"/>
      <c r="BZ149" s="266"/>
      <c r="CA149" s="266"/>
      <c r="CF149" s="199"/>
      <c r="CG149" s="199"/>
      <c r="CH149" s="199"/>
      <c r="CI149" s="199"/>
      <c r="CJ149" s="199"/>
      <c r="CK149" s="200"/>
      <c r="CL149" s="201"/>
    </row>
    <row r="150" spans="1:90" outlineLevel="1">
      <c r="A150" s="242"/>
      <c r="B150" s="12" t="s">
        <v>82</v>
      </c>
      <c r="C150" s="23"/>
      <c r="D150" s="322">
        <f t="shared" ref="D150:I150" si="260">(D149/C149-1)*1</f>
        <v>0.19759374437931321</v>
      </c>
      <c r="E150" s="322">
        <f t="shared" si="260"/>
        <v>8.9768093060911491E-2</v>
      </c>
      <c r="F150" s="322">
        <f t="shared" si="260"/>
        <v>0.38943091670962349</v>
      </c>
      <c r="G150" s="423">
        <f t="shared" si="260"/>
        <v>0.4833487103565095</v>
      </c>
      <c r="H150" s="322">
        <f t="shared" si="260"/>
        <v>1.5744651922341828</v>
      </c>
      <c r="I150" s="322">
        <f t="shared" si="260"/>
        <v>1.0631881318146723</v>
      </c>
      <c r="J150" s="603">
        <f>J65+2%</f>
        <v>0.32</v>
      </c>
      <c r="K150" s="603">
        <f t="shared" ref="K150:Q150" si="261">K65+2%</f>
        <v>0.22</v>
      </c>
      <c r="L150" s="603">
        <f t="shared" si="261"/>
        <v>0.17</v>
      </c>
      <c r="M150" s="603">
        <f t="shared" si="261"/>
        <v>0.12000000000000002</v>
      </c>
      <c r="N150" s="603">
        <f t="shared" si="261"/>
        <v>0.10000000000000002</v>
      </c>
      <c r="O150" s="603">
        <f t="shared" si="261"/>
        <v>8.0000000000000016E-2</v>
      </c>
      <c r="P150" s="603">
        <f t="shared" si="261"/>
        <v>6.0000000000000012E-2</v>
      </c>
      <c r="Q150" s="603">
        <f t="shared" si="261"/>
        <v>6.0000000000000012E-2</v>
      </c>
      <c r="R150" s="603">
        <f>R65+2%</f>
        <v>6.0000000000000012E-2</v>
      </c>
      <c r="S150" s="603">
        <f>S65+2%</f>
        <v>6.0000000000000012E-2</v>
      </c>
      <c r="W150" s="23"/>
      <c r="X150" s="23"/>
      <c r="Y150" s="23"/>
      <c r="Z150" s="23"/>
      <c r="AA150" s="322">
        <f t="shared" ref="AA150:AL150" si="262">(AA149/W149-1)*1</f>
        <v>1.989806354834478E-3</v>
      </c>
      <c r="AB150" s="322">
        <f t="shared" si="262"/>
        <v>0.34080180767091384</v>
      </c>
      <c r="AC150" s="322">
        <f t="shared" si="262"/>
        <v>0.40221969261126267</v>
      </c>
      <c r="AD150" s="322">
        <f t="shared" si="262"/>
        <v>0.81582035864069558</v>
      </c>
      <c r="AE150" s="322">
        <f t="shared" si="262"/>
        <v>0.55916114005389184</v>
      </c>
      <c r="AF150" s="322">
        <f t="shared" si="262"/>
        <v>0.27343074997282013</v>
      </c>
      <c r="AG150" s="322">
        <f t="shared" si="262"/>
        <v>0.17918712630213607</v>
      </c>
      <c r="AH150" s="322">
        <f t="shared" si="262"/>
        <v>0.82318703736670051</v>
      </c>
      <c r="AI150" s="322">
        <f t="shared" si="262"/>
        <v>1.982030555175784</v>
      </c>
      <c r="AJ150" s="322">
        <f t="shared" si="262"/>
        <v>1.4345052100195668</v>
      </c>
      <c r="AK150" s="322">
        <f t="shared" si="262"/>
        <v>2.3453338452009889</v>
      </c>
      <c r="AL150" s="322">
        <f t="shared" si="262"/>
        <v>1.0739683766339274</v>
      </c>
      <c r="AM150" s="322">
        <f>(AM149/AI149-1)*1</f>
        <v>1.0834635463285518</v>
      </c>
      <c r="AN150" s="322">
        <f>(AN149/AJ149-1)*1</f>
        <v>1.4376630917016335</v>
      </c>
      <c r="AO150" s="322">
        <f>(AO149/AK149-1)*1</f>
        <v>1.5014640529432146</v>
      </c>
      <c r="AP150" s="322">
        <f>(AP149/AL149-1)*1</f>
        <v>0.48111384106935629</v>
      </c>
      <c r="AQ150" s="240">
        <f>AQ65+2%</f>
        <v>0.32</v>
      </c>
      <c r="AR150" s="240">
        <f>AR65+2%</f>
        <v>0.42000000000000004</v>
      </c>
      <c r="AS150" s="240">
        <f>AS65+2%</f>
        <v>0.12000000000000001</v>
      </c>
      <c r="AT150" s="322">
        <f>(AT149/AP149-1)*1</f>
        <v>0.48879711331448883</v>
      </c>
      <c r="AU150" s="240">
        <f>AU65+2%</f>
        <v>0.27</v>
      </c>
      <c r="AV150" s="240">
        <f>AV65+2%</f>
        <v>0.24</v>
      </c>
      <c r="AW150" s="240">
        <f>AW65+2%</f>
        <v>0.16999999999999998</v>
      </c>
      <c r="AX150" s="322">
        <f>(AX149/AT149-1)*1</f>
        <v>0.20875857709225243</v>
      </c>
      <c r="AY150" s="37"/>
      <c r="AZ150" s="37"/>
    </row>
    <row r="151" spans="1:90" outlineLevel="1">
      <c r="C151" s="23"/>
      <c r="D151" s="23"/>
      <c r="E151" s="23"/>
      <c r="F151" s="23"/>
      <c r="G151" s="238"/>
      <c r="H151" s="238"/>
      <c r="I151" s="238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5"/>
      <c r="AZ151" s="5"/>
    </row>
    <row r="152" spans="1:90" outlineLevel="1">
      <c r="B152" s="202" t="s">
        <v>730</v>
      </c>
      <c r="C152" s="262"/>
      <c r="D152" s="262"/>
      <c r="E152" s="262"/>
      <c r="F152" s="262"/>
      <c r="G152" s="262"/>
      <c r="H152" s="263"/>
      <c r="I152" s="263"/>
      <c r="J152" s="264"/>
      <c r="K152" s="264"/>
      <c r="L152" s="264"/>
      <c r="M152" s="264"/>
      <c r="N152" s="264"/>
      <c r="O152" s="264"/>
      <c r="P152" s="264"/>
      <c r="Q152" s="264"/>
      <c r="R152" s="264"/>
      <c r="S152" s="264"/>
      <c r="T152" s="265"/>
      <c r="U152" s="265"/>
      <c r="V152" s="265"/>
      <c r="W152" s="343"/>
      <c r="X152" s="343"/>
      <c r="Y152" s="343"/>
      <c r="Z152" s="343"/>
      <c r="AA152" s="343"/>
      <c r="AB152" s="343"/>
      <c r="AC152" s="343"/>
      <c r="AD152" s="343"/>
      <c r="AE152" s="260"/>
      <c r="AF152" s="260"/>
      <c r="AG152" s="260"/>
      <c r="AH152" s="260"/>
      <c r="AI152" s="260"/>
      <c r="AJ152" s="260"/>
      <c r="AK152" s="260"/>
      <c r="AL152" s="260"/>
      <c r="AM152" s="260"/>
      <c r="AN152" s="260"/>
      <c r="AO152" s="260"/>
      <c r="AP152" s="260"/>
      <c r="AQ152" s="261"/>
      <c r="AR152" s="261"/>
      <c r="AS152" s="261"/>
      <c r="AT152" s="261"/>
      <c r="AU152" s="261"/>
      <c r="AV152" s="261"/>
      <c r="AW152" s="261"/>
      <c r="AX152" s="261"/>
      <c r="AY152" s="22"/>
      <c r="AZ152" s="22"/>
    </row>
    <row r="153" spans="1:90" outlineLevel="1">
      <c r="B153" s="12" t="s">
        <v>82</v>
      </c>
      <c r="C153" s="23"/>
      <c r="D153" s="23"/>
      <c r="E153" s="23"/>
      <c r="F153" s="23"/>
      <c r="G153" s="238"/>
      <c r="H153" s="238"/>
      <c r="I153" s="238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W153" s="23"/>
      <c r="X153" s="23"/>
      <c r="Y153" s="23"/>
      <c r="Z153" s="23"/>
      <c r="AA153" s="23"/>
      <c r="AB153" s="23"/>
      <c r="AC153" s="23"/>
      <c r="AD153" s="23"/>
      <c r="AE153" s="178"/>
      <c r="AF153" s="178"/>
      <c r="AG153" s="178"/>
      <c r="AH153" s="178"/>
      <c r="AI153" s="178"/>
      <c r="AJ153" s="178"/>
      <c r="AK153" s="178"/>
      <c r="AL153" s="178"/>
      <c r="AM153" s="178"/>
      <c r="AN153" s="178"/>
      <c r="AO153" s="178"/>
      <c r="AP153" s="178"/>
      <c r="AQ153" s="23"/>
      <c r="AR153" s="23"/>
      <c r="AS153" s="23"/>
      <c r="AT153" s="23"/>
      <c r="AU153" s="23"/>
      <c r="AV153" s="23"/>
      <c r="AW153" s="23"/>
      <c r="AX153" s="23"/>
      <c r="AY153" s="5"/>
      <c r="AZ153" s="5"/>
    </row>
    <row r="154" spans="1:90" outlineLevel="1">
      <c r="C154" s="23"/>
      <c r="D154" s="23"/>
      <c r="E154" s="23"/>
      <c r="F154" s="23"/>
      <c r="G154" s="238"/>
      <c r="H154" s="238"/>
      <c r="I154" s="238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W154" s="23"/>
      <c r="X154" s="23"/>
      <c r="Y154" s="23"/>
      <c r="Z154" s="23"/>
      <c r="AA154" s="23"/>
      <c r="AB154" s="23"/>
      <c r="AC154" s="23"/>
      <c r="AD154" s="23"/>
      <c r="AE154" s="178"/>
      <c r="AF154" s="178"/>
      <c r="AG154" s="178"/>
      <c r="AH154" s="178"/>
      <c r="AI154" s="178"/>
      <c r="AJ154" s="178"/>
      <c r="AK154" s="178"/>
      <c r="AL154" s="178"/>
      <c r="AM154" s="178"/>
      <c r="AN154" s="178"/>
      <c r="AO154" s="178"/>
      <c r="AP154" s="178"/>
      <c r="AQ154" s="23"/>
      <c r="AR154" s="23"/>
      <c r="AS154" s="23"/>
      <c r="AT154" s="23"/>
      <c r="AU154" s="23"/>
      <c r="AV154" s="23"/>
      <c r="AW154" s="23"/>
      <c r="AX154" s="23"/>
      <c r="AY154" s="5"/>
      <c r="AZ154" s="5"/>
    </row>
    <row r="155" spans="1:90" s="202" customFormat="1" outlineLevel="1">
      <c r="A155" s="258" t="s">
        <v>478</v>
      </c>
      <c r="B155" s="202" t="s">
        <v>478</v>
      </c>
      <c r="C155" s="276">
        <f t="shared" ref="C155:I158" si="263">VLOOKUP($A155,CTRP,MATCH(C$5,Period_CTRP,FALSE),FALSE)</f>
        <v>-805.12978399999997</v>
      </c>
      <c r="D155" s="276">
        <f t="shared" si="263"/>
        <v>-1037.791093</v>
      </c>
      <c r="E155" s="276">
        <f t="shared" si="263"/>
        <v>-1386.767067</v>
      </c>
      <c r="F155" s="276">
        <f t="shared" si="263"/>
        <v>-2100.6064129999995</v>
      </c>
      <c r="G155" s="429">
        <f t="shared" si="263"/>
        <v>-3043.4398190000002</v>
      </c>
      <c r="H155" s="429">
        <f t="shared" si="263"/>
        <v>-4729.7501920000004</v>
      </c>
      <c r="I155" s="429">
        <f t="shared" si="263"/>
        <v>-4678.2091030000001</v>
      </c>
      <c r="J155" s="278">
        <f>-J156*J107</f>
        <v>-5415.8447935735958</v>
      </c>
      <c r="K155" s="278">
        <f t="shared" ref="K155:Q155" si="264">-K156*K107</f>
        <v>-6919.9002952269311</v>
      </c>
      <c r="L155" s="278">
        <f t="shared" si="264"/>
        <v>-8611.9471006055501</v>
      </c>
      <c r="M155" s="278">
        <f t="shared" si="264"/>
        <v>-10708.755083920611</v>
      </c>
      <c r="N155" s="278">
        <f t="shared" si="264"/>
        <v>-13213.587757697513</v>
      </c>
      <c r="O155" s="278">
        <f t="shared" si="264"/>
        <v>-15637.055694042145</v>
      </c>
      <c r="P155" s="278">
        <f t="shared" si="264"/>
        <v>-18597.74849017743</v>
      </c>
      <c r="Q155" s="278">
        <f t="shared" si="264"/>
        <v>-21897.206937466657</v>
      </c>
      <c r="R155" s="278">
        <f>-R156*R107</f>
        <v>-25602.348956379952</v>
      </c>
      <c r="S155" s="278">
        <f>-S156*S107</f>
        <v>-29631.715792097897</v>
      </c>
      <c r="T155" s="265"/>
      <c r="U155" s="510">
        <f>(K155/I155)^(1/2)-1</f>
        <v>0.21621429500715728</v>
      </c>
      <c r="V155" s="265"/>
      <c r="W155" s="276">
        <f t="shared" ref="W155:AP155" si="265">VLOOKUP($A155,CTRP,MATCH(W$5,Period_CTRP,FALSE),FALSE)</f>
        <v>-304.17168700000002</v>
      </c>
      <c r="X155" s="276">
        <f t="shared" si="265"/>
        <v>-309.111062</v>
      </c>
      <c r="Y155" s="276">
        <f t="shared" si="265"/>
        <v>-379.12170900000001</v>
      </c>
      <c r="Z155" s="276">
        <f t="shared" si="265"/>
        <v>-394.36260900000002</v>
      </c>
      <c r="AA155" s="276">
        <f t="shared" si="265"/>
        <v>-449.41188699999998</v>
      </c>
      <c r="AB155" s="276">
        <f t="shared" si="265"/>
        <v>-478.60139299999997</v>
      </c>
      <c r="AC155" s="276">
        <f t="shared" si="265"/>
        <v>-588.98023000000001</v>
      </c>
      <c r="AD155" s="276">
        <f t="shared" si="265"/>
        <v>-583.61290299999996</v>
      </c>
      <c r="AE155" s="276">
        <f t="shared" si="265"/>
        <v>-704.606314</v>
      </c>
      <c r="AF155" s="276">
        <f t="shared" si="265"/>
        <v>-730.01903100000004</v>
      </c>
      <c r="AG155" s="276">
        <f t="shared" si="265"/>
        <v>-845.57812899999999</v>
      </c>
      <c r="AH155" s="276">
        <f t="shared" si="265"/>
        <v>-763.23634500000003</v>
      </c>
      <c r="AI155" s="276">
        <f t="shared" si="265"/>
        <v>-1135.944483</v>
      </c>
      <c r="AJ155" s="276">
        <f t="shared" si="265"/>
        <v>-1233.1485359999999</v>
      </c>
      <c r="AK155" s="276">
        <f t="shared" si="265"/>
        <v>-1234.297161</v>
      </c>
      <c r="AL155" s="276">
        <f t="shared" si="265"/>
        <v>-1126.3600120000001</v>
      </c>
      <c r="AM155" s="276">
        <f t="shared" si="265"/>
        <v>-1189.3067900000001</v>
      </c>
      <c r="AN155" s="276">
        <f t="shared" si="265"/>
        <v>-1124.0941459999999</v>
      </c>
      <c r="AO155" s="276">
        <f t="shared" si="265"/>
        <v>-1303.4836580000001</v>
      </c>
      <c r="AP155" s="276">
        <f t="shared" si="265"/>
        <v>-1061.324509</v>
      </c>
      <c r="AQ155" s="278">
        <f>-AQ156*AQ107</f>
        <v>-1158.8441558551892</v>
      </c>
      <c r="AR155" s="278">
        <f>-AR156*AR107</f>
        <v>-1260.6812812268236</v>
      </c>
      <c r="AS155" s="278">
        <f>-AS156*AS107</f>
        <v>-1578.5991099856722</v>
      </c>
      <c r="AT155" s="263">
        <f>J155-SUM(AQ155:AS155)</f>
        <v>-1417.7202465059108</v>
      </c>
      <c r="AU155" s="278">
        <f>-AU156*AU107</f>
        <v>-1573.7376512022645</v>
      </c>
      <c r="AV155" s="278">
        <f>-AV156*AV107</f>
        <v>-1677.0064900850832</v>
      </c>
      <c r="AW155" s="278">
        <f>-AW156*AW107</f>
        <v>-1930.4445500232009</v>
      </c>
      <c r="AX155" s="263">
        <f>K155-SUM(AU155:AW155)</f>
        <v>-1738.711603916383</v>
      </c>
      <c r="AY155" s="195"/>
      <c r="AZ155" s="195"/>
      <c r="BA155" s="265"/>
      <c r="BB155" s="265"/>
      <c r="BC155" s="265"/>
      <c r="BD155" s="265"/>
      <c r="BE155" s="265"/>
      <c r="BF155" s="265"/>
      <c r="BG155" s="265"/>
      <c r="BH155" s="265"/>
      <c r="BI155" s="265"/>
      <c r="BJ155" s="265"/>
      <c r="BK155" s="265"/>
      <c r="BL155" s="265"/>
      <c r="BM155" s="265"/>
      <c r="BN155" s="265"/>
      <c r="BO155" s="265"/>
      <c r="BP155" s="266"/>
      <c r="BQ155" s="266"/>
      <c r="BR155" s="266"/>
      <c r="BS155" s="266"/>
      <c r="BT155" s="266"/>
      <c r="BU155" s="266"/>
      <c r="BV155" s="266"/>
      <c r="BW155" s="266"/>
      <c r="BX155" s="266"/>
      <c r="BY155" s="266"/>
      <c r="BZ155" s="266"/>
      <c r="CA155" s="266"/>
      <c r="CF155" s="199"/>
      <c r="CG155" s="199"/>
      <c r="CH155" s="199"/>
      <c r="CI155" s="199"/>
      <c r="CJ155" s="199"/>
      <c r="CK155" s="200"/>
      <c r="CL155" s="201"/>
    </row>
    <row r="156" spans="1:90" outlineLevel="1">
      <c r="A156" s="242" t="s">
        <v>152</v>
      </c>
      <c r="B156" s="39" t="s">
        <v>165</v>
      </c>
      <c r="C156" s="322">
        <f t="shared" si="263"/>
        <v>0.2301630376679383</v>
      </c>
      <c r="D156" s="322">
        <f t="shared" si="263"/>
        <v>0.24954152080836989</v>
      </c>
      <c r="E156" s="322">
        <f t="shared" si="263"/>
        <v>0.25744061162486598</v>
      </c>
      <c r="F156" s="322">
        <f t="shared" si="263"/>
        <v>0.28591666702918817</v>
      </c>
      <c r="G156" s="423">
        <f t="shared" si="263"/>
        <v>0.27927697280384983</v>
      </c>
      <c r="H156" s="423">
        <f t="shared" si="263"/>
        <v>0.24597680507371825</v>
      </c>
      <c r="I156" s="423">
        <f t="shared" si="263"/>
        <v>0.17469281409648735</v>
      </c>
      <c r="J156" s="341">
        <f>J71-1%</f>
        <v>0.16</v>
      </c>
      <c r="K156" s="341">
        <f t="shared" ref="K156:Q156" si="266">K71-1%</f>
        <v>0.158</v>
      </c>
      <c r="L156" s="341">
        <f t="shared" si="266"/>
        <v>0.156</v>
      </c>
      <c r="M156" s="341">
        <f t="shared" si="266"/>
        <v>0.156</v>
      </c>
      <c r="N156" s="341">
        <f t="shared" si="266"/>
        <v>0.156</v>
      </c>
      <c r="O156" s="341">
        <f t="shared" si="266"/>
        <v>0.154</v>
      </c>
      <c r="P156" s="341">
        <f t="shared" si="266"/>
        <v>0.154</v>
      </c>
      <c r="Q156" s="341">
        <f t="shared" si="266"/>
        <v>0.154</v>
      </c>
      <c r="R156" s="341">
        <f>R71-1%</f>
        <v>0.154</v>
      </c>
      <c r="S156" s="341">
        <f>S71-1%</f>
        <v>0.154</v>
      </c>
      <c r="W156" s="322">
        <f t="shared" ref="W156:AP156" si="267">VLOOKUP($A156,CTRP,MATCH(W$5,Period_CTRP,FALSE),FALSE)</f>
        <v>0.2621021586049479</v>
      </c>
      <c r="X156" s="322">
        <f t="shared" si="267"/>
        <v>0.24831075702594901</v>
      </c>
      <c r="Y156" s="322">
        <f t="shared" si="267"/>
        <v>0.24602706626092929</v>
      </c>
      <c r="Z156" s="322">
        <f t="shared" si="267"/>
        <v>0.27378571287395964</v>
      </c>
      <c r="AA156" s="322">
        <f t="shared" si="267"/>
        <v>0.2841163622039134</v>
      </c>
      <c r="AB156" s="322">
        <f t="shared" si="267"/>
        <v>0.27789133728998888</v>
      </c>
      <c r="AC156" s="322">
        <f t="shared" si="267"/>
        <v>0.27657230324489884</v>
      </c>
      <c r="AD156" s="322">
        <f t="shared" si="267"/>
        <v>0.30502967488965738</v>
      </c>
      <c r="AE156" s="322">
        <f t="shared" si="267"/>
        <v>0.30439499992068786</v>
      </c>
      <c r="AF156" s="322">
        <f t="shared" si="267"/>
        <v>0.28887205118263337</v>
      </c>
      <c r="AG156" s="322">
        <f t="shared" si="267"/>
        <v>0.26577131257042141</v>
      </c>
      <c r="AH156" s="322">
        <f t="shared" si="267"/>
        <v>0.26556078908156838</v>
      </c>
      <c r="AI156" s="322">
        <f t="shared" si="267"/>
        <v>0.2718867162543534</v>
      </c>
      <c r="AJ156" s="322">
        <f t="shared" si="267"/>
        <v>0.2795440777959603</v>
      </c>
      <c r="AK156" s="322">
        <f t="shared" si="267"/>
        <v>0.22152309814740179</v>
      </c>
      <c r="AL156" s="322">
        <f t="shared" si="267"/>
        <v>0.22228090891257879</v>
      </c>
      <c r="AM156" s="322">
        <f t="shared" si="267"/>
        <v>0.19544695053141803</v>
      </c>
      <c r="AN156" s="322">
        <f t="shared" si="267"/>
        <v>0.17520800870218212</v>
      </c>
      <c r="AO156" s="322">
        <f t="shared" si="267"/>
        <v>0.16500469748312874</v>
      </c>
      <c r="AP156" s="322">
        <f t="shared" si="267"/>
        <v>0.16637465120012246</v>
      </c>
      <c r="AQ156" s="347">
        <f>AQ71-1%</f>
        <v>0.16199999999999998</v>
      </c>
      <c r="AR156" s="347">
        <f>AR71-1%</f>
        <v>0.159</v>
      </c>
      <c r="AS156" s="347">
        <f>AS71-1%</f>
        <v>0.159</v>
      </c>
      <c r="AT156" s="322">
        <f ca="1">VLOOKUP($A156,CTRP,MATCH(AT$5,Period_CTRP,FALSE),FALSE)</f>
        <v>0.17040743220132093</v>
      </c>
      <c r="AU156" s="347">
        <f>AU71-1%</f>
        <v>0.158</v>
      </c>
      <c r="AV156" s="347">
        <f>AV71-1%</f>
        <v>0.158</v>
      </c>
      <c r="AW156" s="347">
        <f>AW71-1%</f>
        <v>0.158</v>
      </c>
      <c r="AX156" s="322">
        <f ca="1">VLOOKUP($A156,CTRP,MATCH(AX$5,Period_CTRP,FALSE),FALSE)</f>
        <v>0.16799999999999998</v>
      </c>
      <c r="AY156" s="37"/>
      <c r="AZ156" s="37"/>
    </row>
    <row r="157" spans="1:90" outlineLevel="1">
      <c r="A157" s="242" t="s">
        <v>544</v>
      </c>
      <c r="B157" s="39" t="s">
        <v>47</v>
      </c>
      <c r="C157" s="322">
        <f t="shared" si="263"/>
        <v>0.76983696233206167</v>
      </c>
      <c r="D157" s="322">
        <f t="shared" si="263"/>
        <v>0.75045847919163022</v>
      </c>
      <c r="E157" s="322">
        <f t="shared" si="263"/>
        <v>0.74255938837513413</v>
      </c>
      <c r="F157" s="322">
        <f t="shared" si="263"/>
        <v>0.71408333297081183</v>
      </c>
      <c r="G157" s="423">
        <f t="shared" si="263"/>
        <v>0.72072302719615011</v>
      </c>
      <c r="H157" s="423">
        <f t="shared" si="263"/>
        <v>0.754023194926282</v>
      </c>
      <c r="I157" s="423">
        <f t="shared" si="263"/>
        <v>0.8253071859035126</v>
      </c>
      <c r="J157" s="322">
        <f>1-J156</f>
        <v>0.84</v>
      </c>
      <c r="K157" s="322">
        <f t="shared" ref="K157:Q157" si="268">1-K156</f>
        <v>0.84199999999999997</v>
      </c>
      <c r="L157" s="322">
        <f t="shared" si="268"/>
        <v>0.84399999999999997</v>
      </c>
      <c r="M157" s="322">
        <f t="shared" si="268"/>
        <v>0.84399999999999997</v>
      </c>
      <c r="N157" s="322">
        <f t="shared" si="268"/>
        <v>0.84399999999999997</v>
      </c>
      <c r="O157" s="322">
        <f t="shared" si="268"/>
        <v>0.84599999999999997</v>
      </c>
      <c r="P157" s="322">
        <f t="shared" si="268"/>
        <v>0.84599999999999997</v>
      </c>
      <c r="Q157" s="322">
        <f t="shared" si="268"/>
        <v>0.84599999999999997</v>
      </c>
      <c r="R157" s="322">
        <f>1-R156</f>
        <v>0.84599999999999997</v>
      </c>
      <c r="S157" s="322">
        <f>1-S156</f>
        <v>0.84599999999999997</v>
      </c>
      <c r="W157" s="322">
        <f t="shared" ref="W157:AL164" si="269">VLOOKUP($A157,CTRP,MATCH(W$5,Period_CTRP,FALSE),FALSE)</f>
        <v>0.7378978413950521</v>
      </c>
      <c r="X157" s="322">
        <f t="shared" si="269"/>
        <v>0.75168924297405104</v>
      </c>
      <c r="Y157" s="322">
        <f t="shared" si="269"/>
        <v>0.75397293373907071</v>
      </c>
      <c r="Z157" s="322">
        <f t="shared" si="269"/>
        <v>0.72621428712604041</v>
      </c>
      <c r="AA157" s="322">
        <f t="shared" si="269"/>
        <v>0.71588363779608666</v>
      </c>
      <c r="AB157" s="322">
        <f t="shared" si="269"/>
        <v>0.72210866271001117</v>
      </c>
      <c r="AC157" s="322">
        <f t="shared" si="269"/>
        <v>0.7234276967551011</v>
      </c>
      <c r="AD157" s="322">
        <f t="shared" si="269"/>
        <v>0.69497032511034262</v>
      </c>
      <c r="AE157" s="322">
        <f t="shared" si="269"/>
        <v>0.69560500007931203</v>
      </c>
      <c r="AF157" s="322">
        <f t="shared" ref="AF157:AP157" si="270">1-AF156</f>
        <v>0.71112794881736663</v>
      </c>
      <c r="AG157" s="322">
        <f t="shared" si="270"/>
        <v>0.73422868742957859</v>
      </c>
      <c r="AH157" s="322">
        <f t="shared" si="270"/>
        <v>0.73443921091843167</v>
      </c>
      <c r="AI157" s="322">
        <f t="shared" si="270"/>
        <v>0.72811328374564654</v>
      </c>
      <c r="AJ157" s="322">
        <f t="shared" si="270"/>
        <v>0.72045592220403964</v>
      </c>
      <c r="AK157" s="322">
        <f t="shared" si="270"/>
        <v>0.77847690185259821</v>
      </c>
      <c r="AL157" s="322">
        <f t="shared" si="270"/>
        <v>0.77771909108742121</v>
      </c>
      <c r="AM157" s="322">
        <f t="shared" si="270"/>
        <v>0.80455304946858197</v>
      </c>
      <c r="AN157" s="322">
        <f t="shared" si="270"/>
        <v>0.82479199129781788</v>
      </c>
      <c r="AO157" s="322">
        <f t="shared" si="270"/>
        <v>0.83499530251687126</v>
      </c>
      <c r="AP157" s="322">
        <f t="shared" si="270"/>
        <v>0.83362534879987749</v>
      </c>
      <c r="AQ157" s="322">
        <f t="shared" ref="AQ157:AX157" si="271">1-AQ156</f>
        <v>0.83800000000000008</v>
      </c>
      <c r="AR157" s="322">
        <f t="shared" si="271"/>
        <v>0.84099999999999997</v>
      </c>
      <c r="AS157" s="322">
        <f t="shared" si="271"/>
        <v>0.84099999999999997</v>
      </c>
      <c r="AT157" s="322">
        <f t="shared" ca="1" si="271"/>
        <v>0.82959256779867907</v>
      </c>
      <c r="AU157" s="322">
        <f t="shared" si="271"/>
        <v>0.84199999999999997</v>
      </c>
      <c r="AV157" s="322">
        <f t="shared" si="271"/>
        <v>0.84199999999999997</v>
      </c>
      <c r="AW157" s="322">
        <f t="shared" si="271"/>
        <v>0.84199999999999997</v>
      </c>
      <c r="AX157" s="322">
        <f t="shared" ca="1" si="271"/>
        <v>0.83200000000000007</v>
      </c>
      <c r="AY157" s="5"/>
      <c r="AZ157" s="5"/>
    </row>
    <row r="158" spans="1:90" outlineLevel="1">
      <c r="A158" s="242" t="s">
        <v>61</v>
      </c>
      <c r="B158" s="39" t="s">
        <v>157</v>
      </c>
      <c r="C158" s="250">
        <f t="shared" si="263"/>
        <v>2692.9548439999999</v>
      </c>
      <c r="D158" s="250">
        <f t="shared" si="263"/>
        <v>3121.0001560000001</v>
      </c>
      <c r="E158" s="250">
        <f t="shared" si="263"/>
        <v>3999.9784749999999</v>
      </c>
      <c r="F158" s="250">
        <f t="shared" si="263"/>
        <v>5246.3119560000014</v>
      </c>
      <c r="G158" s="430">
        <f t="shared" si="263"/>
        <v>7854.1282420000016</v>
      </c>
      <c r="H158" s="430">
        <f t="shared" si="263"/>
        <v>14498.689622000002</v>
      </c>
      <c r="I158" s="430">
        <f t="shared" si="263"/>
        <v>22101.421914999999</v>
      </c>
      <c r="J158" s="23">
        <f t="shared" ref="J158:Q158" si="272">J107+J155</f>
        <v>28433.185166261377</v>
      </c>
      <c r="K158" s="23">
        <f t="shared" si="272"/>
        <v>36876.937016335927</v>
      </c>
      <c r="L158" s="23">
        <f t="shared" si="272"/>
        <v>46592.842005840284</v>
      </c>
      <c r="M158" s="23">
        <f t="shared" si="272"/>
        <v>57937.110838647408</v>
      </c>
      <c r="N158" s="23">
        <f t="shared" si="272"/>
        <v>71488.897868568587</v>
      </c>
      <c r="O158" s="23">
        <f t="shared" si="272"/>
        <v>85902.266994543199</v>
      </c>
      <c r="P158" s="23">
        <f t="shared" si="272"/>
        <v>102166.85209539029</v>
      </c>
      <c r="Q158" s="23">
        <f t="shared" si="272"/>
        <v>120292.44850062852</v>
      </c>
      <c r="R158" s="23">
        <f>R107+R155</f>
        <v>140646.67024089248</v>
      </c>
      <c r="S158" s="23">
        <f>S107+S155</f>
        <v>162782.02311762871</v>
      </c>
      <c r="W158" s="250">
        <f t="shared" si="269"/>
        <v>856.33644699999968</v>
      </c>
      <c r="X158" s="250">
        <f t="shared" si="269"/>
        <v>935.74464100000023</v>
      </c>
      <c r="Y158" s="250">
        <f t="shared" si="269"/>
        <v>1161.8539029999997</v>
      </c>
      <c r="Z158" s="250">
        <f t="shared" si="269"/>
        <v>1046.043484</v>
      </c>
      <c r="AA158" s="250">
        <f t="shared" si="269"/>
        <v>1132.3762350000002</v>
      </c>
      <c r="AB158" s="250">
        <f t="shared" si="269"/>
        <v>1243.6595370000002</v>
      </c>
      <c r="AC158" s="250">
        <f t="shared" si="269"/>
        <v>1540.5903130000002</v>
      </c>
      <c r="AD158" s="250">
        <f t="shared" si="269"/>
        <v>1329.6858709999999</v>
      </c>
      <c r="AE158" s="250">
        <f t="shared" si="269"/>
        <v>1610.1699279999993</v>
      </c>
      <c r="AF158" s="23">
        <f t="shared" ref="AF158:AT158" si="273">AF107+AF155</f>
        <v>1797.1172150000004</v>
      </c>
      <c r="AG158" s="23">
        <f t="shared" si="273"/>
        <v>2336.0223260000002</v>
      </c>
      <c r="AH158" s="23">
        <f t="shared" si="273"/>
        <v>2110.818773</v>
      </c>
      <c r="AI158" s="23">
        <f t="shared" si="273"/>
        <v>3042.0620729999991</v>
      </c>
      <c r="AJ158" s="23">
        <f t="shared" si="273"/>
        <v>3178.1362450000015</v>
      </c>
      <c r="AK158" s="23">
        <f t="shared" si="273"/>
        <v>4337.5694810000005</v>
      </c>
      <c r="AL158" s="23">
        <f t="shared" si="273"/>
        <v>3940.9218229999997</v>
      </c>
      <c r="AM158" s="23">
        <f t="shared" si="273"/>
        <v>4895.755099</v>
      </c>
      <c r="AN158" s="23">
        <f t="shared" si="273"/>
        <v>5291.6750549999997</v>
      </c>
      <c r="AO158" s="23">
        <f t="shared" si="273"/>
        <v>6596.1923989999996</v>
      </c>
      <c r="AP158" s="23">
        <f>AP107+AP155</f>
        <v>5317.7993620000007</v>
      </c>
      <c r="AQ158" s="23">
        <f t="shared" si="273"/>
        <v>5994.5148309052383</v>
      </c>
      <c r="AR158" s="23">
        <f t="shared" si="273"/>
        <v>6668.1318082500538</v>
      </c>
      <c r="AS158" s="23">
        <f t="shared" si="273"/>
        <v>8349.6971792323911</v>
      </c>
      <c r="AT158" s="23">
        <f t="shared" si="273"/>
        <v>7420.8413478736875</v>
      </c>
      <c r="AU158" s="23">
        <f>AU107+AU155</f>
        <v>8386.6272298247259</v>
      </c>
      <c r="AV158" s="23">
        <f>AV107+AV155</f>
        <v>8936.9586370356974</v>
      </c>
      <c r="AW158" s="23">
        <f>AW107+AW155</f>
        <v>10287.558931136298</v>
      </c>
      <c r="AX158" s="23">
        <f>AX107+AX155</f>
        <v>9265.7922183392075</v>
      </c>
      <c r="AY158" s="5"/>
      <c r="AZ158" s="5"/>
    </row>
    <row r="159" spans="1:90" outlineLevel="1">
      <c r="C159" s="23"/>
      <c r="D159" s="23"/>
      <c r="E159" s="23"/>
      <c r="F159" s="23"/>
      <c r="G159" s="410"/>
      <c r="H159" s="410"/>
      <c r="I159" s="410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5"/>
      <c r="AZ159" s="5"/>
    </row>
    <row r="160" spans="1:90" s="202" customFormat="1" outlineLevel="1">
      <c r="A160" s="258" t="s">
        <v>539</v>
      </c>
      <c r="B160" s="202" t="s">
        <v>539</v>
      </c>
      <c r="C160" s="279">
        <f t="shared" ref="C160:I163" si="274">VLOOKUP($A160,CTRP,MATCH(C$5,Period_CTRP,FALSE),FALSE)</f>
        <v>-1626.9606739999999</v>
      </c>
      <c r="D160" s="279">
        <f t="shared" si="274"/>
        <v>-2466.3943440000003</v>
      </c>
      <c r="E160" s="279">
        <f t="shared" si="274"/>
        <v>-3161.536791</v>
      </c>
      <c r="F160" s="279">
        <f t="shared" si="274"/>
        <v>-5397.1090999999997</v>
      </c>
      <c r="G160" s="279">
        <f t="shared" si="274"/>
        <v>-7473.0852969999996</v>
      </c>
      <c r="H160" s="418">
        <f t="shared" si="274"/>
        <v>-16067.168108</v>
      </c>
      <c r="I160" s="418">
        <f t="shared" si="274"/>
        <v>-19175.251370999998</v>
      </c>
      <c r="J160" s="278">
        <f>-J161*J107</f>
        <v>-24032.811271482831</v>
      </c>
      <c r="K160" s="278">
        <f t="shared" ref="K160:Q160" si="275">-K161*K107</f>
        <v>-29343.88099874711</v>
      </c>
      <c r="L160" s="278">
        <f t="shared" si="275"/>
        <v>-35883.112919189793</v>
      </c>
      <c r="M160" s="278">
        <f t="shared" si="275"/>
        <v>-43246.895531217851</v>
      </c>
      <c r="N160" s="278">
        <f t="shared" si="275"/>
        <v>-51668.516232022324</v>
      </c>
      <c r="O160" s="278">
        <f t="shared" si="275"/>
        <v>-60923.593613151206</v>
      </c>
      <c r="P160" s="278">
        <f t="shared" si="275"/>
        <v>-71251.114345484952</v>
      </c>
      <c r="Q160" s="278">
        <f t="shared" si="275"/>
        <v>-83891.896708476153</v>
      </c>
      <c r="R160" s="278">
        <f>-R161*R107</f>
        <v>-98086.92132639073</v>
      </c>
      <c r="S160" s="278">
        <f>-S161*S107</f>
        <v>-113524.1059567387</v>
      </c>
      <c r="T160" s="265"/>
      <c r="U160" s="510">
        <f>(K160/I160)^(1/2)-1</f>
        <v>0.23705281940874778</v>
      </c>
      <c r="V160" s="265"/>
      <c r="W160" s="279">
        <f t="shared" si="269"/>
        <v>-696.31970100000001</v>
      </c>
      <c r="X160" s="279">
        <f t="shared" si="269"/>
        <v>-739.80396799999994</v>
      </c>
      <c r="Y160" s="279">
        <f t="shared" si="269"/>
        <v>-862.31250399999999</v>
      </c>
      <c r="Z160" s="279">
        <f t="shared" si="269"/>
        <v>-863.10061799999994</v>
      </c>
      <c r="AA160" s="279">
        <f t="shared" si="269"/>
        <v>-1061.4291040000001</v>
      </c>
      <c r="AB160" s="279">
        <f t="shared" si="269"/>
        <v>-1152.7398780000001</v>
      </c>
      <c r="AC160" s="279">
        <f t="shared" si="269"/>
        <v>-1452.3477669999997</v>
      </c>
      <c r="AD160" s="279">
        <f t="shared" si="269"/>
        <v>-1730.592351</v>
      </c>
      <c r="AE160" s="279">
        <f t="shared" si="269"/>
        <v>-1790.4372860000001</v>
      </c>
      <c r="AF160" s="279">
        <f t="shared" si="269"/>
        <v>-1736.233923</v>
      </c>
      <c r="AG160" s="279">
        <f t="shared" si="269"/>
        <v>-1930.788</v>
      </c>
      <c r="AH160" s="279">
        <f t="shared" si="269"/>
        <v>-2015.626088</v>
      </c>
      <c r="AI160" s="279">
        <f t="shared" si="269"/>
        <v>-4869.4377039999999</v>
      </c>
      <c r="AJ160" s="279">
        <f t="shared" si="269"/>
        <v>-3574.0492469999999</v>
      </c>
      <c r="AK160" s="279">
        <f t="shared" si="269"/>
        <v>-3890.1457370000003</v>
      </c>
      <c r="AL160" s="279">
        <f t="shared" si="269"/>
        <v>-3733.5354200000002</v>
      </c>
      <c r="AM160" s="454">
        <f t="shared" ref="AM160:AP164" si="276">VLOOKUP($A160,CTRP,MATCH(AM$5,Period_CTRP,FALSE),FALSE)</f>
        <v>-4481.5813129999997</v>
      </c>
      <c r="AN160" s="454">
        <f t="shared" si="276"/>
        <v>-4646.4128010000004</v>
      </c>
      <c r="AO160" s="454">
        <f t="shared" si="276"/>
        <v>-5237.1941299999999</v>
      </c>
      <c r="AP160" s="454">
        <f t="shared" si="276"/>
        <v>-4810.0631270000003</v>
      </c>
      <c r="AQ160" s="278">
        <f>-AQ161*AQ107</f>
        <v>-5479.4729838584881</v>
      </c>
      <c r="AR160" s="278">
        <f>-AR161*AR107</f>
        <v>-5867.3216862128893</v>
      </c>
      <c r="AS160" s="278">
        <f>-AS161*AS107</f>
        <v>-6850.5244395604632</v>
      </c>
      <c r="AT160" s="263">
        <f>J160-SUM(AQ160:AS160)</f>
        <v>-5835.4921618509907</v>
      </c>
      <c r="AU160" s="278">
        <f>-AU161*AU107</f>
        <v>-6773.0481190983528</v>
      </c>
      <c r="AV160" s="278">
        <f>-AV161*AV107</f>
        <v>-7111.3566351709223</v>
      </c>
      <c r="AW160" s="278">
        <f>-AW161*AW107</f>
        <v>-7941.7022627536753</v>
      </c>
      <c r="AX160" s="263">
        <f>K160-SUM(AU160:AW160)</f>
        <v>-7517.77398172416</v>
      </c>
      <c r="AY160" s="195"/>
      <c r="AZ160" s="195"/>
      <c r="BA160" s="265"/>
      <c r="BB160" s="265"/>
      <c r="BC160" s="265"/>
      <c r="BD160" s="265"/>
      <c r="BE160" s="265"/>
      <c r="BF160" s="265"/>
      <c r="BG160" s="265"/>
      <c r="BH160" s="265"/>
      <c r="BI160" s="265"/>
      <c r="BJ160" s="265"/>
      <c r="BK160" s="265"/>
      <c r="BL160" s="265"/>
      <c r="BM160" s="265"/>
      <c r="BN160" s="265"/>
      <c r="BO160" s="265"/>
      <c r="BP160" s="266"/>
      <c r="BQ160" s="266"/>
      <c r="BR160" s="266"/>
      <c r="BS160" s="266"/>
      <c r="BT160" s="266"/>
      <c r="BU160" s="266"/>
      <c r="BV160" s="266"/>
      <c r="BW160" s="266"/>
      <c r="BX160" s="266"/>
      <c r="BY160" s="266"/>
      <c r="BZ160" s="266"/>
      <c r="CA160" s="266"/>
      <c r="CF160" s="199"/>
      <c r="CG160" s="199"/>
      <c r="CH160" s="199"/>
      <c r="CI160" s="199"/>
      <c r="CJ160" s="199"/>
      <c r="CK160" s="200"/>
      <c r="CL160" s="201"/>
    </row>
    <row r="161" spans="1:52" outlineLevel="1">
      <c r="A161" s="242" t="s">
        <v>153</v>
      </c>
      <c r="B161" s="39" t="s">
        <v>166</v>
      </c>
      <c r="C161" s="321">
        <f t="shared" si="274"/>
        <v>0.46510043267026413</v>
      </c>
      <c r="D161" s="321">
        <f t="shared" si="274"/>
        <v>0.59305557704851286</v>
      </c>
      <c r="E161" s="321">
        <f t="shared" si="274"/>
        <v>0.58691036477401148</v>
      </c>
      <c r="F161" s="321">
        <f t="shared" si="274"/>
        <v>0.73460855680292625</v>
      </c>
      <c r="G161" s="321">
        <f t="shared" si="274"/>
        <v>0.68575715748401955</v>
      </c>
      <c r="H161" s="416">
        <f t="shared" si="274"/>
        <v>0.83559395683791704</v>
      </c>
      <c r="I161" s="416">
        <f t="shared" si="274"/>
        <v>0.71603866976775377</v>
      </c>
      <c r="J161" s="341">
        <f t="shared" ref="J161:P161" si="277">J76-2%</f>
        <v>0.71</v>
      </c>
      <c r="K161" s="341">
        <f t="shared" si="277"/>
        <v>0.66999999999999993</v>
      </c>
      <c r="L161" s="341">
        <f t="shared" si="277"/>
        <v>0.65</v>
      </c>
      <c r="M161" s="341">
        <f t="shared" si="277"/>
        <v>0.63</v>
      </c>
      <c r="N161" s="341">
        <f t="shared" si="277"/>
        <v>0.61</v>
      </c>
      <c r="O161" s="341">
        <f t="shared" si="277"/>
        <v>0.6</v>
      </c>
      <c r="P161" s="341">
        <f t="shared" si="277"/>
        <v>0.59</v>
      </c>
      <c r="Q161" s="378">
        <f>Q76-1%</f>
        <v>0.59</v>
      </c>
      <c r="R161" s="378">
        <f>R76-1%</f>
        <v>0.59</v>
      </c>
      <c r="S161" s="378">
        <f>S76-1%</f>
        <v>0.59</v>
      </c>
      <c r="T161" s="295"/>
      <c r="U161" s="297"/>
      <c r="V161" s="297"/>
      <c r="W161" s="321">
        <f t="shared" si="269"/>
        <v>0.60001277078511217</v>
      </c>
      <c r="X161" s="321">
        <f t="shared" si="269"/>
        <v>0.59428893342186817</v>
      </c>
      <c r="Y161" s="321">
        <f t="shared" si="269"/>
        <v>0.55958867699458448</v>
      </c>
      <c r="Z161" s="321">
        <f t="shared" si="269"/>
        <v>0.59920644753895791</v>
      </c>
      <c r="AA161" s="321">
        <f t="shared" si="269"/>
        <v>0.67103115090909748</v>
      </c>
      <c r="AB161" s="321">
        <f t="shared" si="269"/>
        <v>0.66931778914592222</v>
      </c>
      <c r="AC161" s="321">
        <f t="shared" si="269"/>
        <v>0.68199091679490775</v>
      </c>
      <c r="AD161" s="321">
        <f t="shared" si="269"/>
        <v>0.90450711332552192</v>
      </c>
      <c r="AE161" s="321">
        <f t="shared" si="269"/>
        <v>0.77348179643188186</v>
      </c>
      <c r="AF161" s="321">
        <f t="shared" si="269"/>
        <v>0.68703613655502116</v>
      </c>
      <c r="AG161" s="321">
        <f t="shared" si="269"/>
        <v>0.60686061223234267</v>
      </c>
      <c r="AH161" s="321">
        <f t="shared" si="269"/>
        <v>0.70131782629229322</v>
      </c>
      <c r="AI161" s="321">
        <f t="shared" si="269"/>
        <v>1.1654930739653919</v>
      </c>
      <c r="AJ161" s="321">
        <f t="shared" si="269"/>
        <v>0.81020596593398642</v>
      </c>
      <c r="AK161" s="321">
        <f t="shared" si="269"/>
        <v>0.69817638987921782</v>
      </c>
      <c r="AL161" s="321">
        <f t="shared" si="269"/>
        <v>0.73679253326946637</v>
      </c>
      <c r="AM161" s="451">
        <f t="shared" si="276"/>
        <v>0.73648902751529599</v>
      </c>
      <c r="AN161" s="451">
        <f t="shared" si="276"/>
        <v>0.7242175732063092</v>
      </c>
      <c r="AO161" s="451">
        <f t="shared" si="276"/>
        <v>0.66296315092050617</v>
      </c>
      <c r="AP161" s="451">
        <f t="shared" si="276"/>
        <v>0.75403193671578095</v>
      </c>
      <c r="AQ161" s="341">
        <f>AQ76-2%</f>
        <v>0.76600000000000001</v>
      </c>
      <c r="AR161" s="341">
        <f>AR76-2%</f>
        <v>0.74</v>
      </c>
      <c r="AS161" s="341">
        <f>AS76-2%</f>
        <v>0.69</v>
      </c>
      <c r="AT161" s="322">
        <f>-AT160/AT107</f>
        <v>0.66023097757917459</v>
      </c>
      <c r="AU161" s="341">
        <f>AU76-2%</f>
        <v>0.67999999999999994</v>
      </c>
      <c r="AV161" s="341">
        <f>AV76-2%</f>
        <v>0.66999999999999993</v>
      </c>
      <c r="AW161" s="341">
        <f>AW76-2%</f>
        <v>0.65</v>
      </c>
      <c r="AX161" s="322">
        <f>-AX160/AX107</f>
        <v>0.68315428874859019</v>
      </c>
      <c r="AY161" s="37"/>
      <c r="AZ161" s="37"/>
    </row>
    <row r="162" spans="1:52" outlineLevel="1">
      <c r="A162" s="242" t="s">
        <v>62</v>
      </c>
      <c r="B162" s="39" t="s">
        <v>76</v>
      </c>
      <c r="C162" s="203">
        <f t="shared" si="274"/>
        <v>1065.9941699999999</v>
      </c>
      <c r="D162" s="203">
        <f t="shared" si="274"/>
        <v>654.60581199999979</v>
      </c>
      <c r="E162" s="203">
        <f t="shared" si="274"/>
        <v>838.4416839999999</v>
      </c>
      <c r="F162" s="203">
        <f t="shared" si="274"/>
        <v>-150.7971439999983</v>
      </c>
      <c r="G162" s="203">
        <f t="shared" si="274"/>
        <v>381.04294500000196</v>
      </c>
      <c r="H162" s="419">
        <f t="shared" si="274"/>
        <v>-1568.4784859999995</v>
      </c>
      <c r="I162" s="419">
        <f t="shared" si="274"/>
        <v>2926.1705440000005</v>
      </c>
      <c r="J162" s="250">
        <f t="shared" ref="J162:Q162" si="278">J158+J160</f>
        <v>4400.3738947785459</v>
      </c>
      <c r="K162" s="250">
        <f t="shared" si="278"/>
        <v>7533.0560175888168</v>
      </c>
      <c r="L162" s="250">
        <f t="shared" si="278"/>
        <v>10709.729086650492</v>
      </c>
      <c r="M162" s="250">
        <f t="shared" si="278"/>
        <v>14690.215307429557</v>
      </c>
      <c r="N162" s="250">
        <f t="shared" si="278"/>
        <v>19820.381636546263</v>
      </c>
      <c r="O162" s="250">
        <f t="shared" si="278"/>
        <v>24978.673381391993</v>
      </c>
      <c r="P162" s="250">
        <f t="shared" si="278"/>
        <v>30915.73774990534</v>
      </c>
      <c r="Q162" s="250">
        <f t="shared" si="278"/>
        <v>36400.551792152371</v>
      </c>
      <c r="R162" s="250">
        <f>R158+R160</f>
        <v>42559.748914501746</v>
      </c>
      <c r="S162" s="250">
        <f>S158+S160</f>
        <v>49257.917160890007</v>
      </c>
      <c r="U162" s="510"/>
      <c r="W162" s="203">
        <f t="shared" si="269"/>
        <v>160.01674599999967</v>
      </c>
      <c r="X162" s="203">
        <f t="shared" si="269"/>
        <v>195.94067300000029</v>
      </c>
      <c r="Y162" s="203">
        <f t="shared" si="269"/>
        <v>299.54139899999973</v>
      </c>
      <c r="Z162" s="203">
        <f t="shared" si="269"/>
        <v>182.94286600000009</v>
      </c>
      <c r="AA162" s="203">
        <f t="shared" si="269"/>
        <v>70.947131000000127</v>
      </c>
      <c r="AB162" s="203">
        <f t="shared" si="269"/>
        <v>90.919659000000138</v>
      </c>
      <c r="AC162" s="203">
        <f t="shared" si="269"/>
        <v>88.242546000000402</v>
      </c>
      <c r="AD162" s="203">
        <f t="shared" si="269"/>
        <v>-400.9064800000001</v>
      </c>
      <c r="AE162" s="203">
        <f t="shared" si="269"/>
        <v>-180.26735800000074</v>
      </c>
      <c r="AF162" s="203">
        <f t="shared" si="269"/>
        <v>60.883292000000438</v>
      </c>
      <c r="AG162" s="203">
        <f t="shared" si="269"/>
        <v>405.23432600000024</v>
      </c>
      <c r="AH162" s="203">
        <f t="shared" si="269"/>
        <v>95.192684999999983</v>
      </c>
      <c r="AI162" s="203">
        <f t="shared" si="269"/>
        <v>-1827.3756310000008</v>
      </c>
      <c r="AJ162" s="203">
        <f t="shared" si="269"/>
        <v>-395.91300199999841</v>
      </c>
      <c r="AK162" s="203">
        <f t="shared" si="269"/>
        <v>447.42374400000017</v>
      </c>
      <c r="AL162" s="203">
        <f t="shared" si="269"/>
        <v>207.38640299999952</v>
      </c>
      <c r="AM162" s="455">
        <f t="shared" si="276"/>
        <v>414.17378600000029</v>
      </c>
      <c r="AN162" s="455">
        <f t="shared" si="276"/>
        <v>645.2622539999993</v>
      </c>
      <c r="AO162" s="455">
        <f t="shared" si="276"/>
        <v>1358.9982689999997</v>
      </c>
      <c r="AP162" s="455">
        <f t="shared" si="276"/>
        <v>507.73623500000031</v>
      </c>
      <c r="AQ162" s="250">
        <f t="shared" ref="AQ162:AX162" si="279">AQ158+AQ160</f>
        <v>515.04184704675026</v>
      </c>
      <c r="AR162" s="250">
        <f t="shared" si="279"/>
        <v>800.81012203716455</v>
      </c>
      <c r="AS162" s="250">
        <f t="shared" si="279"/>
        <v>1499.172739671928</v>
      </c>
      <c r="AT162" s="250">
        <f t="shared" si="279"/>
        <v>1585.3491860226968</v>
      </c>
      <c r="AU162" s="250">
        <f t="shared" si="279"/>
        <v>1613.5791107263731</v>
      </c>
      <c r="AV162" s="250">
        <f t="shared" si="279"/>
        <v>1825.602001864775</v>
      </c>
      <c r="AW162" s="250">
        <f t="shared" si="279"/>
        <v>2345.856668382623</v>
      </c>
      <c r="AX162" s="250">
        <f t="shared" si="279"/>
        <v>1748.0182366150475</v>
      </c>
      <c r="AY162" s="62"/>
      <c r="AZ162" s="62"/>
    </row>
    <row r="163" spans="1:52" outlineLevel="1">
      <c r="A163" s="242" t="s">
        <v>75</v>
      </c>
      <c r="B163" s="39" t="s">
        <v>156</v>
      </c>
      <c r="C163" s="321">
        <f t="shared" si="274"/>
        <v>0.30473652966179754</v>
      </c>
      <c r="D163" s="321">
        <f t="shared" si="274"/>
        <v>0.15740290214311736</v>
      </c>
      <c r="E163" s="321">
        <f t="shared" si="274"/>
        <v>0.15564902360112259</v>
      </c>
      <c r="F163" s="321">
        <f t="shared" si="274"/>
        <v>-2.0525223832114456E-2</v>
      </c>
      <c r="G163" s="321">
        <f t="shared" si="274"/>
        <v>3.4965869712130622E-2</v>
      </c>
      <c r="H163" s="416">
        <f t="shared" si="274"/>
        <v>-8.1570761911635134E-2</v>
      </c>
      <c r="I163" s="416">
        <f t="shared" si="274"/>
        <v>0.10926851613575883</v>
      </c>
      <c r="J163" s="322">
        <f>J162/J107</f>
        <v>0.12999999999999998</v>
      </c>
      <c r="K163" s="322">
        <f t="shared" ref="K163:Q163" si="280">K162/K107</f>
        <v>0.17200000000000013</v>
      </c>
      <c r="L163" s="322">
        <f t="shared" si="280"/>
        <v>0.19399999999999998</v>
      </c>
      <c r="M163" s="322">
        <f t="shared" si="280"/>
        <v>0.21400000000000002</v>
      </c>
      <c r="N163" s="322">
        <f t="shared" si="280"/>
        <v>0.23399999999999993</v>
      </c>
      <c r="O163" s="322">
        <f t="shared" si="280"/>
        <v>0.24599999999999997</v>
      </c>
      <c r="P163" s="322">
        <f t="shared" si="280"/>
        <v>0.25600000000000001</v>
      </c>
      <c r="Q163" s="322">
        <f t="shared" si="280"/>
        <v>0.25600000000000001</v>
      </c>
      <c r="R163" s="322">
        <f>R162/R107</f>
        <v>0.25600000000000001</v>
      </c>
      <c r="S163" s="322">
        <f>S162/S107</f>
        <v>0.25599999999999995</v>
      </c>
      <c r="W163" s="321">
        <f t="shared" si="269"/>
        <v>0.13788507060994001</v>
      </c>
      <c r="X163" s="321">
        <f t="shared" si="269"/>
        <v>0.1574003095521829</v>
      </c>
      <c r="Y163" s="321">
        <f t="shared" si="269"/>
        <v>0.19438425674448623</v>
      </c>
      <c r="Z163" s="321">
        <f t="shared" si="269"/>
        <v>0.12700783958708239</v>
      </c>
      <c r="AA163" s="321">
        <f t="shared" si="269"/>
        <v>4.4852486886989104E-2</v>
      </c>
      <c r="AB163" s="321">
        <f t="shared" si="269"/>
        <v>5.2790873564088882E-2</v>
      </c>
      <c r="AC163" s="321">
        <f t="shared" si="269"/>
        <v>4.1436779960193314E-2</v>
      </c>
      <c r="AD163" s="321">
        <f t="shared" si="269"/>
        <v>-0.20953678821517926</v>
      </c>
      <c r="AE163" s="321">
        <f t="shared" si="269"/>
        <v>-7.7876796352569777E-2</v>
      </c>
      <c r="AF163" s="321">
        <f t="shared" si="269"/>
        <v>2.4091812262345441E-2</v>
      </c>
      <c r="AG163" s="321">
        <f t="shared" si="269"/>
        <v>0.12736807519723597</v>
      </c>
      <c r="AH163" s="321">
        <f t="shared" si="269"/>
        <v>3.3121384626138541E-2</v>
      </c>
      <c r="AI163" s="321">
        <f t="shared" si="269"/>
        <v>-0.43737979021974543</v>
      </c>
      <c r="AJ163" s="321">
        <f t="shared" si="269"/>
        <v>-8.9750043729946688E-2</v>
      </c>
      <c r="AK163" s="321">
        <f t="shared" si="269"/>
        <v>8.0300511973380465E-2</v>
      </c>
      <c r="AL163" s="321">
        <f t="shared" si="269"/>
        <v>4.092655781795479E-2</v>
      </c>
      <c r="AM163" s="451">
        <f t="shared" si="276"/>
        <v>6.806402195328605E-2</v>
      </c>
      <c r="AN163" s="451">
        <f t="shared" si="276"/>
        <v>0.1005744180915088</v>
      </c>
      <c r="AO163" s="451">
        <f t="shared" si="276"/>
        <v>0.17203215159636512</v>
      </c>
      <c r="AP163" s="451">
        <f t="shared" si="276"/>
        <v>7.9593412084096565E-2</v>
      </c>
      <c r="AQ163" s="322">
        <f t="shared" ref="AQ163:AX163" si="281">AQ162/AQ107</f>
        <v>7.1999999999999925E-2</v>
      </c>
      <c r="AR163" s="322">
        <f t="shared" si="281"/>
        <v>0.10099999999999999</v>
      </c>
      <c r="AS163" s="322">
        <f t="shared" si="281"/>
        <v>0.15100000000000002</v>
      </c>
      <c r="AT163" s="322">
        <f t="shared" si="281"/>
        <v>0.17936732907205322</v>
      </c>
      <c r="AU163" s="322">
        <f t="shared" si="281"/>
        <v>0.16200000000000009</v>
      </c>
      <c r="AV163" s="322">
        <f t="shared" si="281"/>
        <v>0.17200000000000007</v>
      </c>
      <c r="AW163" s="322">
        <f t="shared" si="281"/>
        <v>0.19199999999999992</v>
      </c>
      <c r="AX163" s="322">
        <f t="shared" si="281"/>
        <v>0.15884571125140984</v>
      </c>
      <c r="AY163" s="5"/>
      <c r="AZ163" s="5"/>
    </row>
    <row r="164" spans="1:52" outlineLevel="1">
      <c r="A164" s="3" t="s">
        <v>565</v>
      </c>
      <c r="B164" s="39" t="s">
        <v>697</v>
      </c>
      <c r="C164" s="250"/>
      <c r="D164" s="250"/>
      <c r="E164" s="250"/>
      <c r="F164" s="250"/>
      <c r="G164" s="238"/>
      <c r="H164" s="238"/>
      <c r="I164" s="238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W164" s="321">
        <f t="shared" si="269"/>
        <v>0.23403956339697637</v>
      </c>
      <c r="X164" s="321">
        <f t="shared" si="269"/>
        <v>0.24670178018214872</v>
      </c>
      <c r="Y164" s="321">
        <f t="shared" si="269"/>
        <v>0.26505323888279669</v>
      </c>
      <c r="Z164" s="321">
        <f t="shared" si="269"/>
        <v>0.20078896528244558</v>
      </c>
      <c r="AA164" s="321">
        <f t="shared" si="269"/>
        <v>0.12175548123125943</v>
      </c>
      <c r="AB164" s="321">
        <f t="shared" si="269"/>
        <v>0.11743719170358241</v>
      </c>
      <c r="AC164" s="321">
        <f t="shared" si="269"/>
        <v>0.10579422444612598</v>
      </c>
      <c r="AD164" s="321">
        <f t="shared" si="269"/>
        <v>-0.14336432120663664</v>
      </c>
      <c r="AE164" s="321">
        <f t="shared" si="269"/>
        <v>-9.2262308608923194E-3</v>
      </c>
      <c r="AF164" s="321">
        <f t="shared" si="269"/>
        <v>8.4671824615189517E-2</v>
      </c>
      <c r="AG164" s="321">
        <f t="shared" si="269"/>
        <v>0.1695184362802086</v>
      </c>
      <c r="AH164" s="321">
        <f t="shared" si="269"/>
        <v>0.10148688735064126</v>
      </c>
      <c r="AI164" s="321">
        <f t="shared" si="269"/>
        <v>1.9771153753065868E-3</v>
      </c>
      <c r="AJ164" s="321">
        <f t="shared" si="269"/>
        <v>4.1286419272780449E-2</v>
      </c>
      <c r="AK164" s="321">
        <f t="shared" si="269"/>
        <v>0.18023708041216255</v>
      </c>
      <c r="AL164" s="321">
        <f t="shared" si="269"/>
        <v>0.1572038650974304</v>
      </c>
      <c r="AM164" s="451">
        <f t="shared" si="276"/>
        <v>0.15380533297317139</v>
      </c>
      <c r="AN164" s="451">
        <f t="shared" si="276"/>
        <v>0.18284962975556379</v>
      </c>
      <c r="AO164" s="451">
        <f t="shared" si="276"/>
        <v>0.22064599578807764</v>
      </c>
      <c r="AP164" s="451">
        <f t="shared" si="276"/>
        <v>0.14232593446373606</v>
      </c>
      <c r="AQ164" s="322">
        <f t="shared" ref="AQ164:AX164" ca="1" si="282">VLOOKUP($A164,CTRP,MATCH(AQ$5,Period_CTRP,FALSE),FALSE)</f>
        <v>0.12256394763343391</v>
      </c>
      <c r="AR164" s="322">
        <f t="shared" ca="1" si="282"/>
        <v>0.14149345417925474</v>
      </c>
      <c r="AS164" s="322">
        <f t="shared" ca="1" si="282"/>
        <v>0.1814229607250756</v>
      </c>
      <c r="AT164" s="322">
        <f t="shared" ca="1" si="282"/>
        <v>0.20970638041188627</v>
      </c>
      <c r="AU164" s="322">
        <f t="shared" ca="1" si="282"/>
        <v>0.19242296072507553</v>
      </c>
      <c r="AV164" s="322">
        <f t="shared" ca="1" si="282"/>
        <v>0.20242296072507554</v>
      </c>
      <c r="AW164" s="322">
        <f t="shared" ca="1" si="282"/>
        <v>0.2224229607250755</v>
      </c>
      <c r="AX164" s="322">
        <f t="shared" ca="1" si="282"/>
        <v>0.1892791409744094</v>
      </c>
      <c r="AY164" s="5"/>
      <c r="AZ164" s="5"/>
    </row>
    <row r="165" spans="1:52" outlineLevel="1">
      <c r="A165" s="242"/>
      <c r="B165" s="282" t="s">
        <v>169</v>
      </c>
      <c r="C165" s="283"/>
      <c r="D165" s="283"/>
      <c r="E165" s="283"/>
      <c r="F165" s="283"/>
      <c r="G165" s="285"/>
      <c r="H165" s="285"/>
      <c r="I165" s="285"/>
      <c r="J165" s="284"/>
      <c r="K165" s="284"/>
      <c r="L165" s="284"/>
      <c r="M165" s="284"/>
      <c r="N165" s="284"/>
      <c r="O165" s="284"/>
      <c r="P165" s="284"/>
      <c r="Q165" s="284"/>
      <c r="R165" s="284"/>
      <c r="S165" s="284"/>
      <c r="W165" s="283"/>
      <c r="X165" s="283"/>
      <c r="Y165" s="283"/>
      <c r="Z165" s="283"/>
      <c r="AA165" s="283"/>
      <c r="AB165" s="283"/>
      <c r="AC165" s="283"/>
      <c r="AD165" s="283"/>
      <c r="AE165" s="283"/>
      <c r="AF165" s="283"/>
      <c r="AG165" s="283"/>
      <c r="AH165" s="283"/>
      <c r="AI165" s="283"/>
      <c r="AJ165" s="283"/>
      <c r="AK165" s="283"/>
      <c r="AL165" s="283"/>
      <c r="AM165" s="284"/>
      <c r="AN165" s="284"/>
      <c r="AO165" s="284"/>
      <c r="AP165" s="284"/>
      <c r="AQ165" s="284"/>
      <c r="AR165" s="284"/>
      <c r="AS165" s="284"/>
      <c r="AT165" s="284"/>
      <c r="AU165" s="284"/>
      <c r="AV165" s="284"/>
      <c r="AW165" s="284"/>
      <c r="AX165" s="284"/>
      <c r="AY165" s="5"/>
      <c r="AZ165" s="5"/>
    </row>
    <row r="166" spans="1:52" outlineLevel="1">
      <c r="A166" s="242"/>
      <c r="B166" s="290" t="s">
        <v>167</v>
      </c>
      <c r="C166" s="283"/>
      <c r="D166" s="283"/>
      <c r="E166" s="283"/>
      <c r="F166" s="283"/>
      <c r="G166" s="285"/>
      <c r="H166" s="285"/>
      <c r="I166" s="285"/>
      <c r="J166" s="284"/>
      <c r="K166" s="284"/>
      <c r="L166" s="284"/>
      <c r="M166" s="284"/>
      <c r="N166" s="284"/>
      <c r="O166" s="284"/>
      <c r="P166" s="284"/>
      <c r="Q166" s="284"/>
      <c r="R166" s="284"/>
      <c r="S166" s="284"/>
      <c r="W166" s="283"/>
      <c r="X166" s="283"/>
      <c r="Y166" s="283"/>
      <c r="Z166" s="283"/>
      <c r="AA166" s="283"/>
      <c r="AB166" s="283"/>
      <c r="AC166" s="283"/>
      <c r="AD166" s="283"/>
      <c r="AE166" s="283"/>
      <c r="AF166" s="283"/>
      <c r="AG166" s="283"/>
      <c r="AH166" s="283"/>
      <c r="AI166" s="283"/>
      <c r="AJ166" s="283"/>
      <c r="AK166" s="283"/>
      <c r="AL166" s="283"/>
      <c r="AM166" s="284"/>
      <c r="AN166" s="284"/>
      <c r="AO166" s="284"/>
      <c r="AP166" s="284"/>
      <c r="AQ166" s="284"/>
      <c r="AR166" s="284"/>
      <c r="AS166" s="284"/>
      <c r="AT166" s="284"/>
      <c r="AU166" s="284"/>
      <c r="AV166" s="284"/>
      <c r="AW166" s="284"/>
      <c r="AX166" s="284"/>
      <c r="AY166" s="5"/>
      <c r="AZ166" s="5"/>
    </row>
    <row r="167" spans="1:52" outlineLevel="1">
      <c r="A167" s="242"/>
      <c r="B167" s="290" t="s">
        <v>84</v>
      </c>
      <c r="C167" s="283"/>
      <c r="D167" s="283"/>
      <c r="E167" s="283"/>
      <c r="F167" s="283"/>
      <c r="G167" s="285"/>
      <c r="H167" s="285"/>
      <c r="I167" s="285"/>
      <c r="J167" s="284"/>
      <c r="K167" s="284"/>
      <c r="L167" s="284"/>
      <c r="M167" s="284"/>
      <c r="N167" s="284"/>
      <c r="O167" s="284"/>
      <c r="P167" s="284"/>
      <c r="Q167" s="284"/>
      <c r="R167" s="284"/>
      <c r="S167" s="284"/>
      <c r="W167" s="283"/>
      <c r="X167" s="283"/>
      <c r="Y167" s="283"/>
      <c r="Z167" s="283"/>
      <c r="AA167" s="283"/>
      <c r="AB167" s="283"/>
      <c r="AC167" s="283"/>
      <c r="AD167" s="283"/>
      <c r="AE167" s="283"/>
      <c r="AF167" s="283"/>
      <c r="AG167" s="283"/>
      <c r="AH167" s="283"/>
      <c r="AI167" s="283"/>
      <c r="AJ167" s="283"/>
      <c r="AK167" s="283"/>
      <c r="AL167" s="283"/>
      <c r="AM167" s="284"/>
      <c r="AN167" s="284"/>
      <c r="AO167" s="284"/>
      <c r="AP167" s="284"/>
      <c r="AQ167" s="284"/>
      <c r="AR167" s="284"/>
      <c r="AS167" s="284"/>
      <c r="AT167" s="284"/>
      <c r="AU167" s="284"/>
      <c r="AV167" s="284"/>
      <c r="AW167" s="284"/>
      <c r="AX167" s="284"/>
      <c r="AY167" s="5"/>
      <c r="AZ167" s="5"/>
    </row>
    <row r="168" spans="1:52" outlineLevel="1">
      <c r="A168" s="242"/>
      <c r="B168" s="290" t="s">
        <v>168</v>
      </c>
      <c r="C168" s="283"/>
      <c r="D168" s="283"/>
      <c r="E168" s="283"/>
      <c r="F168" s="283"/>
      <c r="G168" s="285"/>
      <c r="H168" s="285"/>
      <c r="I168" s="285"/>
      <c r="J168" s="284"/>
      <c r="K168" s="284"/>
      <c r="L168" s="284"/>
      <c r="M168" s="284"/>
      <c r="N168" s="284"/>
      <c r="O168" s="284"/>
      <c r="P168" s="284"/>
      <c r="Q168" s="284"/>
      <c r="R168" s="284"/>
      <c r="S168" s="284"/>
      <c r="W168" s="283"/>
      <c r="X168" s="283"/>
      <c r="Y168" s="283"/>
      <c r="Z168" s="283"/>
      <c r="AA168" s="283"/>
      <c r="AB168" s="283"/>
      <c r="AC168" s="283"/>
      <c r="AD168" s="283"/>
      <c r="AE168" s="283"/>
      <c r="AF168" s="283"/>
      <c r="AG168" s="283"/>
      <c r="AH168" s="283"/>
      <c r="AI168" s="283"/>
      <c r="AJ168" s="283"/>
      <c r="AK168" s="283"/>
      <c r="AL168" s="283"/>
      <c r="AM168" s="284"/>
      <c r="AN168" s="284"/>
      <c r="AO168" s="284"/>
      <c r="AP168" s="284"/>
      <c r="AQ168" s="284"/>
      <c r="AR168" s="284"/>
      <c r="AS168" s="284"/>
      <c r="AT168" s="284"/>
      <c r="AU168" s="284"/>
      <c r="AV168" s="284"/>
      <c r="AW168" s="284"/>
      <c r="AX168" s="284"/>
      <c r="AY168" s="5"/>
      <c r="AZ168" s="5"/>
    </row>
    <row r="169" spans="1:52" outlineLevel="1">
      <c r="A169" s="242"/>
      <c r="B169" s="290" t="s">
        <v>119</v>
      </c>
      <c r="C169" s="283"/>
      <c r="D169" s="283"/>
      <c r="E169" s="283"/>
      <c r="F169" s="283"/>
      <c r="G169" s="285"/>
      <c r="H169" s="285"/>
      <c r="I169" s="285"/>
      <c r="J169" s="284"/>
      <c r="K169" s="284"/>
      <c r="L169" s="284"/>
      <c r="M169" s="284"/>
      <c r="N169" s="284"/>
      <c r="O169" s="284"/>
      <c r="P169" s="284"/>
      <c r="Q169" s="284"/>
      <c r="R169" s="284"/>
      <c r="S169" s="284"/>
      <c r="W169" s="283"/>
      <c r="X169" s="283"/>
      <c r="Y169" s="283"/>
      <c r="Z169" s="283"/>
      <c r="AA169" s="283"/>
      <c r="AB169" s="283"/>
      <c r="AC169" s="283"/>
      <c r="AD169" s="283"/>
      <c r="AE169" s="283"/>
      <c r="AF169" s="283"/>
      <c r="AG169" s="283"/>
      <c r="AH169" s="283"/>
      <c r="AI169" s="283"/>
      <c r="AJ169" s="283"/>
      <c r="AK169" s="283"/>
      <c r="AL169" s="283"/>
      <c r="AM169" s="284"/>
      <c r="AN169" s="284"/>
      <c r="AO169" s="284"/>
      <c r="AP169" s="284"/>
      <c r="AQ169" s="284"/>
      <c r="AR169" s="284"/>
      <c r="AS169" s="284"/>
      <c r="AT169" s="284"/>
      <c r="AU169" s="284"/>
      <c r="AV169" s="284"/>
      <c r="AW169" s="284"/>
      <c r="AX169" s="284"/>
      <c r="AY169" s="5"/>
      <c r="AZ169" s="5"/>
    </row>
    <row r="170" spans="1:52" outlineLevel="1">
      <c r="A170" s="242"/>
      <c r="B170" s="290" t="s">
        <v>125</v>
      </c>
      <c r="C170" s="283"/>
      <c r="D170" s="283"/>
      <c r="E170" s="283"/>
      <c r="F170" s="283"/>
      <c r="G170" s="285"/>
      <c r="H170" s="285"/>
      <c r="I170" s="285"/>
      <c r="J170" s="284"/>
      <c r="K170" s="284"/>
      <c r="L170" s="284"/>
      <c r="M170" s="284"/>
      <c r="N170" s="284"/>
      <c r="O170" s="284"/>
      <c r="P170" s="284"/>
      <c r="Q170" s="284"/>
      <c r="R170" s="284"/>
      <c r="S170" s="284"/>
      <c r="W170" s="283"/>
      <c r="X170" s="283"/>
      <c r="Y170" s="283"/>
      <c r="Z170" s="283"/>
      <c r="AA170" s="283"/>
      <c r="AB170" s="283"/>
      <c r="AC170" s="283"/>
      <c r="AD170" s="283"/>
      <c r="AE170" s="283"/>
      <c r="AF170" s="283"/>
      <c r="AG170" s="283"/>
      <c r="AH170" s="283"/>
      <c r="AI170" s="283"/>
      <c r="AJ170" s="283"/>
      <c r="AK170" s="283"/>
      <c r="AL170" s="283"/>
      <c r="AM170" s="284"/>
      <c r="AN170" s="284"/>
      <c r="AO170" s="284"/>
      <c r="AP170" s="284"/>
      <c r="AQ170" s="284"/>
      <c r="AR170" s="284"/>
      <c r="AS170" s="284"/>
      <c r="AT170" s="284"/>
      <c r="AU170" s="284"/>
      <c r="AV170" s="284"/>
      <c r="AW170" s="284"/>
      <c r="AX170" s="284"/>
      <c r="AY170" s="5"/>
      <c r="AZ170" s="5"/>
    </row>
    <row r="171" spans="1:52" s="65" customFormat="1" outlineLevel="1">
      <c r="A171" s="258"/>
      <c r="C171" s="280"/>
      <c r="D171" s="280"/>
      <c r="E171" s="280"/>
      <c r="F171" s="280"/>
      <c r="G171" s="269"/>
      <c r="H171" s="269"/>
      <c r="I171" s="269"/>
      <c r="J171" s="268"/>
      <c r="K171" s="268"/>
      <c r="L171" s="268"/>
      <c r="M171" s="268"/>
      <c r="N171" s="268"/>
      <c r="O171" s="268"/>
      <c r="P171" s="268"/>
      <c r="Q171" s="268"/>
      <c r="R171" s="268"/>
      <c r="S171" s="268"/>
      <c r="W171" s="280"/>
      <c r="X171" s="280"/>
      <c r="Y171" s="280"/>
      <c r="Z171" s="280"/>
      <c r="AA171" s="280"/>
      <c r="AB171" s="280"/>
      <c r="AC171" s="280"/>
      <c r="AD171" s="280"/>
      <c r="AE171" s="280"/>
      <c r="AF171" s="280"/>
      <c r="AG171" s="280"/>
      <c r="AH171" s="280"/>
      <c r="AI171" s="280"/>
      <c r="AJ171" s="280"/>
      <c r="AK171" s="280"/>
      <c r="AL171" s="280"/>
      <c r="AM171" s="268"/>
      <c r="AN171" s="268"/>
      <c r="AO171" s="268"/>
      <c r="AP171" s="268"/>
      <c r="AQ171" s="268"/>
      <c r="AR171" s="268"/>
      <c r="AS171" s="268"/>
      <c r="AT171" s="268"/>
      <c r="AU171" s="268"/>
      <c r="AV171" s="268"/>
      <c r="AW171" s="268"/>
      <c r="AX171" s="268"/>
      <c r="AY171" s="5"/>
      <c r="AZ171" s="5"/>
    </row>
    <row r="172" spans="1:52">
      <c r="B172" s="94" t="s">
        <v>158</v>
      </c>
      <c r="C172" s="23"/>
      <c r="D172" s="23"/>
      <c r="E172" s="23"/>
      <c r="F172" s="23"/>
      <c r="G172" s="238"/>
      <c r="H172" s="238"/>
      <c r="I172" s="238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5"/>
      <c r="AZ172" s="5"/>
    </row>
    <row r="173" spans="1:52" s="248" customFormat="1" outlineLevel="1">
      <c r="A173" s="249" t="s">
        <v>477</v>
      </c>
      <c r="B173" s="116" t="s">
        <v>146</v>
      </c>
      <c r="C173" s="253">
        <f t="shared" ref="C173:I173" si="283">VLOOKUP($A173,CTRP,MATCH(C$5,Period_CTRP,FALSE),FALSE)</f>
        <v>3726.3041920000001</v>
      </c>
      <c r="D173" s="253">
        <f t="shared" si="283"/>
        <v>4409.192258</v>
      </c>
      <c r="E173" s="253">
        <f t="shared" si="283"/>
        <v>5717.0170619999999</v>
      </c>
      <c r="F173" s="253">
        <f t="shared" si="283"/>
        <v>7772.5571070000005</v>
      </c>
      <c r="G173" s="422">
        <f t="shared" si="283"/>
        <v>11496.946408000002</v>
      </c>
      <c r="H173" s="431">
        <f t="shared" si="283"/>
        <v>19788.086638000001</v>
      </c>
      <c r="I173" s="431">
        <f t="shared" si="283"/>
        <v>26976.985464000001</v>
      </c>
      <c r="J173" s="245">
        <f t="shared" ref="J173:Q173" si="284">J186+J198+J210+J220+J223</f>
        <v>29493.584476102566</v>
      </c>
      <c r="K173" s="245">
        <f t="shared" si="284"/>
        <v>35312.377977002303</v>
      </c>
      <c r="L173" s="245">
        <f t="shared" si="284"/>
        <v>41068.494819496562</v>
      </c>
      <c r="M173" s="245">
        <f t="shared" si="284"/>
        <v>47031.844720053945</v>
      </c>
      <c r="N173" s="245">
        <f t="shared" si="284"/>
        <v>53368.612988809764</v>
      </c>
      <c r="O173" s="245">
        <f t="shared" si="284"/>
        <v>58663.92773438726</v>
      </c>
      <c r="P173" s="245">
        <f t="shared" si="284"/>
        <v>63871.908499173944</v>
      </c>
      <c r="Q173" s="245">
        <f t="shared" si="284"/>
        <v>68960.255457217805</v>
      </c>
      <c r="R173" s="245">
        <f>R186+R198+R210+R220+R223</f>
        <v>73836.172141770352</v>
      </c>
      <c r="S173" s="245">
        <f>S186+S198+S210+S220+S223</f>
        <v>78187.554460190033</v>
      </c>
      <c r="U173" s="510">
        <f>(K173/I173)^(1/2)-1</f>
        <v>0.14410734379648038</v>
      </c>
      <c r="V173" s="246"/>
      <c r="W173" s="253">
        <f t="shared" ref="W173:AP173" si="285">VLOOKUP($A173,CTRP,MATCH(W$5,Period_CTRP,FALSE),FALSE)</f>
        <v>1228.4082539999997</v>
      </c>
      <c r="X173" s="253">
        <f t="shared" si="285"/>
        <v>1320.1503430000002</v>
      </c>
      <c r="Y173" s="253">
        <f t="shared" si="285"/>
        <v>1640.4862189999997</v>
      </c>
      <c r="Z173" s="253">
        <f t="shared" si="285"/>
        <v>1527.972246</v>
      </c>
      <c r="AA173" s="253">
        <f t="shared" si="285"/>
        <v>1673.1728130000001</v>
      </c>
      <c r="AB173" s="253">
        <f t="shared" si="285"/>
        <v>1819.5057940000002</v>
      </c>
      <c r="AC173" s="253">
        <f t="shared" si="285"/>
        <v>2259.4716590000003</v>
      </c>
      <c r="AD173" s="253">
        <f t="shared" si="285"/>
        <v>2020.406841</v>
      </c>
      <c r="AE173" s="253">
        <f t="shared" si="285"/>
        <v>2443.3025599999996</v>
      </c>
      <c r="AF173" s="253">
        <f t="shared" si="285"/>
        <v>2665.4889140000005</v>
      </c>
      <c r="AG173" s="253">
        <f t="shared" si="285"/>
        <v>3355.7686240000003</v>
      </c>
      <c r="AH173" s="253">
        <f t="shared" si="285"/>
        <v>3032.3863099999999</v>
      </c>
      <c r="AI173" s="253">
        <f t="shared" si="285"/>
        <v>4399.1412899999996</v>
      </c>
      <c r="AJ173" s="253">
        <f t="shared" si="285"/>
        <v>4542.3922160000011</v>
      </c>
      <c r="AK173" s="253">
        <f t="shared" si="285"/>
        <v>5667.7947210000002</v>
      </c>
      <c r="AL173" s="253">
        <f t="shared" si="285"/>
        <v>5178.7584109999998</v>
      </c>
      <c r="AM173" s="253">
        <f t="shared" si="285"/>
        <v>6133.2704119999999</v>
      </c>
      <c r="AN173" s="253">
        <f t="shared" si="285"/>
        <v>6461.5633499999994</v>
      </c>
      <c r="AO173" s="253">
        <f t="shared" si="285"/>
        <v>7956.9508729999998</v>
      </c>
      <c r="AP173" s="253">
        <f t="shared" si="285"/>
        <v>6425.2008290000003</v>
      </c>
      <c r="AQ173" s="245">
        <f t="shared" ref="AQ173:AX173" si="286">AQ186+AQ198+AQ210+AQ220+AQ223</f>
        <v>6191.5649198195861</v>
      </c>
      <c r="AR173" s="245">
        <f t="shared" si="286"/>
        <v>6955.8098678815995</v>
      </c>
      <c r="AS173" s="245">
        <f t="shared" si="286"/>
        <v>8578.5217330209707</v>
      </c>
      <c r="AT173" s="245">
        <f t="shared" si="286"/>
        <v>7767.6879553804138</v>
      </c>
      <c r="AU173" s="245">
        <f t="shared" si="286"/>
        <v>8043.0281881448218</v>
      </c>
      <c r="AV173" s="245">
        <f t="shared" si="286"/>
        <v>8664.6814069307147</v>
      </c>
      <c r="AW173" s="245">
        <f t="shared" si="286"/>
        <v>9773.2410578704475</v>
      </c>
      <c r="AX173" s="245">
        <f t="shared" si="286"/>
        <v>26887.662335863788</v>
      </c>
      <c r="AY173" s="22"/>
      <c r="AZ173" s="22"/>
    </row>
    <row r="174" spans="1:52" outlineLevel="1">
      <c r="A174" s="242"/>
      <c r="B174" s="12" t="s">
        <v>82</v>
      </c>
      <c r="C174" s="322"/>
      <c r="D174" s="322">
        <f t="shared" ref="D174:S174" si="287">(D173/C173-1)*1</f>
        <v>0.18326149203441089</v>
      </c>
      <c r="E174" s="322">
        <f t="shared" si="287"/>
        <v>0.29661324058325955</v>
      </c>
      <c r="F174" s="322">
        <f t="shared" si="287"/>
        <v>0.35954764918628834</v>
      </c>
      <c r="G174" s="423">
        <f>(G173/F173-1)*1</f>
        <v>0.47917168696590196</v>
      </c>
      <c r="H174" s="322">
        <f>(H173/G173-1)*1</f>
        <v>0.72116020513331414</v>
      </c>
      <c r="I174" s="322">
        <f>(I173/H173-1)*1</f>
        <v>0.36329428698754618</v>
      </c>
      <c r="J174" s="322">
        <f t="shared" si="287"/>
        <v>9.3286887649507433E-2</v>
      </c>
      <c r="K174" s="322">
        <f t="shared" si="287"/>
        <v>0.19729014306872283</v>
      </c>
      <c r="L174" s="322">
        <f t="shared" si="287"/>
        <v>0.16300564199451584</v>
      </c>
      <c r="M174" s="322">
        <f t="shared" si="287"/>
        <v>0.14520497833600632</v>
      </c>
      <c r="N174" s="322">
        <f t="shared" si="287"/>
        <v>0.13473356842526485</v>
      </c>
      <c r="O174" s="322">
        <f t="shared" si="287"/>
        <v>9.9221517086977906E-2</v>
      </c>
      <c r="P174" s="322">
        <f t="shared" si="287"/>
        <v>8.8776544052196149E-2</v>
      </c>
      <c r="Q174" s="322">
        <f t="shared" si="287"/>
        <v>7.9664864846016981E-2</v>
      </c>
      <c r="R174" s="322">
        <f t="shared" si="287"/>
        <v>7.0706186516050762E-2</v>
      </c>
      <c r="S174" s="322">
        <f t="shared" si="287"/>
        <v>5.8932934796033898E-2</v>
      </c>
      <c r="U174" s="246"/>
      <c r="V174" s="246"/>
      <c r="W174" s="322"/>
      <c r="X174" s="322"/>
      <c r="Y174" s="322"/>
      <c r="Z174" s="322"/>
      <c r="AA174" s="322">
        <f t="shared" ref="AA174:AL174" si="288">(AA173/W173-1)*1</f>
        <v>0.3620657526125679</v>
      </c>
      <c r="AB174" s="322">
        <f t="shared" si="288"/>
        <v>0.37825650210810857</v>
      </c>
      <c r="AC174" s="322">
        <f t="shared" si="288"/>
        <v>0.37731828090413289</v>
      </c>
      <c r="AD174" s="322">
        <f t="shared" si="288"/>
        <v>0.32227980337281603</v>
      </c>
      <c r="AE174" s="322">
        <f t="shared" si="288"/>
        <v>0.46028105466234304</v>
      </c>
      <c r="AF174" s="322">
        <f t="shared" si="288"/>
        <v>0.46495214403257923</v>
      </c>
      <c r="AG174" s="322">
        <f t="shared" si="288"/>
        <v>0.48520058246059183</v>
      </c>
      <c r="AH174" s="322">
        <f t="shared" si="288"/>
        <v>0.50087905488338214</v>
      </c>
      <c r="AI174" s="322">
        <f t="shared" si="288"/>
        <v>0.80048978052067365</v>
      </c>
      <c r="AJ174" s="322">
        <f t="shared" si="288"/>
        <v>0.70414973108381873</v>
      </c>
      <c r="AK174" s="322">
        <f t="shared" si="288"/>
        <v>0.68897065204814889</v>
      </c>
      <c r="AL174" s="322">
        <f t="shared" si="288"/>
        <v>0.70781618223306131</v>
      </c>
      <c r="AM174" s="322">
        <f>(AM173/AI173-1)*1</f>
        <v>0.3941971870605685</v>
      </c>
      <c r="AN174" s="322">
        <f>(AN173/AJ173-1)*1</f>
        <v>0.42250229454866561</v>
      </c>
      <c r="AO174" s="322">
        <f>(AO173/AK173-1)*1</f>
        <v>0.40388833129724055</v>
      </c>
      <c r="AP174" s="322">
        <f>(AP173/AL173-1)*1</f>
        <v>0.2406836386405824</v>
      </c>
      <c r="AQ174" s="322">
        <f t="shared" ref="AQ174:AX174" si="289">(AQ173/AM173-1)*1</f>
        <v>9.5046368256535008E-3</v>
      </c>
      <c r="AR174" s="322">
        <f t="shared" si="289"/>
        <v>7.6490237905289638E-2</v>
      </c>
      <c r="AS174" s="322">
        <f t="shared" si="289"/>
        <v>7.8116714548297939E-2</v>
      </c>
      <c r="AT174" s="322">
        <f t="shared" si="289"/>
        <v>0.20894088171082958</v>
      </c>
      <c r="AU174" s="322">
        <f t="shared" si="289"/>
        <v>0.29902993706786241</v>
      </c>
      <c r="AV174" s="322">
        <f t="shared" si="289"/>
        <v>0.24567542407100817</v>
      </c>
      <c r="AW174" s="322">
        <f t="shared" si="289"/>
        <v>0.13926867146010591</v>
      </c>
      <c r="AX174" s="322">
        <f t="shared" si="289"/>
        <v>2.4614756012745875</v>
      </c>
      <c r="AY174" s="117"/>
      <c r="AZ174" s="117"/>
    </row>
    <row r="175" spans="1:52" outlineLevel="1">
      <c r="A175" s="242"/>
      <c r="B175" s="12" t="s">
        <v>83</v>
      </c>
      <c r="C175" s="322"/>
      <c r="D175" s="322"/>
      <c r="E175" s="322"/>
      <c r="F175" s="322"/>
      <c r="G175" s="423"/>
      <c r="H175" s="423"/>
      <c r="I175" s="423"/>
      <c r="J175" s="322"/>
      <c r="K175" s="322"/>
      <c r="L175" s="322"/>
      <c r="M175" s="322"/>
      <c r="N175" s="322"/>
      <c r="O175" s="322"/>
      <c r="P175" s="322"/>
      <c r="Q175" s="322"/>
      <c r="R175" s="322"/>
      <c r="S175" s="322"/>
      <c r="U175" s="246"/>
      <c r="V175" s="246"/>
      <c r="W175" s="322"/>
      <c r="X175" s="322">
        <f t="shared" ref="X175:AL175" si="290">(X173/W173-1)*1</f>
        <v>7.4683712602276797E-2</v>
      </c>
      <c r="Y175" s="322">
        <f t="shared" si="290"/>
        <v>0.24265105690314503</v>
      </c>
      <c r="Z175" s="322">
        <f t="shared" si="290"/>
        <v>-6.8585747138177999E-2</v>
      </c>
      <c r="AA175" s="322">
        <f t="shared" si="290"/>
        <v>9.5028275140542018E-2</v>
      </c>
      <c r="AB175" s="322">
        <f t="shared" si="290"/>
        <v>8.7458378395250724E-2</v>
      </c>
      <c r="AC175" s="322">
        <f t="shared" si="290"/>
        <v>0.24180514645835749</v>
      </c>
      <c r="AD175" s="322">
        <f t="shared" si="290"/>
        <v>-0.10580562807581573</v>
      </c>
      <c r="AE175" s="322">
        <f t="shared" si="290"/>
        <v>0.20931215952064752</v>
      </c>
      <c r="AF175" s="322">
        <f t="shared" si="290"/>
        <v>9.0936897311645559E-2</v>
      </c>
      <c r="AG175" s="322">
        <f t="shared" si="290"/>
        <v>0.25896926690425537</v>
      </c>
      <c r="AH175" s="322">
        <f t="shared" si="290"/>
        <v>-9.6366093802538799E-2</v>
      </c>
      <c r="AI175" s="322">
        <f t="shared" si="290"/>
        <v>0.4507192818714445</v>
      </c>
      <c r="AJ175" s="322">
        <f t="shared" si="290"/>
        <v>3.2563383750741304E-2</v>
      </c>
      <c r="AK175" s="322">
        <f t="shared" si="290"/>
        <v>0.24775546705013962</v>
      </c>
      <c r="AL175" s="322">
        <f t="shared" si="290"/>
        <v>-8.6283349004869558E-2</v>
      </c>
      <c r="AM175" s="322">
        <f>(AM173/AL173-1)*1</f>
        <v>0.1843129038366722</v>
      </c>
      <c r="AN175" s="322">
        <f>(AN173/AM173-1)*1</f>
        <v>5.3526571624443742E-2</v>
      </c>
      <c r="AO175" s="322">
        <f>(AO173/AN173-1)*1</f>
        <v>0.23142813000510176</v>
      </c>
      <c r="AP175" s="322">
        <f>(AP173/AO173-1)*1</f>
        <v>-0.19250465014150397</v>
      </c>
      <c r="AQ175" s="322">
        <f t="shared" ref="AQ175:AX175" si="291">(AQ173/AP173-1)*1</f>
        <v>-3.6362429035043387E-2</v>
      </c>
      <c r="AR175" s="322">
        <f t="shared" si="291"/>
        <v>0.1234332447384372</v>
      </c>
      <c r="AS175" s="322">
        <f t="shared" si="291"/>
        <v>0.23328870339487451</v>
      </c>
      <c r="AT175" s="322">
        <f t="shared" si="291"/>
        <v>-9.4519056181841421E-2</v>
      </c>
      <c r="AU175" s="322">
        <f t="shared" si="291"/>
        <v>3.5446870979631617E-2</v>
      </c>
      <c r="AV175" s="322">
        <f t="shared" si="291"/>
        <v>7.7290941203238761E-2</v>
      </c>
      <c r="AW175" s="322">
        <f t="shared" si="291"/>
        <v>0.12794003597789727</v>
      </c>
      <c r="AX175" s="322">
        <f t="shared" si="291"/>
        <v>1.75115104361526</v>
      </c>
      <c r="AY175" s="117"/>
      <c r="AZ175" s="117"/>
    </row>
    <row r="176" spans="1:52" outlineLevel="1">
      <c r="A176" s="242"/>
      <c r="B176" s="12"/>
      <c r="C176" s="23"/>
      <c r="D176" s="23"/>
      <c r="E176" s="23"/>
      <c r="F176" s="23"/>
      <c r="G176" s="410"/>
      <c r="H176" s="410"/>
      <c r="I176" s="410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U176" s="246"/>
      <c r="V176" s="246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5"/>
      <c r="AZ176" s="5"/>
    </row>
    <row r="177" spans="1:90" s="248" customFormat="1" outlineLevel="1">
      <c r="A177" s="249" t="s">
        <v>59</v>
      </c>
      <c r="B177" s="116" t="s">
        <v>18</v>
      </c>
      <c r="C177" s="253">
        <f t="shared" ref="C177:I177" si="292">VLOOKUP($A177,CTRP,MATCH(C$5,Period_CTRP,FALSE),FALSE)</f>
        <v>-228.21956399999999</v>
      </c>
      <c r="D177" s="253">
        <f t="shared" si="292"/>
        <v>-250.40100899999999</v>
      </c>
      <c r="E177" s="253">
        <f t="shared" si="292"/>
        <v>-330.27152000000001</v>
      </c>
      <c r="F177" s="253">
        <f t="shared" si="292"/>
        <v>-425.63873799999999</v>
      </c>
      <c r="G177" s="425">
        <f t="shared" si="292"/>
        <v>-599.37834699999996</v>
      </c>
      <c r="H177" s="425">
        <f t="shared" si="292"/>
        <v>-559.64682400000004</v>
      </c>
      <c r="I177" s="425">
        <f t="shared" si="292"/>
        <v>-197.354446</v>
      </c>
      <c r="J177" s="432">
        <f>-J178*J173</f>
        <v>-215.76502803113277</v>
      </c>
      <c r="K177" s="432">
        <f t="shared" ref="K177:Q177" si="293">-K178*K173</f>
        <v>-258.33334128062194</v>
      </c>
      <c r="L177" s="432">
        <f t="shared" si="293"/>
        <v>-300.44313342465807</v>
      </c>
      <c r="M177" s="432">
        <f t="shared" si="293"/>
        <v>-344.06897210478735</v>
      </c>
      <c r="N177" s="432">
        <f t="shared" si="293"/>
        <v>-390.42661250087826</v>
      </c>
      <c r="O177" s="432">
        <f t="shared" si="293"/>
        <v>-429.16533330434504</v>
      </c>
      <c r="P177" s="432">
        <f t="shared" si="293"/>
        <v>-467.26514842211373</v>
      </c>
      <c r="Q177" s="432">
        <f t="shared" si="293"/>
        <v>-504.4897633184155</v>
      </c>
      <c r="R177" s="432">
        <f>-R178*R173</f>
        <v>-540.16031061904562</v>
      </c>
      <c r="S177" s="432">
        <f>-S178*S173</f>
        <v>-571.99354298416324</v>
      </c>
      <c r="U177" s="510">
        <f>(K177/I177)^(1/2)-1</f>
        <v>0.14410734379648016</v>
      </c>
      <c r="V177" s="246"/>
      <c r="W177" s="253">
        <f t="shared" ref="W177:AP177" si="294">VLOOKUP($A177,CTRP,MATCH(W$5,Period_CTRP,FALSE),FALSE)</f>
        <v>-67.900120000000001</v>
      </c>
      <c r="X177" s="253">
        <f t="shared" si="294"/>
        <v>-75.294640000000001</v>
      </c>
      <c r="Y177" s="253">
        <f t="shared" si="294"/>
        <v>-99.510606999999993</v>
      </c>
      <c r="Z177" s="253">
        <f t="shared" si="294"/>
        <v>-87.566153</v>
      </c>
      <c r="AA177" s="253">
        <f t="shared" si="294"/>
        <v>-91.384691000000004</v>
      </c>
      <c r="AB177" s="253">
        <f t="shared" si="294"/>
        <v>-97.244864000000007</v>
      </c>
      <c r="AC177" s="253">
        <f t="shared" si="294"/>
        <v>-129.901116</v>
      </c>
      <c r="AD177" s="253">
        <f t="shared" si="294"/>
        <v>-107.10806700000001</v>
      </c>
      <c r="AE177" s="253">
        <f t="shared" si="294"/>
        <v>-128.526318</v>
      </c>
      <c r="AF177" s="253">
        <f t="shared" si="294"/>
        <v>-138.35266799999999</v>
      </c>
      <c r="AG177" s="253">
        <f t="shared" si="294"/>
        <v>-174.16816900000001</v>
      </c>
      <c r="AH177" s="253">
        <f t="shared" si="294"/>
        <v>-158.33119199999999</v>
      </c>
      <c r="AI177" s="253">
        <f t="shared" si="294"/>
        <v>-221.13473400000001</v>
      </c>
      <c r="AJ177" s="253">
        <f t="shared" si="294"/>
        <v>-131.10743500000001</v>
      </c>
      <c r="AK177" s="253">
        <f t="shared" si="294"/>
        <v>-95.928078999999997</v>
      </c>
      <c r="AL177" s="253">
        <f t="shared" si="294"/>
        <v>-111.47657599999999</v>
      </c>
      <c r="AM177" s="253">
        <f t="shared" si="294"/>
        <v>-48.208523</v>
      </c>
      <c r="AN177" s="253">
        <f t="shared" si="294"/>
        <v>-45.794148999999997</v>
      </c>
      <c r="AO177" s="253">
        <f t="shared" si="294"/>
        <v>-57.274816000000001</v>
      </c>
      <c r="AP177" s="253">
        <f t="shared" si="294"/>
        <v>-46.076957999999998</v>
      </c>
      <c r="AQ177" s="253">
        <f>-AQ178*AQ173</f>
        <v>-43.3409544387371</v>
      </c>
      <c r="AR177" s="253">
        <f>-AR178*AR173</f>
        <v>-48.690669075171201</v>
      </c>
      <c r="AS177" s="253">
        <f>-AS178*AS173</f>
        <v>-60.049652131146793</v>
      </c>
      <c r="AT177" s="294">
        <f>J177-SUM(AQ177:AS177)</f>
        <v>-63.683752386077686</v>
      </c>
      <c r="AU177" s="253">
        <f>-AU178*AU173</f>
        <v>-56.301197317013752</v>
      </c>
      <c r="AV177" s="253">
        <f>-AV178*AV173</f>
        <v>-60.652769848515007</v>
      </c>
      <c r="AW177" s="253">
        <f>-AW178*AW173</f>
        <v>-68.412687405093138</v>
      </c>
      <c r="AX177" s="294">
        <f>N177-SUM(AU177:AW177)</f>
        <v>-205.05995793025636</v>
      </c>
      <c r="AY177" s="195"/>
      <c r="AZ177" s="195"/>
    </row>
    <row r="178" spans="1:90" s="248" customFormat="1" outlineLevel="1">
      <c r="A178" s="249"/>
      <c r="B178" s="13" t="s">
        <v>134</v>
      </c>
      <c r="C178" s="322">
        <f t="shared" ref="C178:H178" si="295">-C177/C173</f>
        <v>6.1245553835879644E-2</v>
      </c>
      <c r="D178" s="322">
        <f t="shared" si="295"/>
        <v>5.6790676012295579E-2</v>
      </c>
      <c r="E178" s="322">
        <f t="shared" si="295"/>
        <v>5.7769902803903858E-2</v>
      </c>
      <c r="F178" s="322">
        <f t="shared" si="295"/>
        <v>5.4761738272294941E-2</v>
      </c>
      <c r="G178" s="423">
        <f t="shared" si="295"/>
        <v>5.2133699308446829E-2</v>
      </c>
      <c r="H178" s="322">
        <f t="shared" si="295"/>
        <v>2.8282007969647947E-2</v>
      </c>
      <c r="I178" s="322">
        <f>-I177/I173</f>
        <v>7.315659722742696E-3</v>
      </c>
      <c r="J178" s="240">
        <f t="shared" ref="J178:Q178" si="296">J103</f>
        <v>7.315659722742696E-3</v>
      </c>
      <c r="K178" s="240">
        <f t="shared" si="296"/>
        <v>7.315659722742696E-3</v>
      </c>
      <c r="L178" s="240">
        <f t="shared" si="296"/>
        <v>7.315659722742696E-3</v>
      </c>
      <c r="M178" s="240">
        <f t="shared" si="296"/>
        <v>7.315659722742696E-3</v>
      </c>
      <c r="N178" s="240">
        <f t="shared" si="296"/>
        <v>7.315659722742696E-3</v>
      </c>
      <c r="O178" s="240">
        <f t="shared" si="296"/>
        <v>7.315659722742696E-3</v>
      </c>
      <c r="P178" s="240">
        <f t="shared" si="296"/>
        <v>7.315659722742696E-3</v>
      </c>
      <c r="Q178" s="240">
        <f t="shared" si="296"/>
        <v>7.315659722742696E-3</v>
      </c>
      <c r="R178" s="240">
        <f>R103</f>
        <v>7.315659722742696E-3</v>
      </c>
      <c r="S178" s="240">
        <f>S103</f>
        <v>7.315659722742696E-3</v>
      </c>
      <c r="U178" s="252"/>
      <c r="V178" s="252"/>
      <c r="W178" s="322">
        <f>-W177/W173</f>
        <v>5.5274880951752398E-2</v>
      </c>
      <c r="X178" s="322">
        <f t="shared" ref="X178:AK178" si="297">-X177/X173</f>
        <v>5.7034897880566614E-2</v>
      </c>
      <c r="Y178" s="322">
        <f t="shared" si="297"/>
        <v>6.0659215449343565E-2</v>
      </c>
      <c r="Z178" s="322">
        <f t="shared" si="297"/>
        <v>5.7308732687543856E-2</v>
      </c>
      <c r="AA178" s="322">
        <f t="shared" si="297"/>
        <v>5.4617604523556164E-2</v>
      </c>
      <c r="AB178" s="322">
        <f t="shared" si="297"/>
        <v>5.3445756710791763E-2</v>
      </c>
      <c r="AC178" s="322">
        <f t="shared" si="297"/>
        <v>5.7491810301126677E-2</v>
      </c>
      <c r="AD178" s="322">
        <f t="shared" si="297"/>
        <v>5.3013118361342947E-2</v>
      </c>
      <c r="AE178" s="322">
        <f t="shared" si="297"/>
        <v>5.2603521194689869E-2</v>
      </c>
      <c r="AF178" s="322">
        <f t="shared" si="297"/>
        <v>5.1905174796761495E-2</v>
      </c>
      <c r="AG178" s="322">
        <f t="shared" si="297"/>
        <v>5.1901125648047657E-2</v>
      </c>
      <c r="AH178" s="322">
        <f t="shared" si="297"/>
        <v>5.2213397573345463E-2</v>
      </c>
      <c r="AI178" s="322">
        <f t="shared" si="297"/>
        <v>5.0267704404647576E-2</v>
      </c>
      <c r="AJ178" s="322">
        <f t="shared" si="297"/>
        <v>2.8863081117960418E-2</v>
      </c>
      <c r="AK178" s="322">
        <f t="shared" si="297"/>
        <v>1.6925115273595314E-2</v>
      </c>
      <c r="AL178" s="322">
        <f>-AL177/AL173</f>
        <v>2.1525733998947881E-2</v>
      </c>
      <c r="AM178" s="322">
        <f>-AM177/AM173</f>
        <v>7.8601659084976926E-3</v>
      </c>
      <c r="AN178" s="322">
        <f>-AN177/AN173</f>
        <v>7.0871624279594814E-3</v>
      </c>
      <c r="AO178" s="322">
        <f>-AO177/AO173</f>
        <v>7.198085914335392E-3</v>
      </c>
      <c r="AP178" s="322">
        <f>-AP177/AP173</f>
        <v>7.1712868167532881E-3</v>
      </c>
      <c r="AQ178" s="240">
        <f>AQ103</f>
        <v>7.0000000000000001E-3</v>
      </c>
      <c r="AR178" s="240">
        <f>AR103</f>
        <v>7.0000000000000001E-3</v>
      </c>
      <c r="AS178" s="240">
        <f>AS103</f>
        <v>7.0000000000000001E-3</v>
      </c>
      <c r="AT178" s="322">
        <f>-AT177/AT173</f>
        <v>8.198546691356997E-3</v>
      </c>
      <c r="AU178" s="240">
        <f>AU103</f>
        <v>7.0000000000000001E-3</v>
      </c>
      <c r="AV178" s="240">
        <f>AV103</f>
        <v>7.0000000000000001E-3</v>
      </c>
      <c r="AW178" s="240">
        <f>AW103</f>
        <v>7.0000000000000001E-3</v>
      </c>
      <c r="AX178" s="322">
        <f>-AX177/AX173</f>
        <v>7.6265446720051814E-3</v>
      </c>
      <c r="AY178" s="350"/>
      <c r="AZ178" s="350"/>
    </row>
    <row r="179" spans="1:90" outlineLevel="1">
      <c r="A179" s="242"/>
      <c r="B179" s="12" t="s">
        <v>82</v>
      </c>
      <c r="C179" s="322"/>
      <c r="D179" s="322">
        <f t="shared" ref="D179:S179" si="298">(D177/C177-1)*1</f>
        <v>9.7193442188856283E-2</v>
      </c>
      <c r="E179" s="322">
        <f t="shared" si="298"/>
        <v>0.31897040398906706</v>
      </c>
      <c r="F179" s="322">
        <f t="shared" si="298"/>
        <v>0.28875398641699412</v>
      </c>
      <c r="G179" s="423">
        <f>(G177/F177-1)*1</f>
        <v>0.4081856125604808</v>
      </c>
      <c r="H179" s="322">
        <f>(H177/G177-1)*1</f>
        <v>-6.628788510439787E-2</v>
      </c>
      <c r="I179" s="322">
        <f>(I177/H177-1)*1</f>
        <v>-0.64735894579114062</v>
      </c>
      <c r="J179" s="322">
        <f t="shared" si="298"/>
        <v>9.3286887649507433E-2</v>
      </c>
      <c r="K179" s="322">
        <f t="shared" si="298"/>
        <v>0.19729014306872283</v>
      </c>
      <c r="L179" s="322">
        <f t="shared" si="298"/>
        <v>0.16300564199451584</v>
      </c>
      <c r="M179" s="322">
        <f t="shared" si="298"/>
        <v>0.1452049783360061</v>
      </c>
      <c r="N179" s="322">
        <f t="shared" si="298"/>
        <v>0.13473356842526485</v>
      </c>
      <c r="O179" s="322">
        <f t="shared" si="298"/>
        <v>9.9221517086977906E-2</v>
      </c>
      <c r="P179" s="322">
        <f t="shared" si="298"/>
        <v>8.8776544052196371E-2</v>
      </c>
      <c r="Q179" s="322">
        <f t="shared" si="298"/>
        <v>7.9664864846016981E-2</v>
      </c>
      <c r="R179" s="322">
        <f t="shared" si="298"/>
        <v>7.070618651605054E-2</v>
      </c>
      <c r="S179" s="322">
        <f t="shared" si="298"/>
        <v>5.8932934796033898E-2</v>
      </c>
      <c r="W179" s="322"/>
      <c r="X179" s="322"/>
      <c r="Y179" s="322"/>
      <c r="Z179" s="322"/>
      <c r="AA179" s="322">
        <f t="shared" ref="AA179:AL179" si="299">(AA177/W177-1)*1</f>
        <v>0.3458693592883193</v>
      </c>
      <c r="AB179" s="322">
        <f t="shared" si="299"/>
        <v>0.29152439004954411</v>
      </c>
      <c r="AC179" s="322">
        <f t="shared" si="299"/>
        <v>0.30539969472802042</v>
      </c>
      <c r="AD179" s="322">
        <f t="shared" si="299"/>
        <v>0.22316743776559433</v>
      </c>
      <c r="AE179" s="322">
        <f t="shared" si="299"/>
        <v>0.40643160898798691</v>
      </c>
      <c r="AF179" s="322">
        <f t="shared" si="299"/>
        <v>0.42272467983501927</v>
      </c>
      <c r="AG179" s="322">
        <f t="shared" si="299"/>
        <v>0.34077500150191176</v>
      </c>
      <c r="AH179" s="322">
        <f t="shared" si="299"/>
        <v>0.47823778763554747</v>
      </c>
      <c r="AI179" s="322">
        <f t="shared" si="299"/>
        <v>0.72054048883591304</v>
      </c>
      <c r="AJ179" s="322">
        <f t="shared" si="299"/>
        <v>-5.2367858927013899E-2</v>
      </c>
      <c r="AK179" s="322">
        <f t="shared" si="299"/>
        <v>-0.44922152221741507</v>
      </c>
      <c r="AL179" s="322">
        <f t="shared" si="299"/>
        <v>-0.29592789271743747</v>
      </c>
      <c r="AM179" s="322">
        <f>(AM177/AI177-1)*1</f>
        <v>-0.78199479508271186</v>
      </c>
      <c r="AN179" s="322">
        <f>(AN177/AJ177-1)*1</f>
        <v>-0.65071279901097911</v>
      </c>
      <c r="AO179" s="322">
        <f>(AO177/AK177-1)*1</f>
        <v>-0.40294002968619846</v>
      </c>
      <c r="AP179" s="322">
        <f>(AP177/AL177-1)*1</f>
        <v>-0.5866669065974901</v>
      </c>
      <c r="AQ179" s="322">
        <f t="shared" ref="AQ179:AX179" si="300">(AQ177/AM177-1)*1</f>
        <v>-0.10096904568644216</v>
      </c>
      <c r="AR179" s="322">
        <f t="shared" si="300"/>
        <v>6.3250876769676445E-2</v>
      </c>
      <c r="AS179" s="322">
        <f t="shared" si="300"/>
        <v>4.8447752868325145E-2</v>
      </c>
      <c r="AT179" s="322">
        <f t="shared" si="300"/>
        <v>0.38211711775932966</v>
      </c>
      <c r="AU179" s="322">
        <f t="shared" si="300"/>
        <v>0.29902993706786263</v>
      </c>
      <c r="AV179" s="322">
        <f t="shared" si="300"/>
        <v>0.24567542407100817</v>
      </c>
      <c r="AW179" s="322">
        <f t="shared" si="300"/>
        <v>0.13926867146010613</v>
      </c>
      <c r="AX179" s="322">
        <f t="shared" si="300"/>
        <v>2.2199729169081728</v>
      </c>
      <c r="AY179" s="117"/>
      <c r="AZ179" s="117"/>
    </row>
    <row r="180" spans="1:90" outlineLevel="1">
      <c r="A180" s="242"/>
      <c r="B180" s="12" t="s">
        <v>83</v>
      </c>
      <c r="C180" s="322"/>
      <c r="D180" s="322"/>
      <c r="E180" s="322"/>
      <c r="F180" s="322"/>
      <c r="G180" s="423"/>
      <c r="H180" s="423"/>
      <c r="I180" s="423"/>
      <c r="J180" s="322"/>
      <c r="K180" s="322"/>
      <c r="L180" s="322"/>
      <c r="M180" s="322"/>
      <c r="N180" s="322"/>
      <c r="O180" s="322"/>
      <c r="P180" s="322"/>
      <c r="Q180" s="322"/>
      <c r="R180" s="322"/>
      <c r="S180" s="322"/>
      <c r="W180" s="322"/>
      <c r="X180" s="322">
        <f t="shared" ref="X180:AL180" si="301">(X177/W177-1)*1</f>
        <v>0.10890290031888017</v>
      </c>
      <c r="Y180" s="322">
        <f t="shared" si="301"/>
        <v>0.32161608050719126</v>
      </c>
      <c r="Z180" s="322">
        <f t="shared" si="301"/>
        <v>-0.12003196804939598</v>
      </c>
      <c r="AA180" s="322">
        <f t="shared" si="301"/>
        <v>4.360746554664785E-2</v>
      </c>
      <c r="AB180" s="322">
        <f t="shared" si="301"/>
        <v>6.4126419161388837E-2</v>
      </c>
      <c r="AC180" s="322">
        <f t="shared" si="301"/>
        <v>0.33581467089099948</v>
      </c>
      <c r="AD180" s="322">
        <f t="shared" si="301"/>
        <v>-0.17546461263658419</v>
      </c>
      <c r="AE180" s="322">
        <f t="shared" si="301"/>
        <v>0.19996860740657385</v>
      </c>
      <c r="AF180" s="322">
        <f t="shared" si="301"/>
        <v>7.6453991314058944E-2</v>
      </c>
      <c r="AG180" s="322">
        <f t="shared" si="301"/>
        <v>0.25887105408043176</v>
      </c>
      <c r="AH180" s="322">
        <f t="shared" si="301"/>
        <v>-9.0929227142532709E-2</v>
      </c>
      <c r="AI180" s="322">
        <f t="shared" si="301"/>
        <v>0.39665931397775389</v>
      </c>
      <c r="AJ180" s="322">
        <f t="shared" si="301"/>
        <v>-0.40711514365716961</v>
      </c>
      <c r="AK180" s="322">
        <f t="shared" si="301"/>
        <v>-0.26832464535668787</v>
      </c>
      <c r="AL180" s="322">
        <f t="shared" si="301"/>
        <v>0.16208494073982238</v>
      </c>
      <c r="AM180" s="322">
        <f>(AM177/AL177-1)*1</f>
        <v>-0.56754571471588799</v>
      </c>
      <c r="AN180" s="322">
        <f>(AN177/AM177-1)*1</f>
        <v>-5.0081891121202871E-2</v>
      </c>
      <c r="AO180" s="322">
        <f>(AO177/AN177-1)*1</f>
        <v>0.25070161255753454</v>
      </c>
      <c r="AP180" s="322">
        <f>(AP177/AO177-1)*1</f>
        <v>-0.19551102529949649</v>
      </c>
      <c r="AQ180" s="322">
        <f t="shared" ref="AQ180:AX180" si="302">(AQ177/AP177-1)*1</f>
        <v>-5.9378997225964847E-2</v>
      </c>
      <c r="AR180" s="322">
        <f t="shared" si="302"/>
        <v>0.12343324473843742</v>
      </c>
      <c r="AS180" s="322">
        <f t="shared" si="302"/>
        <v>0.23328870339487429</v>
      </c>
      <c r="AT180" s="322">
        <f t="shared" si="302"/>
        <v>6.0518256575310625E-2</v>
      </c>
      <c r="AU180" s="322">
        <f t="shared" si="302"/>
        <v>-0.11592525239888163</v>
      </c>
      <c r="AV180" s="322">
        <f t="shared" si="302"/>
        <v>7.7290941203238761E-2</v>
      </c>
      <c r="AW180" s="322">
        <f t="shared" si="302"/>
        <v>0.12794003597789727</v>
      </c>
      <c r="AX180" s="322">
        <f t="shared" si="302"/>
        <v>1.9973966190807788</v>
      </c>
      <c r="AY180" s="117"/>
      <c r="AZ180" s="117"/>
    </row>
    <row r="181" spans="1:90" outlineLevel="1">
      <c r="A181" s="242"/>
      <c r="B181" s="12"/>
      <c r="C181" s="23"/>
      <c r="D181" s="23"/>
      <c r="E181" s="23"/>
      <c r="F181" s="23"/>
      <c r="G181" s="410"/>
      <c r="H181" s="410"/>
      <c r="I181" s="410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5"/>
      <c r="AZ181" s="5"/>
    </row>
    <row r="182" spans="1:90" s="248" customFormat="1" outlineLevel="1">
      <c r="A182" s="249" t="s">
        <v>60</v>
      </c>
      <c r="B182" s="116" t="s">
        <v>163</v>
      </c>
      <c r="C182" s="253">
        <f t="shared" ref="C182:I182" si="303">VLOOKUP($A182,CTRP,MATCH(C$5,Period_CTRP,FALSE),FALSE)</f>
        <v>3498.0846280000001</v>
      </c>
      <c r="D182" s="253">
        <f t="shared" si="303"/>
        <v>4158.7912489999999</v>
      </c>
      <c r="E182" s="253">
        <f t="shared" si="303"/>
        <v>5386.7455419999997</v>
      </c>
      <c r="F182" s="253">
        <f t="shared" si="303"/>
        <v>7346.9183690000009</v>
      </c>
      <c r="G182" s="425">
        <f t="shared" si="303"/>
        <v>10897.568061000002</v>
      </c>
      <c r="H182" s="425">
        <f t="shared" si="303"/>
        <v>19228.439813999998</v>
      </c>
      <c r="I182" s="425">
        <f t="shared" si="303"/>
        <v>26779.631018</v>
      </c>
      <c r="J182" s="432">
        <f t="shared" ref="J182:Q182" si="304">J177+J173</f>
        <v>29277.819448071434</v>
      </c>
      <c r="K182" s="432">
        <f t="shared" si="304"/>
        <v>35054.044635721679</v>
      </c>
      <c r="L182" s="432">
        <f t="shared" si="304"/>
        <v>40768.051686071907</v>
      </c>
      <c r="M182" s="432">
        <f t="shared" si="304"/>
        <v>46687.775747949156</v>
      </c>
      <c r="N182" s="432">
        <f t="shared" si="304"/>
        <v>52978.186376308884</v>
      </c>
      <c r="O182" s="432">
        <f t="shared" si="304"/>
        <v>58234.762401082917</v>
      </c>
      <c r="P182" s="432">
        <f t="shared" si="304"/>
        <v>63404.64335075183</v>
      </c>
      <c r="Q182" s="432">
        <f t="shared" si="304"/>
        <v>68455.76569389939</v>
      </c>
      <c r="R182" s="432">
        <f>R177+R173</f>
        <v>73296.011831151307</v>
      </c>
      <c r="S182" s="432">
        <f>S177+S173</f>
        <v>77615.560917205876</v>
      </c>
      <c r="U182" s="510">
        <f>(K182/I182)^(1/2)-1</f>
        <v>0.14410734379648038</v>
      </c>
      <c r="V182" s="246"/>
      <c r="W182" s="253">
        <f t="shared" ref="W182:AP182" si="305">VLOOKUP($A182,CTRP,MATCH(W$5,Period_CTRP,FALSE),FALSE)</f>
        <v>1160.5081339999997</v>
      </c>
      <c r="X182" s="253">
        <f t="shared" si="305"/>
        <v>1244.8557030000002</v>
      </c>
      <c r="Y182" s="253">
        <f t="shared" si="305"/>
        <v>1540.9756119999997</v>
      </c>
      <c r="Z182" s="253">
        <f t="shared" si="305"/>
        <v>1440.4060930000001</v>
      </c>
      <c r="AA182" s="253">
        <f t="shared" si="305"/>
        <v>1581.7881220000002</v>
      </c>
      <c r="AB182" s="253">
        <f t="shared" si="305"/>
        <v>1722.2609300000001</v>
      </c>
      <c r="AC182" s="253">
        <f t="shared" si="305"/>
        <v>2129.5705430000003</v>
      </c>
      <c r="AD182" s="253">
        <f t="shared" si="305"/>
        <v>1913.2987739999999</v>
      </c>
      <c r="AE182" s="253">
        <f t="shared" si="305"/>
        <v>2314.7762419999995</v>
      </c>
      <c r="AF182" s="253">
        <f t="shared" si="305"/>
        <v>2527.1362460000005</v>
      </c>
      <c r="AG182" s="253">
        <f t="shared" si="305"/>
        <v>3181.6004550000002</v>
      </c>
      <c r="AH182" s="253">
        <f t="shared" si="305"/>
        <v>2874.0551179999998</v>
      </c>
      <c r="AI182" s="253">
        <f t="shared" si="305"/>
        <v>4178.0065559999994</v>
      </c>
      <c r="AJ182" s="253">
        <f t="shared" si="305"/>
        <v>4411.2847810000012</v>
      </c>
      <c r="AK182" s="253">
        <f t="shared" si="305"/>
        <v>5571.866642</v>
      </c>
      <c r="AL182" s="253">
        <f t="shared" si="305"/>
        <v>5067.2818349999998</v>
      </c>
      <c r="AM182" s="253">
        <f t="shared" si="305"/>
        <v>6085.0618889999996</v>
      </c>
      <c r="AN182" s="253">
        <f t="shared" si="305"/>
        <v>6415.7692009999992</v>
      </c>
      <c r="AO182" s="253">
        <f t="shared" si="305"/>
        <v>7899.6760569999997</v>
      </c>
      <c r="AP182" s="253">
        <f t="shared" si="305"/>
        <v>6379.1238710000007</v>
      </c>
      <c r="AQ182" s="253">
        <f t="shared" ref="AQ182:AX182" si="306">AQ177+AQ173</f>
        <v>6148.2239653808492</v>
      </c>
      <c r="AR182" s="253">
        <f t="shared" si="306"/>
        <v>6907.1191988064284</v>
      </c>
      <c r="AS182" s="253">
        <f t="shared" si="306"/>
        <v>8518.4720808898237</v>
      </c>
      <c r="AT182" s="253">
        <f t="shared" si="306"/>
        <v>7704.0042029943361</v>
      </c>
      <c r="AU182" s="253">
        <f t="shared" si="306"/>
        <v>7986.7269908278076</v>
      </c>
      <c r="AV182" s="253">
        <f t="shared" si="306"/>
        <v>8604.0286370821996</v>
      </c>
      <c r="AW182" s="253">
        <f t="shared" si="306"/>
        <v>9704.828370465355</v>
      </c>
      <c r="AX182" s="253">
        <f t="shared" si="306"/>
        <v>26682.60237793353</v>
      </c>
      <c r="AY182" s="195"/>
      <c r="AZ182" s="195"/>
    </row>
    <row r="183" spans="1:90" outlineLevel="1">
      <c r="A183" s="242"/>
      <c r="B183" s="12" t="s">
        <v>82</v>
      </c>
      <c r="C183" s="322"/>
      <c r="D183" s="322">
        <f t="shared" ref="D183:S183" si="307">(D182/C182-1)*1</f>
        <v>0.18887668288853066</v>
      </c>
      <c r="E183" s="322">
        <f t="shared" si="307"/>
        <v>0.29526711476448031</v>
      </c>
      <c r="F183" s="322">
        <f t="shared" si="307"/>
        <v>0.36388814205473397</v>
      </c>
      <c r="G183" s="423">
        <f>(G182/F182-1)*1</f>
        <v>0.48328421709186409</v>
      </c>
      <c r="H183" s="322">
        <f>(H182/G182-1)*1</f>
        <v>0.7644707246944713</v>
      </c>
      <c r="I183" s="322">
        <f>(I182/H182-1)*1</f>
        <v>0.39270951138230514</v>
      </c>
      <c r="J183" s="322">
        <f t="shared" si="307"/>
        <v>9.3286887649507655E-2</v>
      </c>
      <c r="K183" s="322">
        <f t="shared" si="307"/>
        <v>0.19729014306872261</v>
      </c>
      <c r="L183" s="322">
        <f t="shared" si="307"/>
        <v>0.16300564199451584</v>
      </c>
      <c r="M183" s="322">
        <f t="shared" si="307"/>
        <v>0.1452049783360061</v>
      </c>
      <c r="N183" s="322">
        <f t="shared" si="307"/>
        <v>0.13473356842526485</v>
      </c>
      <c r="O183" s="322">
        <f t="shared" si="307"/>
        <v>9.9221517086977906E-2</v>
      </c>
      <c r="P183" s="322">
        <f t="shared" si="307"/>
        <v>8.8776544052196149E-2</v>
      </c>
      <c r="Q183" s="322">
        <f t="shared" si="307"/>
        <v>7.9664864846016981E-2</v>
      </c>
      <c r="R183" s="322">
        <f t="shared" si="307"/>
        <v>7.0706186516050762E-2</v>
      </c>
      <c r="S183" s="322">
        <f t="shared" si="307"/>
        <v>5.8932934796033898E-2</v>
      </c>
      <c r="W183" s="322"/>
      <c r="X183" s="322"/>
      <c r="Y183" s="322"/>
      <c r="Z183" s="322"/>
      <c r="AA183" s="322">
        <f t="shared" ref="AA183:AL183" si="308">(AA182/W182-1)*1</f>
        <v>0.3630133866860088</v>
      </c>
      <c r="AB183" s="322">
        <f t="shared" si="308"/>
        <v>0.38350246205202132</v>
      </c>
      <c r="AC183" s="322">
        <f t="shared" si="308"/>
        <v>0.38196252193509772</v>
      </c>
      <c r="AD183" s="322">
        <f t="shared" si="308"/>
        <v>0.32830511013396535</v>
      </c>
      <c r="AE183" s="322">
        <f t="shared" si="308"/>
        <v>0.46339210024741817</v>
      </c>
      <c r="AF183" s="322">
        <f t="shared" si="308"/>
        <v>0.46733645406448376</v>
      </c>
      <c r="AG183" s="322">
        <f t="shared" si="308"/>
        <v>0.49401036066077841</v>
      </c>
      <c r="AH183" s="322">
        <f t="shared" si="308"/>
        <v>0.50214653197702819</v>
      </c>
      <c r="AI183" s="322">
        <f t="shared" si="308"/>
        <v>0.80492890854545074</v>
      </c>
      <c r="AJ183" s="322">
        <f t="shared" si="308"/>
        <v>0.74556666186172871</v>
      </c>
      <c r="AK183" s="322">
        <f t="shared" si="308"/>
        <v>0.75127792468209198</v>
      </c>
      <c r="AL183" s="322">
        <f t="shared" si="308"/>
        <v>0.76311226714615854</v>
      </c>
      <c r="AM183" s="322">
        <f>(AM182/AI182-1)*1</f>
        <v>0.45645101496102125</v>
      </c>
      <c r="AN183" s="322">
        <f>(AN182/AJ182-1)*1</f>
        <v>0.45439923276628669</v>
      </c>
      <c r="AO183" s="322">
        <f>(AO182/AK182-1)*1</f>
        <v>0.41777909712577777</v>
      </c>
      <c r="AP183" s="322">
        <f>(AP182/AL182-1)*1</f>
        <v>0.25888475887388673</v>
      </c>
      <c r="AQ183" s="322">
        <f t="shared" ref="AQ183:AX183" si="309">(AQ182/AM182-1)*1</f>
        <v>1.0379857679841953E-2</v>
      </c>
      <c r="AR183" s="322">
        <f t="shared" si="309"/>
        <v>7.6584737139522518E-2</v>
      </c>
      <c r="AS183" s="322">
        <f t="shared" si="309"/>
        <v>7.8331822650056893E-2</v>
      </c>
      <c r="AT183" s="322">
        <f t="shared" si="309"/>
        <v>0.20769001492780936</v>
      </c>
      <c r="AU183" s="322">
        <f t="shared" si="309"/>
        <v>0.29902993706786241</v>
      </c>
      <c r="AV183" s="322">
        <f t="shared" si="309"/>
        <v>0.24567542407100817</v>
      </c>
      <c r="AW183" s="322">
        <f t="shared" si="309"/>
        <v>0.13926867146010613</v>
      </c>
      <c r="AX183" s="322">
        <f t="shared" si="309"/>
        <v>2.4634719393796192</v>
      </c>
      <c r="AY183" s="117"/>
      <c r="AZ183" s="117"/>
    </row>
    <row r="184" spans="1:90" outlineLevel="1">
      <c r="A184" s="242"/>
      <c r="B184" s="12" t="s">
        <v>83</v>
      </c>
      <c r="C184" s="322"/>
      <c r="D184" s="322"/>
      <c r="E184" s="322"/>
      <c r="F184" s="322"/>
      <c r="G184" s="239"/>
      <c r="H184" s="239"/>
      <c r="I184" s="239"/>
      <c r="J184" s="322"/>
      <c r="K184" s="322"/>
      <c r="L184" s="322"/>
      <c r="M184" s="322"/>
      <c r="N184" s="322"/>
      <c r="O184" s="322"/>
      <c r="P184" s="322"/>
      <c r="Q184" s="322"/>
      <c r="R184" s="322"/>
      <c r="S184" s="322"/>
      <c r="W184" s="322"/>
      <c r="X184" s="322">
        <f t="shared" ref="X184:AL184" si="310">(X182/W182-1)*1</f>
        <v>7.2681583634639502E-2</v>
      </c>
      <c r="Y184" s="322">
        <f t="shared" si="310"/>
        <v>0.23787488645179899</v>
      </c>
      <c r="Z184" s="322">
        <f t="shared" si="310"/>
        <v>-6.5263537084452983E-2</v>
      </c>
      <c r="AA184" s="322">
        <f t="shared" si="310"/>
        <v>9.8154284189077012E-2</v>
      </c>
      <c r="AB184" s="322">
        <f t="shared" si="310"/>
        <v>8.8806336352043935E-2</v>
      </c>
      <c r="AC184" s="322">
        <f t="shared" si="310"/>
        <v>0.23649704055006349</v>
      </c>
      <c r="AD184" s="322">
        <f t="shared" si="310"/>
        <v>-0.10155651791432596</v>
      </c>
      <c r="AE184" s="322">
        <f t="shared" si="310"/>
        <v>0.20983521938952521</v>
      </c>
      <c r="AF184" s="322">
        <f t="shared" si="310"/>
        <v>9.174105045095815E-2</v>
      </c>
      <c r="AG184" s="322">
        <f t="shared" si="310"/>
        <v>0.25897464374384183</v>
      </c>
      <c r="AH184" s="322">
        <f t="shared" si="310"/>
        <v>-9.666372046077687E-2</v>
      </c>
      <c r="AI184" s="322">
        <f t="shared" si="310"/>
        <v>0.45369743601416901</v>
      </c>
      <c r="AJ184" s="322">
        <f t="shared" si="310"/>
        <v>5.5834815449246511E-2</v>
      </c>
      <c r="AK184" s="322">
        <f t="shared" si="310"/>
        <v>0.26309384195706009</v>
      </c>
      <c r="AL184" s="322">
        <f t="shared" si="310"/>
        <v>-9.0559383312677655E-2</v>
      </c>
      <c r="AM184" s="322">
        <f>(AM182/AL182-1)*1</f>
        <v>0.20085325567844592</v>
      </c>
      <c r="AN184" s="322">
        <f>(AN182/AM182-1)*1</f>
        <v>5.4347403203543587E-2</v>
      </c>
      <c r="AO184" s="322">
        <f>(AO182/AN182-1)*1</f>
        <v>0.23129056072788745</v>
      </c>
      <c r="AP184" s="322">
        <f>(AP182/AO182-1)*1</f>
        <v>-0.19248285309783297</v>
      </c>
      <c r="AQ184" s="322">
        <f t="shared" ref="AQ184:AX184" si="311">(AQ182/AP182-1)*1</f>
        <v>-3.6196178391963874E-2</v>
      </c>
      <c r="AR184" s="322">
        <f t="shared" si="311"/>
        <v>0.1234332447384372</v>
      </c>
      <c r="AS184" s="322">
        <f t="shared" si="311"/>
        <v>0.23328870339487429</v>
      </c>
      <c r="AT184" s="322">
        <f t="shared" si="311"/>
        <v>-9.5611967752133542E-2</v>
      </c>
      <c r="AU184" s="322">
        <f t="shared" si="311"/>
        <v>3.6698161161903942E-2</v>
      </c>
      <c r="AV184" s="322">
        <f t="shared" si="311"/>
        <v>7.7290941203238761E-2</v>
      </c>
      <c r="AW184" s="322">
        <f t="shared" si="311"/>
        <v>0.12794003597789727</v>
      </c>
      <c r="AX184" s="322">
        <f t="shared" si="311"/>
        <v>1.7494151734961672</v>
      </c>
      <c r="AY184" s="117"/>
      <c r="AZ184" s="117"/>
    </row>
    <row r="185" spans="1:90" outlineLevel="1">
      <c r="A185" s="242"/>
      <c r="B185" s="12"/>
      <c r="C185" s="23"/>
      <c r="D185" s="23"/>
      <c r="E185" s="23"/>
      <c r="F185" s="23"/>
      <c r="G185" s="238"/>
      <c r="H185" s="238"/>
      <c r="I185" s="238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5"/>
      <c r="AZ185" s="5"/>
    </row>
    <row r="186" spans="1:90" s="202" customFormat="1" outlineLevel="1">
      <c r="A186" s="258" t="s">
        <v>54</v>
      </c>
      <c r="B186" s="202" t="s">
        <v>84</v>
      </c>
      <c r="C186" s="259">
        <f t="shared" ref="C186:I186" si="312">VLOOKUP($A186,CTRP,MATCH(C$5,Period_CTRP,FALSE),FALSE)</f>
        <v>1486.898858</v>
      </c>
      <c r="D186" s="259">
        <f t="shared" si="312"/>
        <v>1702.500571</v>
      </c>
      <c r="E186" s="259">
        <f t="shared" si="312"/>
        <v>2214.1708870000002</v>
      </c>
      <c r="F186" s="259">
        <f t="shared" si="312"/>
        <v>3201.4269330000002</v>
      </c>
      <c r="G186" s="426">
        <f t="shared" si="312"/>
        <v>4616.649394</v>
      </c>
      <c r="H186" s="426">
        <f t="shared" si="312"/>
        <v>7308.9588629999998</v>
      </c>
      <c r="I186" s="426">
        <f t="shared" si="312"/>
        <v>9517.374339</v>
      </c>
      <c r="J186" s="259">
        <f t="shared" ref="J186:Q186" si="313">J190*J194</f>
        <v>11363.744960766</v>
      </c>
      <c r="K186" s="259">
        <f t="shared" si="313"/>
        <v>13409.219053703879</v>
      </c>
      <c r="L186" s="259">
        <f t="shared" si="313"/>
        <v>15018.325340148347</v>
      </c>
      <c r="M186" s="259">
        <f t="shared" si="313"/>
        <v>16670.341127564665</v>
      </c>
      <c r="N186" s="259">
        <f t="shared" si="313"/>
        <v>18337.375240321133</v>
      </c>
      <c r="O186" s="259">
        <f t="shared" si="313"/>
        <v>19987.739011950031</v>
      </c>
      <c r="P186" s="259">
        <f t="shared" si="313"/>
        <v>21586.75813290603</v>
      </c>
      <c r="Q186" s="259">
        <f t="shared" si="313"/>
        <v>23097.831202209454</v>
      </c>
      <c r="R186" s="259">
        <f>R190*R194</f>
        <v>24483.701074342021</v>
      </c>
      <c r="S186" s="259">
        <f>S190*S194</f>
        <v>25463.049117315706</v>
      </c>
      <c r="T186" s="265"/>
      <c r="U186" s="510">
        <f>(K186/I186)^(1/2)-1</f>
        <v>0.18697935955095701</v>
      </c>
      <c r="V186" s="265"/>
      <c r="W186" s="259">
        <f t="shared" ref="W186:AP186" si="314">VLOOKUP($A186,CTRP,MATCH(W$5,Period_CTRP,FALSE),FALSE)</f>
        <v>450.52488599999998</v>
      </c>
      <c r="X186" s="259">
        <f t="shared" si="314"/>
        <v>510.97784999999999</v>
      </c>
      <c r="Y186" s="259">
        <f t="shared" si="314"/>
        <v>610.65341799999999</v>
      </c>
      <c r="Z186" s="259">
        <f t="shared" si="314"/>
        <v>642.01473299999998</v>
      </c>
      <c r="AA186" s="259">
        <f t="shared" si="314"/>
        <v>656.66229699999997</v>
      </c>
      <c r="AB186" s="259">
        <f t="shared" si="314"/>
        <v>752.56545300000005</v>
      </c>
      <c r="AC186" s="259">
        <f t="shared" si="314"/>
        <v>950.29933400000004</v>
      </c>
      <c r="AD186" s="259">
        <f t="shared" si="314"/>
        <v>841.89984900000002</v>
      </c>
      <c r="AE186" s="259">
        <f t="shared" si="314"/>
        <v>951.77993000000004</v>
      </c>
      <c r="AF186" s="259">
        <f t="shared" si="314"/>
        <v>1104.440783</v>
      </c>
      <c r="AG186" s="259">
        <f t="shared" si="314"/>
        <v>1373.210943</v>
      </c>
      <c r="AH186" s="259">
        <f t="shared" si="314"/>
        <v>1187.2177380000001</v>
      </c>
      <c r="AI186" s="259">
        <f t="shared" si="314"/>
        <v>1614.031154</v>
      </c>
      <c r="AJ186" s="259">
        <f t="shared" si="314"/>
        <v>1775.818174</v>
      </c>
      <c r="AK186" s="259">
        <f t="shared" si="314"/>
        <v>2071.6084310000001</v>
      </c>
      <c r="AL186" s="259">
        <f t="shared" si="314"/>
        <v>1847.5011039999999</v>
      </c>
      <c r="AM186" s="259">
        <f t="shared" si="314"/>
        <v>2069.9361450000001</v>
      </c>
      <c r="AN186" s="259">
        <f t="shared" si="314"/>
        <v>2311.1429870000002</v>
      </c>
      <c r="AO186" s="259">
        <f t="shared" si="314"/>
        <v>2820.3844600000002</v>
      </c>
      <c r="AP186" s="259">
        <f t="shared" si="314"/>
        <v>2315.9107469999999</v>
      </c>
      <c r="AQ186" s="259">
        <f>AQ190*AQ194</f>
        <v>2336.1299332470003</v>
      </c>
      <c r="AR186" s="259">
        <f>AR190*AR194</f>
        <v>2796.4830142700002</v>
      </c>
      <c r="AS186" s="259">
        <f>AS190*AS194</f>
        <v>3299.8498181999998</v>
      </c>
      <c r="AT186" s="298">
        <f>J186-SUM(AQ186:AS186)</f>
        <v>2931.2821950489997</v>
      </c>
      <c r="AU186" s="259">
        <f>AU190*AU194</f>
        <v>3013.6076138886301</v>
      </c>
      <c r="AV186" s="259">
        <f>AV190*AV194</f>
        <v>3411.7092774093999</v>
      </c>
      <c r="AW186" s="259">
        <f>AW190*AW194</f>
        <v>3662.8332982019997</v>
      </c>
      <c r="AX186" s="298">
        <f>N186-SUM(AU186:AW186)</f>
        <v>8249.2250508211037</v>
      </c>
      <c r="AY186" s="22"/>
      <c r="AZ186" s="22"/>
      <c r="BA186" s="265"/>
      <c r="BB186" s="265"/>
      <c r="BC186" s="265"/>
      <c r="BD186" s="265"/>
      <c r="BE186" s="265"/>
      <c r="BF186" s="265"/>
      <c r="BG186" s="265"/>
      <c r="BH186" s="265"/>
      <c r="BI186" s="265"/>
      <c r="BJ186" s="265"/>
      <c r="BK186" s="265"/>
      <c r="BL186" s="265"/>
      <c r="BM186" s="265"/>
      <c r="BN186" s="265"/>
      <c r="BO186" s="265"/>
      <c r="BP186" s="266"/>
      <c r="BQ186" s="266"/>
      <c r="BR186" s="266"/>
      <c r="BS186" s="266"/>
      <c r="BT186" s="266"/>
      <c r="BU186" s="266"/>
      <c r="BV186" s="266"/>
      <c r="BW186" s="266"/>
      <c r="BX186" s="266"/>
      <c r="BY186" s="266"/>
      <c r="BZ186" s="266"/>
      <c r="CA186" s="266"/>
      <c r="CF186" s="199"/>
      <c r="CG186" s="199"/>
      <c r="CH186" s="199"/>
      <c r="CI186" s="199"/>
      <c r="CJ186" s="199"/>
      <c r="CK186" s="200"/>
      <c r="CL186" s="201"/>
    </row>
    <row r="187" spans="1:90" outlineLevel="1">
      <c r="B187" s="12" t="s">
        <v>82</v>
      </c>
      <c r="C187" s="322"/>
      <c r="D187" s="322">
        <f t="shared" ref="D187:S187" si="315">(D186/C186-1)*1</f>
        <v>0.14500092715788471</v>
      </c>
      <c r="E187" s="322">
        <f t="shared" si="315"/>
        <v>0.30054046660287437</v>
      </c>
      <c r="F187" s="322">
        <f t="shared" si="315"/>
        <v>0.44588069141205344</v>
      </c>
      <c r="G187" s="423">
        <f>(G186/F186-1)*1</f>
        <v>0.44205989723270678</v>
      </c>
      <c r="H187" s="322">
        <f>(H186/G186-1)*1</f>
        <v>0.58317390800762192</v>
      </c>
      <c r="I187" s="322">
        <f>(I186/H186-1)*1</f>
        <v>0.30215185464781014</v>
      </c>
      <c r="J187" s="322">
        <f t="shared" si="315"/>
        <v>0.19399999999999995</v>
      </c>
      <c r="K187" s="322">
        <f t="shared" si="315"/>
        <v>0.17999999999999994</v>
      </c>
      <c r="L187" s="322">
        <f t="shared" si="315"/>
        <v>0.12000000000000033</v>
      </c>
      <c r="M187" s="322">
        <f t="shared" si="315"/>
        <v>0.10999999999999988</v>
      </c>
      <c r="N187" s="322">
        <f t="shared" si="315"/>
        <v>0.10000000000000009</v>
      </c>
      <c r="O187" s="322">
        <f t="shared" si="315"/>
        <v>8.9999999999999858E-2</v>
      </c>
      <c r="P187" s="322">
        <f t="shared" si="315"/>
        <v>7.9999999999999849E-2</v>
      </c>
      <c r="Q187" s="322">
        <f t="shared" si="315"/>
        <v>7.0000000000000062E-2</v>
      </c>
      <c r="R187" s="322">
        <f t="shared" si="315"/>
        <v>6.0000000000000053E-2</v>
      </c>
      <c r="S187" s="322">
        <f t="shared" si="315"/>
        <v>4.0000000000000258E-2</v>
      </c>
      <c r="W187" s="322"/>
      <c r="X187" s="322"/>
      <c r="Y187" s="322"/>
      <c r="Z187" s="322"/>
      <c r="AA187" s="322">
        <f t="shared" ref="AA187:AL187" si="316">(AA186/W186-1)*1</f>
        <v>0.45754944378366713</v>
      </c>
      <c r="AB187" s="322">
        <f t="shared" si="316"/>
        <v>0.47279466810547666</v>
      </c>
      <c r="AC187" s="322">
        <f t="shared" si="316"/>
        <v>0.55620079408120193</v>
      </c>
      <c r="AD187" s="322">
        <f t="shared" si="316"/>
        <v>0.31134038788483687</v>
      </c>
      <c r="AE187" s="322">
        <f t="shared" si="316"/>
        <v>0.44942070581524507</v>
      </c>
      <c r="AF187" s="322">
        <f t="shared" si="316"/>
        <v>0.46756774257613976</v>
      </c>
      <c r="AG187" s="322">
        <f t="shared" si="316"/>
        <v>0.44502989097117474</v>
      </c>
      <c r="AH187" s="322">
        <f t="shared" si="316"/>
        <v>0.41016504446480795</v>
      </c>
      <c r="AI187" s="322">
        <f t="shared" si="316"/>
        <v>0.6958028879638174</v>
      </c>
      <c r="AJ187" s="322">
        <f t="shared" si="316"/>
        <v>0.60788898901064936</v>
      </c>
      <c r="AK187" s="322">
        <f t="shared" si="316"/>
        <v>0.50858718506439993</v>
      </c>
      <c r="AL187" s="322">
        <f t="shared" si="316"/>
        <v>0.55616029382472032</v>
      </c>
      <c r="AM187" s="322">
        <f>(AM186/AI186-1)*1</f>
        <v>0.28246356327766398</v>
      </c>
      <c r="AN187" s="322">
        <f>(AN186/AJ186-1)*1</f>
        <v>0.30145249149815267</v>
      </c>
      <c r="AO187" s="322">
        <f>(AO186/AK186-1)*1</f>
        <v>0.36144669899733572</v>
      </c>
      <c r="AP187" s="322">
        <f>(AP186/AL186-1)*1</f>
        <v>0.2535368677105807</v>
      </c>
      <c r="AQ187" s="322">
        <f t="shared" ref="AQ187:AX187" si="317">(AQ186/AM186-1)*1</f>
        <v>0.12860000000000005</v>
      </c>
      <c r="AR187" s="322">
        <f t="shared" si="317"/>
        <v>0.20999999999999996</v>
      </c>
      <c r="AS187" s="322">
        <f t="shared" si="317"/>
        <v>0.16999999999999993</v>
      </c>
      <c r="AT187" s="322">
        <f t="shared" si="317"/>
        <v>0.2657146648877311</v>
      </c>
      <c r="AU187" s="322">
        <f t="shared" si="317"/>
        <v>0.28999999999999981</v>
      </c>
      <c r="AV187" s="322">
        <f t="shared" si="317"/>
        <v>0.21999999999999975</v>
      </c>
      <c r="AW187" s="322">
        <f t="shared" si="317"/>
        <v>0.10999999999999988</v>
      </c>
      <c r="AX187" s="322">
        <f t="shared" si="317"/>
        <v>1.8142036494317151</v>
      </c>
      <c r="AY187" s="5"/>
      <c r="AZ187" s="5"/>
    </row>
    <row r="188" spans="1:90" outlineLevel="1">
      <c r="B188" s="12" t="s">
        <v>83</v>
      </c>
      <c r="C188" s="23"/>
      <c r="D188" s="23"/>
      <c r="E188" s="23"/>
      <c r="F188" s="23"/>
      <c r="G188" s="410"/>
      <c r="H188" s="410"/>
      <c r="I188" s="410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W188" s="322"/>
      <c r="X188" s="322">
        <f t="shared" ref="X188:AL188" si="318">(X186/W186-1)*1</f>
        <v>0.13418340668533024</v>
      </c>
      <c r="Y188" s="322">
        <f t="shared" si="318"/>
        <v>0.19506827546438665</v>
      </c>
      <c r="Z188" s="322">
        <f t="shared" si="318"/>
        <v>5.1356979385645651E-2</v>
      </c>
      <c r="AA188" s="322">
        <f t="shared" si="318"/>
        <v>2.2814996677031019E-2</v>
      </c>
      <c r="AB188" s="322">
        <f t="shared" si="318"/>
        <v>0.14604638706704987</v>
      </c>
      <c r="AC188" s="322">
        <f t="shared" si="318"/>
        <v>0.26274642320048147</v>
      </c>
      <c r="AD188" s="322">
        <f t="shared" si="318"/>
        <v>-0.11406877930107018</v>
      </c>
      <c r="AE188" s="322">
        <f t="shared" si="318"/>
        <v>0.13051443248328698</v>
      </c>
      <c r="AF188" s="322">
        <f t="shared" si="318"/>
        <v>0.16039511675771512</v>
      </c>
      <c r="AG188" s="322">
        <f t="shared" si="318"/>
        <v>0.2433540703467485</v>
      </c>
      <c r="AH188" s="322">
        <f t="shared" si="318"/>
        <v>-0.1354440160472854</v>
      </c>
      <c r="AI188" s="322">
        <f t="shared" si="318"/>
        <v>0.35950727683618888</v>
      </c>
      <c r="AJ188" s="322">
        <f t="shared" si="318"/>
        <v>0.10023785451665446</v>
      </c>
      <c r="AK188" s="322">
        <f t="shared" si="318"/>
        <v>0.16656562103637995</v>
      </c>
      <c r="AL188" s="322">
        <f t="shared" si="318"/>
        <v>-0.10818035090338951</v>
      </c>
      <c r="AM188" s="322">
        <f>(AM186/AL186-1)*1</f>
        <v>0.12039778515877964</v>
      </c>
      <c r="AN188" s="322">
        <f>(AN186/AM186-1)*1</f>
        <v>0.11652863909963762</v>
      </c>
      <c r="AO188" s="322">
        <f>(AO186/AN186-1)*1</f>
        <v>0.22034182907091582</v>
      </c>
      <c r="AP188" s="322">
        <f>(AP186/AO186-1)*1</f>
        <v>-0.17886700205403916</v>
      </c>
      <c r="AQ188" s="322">
        <f t="shared" ref="AQ188:AX188" si="319">(AQ186/AP186-1)*1</f>
        <v>8.7305550411180821E-3</v>
      </c>
      <c r="AR188" s="322">
        <f t="shared" si="319"/>
        <v>0.19705799513606359</v>
      </c>
      <c r="AS188" s="322">
        <f t="shared" si="319"/>
        <v>0.17999995042394334</v>
      </c>
      <c r="AT188" s="322">
        <f t="shared" si="319"/>
        <v>-0.11169224160390612</v>
      </c>
      <c r="AU188" s="322">
        <f t="shared" si="319"/>
        <v>2.8085122264475126E-2</v>
      </c>
      <c r="AV188" s="322">
        <f t="shared" si="319"/>
        <v>0.13210135974108339</v>
      </c>
      <c r="AW188" s="322">
        <f t="shared" si="319"/>
        <v>7.3606512270964819E-2</v>
      </c>
      <c r="AX188" s="322">
        <f t="shared" si="319"/>
        <v>1.2521431851322466</v>
      </c>
      <c r="AY188" s="5"/>
      <c r="AZ188" s="5"/>
    </row>
    <row r="189" spans="1:90" outlineLevel="1">
      <c r="B189" s="13"/>
      <c r="C189" s="23"/>
      <c r="D189" s="23"/>
      <c r="E189" s="23"/>
      <c r="F189" s="23"/>
      <c r="G189" s="410"/>
      <c r="H189" s="410"/>
      <c r="I189" s="410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5"/>
      <c r="AZ189" s="5"/>
    </row>
    <row r="190" spans="1:90" outlineLevel="1">
      <c r="A190" s="242" t="s">
        <v>126</v>
      </c>
      <c r="B190" s="13" t="s">
        <v>85</v>
      </c>
      <c r="C190" s="250">
        <f t="shared" ref="C190:I190" si="320">VLOOKUP($A190,CTRP,MATCH(C$5,Period_CTRP,FALSE),FALSE)</f>
        <v>21.284075616993391</v>
      </c>
      <c r="D190" s="250">
        <f t="shared" si="320"/>
        <v>27.676065487184495</v>
      </c>
      <c r="E190" s="250">
        <f t="shared" si="320"/>
        <v>40.289082418051166</v>
      </c>
      <c r="F190" s="250">
        <f t="shared" si="320"/>
        <v>65.540617877339287</v>
      </c>
      <c r="G190" s="430">
        <f t="shared" si="320"/>
        <v>101.51615296887189</v>
      </c>
      <c r="H190" s="430">
        <f t="shared" si="320"/>
        <v>207</v>
      </c>
      <c r="I190" s="430">
        <f t="shared" si="320"/>
        <v>266.77748621322382</v>
      </c>
      <c r="J190" s="23">
        <f>I190*(1+J191)</f>
        <v>320.13298345586855</v>
      </c>
      <c r="K190" s="23">
        <f t="shared" ref="K190:S190" si="321">J190*(1+K191)</f>
        <v>377.75692047792489</v>
      </c>
      <c r="L190" s="23">
        <f t="shared" si="321"/>
        <v>423.08775093527595</v>
      </c>
      <c r="M190" s="23">
        <f t="shared" si="321"/>
        <v>469.62740353815627</v>
      </c>
      <c r="N190" s="23">
        <f t="shared" si="321"/>
        <v>516.59014389197193</v>
      </c>
      <c r="O190" s="23">
        <f t="shared" si="321"/>
        <v>563.08325684224928</v>
      </c>
      <c r="P190" s="23">
        <f t="shared" si="321"/>
        <v>608.12991738962921</v>
      </c>
      <c r="Q190" s="23">
        <f t="shared" si="321"/>
        <v>650.69901160690324</v>
      </c>
      <c r="R190" s="23">
        <f t="shared" si="321"/>
        <v>689.7409523033175</v>
      </c>
      <c r="S190" s="23">
        <f t="shared" si="321"/>
        <v>717.33059039545026</v>
      </c>
      <c r="W190" s="250">
        <f t="shared" ref="W190:AP190" si="322">VLOOKUP($A190,CTRP,MATCH(W$5,Period_CTRP,FALSE),FALSE)</f>
        <v>7.4938412343365988</v>
      </c>
      <c r="X190" s="250">
        <f t="shared" si="322"/>
        <v>9.1979042626043999</v>
      </c>
      <c r="Y190" s="250">
        <f t="shared" si="322"/>
        <v>11.483840850171253</v>
      </c>
      <c r="Z190" s="250">
        <f t="shared" si="322"/>
        <v>12.113496070938913</v>
      </c>
      <c r="AA190" s="250">
        <f t="shared" si="322"/>
        <v>12.514714861342119</v>
      </c>
      <c r="AB190" s="250">
        <f t="shared" si="322"/>
        <v>15.084562990671216</v>
      </c>
      <c r="AC190" s="250">
        <f t="shared" si="322"/>
        <v>19.407691036789416</v>
      </c>
      <c r="AD190" s="250">
        <f t="shared" si="322"/>
        <v>18.533648988536537</v>
      </c>
      <c r="AE190" s="250">
        <f t="shared" si="322"/>
        <v>20.023543778147392</v>
      </c>
      <c r="AF190" s="250">
        <f t="shared" si="322"/>
        <v>23.381072635540384</v>
      </c>
      <c r="AG190" s="250">
        <f t="shared" si="322"/>
        <v>29.111536555184124</v>
      </c>
      <c r="AH190" s="250">
        <f t="shared" si="322"/>
        <v>29</v>
      </c>
      <c r="AI190" s="250">
        <f t="shared" si="322"/>
        <v>50</v>
      </c>
      <c r="AJ190" s="250">
        <f t="shared" si="322"/>
        <v>52</v>
      </c>
      <c r="AK190" s="250">
        <f t="shared" si="322"/>
        <v>53</v>
      </c>
      <c r="AL190" s="250">
        <f t="shared" si="322"/>
        <v>52</v>
      </c>
      <c r="AM190" s="250">
        <f t="shared" si="322"/>
        <v>59</v>
      </c>
      <c r="AN190" s="250">
        <f t="shared" si="322"/>
        <v>65.102619352112683</v>
      </c>
      <c r="AO190" s="250">
        <f t="shared" si="322"/>
        <v>78.344012777777778</v>
      </c>
      <c r="AP190" s="250">
        <f t="shared" si="322"/>
        <v>64.330854083333335</v>
      </c>
      <c r="AQ190" s="250">
        <f>AM190*(1+AQ191)</f>
        <v>67.259999999999991</v>
      </c>
      <c r="AR190" s="250">
        <f>AN190*(1+AR191)</f>
        <v>78.774169416056338</v>
      </c>
      <c r="AS190" s="250">
        <f>AO190*(1+AS191)</f>
        <v>91.662494949999996</v>
      </c>
      <c r="AT190" s="293">
        <f>J190-SUM(AQ190:AS190)</f>
        <v>82.43631908981223</v>
      </c>
      <c r="AU190" s="250">
        <f>AQ190*(1+AU191)</f>
        <v>86.765399999999985</v>
      </c>
      <c r="AV190" s="250">
        <f>AR190*(1+AV191)</f>
        <v>96.104486687588732</v>
      </c>
      <c r="AW190" s="250">
        <f>AS190*(1+AW191)</f>
        <v>101.74536939449999</v>
      </c>
      <c r="AX190" s="293">
        <f>N190-SUM(AU190:AW190)</f>
        <v>231.97488780988323</v>
      </c>
      <c r="AY190" s="62"/>
      <c r="AZ190" s="62"/>
    </row>
    <row r="191" spans="1:90" outlineLevel="1">
      <c r="B191" s="12" t="s">
        <v>82</v>
      </c>
      <c r="C191" s="23"/>
      <c r="D191" s="322">
        <f t="shared" ref="D191:I191" si="323">(D190/C190-1)*1</f>
        <v>0.30031794592421401</v>
      </c>
      <c r="E191" s="322">
        <f t="shared" si="323"/>
        <v>0.45573735676796878</v>
      </c>
      <c r="F191" s="322">
        <f t="shared" si="323"/>
        <v>0.62675876301353517</v>
      </c>
      <c r="G191" s="423">
        <f t="shared" si="323"/>
        <v>0.54890442380115512</v>
      </c>
      <c r="H191" s="322">
        <f t="shared" si="323"/>
        <v>1.0390843619091124</v>
      </c>
      <c r="I191" s="322">
        <f t="shared" si="323"/>
        <v>0.2887801266339316</v>
      </c>
      <c r="J191" s="349">
        <f t="shared" ref="J191:S191" si="324">J28-4%</f>
        <v>0.19999999999999998</v>
      </c>
      <c r="K191" s="349">
        <f t="shared" si="324"/>
        <v>0.18</v>
      </c>
      <c r="L191" s="349">
        <f t="shared" si="324"/>
        <v>0.12</v>
      </c>
      <c r="M191" s="349">
        <f t="shared" si="324"/>
        <v>0.10999999999999999</v>
      </c>
      <c r="N191" s="349">
        <f t="shared" si="324"/>
        <v>9.9999999999999978E-2</v>
      </c>
      <c r="O191" s="349">
        <f t="shared" si="324"/>
        <v>8.9999999999999969E-2</v>
      </c>
      <c r="P191" s="349">
        <f t="shared" si="324"/>
        <v>7.9999999999999988E-2</v>
      </c>
      <c r="Q191" s="349">
        <f t="shared" si="324"/>
        <v>6.9999999999999979E-2</v>
      </c>
      <c r="R191" s="349">
        <f t="shared" si="324"/>
        <v>5.9999999999999991E-2</v>
      </c>
      <c r="S191" s="349">
        <f t="shared" si="324"/>
        <v>3.9999999999999987E-2</v>
      </c>
      <c r="W191" s="322"/>
      <c r="X191" s="322"/>
      <c r="Y191" s="322"/>
      <c r="Z191" s="322"/>
      <c r="AA191" s="322">
        <f t="shared" ref="AA191:AL191" si="325">(AA190/W190-1)*1</f>
        <v>0.66999999999999993</v>
      </c>
      <c r="AB191" s="322">
        <f t="shared" si="325"/>
        <v>0.64000000000000012</v>
      </c>
      <c r="AC191" s="322">
        <f t="shared" si="325"/>
        <v>0.68999999999999972</v>
      </c>
      <c r="AD191" s="322">
        <f t="shared" si="325"/>
        <v>0.53</v>
      </c>
      <c r="AE191" s="322">
        <f t="shared" si="325"/>
        <v>0.60000000000000009</v>
      </c>
      <c r="AF191" s="322">
        <f t="shared" si="325"/>
        <v>0.55000000000000004</v>
      </c>
      <c r="AG191" s="322">
        <f t="shared" si="325"/>
        <v>0.5</v>
      </c>
      <c r="AH191" s="322">
        <f t="shared" si="325"/>
        <v>0.56472155148385128</v>
      </c>
      <c r="AI191" s="322">
        <f t="shared" si="325"/>
        <v>1.4970604880923868</v>
      </c>
      <c r="AJ191" s="322">
        <f t="shared" si="325"/>
        <v>1.2240211478132714</v>
      </c>
      <c r="AK191" s="322">
        <f t="shared" si="325"/>
        <v>0.8205840801131421</v>
      </c>
      <c r="AL191" s="322">
        <f t="shared" si="325"/>
        <v>0.7931034482758621</v>
      </c>
      <c r="AM191" s="322">
        <f>(AM190/AI190-1)*1</f>
        <v>0.17999999999999994</v>
      </c>
      <c r="AN191" s="322">
        <f>(AN190/AJ190-1)*1</f>
        <v>0.25197344907909014</v>
      </c>
      <c r="AO191" s="322">
        <f>(AO190/AK190-1)*1</f>
        <v>0.4781889203354297</v>
      </c>
      <c r="AP191" s="322">
        <f>(AP190/AL190-1)*1</f>
        <v>0.23713180929487176</v>
      </c>
      <c r="AQ191" s="349">
        <f>AQ28-4%</f>
        <v>0.13999999999999999</v>
      </c>
      <c r="AR191" s="349">
        <f>AR28-4%</f>
        <v>0.21</v>
      </c>
      <c r="AS191" s="349">
        <f>AS28-4%</f>
        <v>0.16999999999999998</v>
      </c>
      <c r="AT191" s="322">
        <f>(AT190/AP190-1)*1</f>
        <v>0.28144294467201258</v>
      </c>
      <c r="AU191" s="349">
        <f>AU28-4%</f>
        <v>0.29000000000000004</v>
      </c>
      <c r="AV191" s="349">
        <f>AV28-4%</f>
        <v>0.22</v>
      </c>
      <c r="AW191" s="349">
        <f>AW28-4%</f>
        <v>0.10999999999999999</v>
      </c>
      <c r="AX191" s="322">
        <f>(AX190/AT190-1)*1</f>
        <v>1.8139889113335181</v>
      </c>
      <c r="AY191" s="37"/>
      <c r="AZ191" s="37"/>
    </row>
    <row r="192" spans="1:90" outlineLevel="1">
      <c r="B192" s="12" t="s">
        <v>83</v>
      </c>
      <c r="C192" s="23"/>
      <c r="D192" s="23"/>
      <c r="E192" s="23"/>
      <c r="F192" s="23"/>
      <c r="G192" s="410"/>
      <c r="H192" s="410"/>
      <c r="I192" s="410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W192" s="322"/>
      <c r="X192" s="322">
        <f t="shared" ref="X192:AL192" si="326">(X190/W190-1)*1</f>
        <v>0.22739513354777596</v>
      </c>
      <c r="Y192" s="322">
        <f t="shared" si="326"/>
        <v>0.24852798227751793</v>
      </c>
      <c r="Z192" s="322">
        <f t="shared" si="326"/>
        <v>5.482967144727291E-2</v>
      </c>
      <c r="AA192" s="322">
        <f t="shared" si="326"/>
        <v>3.3121634584565296E-2</v>
      </c>
      <c r="AB192" s="322">
        <f t="shared" si="326"/>
        <v>0.20534611917266643</v>
      </c>
      <c r="AC192" s="322">
        <f t="shared" si="326"/>
        <v>0.28659285978597882</v>
      </c>
      <c r="AD192" s="322">
        <f t="shared" si="326"/>
        <v>-4.5035859577320925E-2</v>
      </c>
      <c r="AE192" s="322">
        <f t="shared" si="326"/>
        <v>8.0388637474055225E-2</v>
      </c>
      <c r="AF192" s="322">
        <f t="shared" si="326"/>
        <v>0.16767905294852037</v>
      </c>
      <c r="AG192" s="322">
        <f t="shared" si="326"/>
        <v>0.24508986430901158</v>
      </c>
      <c r="AH192" s="322">
        <f t="shared" si="326"/>
        <v>-3.8313523909222491E-3</v>
      </c>
      <c r="AI192" s="322">
        <f t="shared" si="326"/>
        <v>0.72413793103448265</v>
      </c>
      <c r="AJ192" s="322">
        <f t="shared" si="326"/>
        <v>4.0000000000000036E-2</v>
      </c>
      <c r="AK192" s="322">
        <f t="shared" si="326"/>
        <v>1.9230769230769162E-2</v>
      </c>
      <c r="AL192" s="322">
        <f t="shared" si="326"/>
        <v>-1.8867924528301883E-2</v>
      </c>
      <c r="AM192" s="322">
        <f>(AM190/AL190-1)*1</f>
        <v>0.13461538461538458</v>
      </c>
      <c r="AN192" s="322">
        <f>(AN190/AM190-1)*1</f>
        <v>0.10343422630699473</v>
      </c>
      <c r="AO192" s="322">
        <f>(AO190/AN190-1)*1</f>
        <v>0.20339263700048638</v>
      </c>
      <c r="AP192" s="322">
        <f>(AP190/AO190-1)*1</f>
        <v>-0.17886700205403905</v>
      </c>
      <c r="AQ192" s="322">
        <f t="shared" ref="AQ192:AX192" si="327">(AQ190/AP190-1)*1</f>
        <v>4.5532520256489573E-2</v>
      </c>
      <c r="AR192" s="322">
        <f t="shared" si="327"/>
        <v>0.17118895950128388</v>
      </c>
      <c r="AS192" s="322">
        <f t="shared" si="327"/>
        <v>0.16361106222361088</v>
      </c>
      <c r="AT192" s="322">
        <f t="shared" si="327"/>
        <v>-0.10065377191860703</v>
      </c>
      <c r="AU192" s="322">
        <f t="shared" si="327"/>
        <v>5.2514243212040235E-2</v>
      </c>
      <c r="AV192" s="322">
        <f t="shared" si="327"/>
        <v>0.1076360702260204</v>
      </c>
      <c r="AW192" s="322">
        <f t="shared" si="327"/>
        <v>5.8695310711645909E-2</v>
      </c>
      <c r="AX192" s="322">
        <f t="shared" si="327"/>
        <v>1.2799552371807792</v>
      </c>
      <c r="AY192" s="5"/>
      <c r="AZ192" s="5"/>
    </row>
    <row r="193" spans="1:90" outlineLevel="1">
      <c r="B193" s="12"/>
      <c r="C193" s="23"/>
      <c r="D193" s="23"/>
      <c r="E193" s="23"/>
      <c r="F193" s="23"/>
      <c r="G193" s="410"/>
      <c r="H193" s="410"/>
      <c r="I193" s="410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5"/>
      <c r="AZ193" s="5"/>
    </row>
    <row r="194" spans="1:90" outlineLevel="1">
      <c r="A194" s="242" t="s">
        <v>151</v>
      </c>
      <c r="B194" s="13" t="s">
        <v>112</v>
      </c>
      <c r="C194" s="250">
        <f t="shared" ref="C194:I194" si="328">VLOOKUP($A194,CTRP,MATCH(C$5,Period_CTRP,FALSE),FALSE)</f>
        <v>69.859686873732358</v>
      </c>
      <c r="D194" s="250">
        <f t="shared" si="328"/>
        <v>61.51526747139507</v>
      </c>
      <c r="E194" s="250">
        <f t="shared" si="328"/>
        <v>54.957093934905814</v>
      </c>
      <c r="F194" s="250">
        <f t="shared" si="328"/>
        <v>48.846456391234234</v>
      </c>
      <c r="G194" s="433">
        <f t="shared" si="328"/>
        <v>45.476993158080099</v>
      </c>
      <c r="H194" s="433">
        <f t="shared" si="328"/>
        <v>35.308980014492754</v>
      </c>
      <c r="I194" s="433">
        <f t="shared" si="328"/>
        <v>35.675328057455232</v>
      </c>
      <c r="J194" s="250">
        <f>I194*(1+J195)</f>
        <v>35.496951417167956</v>
      </c>
      <c r="K194" s="250">
        <f t="shared" ref="K194:S194" si="329">J194*(1+K195)</f>
        <v>35.496951417167956</v>
      </c>
      <c r="L194" s="250">
        <f t="shared" si="329"/>
        <v>35.496951417167956</v>
      </c>
      <c r="M194" s="250">
        <f t="shared" si="329"/>
        <v>35.496951417167956</v>
      </c>
      <c r="N194" s="250">
        <f t="shared" si="329"/>
        <v>35.496951417167956</v>
      </c>
      <c r="O194" s="250">
        <f t="shared" si="329"/>
        <v>35.496951417167956</v>
      </c>
      <c r="P194" s="250">
        <f t="shared" si="329"/>
        <v>35.496951417167956</v>
      </c>
      <c r="Q194" s="250">
        <f t="shared" si="329"/>
        <v>35.496951417167956</v>
      </c>
      <c r="R194" s="250">
        <f t="shared" si="329"/>
        <v>35.496951417167956</v>
      </c>
      <c r="S194" s="250">
        <f t="shared" si="329"/>
        <v>35.496951417167956</v>
      </c>
      <c r="W194" s="250">
        <f t="shared" ref="W194:AP194" si="330">VLOOKUP($A194,CTRP,MATCH(W$5,Period_CTRP,FALSE),FALSE)</f>
        <v>60.119352934207612</v>
      </c>
      <c r="X194" s="250">
        <f t="shared" si="330"/>
        <v>55.553725654382475</v>
      </c>
      <c r="Y194" s="250">
        <f t="shared" si="330"/>
        <v>53.17501574317739</v>
      </c>
      <c r="Z194" s="250">
        <f t="shared" si="330"/>
        <v>52.999953872956318</v>
      </c>
      <c r="AA194" s="250">
        <f t="shared" si="330"/>
        <v>52.471215227478012</v>
      </c>
      <c r="AB194" s="250">
        <f t="shared" si="330"/>
        <v>49.889774961688381</v>
      </c>
      <c r="AC194" s="250">
        <f t="shared" si="330"/>
        <v>48.9650897779959</v>
      </c>
      <c r="AD194" s="250">
        <f t="shared" si="330"/>
        <v>45.425477169700002</v>
      </c>
      <c r="AE194" s="250">
        <f t="shared" si="330"/>
        <v>47.533041131246755</v>
      </c>
      <c r="AF194" s="250">
        <f t="shared" si="330"/>
        <v>47.236531882681703</v>
      </c>
      <c r="AG194" s="250">
        <f t="shared" si="330"/>
        <v>47.170678895527466</v>
      </c>
      <c r="AH194" s="250">
        <f t="shared" si="330"/>
        <v>40.938542689655172</v>
      </c>
      <c r="AI194" s="250">
        <f t="shared" si="330"/>
        <v>32.280623079999998</v>
      </c>
      <c r="AJ194" s="250">
        <f t="shared" si="330"/>
        <v>34.150349499999997</v>
      </c>
      <c r="AK194" s="250">
        <f t="shared" si="330"/>
        <v>39.086951528301888</v>
      </c>
      <c r="AL194" s="250">
        <f t="shared" si="330"/>
        <v>35.528867384615381</v>
      </c>
      <c r="AM194" s="250">
        <f t="shared" si="330"/>
        <v>35.083663474576277</v>
      </c>
      <c r="AN194" s="250">
        <f t="shared" si="330"/>
        <v>35.5</v>
      </c>
      <c r="AO194" s="250">
        <f t="shared" si="330"/>
        <v>36</v>
      </c>
      <c r="AP194" s="250">
        <f t="shared" si="330"/>
        <v>36</v>
      </c>
      <c r="AQ194" s="250">
        <f>AM194*(1+AQ195)</f>
        <v>34.732826839830516</v>
      </c>
      <c r="AR194" s="250">
        <f>AN194*(1+AR195)</f>
        <v>35.5</v>
      </c>
      <c r="AS194" s="250">
        <f>AO194*(1+AS195)</f>
        <v>36</v>
      </c>
      <c r="AT194" s="293">
        <f>AT186/AT190</f>
        <v>35.558140239806725</v>
      </c>
      <c r="AU194" s="250">
        <f>AQ194*(1+AU195)</f>
        <v>34.732826839830516</v>
      </c>
      <c r="AV194" s="250">
        <f>AR194*(1+AV195)</f>
        <v>35.5</v>
      </c>
      <c r="AW194" s="250">
        <f>AS194*(1+AW195)</f>
        <v>36</v>
      </c>
      <c r="AX194" s="293">
        <f>AX186/AX190</f>
        <v>35.560853714397823</v>
      </c>
      <c r="AY194" s="62"/>
      <c r="AZ194" s="62"/>
    </row>
    <row r="195" spans="1:90" outlineLevel="1">
      <c r="B195" s="12" t="s">
        <v>82</v>
      </c>
      <c r="C195" s="23"/>
      <c r="D195" s="317">
        <f t="shared" ref="D195:I195" si="331">(D194/C194-1)*1</f>
        <v>-0.11944541660227281</v>
      </c>
      <c r="E195" s="317">
        <f t="shared" si="331"/>
        <v>-0.10661050184881082</v>
      </c>
      <c r="F195" s="317">
        <f t="shared" si="331"/>
        <v>-0.11118924066307712</v>
      </c>
      <c r="G195" s="434">
        <f t="shared" si="331"/>
        <v>-6.8980709801475082E-2</v>
      </c>
      <c r="H195" s="317">
        <f t="shared" si="331"/>
        <v>-0.22358587139309916</v>
      </c>
      <c r="I195" s="317">
        <f t="shared" si="331"/>
        <v>1.0375492093289251E-2</v>
      </c>
      <c r="J195" s="349">
        <f>J32-2%</f>
        <v>-5.000000000000001E-3</v>
      </c>
      <c r="K195" s="349">
        <f t="shared" ref="K195:Q195" si="332">K32-2%</f>
        <v>0</v>
      </c>
      <c r="L195" s="349">
        <f t="shared" si="332"/>
        <v>0</v>
      </c>
      <c r="M195" s="349">
        <f t="shared" si="332"/>
        <v>0</v>
      </c>
      <c r="N195" s="349">
        <f t="shared" si="332"/>
        <v>0</v>
      </c>
      <c r="O195" s="349">
        <f t="shared" si="332"/>
        <v>0</v>
      </c>
      <c r="P195" s="349">
        <f t="shared" si="332"/>
        <v>0</v>
      </c>
      <c r="Q195" s="349">
        <f t="shared" si="332"/>
        <v>0</v>
      </c>
      <c r="R195" s="349">
        <f>R32-2%</f>
        <v>0</v>
      </c>
      <c r="S195" s="349">
        <f>S32-2%</f>
        <v>0</v>
      </c>
      <c r="W195" s="322"/>
      <c r="X195" s="322"/>
      <c r="Y195" s="322"/>
      <c r="Z195" s="322"/>
      <c r="AA195" s="322">
        <f t="shared" ref="AA195:AL195" si="333">(AA194/W194-1)*1</f>
        <v>-0.12721590192594778</v>
      </c>
      <c r="AB195" s="322">
        <f t="shared" si="333"/>
        <v>-0.10195447066739227</v>
      </c>
      <c r="AC195" s="322">
        <f t="shared" si="333"/>
        <v>-7.9171127762602378E-2</v>
      </c>
      <c r="AD195" s="322">
        <f t="shared" si="333"/>
        <v>-0.14291477916023732</v>
      </c>
      <c r="AE195" s="322">
        <f t="shared" si="333"/>
        <v>-9.4112058865471915E-2</v>
      </c>
      <c r="AF195" s="322">
        <f t="shared" si="333"/>
        <v>-5.3182101563780781E-2</v>
      </c>
      <c r="AG195" s="322">
        <f t="shared" si="333"/>
        <v>-3.6646739352550139E-2</v>
      </c>
      <c r="AH195" s="322">
        <f t="shared" si="333"/>
        <v>-9.8775725861559804E-2</v>
      </c>
      <c r="AI195" s="322">
        <f t="shared" si="333"/>
        <v>-0.32088033267495453</v>
      </c>
      <c r="AJ195" s="322">
        <f t="shared" si="333"/>
        <v>-0.27703520688570038</v>
      </c>
      <c r="AK195" s="322">
        <f t="shared" si="333"/>
        <v>-0.17137186821349826</v>
      </c>
      <c r="AL195" s="322">
        <f t="shared" si="333"/>
        <v>-0.1321413745977521</v>
      </c>
      <c r="AM195" s="322">
        <f>(AM194/AI194-1)*1</f>
        <v>8.6833528201410326E-2</v>
      </c>
      <c r="AN195" s="322">
        <f>(AN194/AJ194-1)*1</f>
        <v>3.9520840042940097E-2</v>
      </c>
      <c r="AO195" s="322">
        <f>(AO194/AK194-1)*1</f>
        <v>-7.8976523049302139E-2</v>
      </c>
      <c r="AP195" s="322">
        <f>(AP194/AL194-1)*1</f>
        <v>1.3260558246464882E-2</v>
      </c>
      <c r="AQ195" s="348">
        <f>AQ32-2%</f>
        <v>-0.01</v>
      </c>
      <c r="AR195" s="348">
        <f>AR32-2%</f>
        <v>0</v>
      </c>
      <c r="AS195" s="348">
        <f>AS32-2%</f>
        <v>0</v>
      </c>
      <c r="AT195" s="317">
        <f>(AT194/AP194-1)*1</f>
        <v>-1.227388222759096E-2</v>
      </c>
      <c r="AU195" s="348">
        <f>AU32-2%</f>
        <v>0</v>
      </c>
      <c r="AV195" s="348">
        <f>AV32-2%</f>
        <v>0</v>
      </c>
      <c r="AW195" s="348">
        <f>AW32-2%</f>
        <v>0</v>
      </c>
      <c r="AX195" s="317">
        <f>(AX194/AT194-1)*1</f>
        <v>7.6310925509526228E-5</v>
      </c>
      <c r="AY195" s="37"/>
      <c r="AZ195" s="37"/>
    </row>
    <row r="196" spans="1:90" outlineLevel="1">
      <c r="B196" s="12" t="s">
        <v>83</v>
      </c>
      <c r="C196" s="23"/>
      <c r="D196" s="23"/>
      <c r="E196" s="23"/>
      <c r="F196" s="23"/>
      <c r="G196" s="238"/>
      <c r="H196" s="238"/>
      <c r="I196" s="238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W196" s="322"/>
      <c r="X196" s="322">
        <f t="shared" ref="X196:AE196" si="334">(X194/W194-1)*1</f>
        <v>-7.5942721552934689E-2</v>
      </c>
      <c r="Y196" s="322">
        <f t="shared" si="334"/>
        <v>-4.2818188756660547E-2</v>
      </c>
      <c r="Z196" s="322">
        <f t="shared" si="334"/>
        <v>-3.2921827624194933E-3</v>
      </c>
      <c r="AA196" s="322">
        <f t="shared" si="334"/>
        <v>-9.9762095405916407E-3</v>
      </c>
      <c r="AB196" s="322">
        <f t="shared" si="334"/>
        <v>-4.9197264721206335E-2</v>
      </c>
      <c r="AC196" s="322">
        <f t="shared" si="334"/>
        <v>-1.8534563132476922E-2</v>
      </c>
      <c r="AD196" s="322">
        <f t="shared" si="334"/>
        <v>-7.2288494197483177E-2</v>
      </c>
      <c r="AE196" s="322">
        <f t="shared" si="334"/>
        <v>4.6396077550783676E-2</v>
      </c>
      <c r="AF196" s="322">
        <f t="shared" ref="AF196:AL196" si="335">(AF194/AE194-1)*1</f>
        <v>-6.2379608270032305E-3</v>
      </c>
      <c r="AG196" s="322">
        <f t="shared" si="335"/>
        <v>-1.3941113906879021E-3</v>
      </c>
      <c r="AH196" s="322">
        <f t="shared" si="335"/>
        <v>-0.1321188575571508</v>
      </c>
      <c r="AI196" s="322">
        <f t="shared" si="335"/>
        <v>-0.21148577943501046</v>
      </c>
      <c r="AJ196" s="322">
        <f t="shared" si="335"/>
        <v>5.7921013958321721E-2</v>
      </c>
      <c r="AK196" s="322">
        <f t="shared" si="335"/>
        <v>0.14455494894135401</v>
      </c>
      <c r="AL196" s="322">
        <f t="shared" si="335"/>
        <v>-9.1029973036147016E-2</v>
      </c>
      <c r="AM196" s="322">
        <f>(AM194/AL194-1)*1</f>
        <v>-1.2530765622770335E-2</v>
      </c>
      <c r="AN196" s="322">
        <f>(AN194/AM194-1)*1</f>
        <v>1.1866962688358518E-2</v>
      </c>
      <c r="AO196" s="322">
        <f>(AO194/AN194-1)*1</f>
        <v>1.4084507042253502E-2</v>
      </c>
      <c r="AP196" s="322">
        <f>(AP194/AO194-1)*1</f>
        <v>0</v>
      </c>
      <c r="AQ196" s="322">
        <f t="shared" ref="AQ196:AX196" si="336">(AQ194/AP194-1)*1</f>
        <v>-3.5199254449152395E-2</v>
      </c>
      <c r="AR196" s="322">
        <f t="shared" si="336"/>
        <v>2.2087841099351913E-2</v>
      </c>
      <c r="AS196" s="322">
        <f t="shared" si="336"/>
        <v>1.4084507042253502E-2</v>
      </c>
      <c r="AT196" s="322">
        <f t="shared" si="336"/>
        <v>-1.227388222759096E-2</v>
      </c>
      <c r="AU196" s="322">
        <f t="shared" si="336"/>
        <v>-2.3210252122586761E-2</v>
      </c>
      <c r="AV196" s="322">
        <f t="shared" si="336"/>
        <v>2.2087841099351913E-2</v>
      </c>
      <c r="AW196" s="322">
        <f t="shared" si="336"/>
        <v>1.4084507042253502E-2</v>
      </c>
      <c r="AX196" s="322">
        <f t="shared" si="336"/>
        <v>-1.2198507933393832E-2</v>
      </c>
      <c r="AY196" s="5"/>
      <c r="AZ196" s="5"/>
    </row>
    <row r="197" spans="1:90" outlineLevel="1">
      <c r="B197" s="13"/>
      <c r="C197" s="23"/>
      <c r="D197" s="23"/>
      <c r="E197" s="23"/>
      <c r="F197" s="23"/>
      <c r="G197" s="238"/>
      <c r="H197" s="238"/>
      <c r="I197" s="238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5"/>
      <c r="AZ197" s="5"/>
    </row>
    <row r="198" spans="1:90" s="202" customFormat="1" outlineLevel="1">
      <c r="A198" s="258" t="s">
        <v>115</v>
      </c>
      <c r="B198" s="202" t="s">
        <v>116</v>
      </c>
      <c r="C198" s="259">
        <f t="shared" ref="C198:I198" si="337">VLOOKUP($A198,CTRP,MATCH(C$5,Period_CTRP,FALSE),FALSE)</f>
        <v>1437.118164</v>
      </c>
      <c r="D198" s="259">
        <f t="shared" si="337"/>
        <v>1690.285903</v>
      </c>
      <c r="E198" s="259">
        <f t="shared" si="337"/>
        <v>2161.784259</v>
      </c>
      <c r="F198" s="259">
        <f t="shared" si="337"/>
        <v>2950.0724840000003</v>
      </c>
      <c r="G198" s="426">
        <f t="shared" si="337"/>
        <v>4453.885749</v>
      </c>
      <c r="H198" s="426">
        <f t="shared" si="337"/>
        <v>8826.5165710000001</v>
      </c>
      <c r="I198" s="426">
        <f t="shared" si="337"/>
        <v>12221.029997</v>
      </c>
      <c r="J198" s="511">
        <f t="shared" ref="J198:Q198" si="338">J202*J206</f>
        <v>12758.755316867999</v>
      </c>
      <c r="K198" s="511">
        <f t="shared" si="338"/>
        <v>15638.406391885106</v>
      </c>
      <c r="L198" s="436">
        <f t="shared" si="338"/>
        <v>19006.919128697158</v>
      </c>
      <c r="M198" s="436">
        <f t="shared" si="338"/>
        <v>22709.466974967359</v>
      </c>
      <c r="N198" s="436">
        <f t="shared" si="338"/>
        <v>26899.363631848839</v>
      </c>
      <c r="O198" s="436">
        <f t="shared" si="338"/>
        <v>30205.295422203057</v>
      </c>
      <c r="P198" s="436">
        <f t="shared" si="338"/>
        <v>33620.004069683106</v>
      </c>
      <c r="Q198" s="436">
        <f t="shared" si="338"/>
        <v>37089.588489674396</v>
      </c>
      <c r="R198" s="436">
        <f>R202*R206</f>
        <v>40551.901575185497</v>
      </c>
      <c r="S198" s="436">
        <f>S202*S206</f>
        <v>43937.985356713485</v>
      </c>
      <c r="T198" s="265"/>
      <c r="U198" s="510">
        <f>(K198/I198)^(1/2)-1</f>
        <v>0.13120767324130189</v>
      </c>
      <c r="V198" s="265"/>
      <c r="W198" s="259">
        <f t="shared" ref="W198:AP198" si="339">VLOOKUP($A198,CTRP,MATCH(W$5,Period_CTRP,FALSE),FALSE)</f>
        <v>456.50252399999999</v>
      </c>
      <c r="X198" s="259">
        <f t="shared" si="339"/>
        <v>522.01377100000002</v>
      </c>
      <c r="Y198" s="259">
        <f t="shared" si="339"/>
        <v>604.27234399999998</v>
      </c>
      <c r="Z198" s="259">
        <f t="shared" si="339"/>
        <v>578.99562000000003</v>
      </c>
      <c r="AA198" s="259">
        <f t="shared" si="339"/>
        <v>651.065201</v>
      </c>
      <c r="AB198" s="259">
        <f t="shared" si="339"/>
        <v>725.513462</v>
      </c>
      <c r="AC198" s="259">
        <f t="shared" si="339"/>
        <v>799.79692699999998</v>
      </c>
      <c r="AD198" s="259">
        <f t="shared" si="339"/>
        <v>773.69689400000004</v>
      </c>
      <c r="AE198" s="259">
        <f t="shared" si="339"/>
        <v>947.90779099999997</v>
      </c>
      <c r="AF198" s="259">
        <f t="shared" si="339"/>
        <v>1052.5506640000001</v>
      </c>
      <c r="AG198" s="259">
        <f t="shared" si="339"/>
        <v>1208.9885750000001</v>
      </c>
      <c r="AH198" s="259">
        <f t="shared" si="339"/>
        <v>1244.438719</v>
      </c>
      <c r="AI198" s="259">
        <f t="shared" si="339"/>
        <v>1949.0031260000001</v>
      </c>
      <c r="AJ198" s="259">
        <f t="shared" si="339"/>
        <v>2003.4267950000001</v>
      </c>
      <c r="AK198" s="259">
        <f t="shared" si="339"/>
        <v>2427.736429</v>
      </c>
      <c r="AL198" s="259">
        <f t="shared" si="339"/>
        <v>2446.3502210000001</v>
      </c>
      <c r="AM198" s="259">
        <f t="shared" si="339"/>
        <v>2875.3753459999998</v>
      </c>
      <c r="AN198" s="259">
        <f t="shared" si="339"/>
        <v>2992.3303559999999</v>
      </c>
      <c r="AO198" s="259">
        <f t="shared" si="339"/>
        <v>3428.1946090000001</v>
      </c>
      <c r="AP198" s="259">
        <f t="shared" si="339"/>
        <v>2925.1296860000002</v>
      </c>
      <c r="AQ198" s="259">
        <f>AQ202*AQ206</f>
        <v>2713.0604077182993</v>
      </c>
      <c r="AR198" s="259">
        <f>AR202*AR206</f>
        <v>2905.8520087116003</v>
      </c>
      <c r="AS198" s="259">
        <f>AS202*AS206</f>
        <v>3680.5097322223996</v>
      </c>
      <c r="AT198" s="298">
        <f>J198-SUM(AQ198:AS198)</f>
        <v>3459.3331682157004</v>
      </c>
      <c r="AU198" s="259">
        <f>AU202*AU206</f>
        <v>3625.1913167931921</v>
      </c>
      <c r="AV198" s="259">
        <f>AV202*AV206</f>
        <v>3771.2147369059148</v>
      </c>
      <c r="AW198" s="259">
        <f>AW202*AW206</f>
        <v>4312.0852022717636</v>
      </c>
      <c r="AX198" s="298">
        <f>N198-SUM(AU198:AW198)</f>
        <v>15190.872375877967</v>
      </c>
      <c r="AY198" s="22"/>
      <c r="AZ198" s="22"/>
      <c r="BA198" s="265"/>
      <c r="BB198" s="265"/>
      <c r="BC198" s="265"/>
      <c r="BD198" s="265"/>
      <c r="BE198" s="265"/>
      <c r="BF198" s="265"/>
      <c r="BG198" s="265"/>
      <c r="BH198" s="265"/>
      <c r="BI198" s="265"/>
      <c r="BJ198" s="265"/>
      <c r="BK198" s="265"/>
      <c r="BL198" s="265"/>
      <c r="BM198" s="265"/>
      <c r="BN198" s="265"/>
      <c r="BO198" s="265"/>
      <c r="BP198" s="266"/>
      <c r="BQ198" s="266"/>
      <c r="BR198" s="266"/>
      <c r="BS198" s="266"/>
      <c r="BT198" s="266"/>
      <c r="BU198" s="266"/>
      <c r="BV198" s="266"/>
      <c r="BW198" s="266"/>
      <c r="BX198" s="266"/>
      <c r="BY198" s="266"/>
      <c r="BZ198" s="266"/>
      <c r="CA198" s="266"/>
      <c r="CF198" s="199"/>
      <c r="CG198" s="199"/>
      <c r="CH198" s="199"/>
      <c r="CI198" s="199"/>
      <c r="CJ198" s="199"/>
      <c r="CK198" s="200"/>
      <c r="CL198" s="201"/>
    </row>
    <row r="199" spans="1:90" outlineLevel="1">
      <c r="B199" s="12" t="s">
        <v>82</v>
      </c>
      <c r="C199" s="322"/>
      <c r="D199" s="322">
        <f t="shared" ref="D199:S199" si="340">(D198/C198-1)*1</f>
        <v>0.17616348143241467</v>
      </c>
      <c r="E199" s="322">
        <f t="shared" si="340"/>
        <v>0.27894591983708938</v>
      </c>
      <c r="F199" s="322">
        <f t="shared" si="340"/>
        <v>0.3646470371491406</v>
      </c>
      <c r="G199" s="423">
        <f>(G198/F198-1)*1</f>
        <v>0.50975468337001018</v>
      </c>
      <c r="H199" s="322">
        <f>(H198/G198-1)*1</f>
        <v>0.98175639619443689</v>
      </c>
      <c r="I199" s="322">
        <f>(I198/H198-1)*1</f>
        <v>0.38458132363936848</v>
      </c>
      <c r="J199" s="322">
        <f t="shared" si="340"/>
        <v>4.4000000000000039E-2</v>
      </c>
      <c r="K199" s="322">
        <f t="shared" si="340"/>
        <v>0.22570000000000001</v>
      </c>
      <c r="L199" s="322">
        <f t="shared" si="340"/>
        <v>0.21540000000000004</v>
      </c>
      <c r="M199" s="322">
        <f t="shared" si="340"/>
        <v>0.19479999999999964</v>
      </c>
      <c r="N199" s="322">
        <f t="shared" si="340"/>
        <v>0.18450000000000011</v>
      </c>
      <c r="O199" s="322">
        <f t="shared" si="340"/>
        <v>0.12289999999999979</v>
      </c>
      <c r="P199" s="322">
        <f t="shared" si="340"/>
        <v>0.11304999999999987</v>
      </c>
      <c r="Q199" s="322">
        <f t="shared" si="340"/>
        <v>0.10319999999999974</v>
      </c>
      <c r="R199" s="322">
        <f t="shared" si="340"/>
        <v>9.3349999999999822E-2</v>
      </c>
      <c r="S199" s="322">
        <f t="shared" si="340"/>
        <v>8.3499999999999908E-2</v>
      </c>
      <c r="W199" s="322"/>
      <c r="X199" s="322"/>
      <c r="Y199" s="322"/>
      <c r="Z199" s="322"/>
      <c r="AA199" s="322">
        <f t="shared" ref="AA199:AL199" si="341">(AA198/W198-1)*1</f>
        <v>0.42620285052356022</v>
      </c>
      <c r="AB199" s="322">
        <f t="shared" si="341"/>
        <v>0.38983586699286521</v>
      </c>
      <c r="AC199" s="322">
        <f t="shared" si="341"/>
        <v>0.32357029895778244</v>
      </c>
      <c r="AD199" s="322">
        <f t="shared" si="341"/>
        <v>0.33627417423295869</v>
      </c>
      <c r="AE199" s="322">
        <f t="shared" si="341"/>
        <v>0.45593373681171445</v>
      </c>
      <c r="AF199" s="322">
        <f t="shared" si="341"/>
        <v>0.4507665524199469</v>
      </c>
      <c r="AG199" s="322">
        <f t="shared" si="341"/>
        <v>0.51161943011566491</v>
      </c>
      <c r="AH199" s="322">
        <f t="shared" si="341"/>
        <v>0.60843184023432295</v>
      </c>
      <c r="AI199" s="322">
        <f t="shared" si="341"/>
        <v>1.0561104619088422</v>
      </c>
      <c r="AJ199" s="322">
        <f t="shared" si="341"/>
        <v>0.90340176822120166</v>
      </c>
      <c r="AK199" s="322">
        <f t="shared" si="341"/>
        <v>1.0080722673495899</v>
      </c>
      <c r="AL199" s="322">
        <f t="shared" si="341"/>
        <v>0.96582618625513872</v>
      </c>
      <c r="AM199" s="322">
        <f>(AM198/AI198-1)*1</f>
        <v>0.47530566146459829</v>
      </c>
      <c r="AN199" s="322">
        <f>(AN198/AJ198-1)*1</f>
        <v>0.49360603714996221</v>
      </c>
      <c r="AO199" s="322">
        <f>(AO198/AK198-1)*1</f>
        <v>0.41209505613922648</v>
      </c>
      <c r="AP199" s="322">
        <f>(AP198/AL198-1)*1</f>
        <v>0.19571174269736757</v>
      </c>
      <c r="AQ199" s="322">
        <f t="shared" ref="AQ199:AX199" si="342">(AQ198/AM198-1)*1</f>
        <v>-5.6450000000000222E-2</v>
      </c>
      <c r="AR199" s="322">
        <f t="shared" si="342"/>
        <v>-2.8899999999999926E-2</v>
      </c>
      <c r="AS199" s="322">
        <f t="shared" si="342"/>
        <v>7.3599999999999888E-2</v>
      </c>
      <c r="AT199" s="322">
        <f t="shared" si="342"/>
        <v>0.18262557204641494</v>
      </c>
      <c r="AU199" s="322">
        <f t="shared" si="342"/>
        <v>0.33620000000000028</v>
      </c>
      <c r="AV199" s="322">
        <f t="shared" si="342"/>
        <v>0.29780000000000006</v>
      </c>
      <c r="AW199" s="322">
        <f t="shared" si="342"/>
        <v>0.17159999999999997</v>
      </c>
      <c r="AX199" s="322">
        <f t="shared" si="342"/>
        <v>3.391271854197643</v>
      </c>
      <c r="AY199" s="117"/>
      <c r="AZ199" s="117"/>
    </row>
    <row r="200" spans="1:90" outlineLevel="1">
      <c r="B200" s="12" t="s">
        <v>83</v>
      </c>
      <c r="C200" s="322"/>
      <c r="D200" s="322"/>
      <c r="E200" s="322"/>
      <c r="F200" s="322"/>
      <c r="G200" s="423"/>
      <c r="H200" s="423"/>
      <c r="I200" s="423"/>
      <c r="J200" s="322"/>
      <c r="K200" s="322"/>
      <c r="L200" s="322"/>
      <c r="M200" s="322"/>
      <c r="N200" s="322"/>
      <c r="O200" s="322"/>
      <c r="P200" s="322"/>
      <c r="Q200" s="322"/>
      <c r="R200" s="322"/>
      <c r="S200" s="322"/>
      <c r="W200" s="322"/>
      <c r="X200" s="322">
        <f t="shared" ref="X200:AL200" si="343">(X198/W198-1)*1</f>
        <v>0.14350686700693904</v>
      </c>
      <c r="Y200" s="322">
        <f t="shared" si="343"/>
        <v>0.15757931604451869</v>
      </c>
      <c r="Z200" s="322">
        <f t="shared" si="343"/>
        <v>-4.1830019611157176E-2</v>
      </c>
      <c r="AA200" s="322">
        <f t="shared" si="343"/>
        <v>0.12447344765751422</v>
      </c>
      <c r="AB200" s="322">
        <f t="shared" si="343"/>
        <v>0.11434839534604468</v>
      </c>
      <c r="AC200" s="322">
        <f t="shared" si="343"/>
        <v>0.1023874385393555</v>
      </c>
      <c r="AD200" s="322">
        <f t="shared" si="343"/>
        <v>-3.2633324933992847E-2</v>
      </c>
      <c r="AE200" s="322">
        <f t="shared" si="343"/>
        <v>0.22516685584626361</v>
      </c>
      <c r="AF200" s="322">
        <f t="shared" si="343"/>
        <v>0.11039351505868167</v>
      </c>
      <c r="AG200" s="322">
        <f t="shared" si="343"/>
        <v>0.14862744032243569</v>
      </c>
      <c r="AH200" s="322">
        <f t="shared" si="343"/>
        <v>2.9322149715103718E-2</v>
      </c>
      <c r="AI200" s="322">
        <f t="shared" si="343"/>
        <v>0.56617043189251648</v>
      </c>
      <c r="AJ200" s="322">
        <f t="shared" si="343"/>
        <v>2.7923849004642287E-2</v>
      </c>
      <c r="AK200" s="322">
        <f t="shared" si="343"/>
        <v>0.21179193323108159</v>
      </c>
      <c r="AL200" s="322">
        <f t="shared" si="343"/>
        <v>7.6671387295808024E-3</v>
      </c>
      <c r="AM200" s="322">
        <f>(AM198/AL198-1)*1</f>
        <v>0.17537355089927642</v>
      </c>
      <c r="AN200" s="322">
        <f>(AN198/AM198-1)*1</f>
        <v>4.0674693188386346E-2</v>
      </c>
      <c r="AO200" s="322">
        <f>(AO198/AN198-1)*1</f>
        <v>0.14566047232252854</v>
      </c>
      <c r="AP200" s="322">
        <f>(AP198/AO198-1)*1</f>
        <v>-0.14674339714533979</v>
      </c>
      <c r="AQ200" s="322">
        <f t="shared" ref="AQ200:AX200" si="344">(AQ198/AP198-1)*1</f>
        <v>-7.2499102961721129E-2</v>
      </c>
      <c r="AR200" s="322">
        <f t="shared" si="344"/>
        <v>7.1060563356729611E-2</v>
      </c>
      <c r="AS200" s="322">
        <f t="shared" si="344"/>
        <v>0.26658540117955565</v>
      </c>
      <c r="AT200" s="322">
        <f t="shared" si="344"/>
        <v>-6.0094003303489796E-2</v>
      </c>
      <c r="AU200" s="322">
        <f t="shared" si="344"/>
        <v>4.7945121360785325E-2</v>
      </c>
      <c r="AV200" s="322">
        <f t="shared" si="344"/>
        <v>4.0280196919894928E-2</v>
      </c>
      <c r="AW200" s="322">
        <f t="shared" si="344"/>
        <v>0.14342075514098274</v>
      </c>
      <c r="AX200" s="322">
        <f t="shared" si="344"/>
        <v>2.5228599768564086</v>
      </c>
      <c r="AY200" s="117"/>
      <c r="AZ200" s="117"/>
    </row>
    <row r="201" spans="1:90" outlineLevel="1">
      <c r="C201" s="23"/>
      <c r="D201" s="23"/>
      <c r="E201" s="23"/>
      <c r="F201" s="23"/>
      <c r="G201" s="410"/>
      <c r="H201" s="410"/>
      <c r="I201" s="410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5"/>
      <c r="AZ201" s="5"/>
    </row>
    <row r="202" spans="1:90" outlineLevel="1">
      <c r="A202" s="242" t="s">
        <v>127</v>
      </c>
      <c r="B202" s="13" t="s">
        <v>161</v>
      </c>
      <c r="C202" s="250">
        <f t="shared" ref="C202:I202" si="345">VLOOKUP($A202,CTRP,MATCH(C$5,Period_CTRP,FALSE),FALSE)</f>
        <v>32.523974231774233</v>
      </c>
      <c r="D202" s="250">
        <f t="shared" si="345"/>
        <v>38.703529335811339</v>
      </c>
      <c r="E202" s="250">
        <f t="shared" si="345"/>
        <v>51.27161051476098</v>
      </c>
      <c r="F202" s="250">
        <f t="shared" si="345"/>
        <v>97.331602148554836</v>
      </c>
      <c r="G202" s="430">
        <f t="shared" si="345"/>
        <v>219.42208479853596</v>
      </c>
      <c r="H202" s="430">
        <f t="shared" si="345"/>
        <v>498</v>
      </c>
      <c r="I202" s="430">
        <f t="shared" si="345"/>
        <v>703.35801550833332</v>
      </c>
      <c r="J202" s="435">
        <f t="shared" ref="J202:S202" si="346">I202*(1+J203)</f>
        <v>844.02961860999994</v>
      </c>
      <c r="K202" s="435">
        <f t="shared" si="346"/>
        <v>1004.3952461458999</v>
      </c>
      <c r="L202" s="435">
        <f t="shared" si="346"/>
        <v>1185.186390452162</v>
      </c>
      <c r="M202" s="435">
        <f t="shared" si="346"/>
        <v>1374.8162129245077</v>
      </c>
      <c r="N202" s="435">
        <f t="shared" si="346"/>
        <v>1581.0386448631837</v>
      </c>
      <c r="O202" s="435">
        <f t="shared" si="346"/>
        <v>1802.3840551440292</v>
      </c>
      <c r="P202" s="435">
        <f t="shared" si="346"/>
        <v>2036.6939823127527</v>
      </c>
      <c r="Q202" s="435">
        <f t="shared" si="346"/>
        <v>2281.0972601902827</v>
      </c>
      <c r="R202" s="435">
        <f t="shared" si="346"/>
        <v>2532.0179588112137</v>
      </c>
      <c r="S202" s="435">
        <f t="shared" si="346"/>
        <v>2785.2197546923348</v>
      </c>
      <c r="W202" s="250">
        <f t="shared" ref="W202:AP202" si="347">VLOOKUP($A202,CTRP,MATCH(W$5,Period_CTRP,FALSE),FALSE)</f>
        <v>10.799918069245463</v>
      </c>
      <c r="X202" s="250">
        <f t="shared" si="347"/>
        <v>12.329125298664406</v>
      </c>
      <c r="Y202" s="250">
        <f t="shared" si="347"/>
        <v>13.663567076249999</v>
      </c>
      <c r="Z202" s="250">
        <f t="shared" si="347"/>
        <v>14.479000070601103</v>
      </c>
      <c r="AA202" s="250">
        <f t="shared" si="347"/>
        <v>18.467859898409742</v>
      </c>
      <c r="AB202" s="250">
        <f t="shared" si="347"/>
        <v>22.562299296555867</v>
      </c>
      <c r="AC202" s="250">
        <f t="shared" si="347"/>
        <v>27.053862810974998</v>
      </c>
      <c r="AD202" s="250">
        <f t="shared" si="347"/>
        <v>29.247580142614229</v>
      </c>
      <c r="AE202" s="250">
        <f t="shared" si="347"/>
        <v>37.674434192755868</v>
      </c>
      <c r="AF202" s="250">
        <f t="shared" si="347"/>
        <v>46.478336550905091</v>
      </c>
      <c r="AG202" s="250">
        <f t="shared" si="347"/>
        <v>67.634657027437498</v>
      </c>
      <c r="AH202" s="250">
        <f t="shared" si="347"/>
        <v>67.634657027437498</v>
      </c>
      <c r="AI202" s="250">
        <f t="shared" si="347"/>
        <v>110</v>
      </c>
      <c r="AJ202" s="250">
        <f t="shared" si="347"/>
        <v>115</v>
      </c>
      <c r="AK202" s="250">
        <f t="shared" si="347"/>
        <v>140</v>
      </c>
      <c r="AL202" s="250">
        <f t="shared" si="347"/>
        <v>133</v>
      </c>
      <c r="AM202" s="250">
        <f t="shared" si="347"/>
        <v>158.4</v>
      </c>
      <c r="AN202" s="250">
        <f t="shared" si="347"/>
        <v>166.24057533333334</v>
      </c>
      <c r="AO202" s="250">
        <f t="shared" si="347"/>
        <v>195.89683479999999</v>
      </c>
      <c r="AP202" s="250">
        <f t="shared" si="347"/>
        <v>182.82060537500001</v>
      </c>
      <c r="AQ202" s="250">
        <f>AM202*(1+AQ203)</f>
        <v>178.99199999999999</v>
      </c>
      <c r="AR202" s="250">
        <f>AN202*(1+AR203)</f>
        <v>194.50147314</v>
      </c>
      <c r="AS202" s="250">
        <f>AO202*(1+AS203)</f>
        <v>238.99413845599997</v>
      </c>
      <c r="AT202" s="293">
        <f>J202-SUM(AQ202:AS202)</f>
        <v>231.54200701399998</v>
      </c>
      <c r="AU202" s="250">
        <f>AQ202*(1+AU203)</f>
        <v>234.47952000000001</v>
      </c>
      <c r="AV202" s="250">
        <f>AR202*(1+AV203)</f>
        <v>245.0718561564</v>
      </c>
      <c r="AW202" s="250">
        <f>AS202*(1+AW203)</f>
        <v>277.23320060895998</v>
      </c>
      <c r="AX202" s="293">
        <f>N202-SUM(AU202:AW202)</f>
        <v>824.25406809782362</v>
      </c>
      <c r="AY202" s="62"/>
      <c r="AZ202" s="62"/>
    </row>
    <row r="203" spans="1:90" outlineLevel="1">
      <c r="A203" s="242"/>
      <c r="B203" s="12" t="s">
        <v>82</v>
      </c>
      <c r="C203" s="322"/>
      <c r="D203" s="322">
        <f t="shared" ref="D203:I203" si="348">(D202/C202-1)*1</f>
        <v>0.19000000000000017</v>
      </c>
      <c r="E203" s="322">
        <f t="shared" si="348"/>
        <v>0.32472700538244537</v>
      </c>
      <c r="F203" s="322">
        <f t="shared" si="348"/>
        <v>0.89835273695046669</v>
      </c>
      <c r="G203" s="423">
        <f t="shared" si="348"/>
        <v>1.2543765843249699</v>
      </c>
      <c r="H203" s="322">
        <f t="shared" si="348"/>
        <v>1.2695983426519826</v>
      </c>
      <c r="I203" s="322">
        <f t="shared" si="348"/>
        <v>0.41236549298862113</v>
      </c>
      <c r="J203" s="349">
        <f>J41-4%</f>
        <v>0.19999999999999998</v>
      </c>
      <c r="K203" s="349">
        <f t="shared" ref="K203:Q203" si="349">K41-4%</f>
        <v>0.19</v>
      </c>
      <c r="L203" s="349">
        <f t="shared" si="349"/>
        <v>0.18</v>
      </c>
      <c r="M203" s="349">
        <f t="shared" si="349"/>
        <v>0.16</v>
      </c>
      <c r="N203" s="349">
        <f t="shared" si="349"/>
        <v>0.15</v>
      </c>
      <c r="O203" s="349">
        <f t="shared" si="349"/>
        <v>0.13999999999999999</v>
      </c>
      <c r="P203" s="349">
        <f t="shared" si="349"/>
        <v>0.12999999999999998</v>
      </c>
      <c r="Q203" s="349">
        <f t="shared" si="349"/>
        <v>0.11999999999999997</v>
      </c>
      <c r="R203" s="349">
        <f>R41-4%</f>
        <v>0.10999999999999996</v>
      </c>
      <c r="S203" s="349">
        <f>S41-4%</f>
        <v>9.999999999999995E-2</v>
      </c>
      <c r="W203" s="322"/>
      <c r="X203" s="322"/>
      <c r="Y203" s="322"/>
      <c r="Z203" s="322"/>
      <c r="AA203" s="322">
        <f t="shared" ref="AA203:AL203" si="350">(AA202/W202-1)*1</f>
        <v>0.71000000000000019</v>
      </c>
      <c r="AB203" s="322">
        <f t="shared" si="350"/>
        <v>0.83000000000000029</v>
      </c>
      <c r="AC203" s="322">
        <f t="shared" si="350"/>
        <v>0.98</v>
      </c>
      <c r="AD203" s="322">
        <f t="shared" si="350"/>
        <v>1.02</v>
      </c>
      <c r="AE203" s="322">
        <f t="shared" si="350"/>
        <v>1.0399999999999996</v>
      </c>
      <c r="AF203" s="322">
        <f t="shared" si="350"/>
        <v>1.06</v>
      </c>
      <c r="AG203" s="322">
        <f t="shared" si="350"/>
        <v>1.5</v>
      </c>
      <c r="AH203" s="322">
        <f t="shared" si="350"/>
        <v>1.3124872792088751</v>
      </c>
      <c r="AI203" s="322">
        <f t="shared" si="350"/>
        <v>1.919751878348078</v>
      </c>
      <c r="AJ203" s="322">
        <f t="shared" si="350"/>
        <v>1.4742709944889487</v>
      </c>
      <c r="AK203" s="322">
        <f t="shared" si="350"/>
        <v>1.0699447022139239</v>
      </c>
      <c r="AL203" s="322">
        <f t="shared" si="350"/>
        <v>0.96644746710322793</v>
      </c>
      <c r="AM203" s="322">
        <f>(AM202/AI202-1)*1</f>
        <v>0.43999999999999995</v>
      </c>
      <c r="AN203" s="322">
        <f>(AN202/AJ202-1)*1</f>
        <v>0.44557022028985505</v>
      </c>
      <c r="AO203" s="322">
        <f>(AO202/AK202-1)*1</f>
        <v>0.39926310571428569</v>
      </c>
      <c r="AP203" s="322">
        <f>(AP202/AL202-1)*1</f>
        <v>0.37459101785714299</v>
      </c>
      <c r="AQ203" s="347">
        <f>AQ41-4%</f>
        <v>0.13</v>
      </c>
      <c r="AR203" s="347">
        <f>AR41-4%</f>
        <v>0.16999999999999998</v>
      </c>
      <c r="AS203" s="347">
        <f>AS41-4%</f>
        <v>0.22</v>
      </c>
      <c r="AT203" s="322">
        <f>(AT202/AP202-1)*1</f>
        <v>0.26649841542239217</v>
      </c>
      <c r="AU203" s="347">
        <f>AU41-4%</f>
        <v>0.31</v>
      </c>
      <c r="AV203" s="347">
        <f>AV41-4%</f>
        <v>0.26</v>
      </c>
      <c r="AW203" s="347">
        <f>AW41-4%</f>
        <v>0.16</v>
      </c>
      <c r="AX203" s="322">
        <f>(AX202/AT202-1)*1</f>
        <v>2.5598467799753752</v>
      </c>
      <c r="AY203" s="350"/>
      <c r="AZ203" s="350"/>
    </row>
    <row r="204" spans="1:90" outlineLevel="1">
      <c r="A204" s="242"/>
      <c r="B204" s="12" t="s">
        <v>83</v>
      </c>
      <c r="C204" s="322"/>
      <c r="D204" s="322"/>
      <c r="E204" s="322"/>
      <c r="F204" s="322"/>
      <c r="G204" s="423"/>
      <c r="H204" s="423"/>
      <c r="I204" s="423"/>
      <c r="J204" s="322"/>
      <c r="K204" s="322"/>
      <c r="L204" s="322"/>
      <c r="M204" s="322"/>
      <c r="N204" s="322"/>
      <c r="O204" s="322"/>
      <c r="P204" s="322"/>
      <c r="Q204" s="322"/>
      <c r="R204" s="322"/>
      <c r="S204" s="322"/>
      <c r="W204" s="322"/>
      <c r="X204" s="322">
        <f t="shared" ref="X204:AE204" si="351">(X202/W202-1)*1</f>
        <v>0.14159433614349459</v>
      </c>
      <c r="Y204" s="322">
        <f t="shared" si="351"/>
        <v>0.10823491085212278</v>
      </c>
      <c r="Z204" s="322">
        <f t="shared" si="351"/>
        <v>5.9679364092886766E-2</v>
      </c>
      <c r="AA204" s="322">
        <f t="shared" si="351"/>
        <v>0.27549276941491452</v>
      </c>
      <c r="AB204" s="322">
        <f t="shared" si="351"/>
        <v>0.22170621938163482</v>
      </c>
      <c r="AC204" s="322">
        <f t="shared" si="351"/>
        <v>0.19907383797114897</v>
      </c>
      <c r="AD204" s="322">
        <f t="shared" si="351"/>
        <v>8.1087028013955287E-2</v>
      </c>
      <c r="AE204" s="322">
        <f t="shared" si="351"/>
        <v>0.28812141069624997</v>
      </c>
      <c r="AF204" s="322">
        <f t="shared" ref="AF204:AL204" si="352">(AF202/AE202-1)*1</f>
        <v>0.23368373133635689</v>
      </c>
      <c r="AG204" s="322">
        <f t="shared" si="352"/>
        <v>0.45518669656692823</v>
      </c>
      <c r="AH204" s="322">
        <f t="shared" si="352"/>
        <v>0</v>
      </c>
      <c r="AI204" s="322">
        <f t="shared" si="352"/>
        <v>0.62638512316808326</v>
      </c>
      <c r="AJ204" s="322">
        <f t="shared" si="352"/>
        <v>4.5454545454545414E-2</v>
      </c>
      <c r="AK204" s="322">
        <f t="shared" si="352"/>
        <v>0.21739130434782616</v>
      </c>
      <c r="AL204" s="322">
        <f t="shared" si="352"/>
        <v>-5.0000000000000044E-2</v>
      </c>
      <c r="AM204" s="322">
        <f>(AM202/AL202-1)*1</f>
        <v>0.19097744360902258</v>
      </c>
      <c r="AN204" s="322">
        <f>(AN202/AM202-1)*1</f>
        <v>4.9498581649831674E-2</v>
      </c>
      <c r="AO204" s="322">
        <f>(AO202/AN202-1)*1</f>
        <v>0.17839362867460062</v>
      </c>
      <c r="AP204" s="322">
        <f>(AP202/AO202-1)*1</f>
        <v>-6.6750590627715378E-2</v>
      </c>
      <c r="AQ204" s="322">
        <f t="shared" ref="AQ204:AX204" si="353">(AQ202/AP202-1)*1</f>
        <v>-2.0941870130813833E-2</v>
      </c>
      <c r="AR204" s="322">
        <f t="shared" si="353"/>
        <v>8.6648973920622208E-2</v>
      </c>
      <c r="AS204" s="322">
        <f t="shared" si="353"/>
        <v>0.22875233075471169</v>
      </c>
      <c r="AT204" s="322">
        <f t="shared" si="353"/>
        <v>-3.1181231013211574E-2</v>
      </c>
      <c r="AU204" s="322">
        <f t="shared" si="353"/>
        <v>1.2686738894089444E-2</v>
      </c>
      <c r="AV204" s="322">
        <f t="shared" si="353"/>
        <v>4.5173822244262585E-2</v>
      </c>
      <c r="AW204" s="322">
        <f t="shared" si="353"/>
        <v>0.13123230450433776</v>
      </c>
      <c r="AX204" s="322">
        <f t="shared" si="353"/>
        <v>1.9731434268597638</v>
      </c>
      <c r="AY204" s="117"/>
      <c r="AZ204" s="117"/>
    </row>
    <row r="205" spans="1:90" outlineLevel="1">
      <c r="C205" s="23"/>
      <c r="D205" s="23"/>
      <c r="E205" s="23"/>
      <c r="F205" s="23"/>
      <c r="G205" s="410"/>
      <c r="H205" s="410"/>
      <c r="I205" s="410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5"/>
      <c r="AZ205" s="5"/>
    </row>
    <row r="206" spans="1:90" outlineLevel="1">
      <c r="A206" s="242" t="s">
        <v>147</v>
      </c>
      <c r="B206" s="13" t="s">
        <v>117</v>
      </c>
      <c r="C206" s="250">
        <f t="shared" ref="C206:I206" si="354">VLOOKUP($A206,CTRP,MATCH(C$5,Period_CTRP,FALSE),FALSE)</f>
        <v>44.186425489047714</v>
      </c>
      <c r="D206" s="250">
        <f t="shared" si="354"/>
        <v>43.67265549180869</v>
      </c>
      <c r="E206" s="250">
        <f t="shared" si="354"/>
        <v>42.163377301706319</v>
      </c>
      <c r="F206" s="250">
        <f t="shared" si="354"/>
        <v>30.309502965926495</v>
      </c>
      <c r="G206" s="430">
        <f t="shared" si="354"/>
        <v>20.29825645440097</v>
      </c>
      <c r="H206" s="430">
        <f t="shared" si="354"/>
        <v>17.723928857429719</v>
      </c>
      <c r="I206" s="430">
        <f t="shared" si="354"/>
        <v>17.375262281140813</v>
      </c>
      <c r="J206" s="435">
        <f t="shared" ref="J206:S206" si="355">I206*(1+J207)</f>
        <v>15.116478184592507</v>
      </c>
      <c r="K206" s="435">
        <f t="shared" si="355"/>
        <v>15.569972530130283</v>
      </c>
      <c r="L206" s="435">
        <f t="shared" si="355"/>
        <v>16.03707170603419</v>
      </c>
      <c r="M206" s="435">
        <f t="shared" si="355"/>
        <v>16.518183857215217</v>
      </c>
      <c r="N206" s="435">
        <f t="shared" si="355"/>
        <v>17.013729372931675</v>
      </c>
      <c r="O206" s="435">
        <f t="shared" si="355"/>
        <v>16.7585234323377</v>
      </c>
      <c r="P206" s="435">
        <f t="shared" si="355"/>
        <v>16.507145580852633</v>
      </c>
      <c r="Q206" s="435">
        <f t="shared" si="355"/>
        <v>16.259538397139842</v>
      </c>
      <c r="R206" s="435">
        <f t="shared" si="355"/>
        <v>16.015645321182745</v>
      </c>
      <c r="S206" s="435">
        <f t="shared" si="355"/>
        <v>15.775410641365005</v>
      </c>
      <c r="W206" s="250">
        <f t="shared" ref="W206:AP206" si="356">VLOOKUP($A206,CTRP,MATCH(W$5,Period_CTRP,FALSE),FALSE)</f>
        <v>42.26907288305879</v>
      </c>
      <c r="X206" s="250">
        <f t="shared" si="356"/>
        <v>42.339886922598545</v>
      </c>
      <c r="Y206" s="250">
        <f t="shared" si="356"/>
        <v>44.22507977805779</v>
      </c>
      <c r="Z206" s="250">
        <f t="shared" si="356"/>
        <v>39.988646811019926</v>
      </c>
      <c r="AA206" s="250">
        <f t="shared" si="356"/>
        <v>35.253960371231912</v>
      </c>
      <c r="AB206" s="250">
        <f t="shared" si="356"/>
        <v>32.156007349426019</v>
      </c>
      <c r="AC206" s="250">
        <f t="shared" si="356"/>
        <v>29.563132355189762</v>
      </c>
      <c r="AD206" s="250">
        <f t="shared" si="356"/>
        <v>26.453364354499548</v>
      </c>
      <c r="AE206" s="250">
        <f t="shared" si="356"/>
        <v>25.160505029754795</v>
      </c>
      <c r="AF206" s="250">
        <f t="shared" si="356"/>
        <v>22.646048505785075</v>
      </c>
      <c r="AG206" s="250">
        <f t="shared" si="356"/>
        <v>17.87528211327437</v>
      </c>
      <c r="AH206" s="250">
        <f t="shared" si="356"/>
        <v>18.399423811599515</v>
      </c>
      <c r="AI206" s="250">
        <f t="shared" si="356"/>
        <v>17.718210236363635</v>
      </c>
      <c r="AJ206" s="250">
        <f t="shared" si="356"/>
        <v>17.421102565217392</v>
      </c>
      <c r="AK206" s="250">
        <f t="shared" si="356"/>
        <v>17.340974492857143</v>
      </c>
      <c r="AL206" s="250">
        <f t="shared" si="356"/>
        <v>18.393610684210529</v>
      </c>
      <c r="AM206" s="250">
        <f t="shared" si="356"/>
        <v>18.152622133838381</v>
      </c>
      <c r="AN206" s="250">
        <f t="shared" si="356"/>
        <v>18</v>
      </c>
      <c r="AO206" s="250">
        <f t="shared" si="356"/>
        <v>17.5</v>
      </c>
      <c r="AP206" s="250">
        <f t="shared" si="356"/>
        <v>16</v>
      </c>
      <c r="AQ206" s="23">
        <f>AM206*(1+AQ207)</f>
        <v>15.157439481755048</v>
      </c>
      <c r="AR206" s="23">
        <f>AN206*(1+AR207)</f>
        <v>14.940000000000001</v>
      </c>
      <c r="AS206" s="23">
        <f>AO206*(1+AS207)</f>
        <v>15.4</v>
      </c>
      <c r="AT206" s="238">
        <f>AT198/AT202</f>
        <v>14.940412812464457</v>
      </c>
      <c r="AU206" s="23">
        <f>AQ206*(1+AU207)</f>
        <v>15.460588271390149</v>
      </c>
      <c r="AV206" s="23">
        <f>AR206*(1+AV207)</f>
        <v>15.388200000000001</v>
      </c>
      <c r="AW206" s="23">
        <f>AS206*(1+AW207)</f>
        <v>15.554</v>
      </c>
      <c r="AX206" s="238">
        <f>AX198/AX202</f>
        <v>18.429842161331127</v>
      </c>
      <c r="AY206" s="5"/>
      <c r="AZ206" s="5"/>
    </row>
    <row r="207" spans="1:90" outlineLevel="1">
      <c r="A207" s="242"/>
      <c r="B207" s="12" t="s">
        <v>82</v>
      </c>
      <c r="C207" s="322"/>
      <c r="D207" s="322">
        <f t="shared" ref="D207:I207" si="357">(D206/C206-1)*1</f>
        <v>-1.1627326527382742E-2</v>
      </c>
      <c r="E207" s="322">
        <f t="shared" si="357"/>
        <v>-3.4558882969354943E-2</v>
      </c>
      <c r="F207" s="322">
        <f t="shared" si="357"/>
        <v>-0.28114148093397884</v>
      </c>
      <c r="G207" s="423">
        <f t="shared" si="357"/>
        <v>-0.33030058337743196</v>
      </c>
      <c r="H207" s="322">
        <f t="shared" si="357"/>
        <v>-0.12682506020920326</v>
      </c>
      <c r="I207" s="322">
        <f t="shared" si="357"/>
        <v>-1.9672081686490595E-2</v>
      </c>
      <c r="J207" s="240">
        <f>J46-2%</f>
        <v>-0.13</v>
      </c>
      <c r="K207" s="240">
        <f t="shared" ref="K207:Q207" si="358">K46-2%</f>
        <v>3.0000000000000002E-2</v>
      </c>
      <c r="L207" s="240">
        <f t="shared" si="358"/>
        <v>3.0000000000000002E-2</v>
      </c>
      <c r="M207" s="240">
        <f t="shared" si="358"/>
        <v>3.0000000000000002E-2</v>
      </c>
      <c r="N207" s="240">
        <f t="shared" si="358"/>
        <v>3.0000000000000002E-2</v>
      </c>
      <c r="O207" s="240">
        <f t="shared" si="358"/>
        <v>-1.4999999999999999E-2</v>
      </c>
      <c r="P207" s="240">
        <f t="shared" si="358"/>
        <v>-1.4999999999999999E-2</v>
      </c>
      <c r="Q207" s="240">
        <f t="shared" si="358"/>
        <v>-1.4999999999999999E-2</v>
      </c>
      <c r="R207" s="240">
        <f>R46-2%</f>
        <v>-1.4999999999999999E-2</v>
      </c>
      <c r="S207" s="240">
        <f>S46-2%</f>
        <v>-1.4999999999999999E-2</v>
      </c>
      <c r="W207" s="322"/>
      <c r="X207" s="322"/>
      <c r="Y207" s="322"/>
      <c r="Z207" s="322"/>
      <c r="AA207" s="322">
        <f t="shared" ref="AA207:AL207" si="359">(AA206/W206-1)*1</f>
        <v>-0.16596324530785955</v>
      </c>
      <c r="AB207" s="322">
        <f t="shared" si="359"/>
        <v>-0.24052684863777873</v>
      </c>
      <c r="AC207" s="322">
        <f t="shared" si="359"/>
        <v>-0.33153015204152403</v>
      </c>
      <c r="AD207" s="322">
        <f t="shared" si="359"/>
        <v>-0.33847813156784223</v>
      </c>
      <c r="AE207" s="322">
        <f t="shared" si="359"/>
        <v>-0.28630699175896335</v>
      </c>
      <c r="AF207" s="322">
        <f t="shared" si="359"/>
        <v>-0.29574439202915215</v>
      </c>
      <c r="AG207" s="322">
        <f t="shared" si="359"/>
        <v>-0.39535222795373404</v>
      </c>
      <c r="AH207" s="322">
        <f t="shared" si="359"/>
        <v>-0.30445808083122361</v>
      </c>
      <c r="AI207" s="322">
        <f t="shared" si="359"/>
        <v>-0.29579274281616796</v>
      </c>
      <c r="AJ207" s="322">
        <f t="shared" si="359"/>
        <v>-0.23072219152197515</v>
      </c>
      <c r="AK207" s="322">
        <f t="shared" si="359"/>
        <v>-2.9890863653583621E-2</v>
      </c>
      <c r="AL207" s="322">
        <f t="shared" si="359"/>
        <v>-3.1594072991136812E-4</v>
      </c>
      <c r="AM207" s="322">
        <f>(AM206/AI206-1)*1</f>
        <v>2.4517820461526618E-2</v>
      </c>
      <c r="AN207" s="322">
        <f>(AN206/AJ206-1)*1</f>
        <v>3.3229666871855912E-2</v>
      </c>
      <c r="AO207" s="322">
        <f>(AO206/AK206-1)*1</f>
        <v>9.1705057987578886E-3</v>
      </c>
      <c r="AP207" s="322">
        <f>(AP206/AL206-1)*1</f>
        <v>-0.13013272517859997</v>
      </c>
      <c r="AQ207" s="240">
        <f>AQ46-2%</f>
        <v>-0.16499999999999998</v>
      </c>
      <c r="AR207" s="240">
        <f>AR46-2%</f>
        <v>-0.16999999999999998</v>
      </c>
      <c r="AS207" s="240">
        <f>AS46-2%</f>
        <v>-0.12000000000000001</v>
      </c>
      <c r="AT207" s="322">
        <f>(AT206/AP206-1)*1</f>
        <v>-6.6224199220971447E-2</v>
      </c>
      <c r="AU207" s="240">
        <f>AU46-2%</f>
        <v>0.02</v>
      </c>
      <c r="AV207" s="240">
        <f>AV46-2%</f>
        <v>3.0000000000000002E-2</v>
      </c>
      <c r="AW207" s="240">
        <f>AW46-2%</f>
        <v>9.9999999999999985E-3</v>
      </c>
      <c r="AX207" s="322">
        <f>(AX206/AT206-1)*1</f>
        <v>0.23355642127609189</v>
      </c>
      <c r="AY207" s="350"/>
      <c r="AZ207" s="350"/>
    </row>
    <row r="208" spans="1:90" outlineLevel="1">
      <c r="A208" s="242"/>
      <c r="B208" s="12" t="s">
        <v>83</v>
      </c>
      <c r="C208" s="322"/>
      <c r="D208" s="322"/>
      <c r="E208" s="322"/>
      <c r="F208" s="322"/>
      <c r="G208" s="239"/>
      <c r="H208" s="239"/>
      <c r="I208" s="239"/>
      <c r="J208" s="322"/>
      <c r="K208" s="322"/>
      <c r="L208" s="322"/>
      <c r="M208" s="322"/>
      <c r="N208" s="322"/>
      <c r="O208" s="322"/>
      <c r="P208" s="322"/>
      <c r="Q208" s="322"/>
      <c r="R208" s="322"/>
      <c r="S208" s="322"/>
      <c r="W208" s="322"/>
      <c r="X208" s="322">
        <f t="shared" ref="X208:AE208" si="360">(X206/W206-1)*1</f>
        <v>1.6753156553888093E-3</v>
      </c>
      <c r="Y208" s="322">
        <f t="shared" si="360"/>
        <v>4.4525221782135693E-2</v>
      </c>
      <c r="Z208" s="322">
        <f t="shared" si="360"/>
        <v>-9.5792545503552984E-2</v>
      </c>
      <c r="AA208" s="322">
        <f t="shared" si="360"/>
        <v>-0.11840076665167987</v>
      </c>
      <c r="AB208" s="322">
        <f t="shared" si="360"/>
        <v>-8.7875319231762061E-2</v>
      </c>
      <c r="AC208" s="322">
        <f t="shared" si="360"/>
        <v>-8.0634233163979552E-2</v>
      </c>
      <c r="AD208" s="322">
        <f t="shared" si="360"/>
        <v>-0.10519074783170934</v>
      </c>
      <c r="AE208" s="322">
        <f t="shared" si="360"/>
        <v>-4.8873153048483498E-2</v>
      </c>
      <c r="AF208" s="322">
        <f t="shared" ref="AF208:AL208" si="361">(AF206/AE206-1)*1</f>
        <v>-9.993664757508347E-2</v>
      </c>
      <c r="AG208" s="322">
        <f t="shared" si="361"/>
        <v>-0.2106666154712149</v>
      </c>
      <c r="AH208" s="322">
        <f t="shared" si="361"/>
        <v>2.9322149715103718E-2</v>
      </c>
      <c r="AI208" s="322">
        <f t="shared" si="361"/>
        <v>-3.7023636294872597E-2</v>
      </c>
      <c r="AJ208" s="322">
        <f t="shared" si="361"/>
        <v>-1.6768492256428957E-2</v>
      </c>
      <c r="AK208" s="322">
        <f t="shared" si="361"/>
        <v>-4.5994834173258559E-3</v>
      </c>
      <c r="AL208" s="322">
        <f t="shared" si="361"/>
        <v>6.0702251294295628E-2</v>
      </c>
      <c r="AM208" s="322">
        <f>(AM206/AL206-1)*1</f>
        <v>-1.3101753348461198E-2</v>
      </c>
      <c r="AN208" s="322">
        <f>(AN206/AM206-1)*1</f>
        <v>-8.4077183292367019E-3</v>
      </c>
      <c r="AO208" s="322">
        <f>(AO206/AN206-1)*1</f>
        <v>-2.777777777777779E-2</v>
      </c>
      <c r="AP208" s="322">
        <f>(AP206/AO206-1)*1</f>
        <v>-8.5714285714285743E-2</v>
      </c>
      <c r="AQ208" s="322">
        <f t="shared" ref="AQ208:AX208" si="362">(AQ206/AP206-1)*1</f>
        <v>-5.2660032390309475E-2</v>
      </c>
      <c r="AR208" s="322">
        <f t="shared" si="362"/>
        <v>-1.434539666259449E-2</v>
      </c>
      <c r="AS208" s="322">
        <f t="shared" si="362"/>
        <v>3.0789825970548801E-2</v>
      </c>
      <c r="AT208" s="322">
        <f t="shared" si="362"/>
        <v>-2.9843323865944349E-2</v>
      </c>
      <c r="AU208" s="322">
        <f t="shared" si="362"/>
        <v>3.4816672434360152E-2</v>
      </c>
      <c r="AV208" s="322">
        <f t="shared" si="362"/>
        <v>-4.6821162377179704E-3</v>
      </c>
      <c r="AW208" s="322">
        <f t="shared" si="362"/>
        <v>1.0774489543936117E-2</v>
      </c>
      <c r="AX208" s="322">
        <f t="shared" si="362"/>
        <v>0.18489405691983585</v>
      </c>
      <c r="AY208" s="117"/>
      <c r="AZ208" s="117"/>
    </row>
    <row r="209" spans="1:90" outlineLevel="1">
      <c r="C209" s="23"/>
      <c r="D209" s="23"/>
      <c r="E209" s="23"/>
      <c r="F209" s="23"/>
      <c r="G209" s="238"/>
      <c r="H209" s="238"/>
      <c r="I209" s="238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5"/>
      <c r="AZ209" s="5"/>
    </row>
    <row r="210" spans="1:90" s="202" customFormat="1" outlineLevel="1">
      <c r="A210" s="258" t="s">
        <v>120</v>
      </c>
      <c r="B210" s="202" t="s">
        <v>119</v>
      </c>
      <c r="C210" s="259">
        <f t="shared" ref="C210:I210" si="363">VLOOKUP($A210,CTRP,MATCH(C$5,Period_CTRP,FALSE),FALSE)</f>
        <v>534.64018299999998</v>
      </c>
      <c r="D210" s="259">
        <f t="shared" si="363"/>
        <v>689.66063099999997</v>
      </c>
      <c r="E210" s="259">
        <f t="shared" si="363"/>
        <v>935.68472899999995</v>
      </c>
      <c r="F210" s="259">
        <f t="shared" si="363"/>
        <v>1055.369205</v>
      </c>
      <c r="G210" s="426">
        <f t="shared" si="363"/>
        <v>1667.94535</v>
      </c>
      <c r="H210" s="426">
        <f t="shared" si="363"/>
        <v>2310.1988940000001</v>
      </c>
      <c r="I210" s="426">
        <f t="shared" si="363"/>
        <v>2970.383429</v>
      </c>
      <c r="J210" s="437">
        <f>J214*J218</f>
        <v>2588.4769881285715</v>
      </c>
      <c r="K210" s="437">
        <f t="shared" ref="K210:Q210" si="364">K214*K218</f>
        <v>3054.402845991714</v>
      </c>
      <c r="L210" s="437">
        <f t="shared" si="364"/>
        <v>3469.8016330465871</v>
      </c>
      <c r="M210" s="437">
        <f t="shared" si="364"/>
        <v>3819.5576376576828</v>
      </c>
      <c r="N210" s="437">
        <f t="shared" si="364"/>
        <v>4097.010304457137</v>
      </c>
      <c r="O210" s="437">
        <f t="shared" si="364"/>
        <v>4302.3196848340931</v>
      </c>
      <c r="P210" s="437">
        <f t="shared" si="364"/>
        <v>4440.3794025925445</v>
      </c>
      <c r="Q210" s="437">
        <f t="shared" si="364"/>
        <v>4518.8483664737523</v>
      </c>
      <c r="R210" s="437">
        <f>R214*R218</f>
        <v>4546.5820933826399</v>
      </c>
      <c r="S210" s="437">
        <f>S214*S218</f>
        <v>4532.5325873006432</v>
      </c>
      <c r="T210" s="265"/>
      <c r="U210" s="510">
        <f>(K210/I210)^(1/2)-1</f>
        <v>1.4044236848528291E-2</v>
      </c>
      <c r="V210" s="265"/>
      <c r="W210" s="259">
        <f t="shared" ref="W210:AP210" si="365">VLOOKUP($A210,CTRP,MATCH(W$5,Period_CTRP,FALSE),FALSE)</f>
        <v>235.208743</v>
      </c>
      <c r="X210" s="259">
        <f t="shared" si="365"/>
        <v>187.02442500000001</v>
      </c>
      <c r="Y210" s="259">
        <f t="shared" si="365"/>
        <v>319.56615599999998</v>
      </c>
      <c r="Z210" s="259">
        <f t="shared" si="365"/>
        <v>193.88540499999999</v>
      </c>
      <c r="AA210" s="259">
        <f t="shared" si="365"/>
        <v>259.22054800000001</v>
      </c>
      <c r="AB210" s="259">
        <f t="shared" si="365"/>
        <v>205.141896</v>
      </c>
      <c r="AC210" s="259">
        <f t="shared" si="365"/>
        <v>357.64316100000002</v>
      </c>
      <c r="AD210" s="259">
        <f t="shared" si="365"/>
        <v>233.36359999999999</v>
      </c>
      <c r="AE210" s="259">
        <f t="shared" si="365"/>
        <v>395.91224399999999</v>
      </c>
      <c r="AF210" s="259">
        <f t="shared" si="365"/>
        <v>329.37398899999999</v>
      </c>
      <c r="AG210" s="259">
        <f t="shared" si="365"/>
        <v>593.10435199999995</v>
      </c>
      <c r="AH210" s="259">
        <f t="shared" si="365"/>
        <v>349.55476499999997</v>
      </c>
      <c r="AI210" s="259">
        <f t="shared" si="365"/>
        <v>556.49554000000001</v>
      </c>
      <c r="AJ210" s="259">
        <f t="shared" si="365"/>
        <v>473.93145299999998</v>
      </c>
      <c r="AK210" s="259">
        <f t="shared" si="365"/>
        <v>813.26097600000003</v>
      </c>
      <c r="AL210" s="259">
        <f t="shared" si="365"/>
        <v>466.51092499999999</v>
      </c>
      <c r="AM210" s="259">
        <f t="shared" si="365"/>
        <v>701.832134</v>
      </c>
      <c r="AN210" s="259">
        <f t="shared" si="365"/>
        <v>612.297777</v>
      </c>
      <c r="AO210" s="259">
        <f t="shared" si="365"/>
        <v>1033.08854</v>
      </c>
      <c r="AP210" s="259">
        <f t="shared" si="365"/>
        <v>623.16497800000002</v>
      </c>
      <c r="AQ210" s="259">
        <f>AQ214*AQ218</f>
        <v>541.41336051428573</v>
      </c>
      <c r="AR210" s="259">
        <f>AR214*AR218</f>
        <v>551.06799929999988</v>
      </c>
      <c r="AS210" s="259">
        <f>AS214*AS218</f>
        <v>855.98764742857134</v>
      </c>
      <c r="AT210" s="298">
        <f>J210-SUM(AQ210:AS210)</f>
        <v>640.00798088571469</v>
      </c>
      <c r="AU210" s="259">
        <f>AU214*AU218</f>
        <v>682.180834248</v>
      </c>
      <c r="AV210" s="259">
        <f>AV214*AV218</f>
        <v>666.79227915299987</v>
      </c>
      <c r="AW210" s="259">
        <f>AW214*AW218</f>
        <v>967.26604159428553</v>
      </c>
      <c r="AX210" s="298">
        <f>N210-SUM(AU210:AW210)</f>
        <v>1780.7711494618516</v>
      </c>
      <c r="AY210" s="22"/>
      <c r="AZ210" s="22"/>
      <c r="BA210" s="265"/>
      <c r="BB210" s="265"/>
      <c r="BC210" s="265"/>
      <c r="BD210" s="265"/>
      <c r="BE210" s="265"/>
      <c r="BF210" s="265"/>
      <c r="BG210" s="265"/>
      <c r="BH210" s="265"/>
      <c r="BI210" s="265"/>
      <c r="BJ210" s="265"/>
      <c r="BK210" s="265"/>
      <c r="BL210" s="265"/>
      <c r="BM210" s="265"/>
      <c r="BN210" s="265"/>
      <c r="BO210" s="265"/>
      <c r="BP210" s="266"/>
      <c r="BQ210" s="266"/>
      <c r="BR210" s="266"/>
      <c r="BS210" s="266"/>
      <c r="BT210" s="266"/>
      <c r="BU210" s="266"/>
      <c r="BV210" s="266"/>
      <c r="BW210" s="266"/>
      <c r="BX210" s="266"/>
      <c r="BY210" s="266"/>
      <c r="BZ210" s="266"/>
      <c r="CA210" s="266"/>
      <c r="CF210" s="199"/>
      <c r="CG210" s="199"/>
      <c r="CH210" s="199"/>
      <c r="CI210" s="199"/>
      <c r="CJ210" s="199"/>
      <c r="CK210" s="200"/>
      <c r="CL210" s="201"/>
    </row>
    <row r="211" spans="1:90" outlineLevel="1">
      <c r="A211" s="242"/>
      <c r="B211" s="12" t="s">
        <v>82</v>
      </c>
      <c r="C211" s="23"/>
      <c r="D211" s="322">
        <f t="shared" ref="D211:S211" si="366">(D210/C210-1)*1</f>
        <v>0.28995285601269516</v>
      </c>
      <c r="E211" s="322">
        <f t="shared" si="366"/>
        <v>0.35673211858311804</v>
      </c>
      <c r="F211" s="322">
        <f t="shared" si="366"/>
        <v>0.12791111395812904</v>
      </c>
      <c r="G211" s="423">
        <f>(G210/F210-1)*1</f>
        <v>0.58043776727406038</v>
      </c>
      <c r="H211" s="322">
        <f>(H210/G210-1)*1</f>
        <v>0.38505670704378914</v>
      </c>
      <c r="I211" s="322">
        <f>(I210/H210-1)*1</f>
        <v>0.28576956586492064</v>
      </c>
      <c r="J211" s="322">
        <f t="shared" si="366"/>
        <v>-0.12857142857142856</v>
      </c>
      <c r="K211" s="322">
        <f t="shared" si="366"/>
        <v>0.17999999999999994</v>
      </c>
      <c r="L211" s="322">
        <f t="shared" si="366"/>
        <v>0.1359999999999999</v>
      </c>
      <c r="M211" s="322">
        <f t="shared" si="366"/>
        <v>0.1008</v>
      </c>
      <c r="N211" s="322">
        <f t="shared" si="366"/>
        <v>7.2640000000000038E-2</v>
      </c>
      <c r="O211" s="322">
        <f t="shared" si="366"/>
        <v>5.0111999999999934E-2</v>
      </c>
      <c r="P211" s="322">
        <f t="shared" si="366"/>
        <v>3.2089599999999718E-2</v>
      </c>
      <c r="Q211" s="322">
        <f t="shared" si="366"/>
        <v>1.76716800000003E-2</v>
      </c>
      <c r="R211" s="322">
        <f t="shared" si="366"/>
        <v>6.1373440000001001E-3</v>
      </c>
      <c r="S211" s="322">
        <f t="shared" si="366"/>
        <v>-3.090124799999816E-3</v>
      </c>
      <c r="W211" s="23"/>
      <c r="X211" s="23"/>
      <c r="Y211" s="23"/>
      <c r="Z211" s="23"/>
      <c r="AA211" s="322">
        <f t="shared" ref="AA211:AL211" si="367">(AA210/W210-1)*1</f>
        <v>0.10208721280399002</v>
      </c>
      <c r="AB211" s="322">
        <f t="shared" si="367"/>
        <v>9.6872218695499335E-2</v>
      </c>
      <c r="AC211" s="322">
        <f t="shared" si="367"/>
        <v>0.11915218268607908</v>
      </c>
      <c r="AD211" s="322">
        <f t="shared" si="367"/>
        <v>0.20361612572127341</v>
      </c>
      <c r="AE211" s="322">
        <f t="shared" si="367"/>
        <v>0.52731813528918225</v>
      </c>
      <c r="AF211" s="322">
        <f t="shared" si="367"/>
        <v>0.6055910344125901</v>
      </c>
      <c r="AG211" s="322">
        <f t="shared" si="367"/>
        <v>0.65836905797843537</v>
      </c>
      <c r="AH211" s="322">
        <f t="shared" si="367"/>
        <v>0.49789755128906132</v>
      </c>
      <c r="AI211" s="322">
        <f t="shared" si="367"/>
        <v>0.40560325787752105</v>
      </c>
      <c r="AJ211" s="322">
        <f t="shared" si="367"/>
        <v>0.43888548831340768</v>
      </c>
      <c r="AK211" s="322">
        <f t="shared" si="367"/>
        <v>0.37119374231130253</v>
      </c>
      <c r="AL211" s="322">
        <f t="shared" si="367"/>
        <v>0.33458608410044133</v>
      </c>
      <c r="AM211" s="322">
        <f>(AM210/AI210-1)*1</f>
        <v>0.26116398704650901</v>
      </c>
      <c r="AN211" s="322">
        <f>(AN210/AJ210-1)*1</f>
        <v>0.29195429660584282</v>
      </c>
      <c r="AO211" s="322">
        <f>(AO210/AK210-1)*1</f>
        <v>0.27030383909629507</v>
      </c>
      <c r="AP211" s="322">
        <f>(AP210/AL210-1)*1</f>
        <v>0.33579932345635854</v>
      </c>
      <c r="AQ211" s="322">
        <f t="shared" ref="AQ211:AX211" si="368">(AQ210/AM210-1)*1</f>
        <v>-0.22857142857142854</v>
      </c>
      <c r="AR211" s="322">
        <f t="shared" si="368"/>
        <v>-0.1000000000000002</v>
      </c>
      <c r="AS211" s="322">
        <f t="shared" si="368"/>
        <v>-0.17142857142857149</v>
      </c>
      <c r="AT211" s="322">
        <f t="shared" si="368"/>
        <v>2.7028160247019928E-2</v>
      </c>
      <c r="AU211" s="322">
        <f t="shared" si="368"/>
        <v>0.26</v>
      </c>
      <c r="AV211" s="322">
        <f t="shared" si="368"/>
        <v>0.20999999999999996</v>
      </c>
      <c r="AW211" s="322">
        <f t="shared" si="368"/>
        <v>0.12999999999999989</v>
      </c>
      <c r="AX211" s="322">
        <f t="shared" si="368"/>
        <v>1.7824202238813038</v>
      </c>
      <c r="AY211" s="5"/>
      <c r="AZ211" s="5"/>
    </row>
    <row r="212" spans="1:90" outlineLevel="1">
      <c r="A212" s="242"/>
      <c r="B212" s="12" t="s">
        <v>83</v>
      </c>
      <c r="C212" s="23"/>
      <c r="D212" s="23"/>
      <c r="E212" s="23"/>
      <c r="F212" s="23"/>
      <c r="G212" s="410"/>
      <c r="H212" s="410"/>
      <c r="I212" s="410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W212" s="23"/>
      <c r="X212" s="23">
        <f t="shared" ref="X212:AL212" si="369">(X210/W210-1)*1</f>
        <v>-0.20485768252245617</v>
      </c>
      <c r="Y212" s="23">
        <f t="shared" si="369"/>
        <v>0.70868674506017038</v>
      </c>
      <c r="Z212" s="23">
        <f t="shared" si="369"/>
        <v>-0.3932855486736837</v>
      </c>
      <c r="AA212" s="322">
        <f t="shared" si="369"/>
        <v>0.33697813922610642</v>
      </c>
      <c r="AB212" s="322">
        <f t="shared" si="369"/>
        <v>-0.20862023638650751</v>
      </c>
      <c r="AC212" s="322">
        <f t="shared" si="369"/>
        <v>0.74339405052588581</v>
      </c>
      <c r="AD212" s="322">
        <f t="shared" si="369"/>
        <v>-0.34749598077733135</v>
      </c>
      <c r="AE212" s="322">
        <f t="shared" si="369"/>
        <v>0.69654669365745137</v>
      </c>
      <c r="AF212" s="322">
        <f t="shared" si="369"/>
        <v>-0.16806314027509595</v>
      </c>
      <c r="AG212" s="322">
        <f t="shared" si="369"/>
        <v>0.80070185202147193</v>
      </c>
      <c r="AH212" s="322">
        <f t="shared" si="369"/>
        <v>-0.41063530587615715</v>
      </c>
      <c r="AI212" s="322">
        <f t="shared" si="369"/>
        <v>0.59201245618837461</v>
      </c>
      <c r="AJ212" s="322">
        <f t="shared" si="369"/>
        <v>-0.14836432831069957</v>
      </c>
      <c r="AK212" s="322">
        <f t="shared" si="369"/>
        <v>0.71598861154294413</v>
      </c>
      <c r="AL212" s="322">
        <f t="shared" si="369"/>
        <v>-0.42636996146732609</v>
      </c>
      <c r="AM212" s="322">
        <f>(AM210/AL210-1)*1</f>
        <v>0.50442807743462814</v>
      </c>
      <c r="AN212" s="322">
        <f>(AN210/AM210-1)*1</f>
        <v>-0.12757232486593439</v>
      </c>
      <c r="AO212" s="322">
        <f>(AO210/AN210-1)*1</f>
        <v>0.68723222393799399</v>
      </c>
      <c r="AP212" s="322">
        <f>(AP210/AO210-1)*1</f>
        <v>-0.39679422056119218</v>
      </c>
      <c r="AQ212" s="322">
        <f t="shared" ref="AQ212:AX212" si="370">(AQ210/AP210-1)*1</f>
        <v>-0.13118775985789477</v>
      </c>
      <c r="AR212" s="322">
        <f t="shared" si="370"/>
        <v>1.7832287656409651E-2</v>
      </c>
      <c r="AS212" s="322">
        <f t="shared" si="370"/>
        <v>0.55332490457783612</v>
      </c>
      <c r="AT212" s="322">
        <f t="shared" si="370"/>
        <v>-0.25231633562898959</v>
      </c>
      <c r="AU212" s="322">
        <f t="shared" si="370"/>
        <v>6.58942616683027E-2</v>
      </c>
      <c r="AV212" s="322">
        <f t="shared" si="370"/>
        <v>-2.2557882488685954E-2</v>
      </c>
      <c r="AW212" s="322">
        <f t="shared" si="370"/>
        <v>0.45062573733302025</v>
      </c>
      <c r="AX212" s="322">
        <f t="shared" si="370"/>
        <v>0.84103552992175268</v>
      </c>
      <c r="AY212" s="5"/>
      <c r="AZ212" s="5"/>
    </row>
    <row r="213" spans="1:90" outlineLevel="1">
      <c r="C213" s="23"/>
      <c r="D213" s="23"/>
      <c r="E213" s="23"/>
      <c r="F213" s="23"/>
      <c r="G213" s="410"/>
      <c r="H213" s="410"/>
      <c r="I213" s="410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5"/>
      <c r="AZ213" s="5"/>
    </row>
    <row r="214" spans="1:90" outlineLevel="1">
      <c r="A214" s="242" t="s">
        <v>130</v>
      </c>
      <c r="B214" s="12" t="s">
        <v>121</v>
      </c>
      <c r="C214" s="250">
        <f t="shared" ref="C214:I214" si="371">VLOOKUP($A214,CTRP,MATCH(C$5,Period_CTRP,FALSE),FALSE)</f>
        <v>4455.3348583333336</v>
      </c>
      <c r="D214" s="250">
        <f t="shared" si="371"/>
        <v>5747.1719249999996</v>
      </c>
      <c r="E214" s="250">
        <f t="shared" si="371"/>
        <v>7797.3727416666661</v>
      </c>
      <c r="F214" s="250">
        <f t="shared" si="371"/>
        <v>10553.69205</v>
      </c>
      <c r="G214" s="430">
        <f t="shared" si="371"/>
        <v>18532.726111111111</v>
      </c>
      <c r="H214" s="430">
        <f t="shared" si="371"/>
        <v>28877.486175000002</v>
      </c>
      <c r="I214" s="430">
        <f t="shared" si="371"/>
        <v>42434.048985714282</v>
      </c>
      <c r="J214" s="435">
        <f>I214*(1+J215)</f>
        <v>51769.539762571425</v>
      </c>
      <c r="K214" s="435">
        <f t="shared" ref="K214:S214" si="372">J214*(1+K215)</f>
        <v>61088.056919834278</v>
      </c>
      <c r="L214" s="435">
        <f t="shared" si="372"/>
        <v>69396.032660931742</v>
      </c>
      <c r="M214" s="435">
        <f t="shared" si="372"/>
        <v>76391.152753153656</v>
      </c>
      <c r="N214" s="435">
        <f t="shared" si="372"/>
        <v>81940.206089142739</v>
      </c>
      <c r="O214" s="435">
        <f t="shared" si="372"/>
        <v>86046.393696681858</v>
      </c>
      <c r="P214" s="435">
        <f t="shared" si="372"/>
        <v>88807.588051850893</v>
      </c>
      <c r="Q214" s="435">
        <f t="shared" si="372"/>
        <v>90376.967329475039</v>
      </c>
      <c r="R214" s="435">
        <f t="shared" si="372"/>
        <v>90931.641867652797</v>
      </c>
      <c r="S214" s="435">
        <f t="shared" si="372"/>
        <v>90650.651746012853</v>
      </c>
      <c r="W214" s="250">
        <f t="shared" ref="W214:AP214" si="373">VLOOKUP($A214,CTRP,MATCH(W$5,Period_CTRP,FALSE),FALSE)</f>
        <v>1960.0728583333334</v>
      </c>
      <c r="X214" s="250">
        <f t="shared" si="373"/>
        <v>1558.5368750000002</v>
      </c>
      <c r="Y214" s="250">
        <f t="shared" si="373"/>
        <v>2663.0513000000001</v>
      </c>
      <c r="Z214" s="250">
        <f t="shared" si="373"/>
        <v>1615.7117083333333</v>
      </c>
      <c r="AA214" s="250">
        <f t="shared" si="373"/>
        <v>2592.2054800000001</v>
      </c>
      <c r="AB214" s="250">
        <f t="shared" si="373"/>
        <v>2051.41896</v>
      </c>
      <c r="AC214" s="250">
        <f t="shared" si="373"/>
        <v>3576.4316100000001</v>
      </c>
      <c r="AD214" s="250">
        <f t="shared" si="373"/>
        <v>2333.636</v>
      </c>
      <c r="AE214" s="250">
        <f t="shared" si="373"/>
        <v>4399.0249333333331</v>
      </c>
      <c r="AF214" s="250">
        <f t="shared" si="373"/>
        <v>3659.710988888889</v>
      </c>
      <c r="AG214" s="250">
        <f t="shared" si="373"/>
        <v>6590.0483555555556</v>
      </c>
      <c r="AH214" s="250">
        <f t="shared" si="373"/>
        <v>3883.9418333333333</v>
      </c>
      <c r="AI214" s="250">
        <f t="shared" si="373"/>
        <v>6956.1942499999996</v>
      </c>
      <c r="AJ214" s="250">
        <f t="shared" si="373"/>
        <v>5924.1431624999996</v>
      </c>
      <c r="AK214" s="250">
        <f t="shared" si="373"/>
        <v>10165.762200000001</v>
      </c>
      <c r="AL214" s="250">
        <f t="shared" si="373"/>
        <v>5831.3865624999999</v>
      </c>
      <c r="AM214" s="250">
        <f t="shared" si="373"/>
        <v>10026.173342857142</v>
      </c>
      <c r="AN214" s="250">
        <f t="shared" si="373"/>
        <v>8747.1110999999983</v>
      </c>
      <c r="AO214" s="250">
        <f t="shared" si="373"/>
        <v>14758.407714285713</v>
      </c>
      <c r="AP214" s="250">
        <f t="shared" si="373"/>
        <v>8902.3568285714282</v>
      </c>
      <c r="AQ214" s="250">
        <f>AM214*(1+AQ215)</f>
        <v>10828.267210285714</v>
      </c>
      <c r="AR214" s="250">
        <f>AN214*(1+AR215)</f>
        <v>11021.359985999998</v>
      </c>
      <c r="AS214" s="250">
        <f>AO214*(1+AS215)</f>
        <v>17119.752948571426</v>
      </c>
      <c r="AT214" s="293">
        <f>J214-SUM(AQ214:AS214)</f>
        <v>12800.159617714286</v>
      </c>
      <c r="AU214" s="250">
        <f>AQ214*(1+AU215)</f>
        <v>13643.616684959999</v>
      </c>
      <c r="AV214" s="250">
        <f>AR214*(1+AV215)</f>
        <v>13335.845583059996</v>
      </c>
      <c r="AW214" s="250">
        <f>AS214*(1+AW215)</f>
        <v>19345.320831885711</v>
      </c>
      <c r="AX214" s="293">
        <f>N214-SUM(AU214:AW214)</f>
        <v>35615.422989237035</v>
      </c>
      <c r="AY214" s="62"/>
      <c r="AZ214" s="62"/>
    </row>
    <row r="215" spans="1:90" outlineLevel="1">
      <c r="A215" s="242"/>
      <c r="B215" s="12" t="s">
        <v>82</v>
      </c>
      <c r="C215" s="322"/>
      <c r="D215" s="322">
        <f t="shared" ref="D215:I215" si="374">(D214/C214-1)*1</f>
        <v>0.28995285601269494</v>
      </c>
      <c r="E215" s="322">
        <f t="shared" si="374"/>
        <v>0.35673211858311804</v>
      </c>
      <c r="F215" s="322">
        <f t="shared" si="374"/>
        <v>0.35349333674975481</v>
      </c>
      <c r="G215" s="423">
        <f t="shared" si="374"/>
        <v>0.75604196363784482</v>
      </c>
      <c r="H215" s="322">
        <f t="shared" si="374"/>
        <v>0.55818879542426258</v>
      </c>
      <c r="I215" s="322">
        <f t="shared" si="374"/>
        <v>0.46945093241705194</v>
      </c>
      <c r="J215" s="349">
        <f t="shared" ref="J215:S215" si="375">J55-4%</f>
        <v>0.22</v>
      </c>
      <c r="K215" s="349">
        <f t="shared" si="375"/>
        <v>0.18</v>
      </c>
      <c r="L215" s="349">
        <f t="shared" si="375"/>
        <v>0.13600000000000001</v>
      </c>
      <c r="M215" s="349">
        <f t="shared" si="375"/>
        <v>0.1008</v>
      </c>
      <c r="N215" s="349">
        <f t="shared" si="375"/>
        <v>7.264000000000001E-2</v>
      </c>
      <c r="O215" s="349">
        <f t="shared" si="375"/>
        <v>5.0112000000000025E-2</v>
      </c>
      <c r="P215" s="349">
        <f t="shared" si="375"/>
        <v>3.2089600000000017E-2</v>
      </c>
      <c r="Q215" s="349">
        <f t="shared" si="375"/>
        <v>1.7671680000000016E-2</v>
      </c>
      <c r="R215" s="349">
        <f t="shared" si="375"/>
        <v>6.1373440000000168E-3</v>
      </c>
      <c r="S215" s="349">
        <f t="shared" si="375"/>
        <v>-3.0901247999999826E-3</v>
      </c>
      <c r="W215" s="322"/>
      <c r="X215" s="322"/>
      <c r="Y215" s="322"/>
      <c r="Z215" s="322"/>
      <c r="AA215" s="322">
        <f t="shared" ref="AA215:AL215" si="376">(AA214/W214-1)*1</f>
        <v>0.3225046553647879</v>
      </c>
      <c r="AB215" s="322">
        <f t="shared" si="376"/>
        <v>0.31624666243459898</v>
      </c>
      <c r="AC215" s="322">
        <f t="shared" si="376"/>
        <v>0.34298261922329476</v>
      </c>
      <c r="AD215" s="322">
        <f t="shared" si="376"/>
        <v>0.444339350865528</v>
      </c>
      <c r="AE215" s="322">
        <f t="shared" si="376"/>
        <v>0.69702015032131359</v>
      </c>
      <c r="AF215" s="322">
        <f t="shared" si="376"/>
        <v>0.7839900382362115</v>
      </c>
      <c r="AG215" s="322">
        <f t="shared" si="376"/>
        <v>0.84263228664270629</v>
      </c>
      <c r="AH215" s="322">
        <f t="shared" si="376"/>
        <v>0.66433061254340142</v>
      </c>
      <c r="AI215" s="322">
        <f t="shared" si="376"/>
        <v>0.58130366511221099</v>
      </c>
      <c r="AJ215" s="322">
        <f t="shared" si="376"/>
        <v>0.6187461743525835</v>
      </c>
      <c r="AK215" s="322">
        <f t="shared" si="376"/>
        <v>0.54259296010021529</v>
      </c>
      <c r="AL215" s="322">
        <f t="shared" si="376"/>
        <v>0.50140934461299635</v>
      </c>
      <c r="AM215" s="322">
        <f>(AM214/AI214-1)*1</f>
        <v>0.44133027091029597</v>
      </c>
      <c r="AN215" s="322">
        <f>(AN214/AJ214-1)*1</f>
        <v>0.47651919612096294</v>
      </c>
      <c r="AO215" s="322">
        <f>(AO214/AK214-1)*1</f>
        <v>0.45177581611005135</v>
      </c>
      <c r="AP215" s="322">
        <f>(AP214/AL214-1)*1</f>
        <v>0.52662779823583827</v>
      </c>
      <c r="AQ215" s="349">
        <f>AQ55-4%</f>
        <v>7.9999999999999988E-2</v>
      </c>
      <c r="AR215" s="349">
        <f>AR55-4%</f>
        <v>0.26</v>
      </c>
      <c r="AS215" s="349">
        <f>AS55-4%</f>
        <v>0.16</v>
      </c>
      <c r="AT215" s="322">
        <f>(AT214/AP214-1)*1</f>
        <v>0.43783942434582723</v>
      </c>
      <c r="AU215" s="349">
        <f>AU55-4%</f>
        <v>0.26</v>
      </c>
      <c r="AV215" s="349">
        <f>AV55-4%</f>
        <v>0.21</v>
      </c>
      <c r="AW215" s="349">
        <f>AW55-4%</f>
        <v>0.13</v>
      </c>
      <c r="AX215" s="322">
        <f>(AX214/AT214-1)*1</f>
        <v>1.7824202238813061</v>
      </c>
      <c r="AY215" s="350"/>
      <c r="AZ215" s="350"/>
    </row>
    <row r="216" spans="1:90" outlineLevel="1">
      <c r="A216" s="242"/>
      <c r="B216" s="12" t="s">
        <v>83</v>
      </c>
      <c r="C216" s="322"/>
      <c r="D216" s="322"/>
      <c r="E216" s="322"/>
      <c r="F216" s="322"/>
      <c r="G216" s="423"/>
      <c r="H216" s="423"/>
      <c r="I216" s="423"/>
      <c r="J216" s="322"/>
      <c r="K216" s="322"/>
      <c r="L216" s="322"/>
      <c r="M216" s="322"/>
      <c r="N216" s="322"/>
      <c r="O216" s="322"/>
      <c r="P216" s="322"/>
      <c r="Q216" s="322"/>
      <c r="R216" s="322"/>
      <c r="S216" s="322"/>
      <c r="W216" s="322"/>
      <c r="X216" s="322">
        <f t="shared" ref="X216:AL216" si="377">(X214/W214-1)*1</f>
        <v>-0.20485768252245617</v>
      </c>
      <c r="Y216" s="322">
        <f t="shared" si="377"/>
        <v>0.70868674506017038</v>
      </c>
      <c r="Z216" s="322">
        <f t="shared" si="377"/>
        <v>-0.3932855486736837</v>
      </c>
      <c r="AA216" s="322">
        <f t="shared" si="377"/>
        <v>0.60437376707132762</v>
      </c>
      <c r="AB216" s="322">
        <f t="shared" si="377"/>
        <v>-0.20862023638650751</v>
      </c>
      <c r="AC216" s="322">
        <f t="shared" si="377"/>
        <v>0.74339405052588581</v>
      </c>
      <c r="AD216" s="322">
        <f t="shared" si="377"/>
        <v>-0.34749598077733135</v>
      </c>
      <c r="AE216" s="322">
        <f t="shared" si="377"/>
        <v>0.88505188184161243</v>
      </c>
      <c r="AF216" s="322">
        <f t="shared" si="377"/>
        <v>-0.16806314027509583</v>
      </c>
      <c r="AG216" s="322">
        <f t="shared" si="377"/>
        <v>0.80070185202147215</v>
      </c>
      <c r="AH216" s="322">
        <f t="shared" si="377"/>
        <v>-0.41063530587615715</v>
      </c>
      <c r="AI216" s="322">
        <f t="shared" si="377"/>
        <v>0.791014013211921</v>
      </c>
      <c r="AJ216" s="322">
        <f t="shared" si="377"/>
        <v>-0.14836432831069946</v>
      </c>
      <c r="AK216" s="322">
        <f t="shared" si="377"/>
        <v>0.71598861154294435</v>
      </c>
      <c r="AL216" s="322">
        <f t="shared" si="377"/>
        <v>-0.4263699614673262</v>
      </c>
      <c r="AM216" s="322">
        <f>(AM214/AL214-1)*1</f>
        <v>0.71934637421100356</v>
      </c>
      <c r="AN216" s="322">
        <f>(AN214/AM214-1)*1</f>
        <v>-0.12757232486593451</v>
      </c>
      <c r="AO216" s="322">
        <f>(AO214/AN214-1)*1</f>
        <v>0.68723222393799444</v>
      </c>
      <c r="AP216" s="322">
        <f>(AP214/AO214-1)*1</f>
        <v>-0.39679422056119218</v>
      </c>
      <c r="AQ216" s="322">
        <f t="shared" ref="AQ216:AX216" si="378">(AQ214/AP214-1)*1</f>
        <v>0.21633713619894723</v>
      </c>
      <c r="AR216" s="322">
        <f t="shared" si="378"/>
        <v>1.7832287656409651E-2</v>
      </c>
      <c r="AS216" s="322">
        <f t="shared" si="378"/>
        <v>0.5533249045778359</v>
      </c>
      <c r="AT216" s="322">
        <f t="shared" si="378"/>
        <v>-0.25231633562899003</v>
      </c>
      <c r="AU216" s="322">
        <f t="shared" si="378"/>
        <v>6.5894261668303367E-2</v>
      </c>
      <c r="AV216" s="322">
        <f t="shared" si="378"/>
        <v>-2.2557882488686065E-2</v>
      </c>
      <c r="AW216" s="322">
        <f t="shared" si="378"/>
        <v>0.45062573733302047</v>
      </c>
      <c r="AX216" s="322">
        <f t="shared" si="378"/>
        <v>0.8410355299217529</v>
      </c>
      <c r="AY216" s="117"/>
      <c r="AZ216" s="117"/>
    </row>
    <row r="217" spans="1:90" outlineLevel="1">
      <c r="A217" s="242"/>
      <c r="B217" s="13"/>
      <c r="C217" s="23"/>
      <c r="D217" s="23"/>
      <c r="E217" s="23"/>
      <c r="F217" s="23"/>
      <c r="G217" s="410"/>
      <c r="H217" s="410"/>
      <c r="I217" s="410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5"/>
      <c r="AZ217" s="5"/>
    </row>
    <row r="218" spans="1:90" outlineLevel="1">
      <c r="A218" s="242" t="s">
        <v>149</v>
      </c>
      <c r="B218" s="12" t="s">
        <v>122</v>
      </c>
      <c r="C218" s="322">
        <f t="shared" ref="C218:I218" si="379">VLOOKUP($A218,CTRP,MATCH(C$5,Period_CTRP,FALSE),FALSE)</f>
        <v>0.12</v>
      </c>
      <c r="D218" s="322">
        <f t="shared" si="379"/>
        <v>0.12</v>
      </c>
      <c r="E218" s="322">
        <f t="shared" si="379"/>
        <v>0.12</v>
      </c>
      <c r="F218" s="322">
        <f t="shared" si="379"/>
        <v>0.1</v>
      </c>
      <c r="G218" s="423">
        <f t="shared" si="379"/>
        <v>0.09</v>
      </c>
      <c r="H218" s="423">
        <f t="shared" si="379"/>
        <v>0.08</v>
      </c>
      <c r="I218" s="423">
        <f t="shared" si="379"/>
        <v>7.0000000000000007E-2</v>
      </c>
      <c r="J218" s="240">
        <f>J58-2%</f>
        <v>0.05</v>
      </c>
      <c r="K218" s="240">
        <f t="shared" ref="K218:Q218" si="380">K58-2%</f>
        <v>0.05</v>
      </c>
      <c r="L218" s="240">
        <f t="shared" si="380"/>
        <v>0.05</v>
      </c>
      <c r="M218" s="240">
        <f t="shared" si="380"/>
        <v>0.05</v>
      </c>
      <c r="N218" s="240">
        <f t="shared" si="380"/>
        <v>0.05</v>
      </c>
      <c r="O218" s="240">
        <f t="shared" si="380"/>
        <v>0.05</v>
      </c>
      <c r="P218" s="240">
        <f t="shared" si="380"/>
        <v>0.05</v>
      </c>
      <c r="Q218" s="240">
        <f t="shared" si="380"/>
        <v>0.05</v>
      </c>
      <c r="R218" s="240">
        <f>R58-2%</f>
        <v>0.05</v>
      </c>
      <c r="S218" s="240">
        <f>S58-2%</f>
        <v>0.05</v>
      </c>
      <c r="W218" s="322">
        <f t="shared" ref="W218:AP218" si="381">VLOOKUP($A218,CTRP,MATCH(W$5,Period_CTRP,FALSE),FALSE)</f>
        <v>0.12</v>
      </c>
      <c r="X218" s="322">
        <f t="shared" si="381"/>
        <v>0.12</v>
      </c>
      <c r="Y218" s="322">
        <f t="shared" si="381"/>
        <v>0.12</v>
      </c>
      <c r="Z218" s="322">
        <f t="shared" si="381"/>
        <v>0.12</v>
      </c>
      <c r="AA218" s="322">
        <f t="shared" si="381"/>
        <v>0.1</v>
      </c>
      <c r="AB218" s="322">
        <f t="shared" si="381"/>
        <v>0.1</v>
      </c>
      <c r="AC218" s="322">
        <f t="shared" si="381"/>
        <v>0.1</v>
      </c>
      <c r="AD218" s="322">
        <f t="shared" si="381"/>
        <v>0.1</v>
      </c>
      <c r="AE218" s="322">
        <f t="shared" si="381"/>
        <v>0.09</v>
      </c>
      <c r="AF218" s="322">
        <f t="shared" si="381"/>
        <v>0.09</v>
      </c>
      <c r="AG218" s="322">
        <f t="shared" si="381"/>
        <v>0.09</v>
      </c>
      <c r="AH218" s="322">
        <f t="shared" si="381"/>
        <v>0.09</v>
      </c>
      <c r="AI218" s="322">
        <f t="shared" si="381"/>
        <v>0.08</v>
      </c>
      <c r="AJ218" s="322">
        <f t="shared" si="381"/>
        <v>0.08</v>
      </c>
      <c r="AK218" s="322">
        <f t="shared" si="381"/>
        <v>0.08</v>
      </c>
      <c r="AL218" s="322">
        <f t="shared" si="381"/>
        <v>0.08</v>
      </c>
      <c r="AM218" s="322">
        <f t="shared" si="381"/>
        <v>7.0000000000000007E-2</v>
      </c>
      <c r="AN218" s="322">
        <f t="shared" si="381"/>
        <v>7.0000000000000007E-2</v>
      </c>
      <c r="AO218" s="322">
        <f t="shared" si="381"/>
        <v>7.0000000000000007E-2</v>
      </c>
      <c r="AP218" s="322">
        <f t="shared" si="381"/>
        <v>7.0000000000000007E-2</v>
      </c>
      <c r="AQ218" s="349">
        <f>AQ58-2%</f>
        <v>0.05</v>
      </c>
      <c r="AR218" s="349">
        <f>AR58-2%</f>
        <v>0.05</v>
      </c>
      <c r="AS218" s="349">
        <f>AS58-2%</f>
        <v>0.05</v>
      </c>
      <c r="AT218" s="239">
        <f>AT210/AT214</f>
        <v>5.0000000000000031E-2</v>
      </c>
      <c r="AU218" s="349">
        <f>AU58-2%</f>
        <v>0.05</v>
      </c>
      <c r="AV218" s="349">
        <f>AV58-2%</f>
        <v>0.05</v>
      </c>
      <c r="AW218" s="349">
        <f>AW58-2%</f>
        <v>0.05</v>
      </c>
      <c r="AX218" s="239">
        <f>AX210/AX214</f>
        <v>4.9999999999999996E-2</v>
      </c>
      <c r="AY218" s="37"/>
      <c r="AZ218" s="37"/>
    </row>
    <row r="219" spans="1:90" outlineLevel="1">
      <c r="C219" s="23"/>
      <c r="D219" s="23"/>
      <c r="E219" s="23"/>
      <c r="F219" s="23"/>
      <c r="G219" s="410"/>
      <c r="H219" s="410"/>
      <c r="I219" s="410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5"/>
      <c r="AZ219" s="5"/>
    </row>
    <row r="220" spans="1:90" s="202" customFormat="1" outlineLevel="1">
      <c r="A220" s="258" t="s">
        <v>123</v>
      </c>
      <c r="B220" s="202" t="s">
        <v>16</v>
      </c>
      <c r="C220" s="259">
        <f t="shared" ref="C220:I220" si="382">VLOOKUP($A220,CTRP,MATCH(C$5,Period_CTRP,FALSE),FALSE)</f>
        <v>161.61012299999999</v>
      </c>
      <c r="D220" s="259">
        <f t="shared" si="382"/>
        <v>199.756068</v>
      </c>
      <c r="E220" s="259">
        <f t="shared" si="382"/>
        <v>266.98853400000002</v>
      </c>
      <c r="F220" s="259">
        <f t="shared" si="382"/>
        <v>373.40701200000001</v>
      </c>
      <c r="G220" s="426">
        <f t="shared" si="382"/>
        <v>473.24543999999997</v>
      </c>
      <c r="H220" s="426">
        <f t="shared" si="382"/>
        <v>608.12212499999998</v>
      </c>
      <c r="I220" s="426">
        <f t="shared" si="382"/>
        <v>753.21890399999995</v>
      </c>
      <c r="J220" s="259">
        <f>I220*(1+J221)</f>
        <v>873.73392863999993</v>
      </c>
      <c r="K220" s="259">
        <f t="shared" ref="K220:S220" si="383">J220*(1+K221)</f>
        <v>996.05667864960003</v>
      </c>
      <c r="L220" s="259">
        <f t="shared" si="383"/>
        <v>1115.5834800875521</v>
      </c>
      <c r="M220" s="259">
        <f t="shared" si="383"/>
        <v>1227.1418280963073</v>
      </c>
      <c r="N220" s="259">
        <f t="shared" si="383"/>
        <v>1325.3131743440119</v>
      </c>
      <c r="O220" s="259">
        <f t="shared" si="383"/>
        <v>1404.8319648046527</v>
      </c>
      <c r="P220" s="259">
        <f t="shared" si="383"/>
        <v>1461.0252433968387</v>
      </c>
      <c r="Q220" s="259">
        <f t="shared" si="383"/>
        <v>1490.2457482647756</v>
      </c>
      <c r="R220" s="259">
        <f t="shared" si="383"/>
        <v>1490.2457482647756</v>
      </c>
      <c r="S220" s="259">
        <f t="shared" si="383"/>
        <v>1490.2457482647756</v>
      </c>
      <c r="T220" s="265"/>
      <c r="U220" s="510">
        <f>(K220/I220)^(1/2)-1</f>
        <v>0.14995652091720402</v>
      </c>
      <c r="V220" s="265"/>
      <c r="W220" s="259">
        <f t="shared" ref="W220:AP220" si="384">VLOOKUP($A220,CTRP,MATCH(W$5,Period_CTRP,FALSE),FALSE)</f>
        <v>50.973700999999998</v>
      </c>
      <c r="X220" s="259">
        <f t="shared" si="384"/>
        <v>65.944002999999995</v>
      </c>
      <c r="Y220" s="259">
        <f t="shared" si="384"/>
        <v>71.852907000000002</v>
      </c>
      <c r="Z220" s="259">
        <f t="shared" si="384"/>
        <v>78.217922999999999</v>
      </c>
      <c r="AA220" s="259">
        <f t="shared" si="384"/>
        <v>70.956328999999997</v>
      </c>
      <c r="AB220" s="259">
        <f t="shared" si="384"/>
        <v>90.442575000000005</v>
      </c>
      <c r="AC220" s="259">
        <f t="shared" si="384"/>
        <v>103.858502</v>
      </c>
      <c r="AD220" s="259">
        <f t="shared" si="384"/>
        <v>108.14960600000001</v>
      </c>
      <c r="AE220" s="259">
        <f t="shared" si="384"/>
        <v>92.713417000000007</v>
      </c>
      <c r="AF220" s="259">
        <f t="shared" si="384"/>
        <v>120.746346</v>
      </c>
      <c r="AG220" s="259">
        <f t="shared" si="384"/>
        <v>124.01266200000001</v>
      </c>
      <c r="AH220" s="259">
        <f t="shared" si="384"/>
        <v>135.77301499999999</v>
      </c>
      <c r="AI220" s="259">
        <f t="shared" si="384"/>
        <v>115.63206099999999</v>
      </c>
      <c r="AJ220" s="259">
        <f t="shared" si="384"/>
        <v>147.096362</v>
      </c>
      <c r="AK220" s="259">
        <f t="shared" si="384"/>
        <v>166.33779100000001</v>
      </c>
      <c r="AL220" s="259">
        <f t="shared" si="384"/>
        <v>179.05591100000001</v>
      </c>
      <c r="AM220" s="259">
        <f t="shared" si="384"/>
        <v>144.48166599999999</v>
      </c>
      <c r="AN220" s="259">
        <f t="shared" si="384"/>
        <v>199.352936</v>
      </c>
      <c r="AO220" s="259">
        <f t="shared" si="384"/>
        <v>202.879041</v>
      </c>
      <c r="AP220" s="259">
        <f t="shared" si="384"/>
        <v>206.50526099999999</v>
      </c>
      <c r="AQ220" s="259">
        <f>AM220*(1+AQ221)</f>
        <v>170.48836587999998</v>
      </c>
      <c r="AR220" s="259">
        <f>AN220*(1+AR221)</f>
        <v>231.24940575999997</v>
      </c>
      <c r="AS220" s="259">
        <f>AO220*(1+AS221)</f>
        <v>241.42605878999998</v>
      </c>
      <c r="AT220" s="298">
        <f>J220-SUM(AQ220:AS220)</f>
        <v>230.57009820999997</v>
      </c>
      <c r="AU220" s="259">
        <f>AQ220*(1+AU221)</f>
        <v>201.17627173839995</v>
      </c>
      <c r="AV220" s="259">
        <f>AR220*(1+AV221)</f>
        <v>258.99933445120001</v>
      </c>
      <c r="AW220" s="259">
        <f>AS220*(1+AW221)</f>
        <v>275.22570702059994</v>
      </c>
      <c r="AX220" s="298">
        <f>N220-SUM(AU220:AW220)</f>
        <v>589.91186113381195</v>
      </c>
      <c r="AY220" s="22"/>
      <c r="AZ220" s="22"/>
      <c r="BA220" s="265"/>
      <c r="BB220" s="265"/>
      <c r="BC220" s="265"/>
      <c r="BD220" s="265"/>
      <c r="BE220" s="265"/>
      <c r="BF220" s="265"/>
      <c r="BG220" s="265"/>
      <c r="BH220" s="265"/>
      <c r="BI220" s="265"/>
      <c r="BJ220" s="265"/>
      <c r="BK220" s="265"/>
      <c r="BL220" s="265"/>
      <c r="BM220" s="265"/>
      <c r="BN220" s="265"/>
      <c r="BO220" s="265"/>
      <c r="BP220" s="266"/>
      <c r="BQ220" s="266"/>
      <c r="BR220" s="266"/>
      <c r="BS220" s="266"/>
      <c r="BT220" s="266"/>
      <c r="BU220" s="266"/>
      <c r="BV220" s="266"/>
      <c r="BW220" s="266"/>
      <c r="BX220" s="266"/>
      <c r="BY220" s="266"/>
      <c r="BZ220" s="266"/>
      <c r="CA220" s="266"/>
      <c r="CF220" s="199"/>
      <c r="CG220" s="199"/>
      <c r="CH220" s="199"/>
      <c r="CI220" s="199"/>
      <c r="CJ220" s="199"/>
      <c r="CK220" s="200"/>
      <c r="CL220" s="201"/>
    </row>
    <row r="221" spans="1:90" outlineLevel="1">
      <c r="A221" s="242"/>
      <c r="B221" s="12" t="s">
        <v>82</v>
      </c>
      <c r="C221" s="23"/>
      <c r="D221" s="322">
        <f t="shared" ref="D221:I221" si="385">(D220/C220-1)*1</f>
        <v>0.23603685395375895</v>
      </c>
      <c r="E221" s="322">
        <f t="shared" si="385"/>
        <v>0.33657283442323283</v>
      </c>
      <c r="F221" s="322">
        <f t="shared" si="385"/>
        <v>0.39858819555149871</v>
      </c>
      <c r="G221" s="423">
        <f t="shared" si="385"/>
        <v>0.26737159397531607</v>
      </c>
      <c r="H221" s="322">
        <f t="shared" si="385"/>
        <v>0.28500366532850263</v>
      </c>
      <c r="I221" s="322">
        <f t="shared" si="385"/>
        <v>0.23859809244730235</v>
      </c>
      <c r="J221" s="349">
        <f>J61-4%</f>
        <v>0.16</v>
      </c>
      <c r="K221" s="349">
        <f t="shared" ref="K221:Q221" si="386">K61-4%</f>
        <v>0.14000000000000001</v>
      </c>
      <c r="L221" s="349">
        <f t="shared" si="386"/>
        <v>0.12000000000000002</v>
      </c>
      <c r="M221" s="349">
        <f t="shared" si="386"/>
        <v>0.10000000000000003</v>
      </c>
      <c r="N221" s="349">
        <f t="shared" si="386"/>
        <v>8.0000000000000043E-2</v>
      </c>
      <c r="O221" s="349">
        <f t="shared" si="386"/>
        <v>6.0000000000000032E-2</v>
      </c>
      <c r="P221" s="349">
        <f t="shared" si="386"/>
        <v>4.0000000000000029E-2</v>
      </c>
      <c r="Q221" s="349">
        <f t="shared" si="386"/>
        <v>2.0000000000000025E-2</v>
      </c>
      <c r="R221" s="349">
        <f>R61-4%</f>
        <v>0</v>
      </c>
      <c r="S221" s="349">
        <f>S61-4%</f>
        <v>0</v>
      </c>
      <c r="W221" s="322"/>
      <c r="X221" s="322"/>
      <c r="Y221" s="322"/>
      <c r="Z221" s="322"/>
      <c r="AA221" s="322">
        <f t="shared" ref="AA221:AL221" si="387">(AA220/W220-1)*1</f>
        <v>0.39201838610855422</v>
      </c>
      <c r="AB221" s="322">
        <f t="shared" si="387"/>
        <v>0.37150568490663227</v>
      </c>
      <c r="AC221" s="322">
        <f t="shared" si="387"/>
        <v>0.44543215210485498</v>
      </c>
      <c r="AD221" s="322">
        <f t="shared" si="387"/>
        <v>0.38267038872919201</v>
      </c>
      <c r="AE221" s="322">
        <f t="shared" si="387"/>
        <v>0.30662646034013408</v>
      </c>
      <c r="AF221" s="322">
        <f t="shared" si="387"/>
        <v>0.33506090466796201</v>
      </c>
      <c r="AG221" s="322">
        <f t="shared" si="387"/>
        <v>0.1940540216919362</v>
      </c>
      <c r="AH221" s="322">
        <f t="shared" si="387"/>
        <v>0.25541848945801959</v>
      </c>
      <c r="AI221" s="322">
        <f t="shared" si="387"/>
        <v>0.24719878461603884</v>
      </c>
      <c r="AJ221" s="322">
        <f t="shared" si="387"/>
        <v>0.21822619791740938</v>
      </c>
      <c r="AK221" s="322">
        <f t="shared" si="387"/>
        <v>0.34129683467322081</v>
      </c>
      <c r="AL221" s="322">
        <f t="shared" si="387"/>
        <v>0.31878864883423286</v>
      </c>
      <c r="AM221" s="322">
        <f>(AM220/AI220-1)*1</f>
        <v>0.24949486111814601</v>
      </c>
      <c r="AN221" s="322">
        <f>(AN220/AJ220-1)*1</f>
        <v>0.35525402049032317</v>
      </c>
      <c r="AO221" s="322">
        <f>(AO220/AK220-1)*1</f>
        <v>0.21968098638510836</v>
      </c>
      <c r="AP221" s="322">
        <f>(AP220/AL220-1)*1</f>
        <v>0.15330044033005974</v>
      </c>
      <c r="AQ221" s="347">
        <f>AQ61-4%</f>
        <v>0.18</v>
      </c>
      <c r="AR221" s="347">
        <f>AR61-4%</f>
        <v>0.16</v>
      </c>
      <c r="AS221" s="347">
        <f>AS61-4%</f>
        <v>0.19</v>
      </c>
      <c r="AT221" s="322">
        <f>(AT220/AP220-1)*1</f>
        <v>0.11653377300639312</v>
      </c>
      <c r="AU221" s="347">
        <f>AU61-4%</f>
        <v>0.18</v>
      </c>
      <c r="AV221" s="347">
        <f>AV61-4%</f>
        <v>0.12</v>
      </c>
      <c r="AW221" s="347">
        <f>AW61-4%</f>
        <v>0.13999999999999999</v>
      </c>
      <c r="AX221" s="322">
        <f>(AX220/AT220-1)*1</f>
        <v>1.5584924745815418</v>
      </c>
      <c r="AY221" s="37"/>
      <c r="AZ221" s="37"/>
    </row>
    <row r="222" spans="1:90" outlineLevel="1">
      <c r="C222" s="23"/>
      <c r="D222" s="23"/>
      <c r="E222" s="23"/>
      <c r="F222" s="23"/>
      <c r="G222" s="410"/>
      <c r="H222" s="410"/>
      <c r="I222" s="410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  <c r="AX222" s="23"/>
      <c r="AY222" s="5"/>
      <c r="AZ222" s="5"/>
    </row>
    <row r="223" spans="1:90" s="202" customFormat="1" outlineLevel="1">
      <c r="A223" s="258" t="s">
        <v>124</v>
      </c>
      <c r="B223" s="202" t="s">
        <v>17</v>
      </c>
      <c r="C223" s="259">
        <f t="shared" ref="C223:I223" si="388">VLOOKUP($A223,CTRP,MATCH(C$5,Period_CTRP,FALSE),FALSE)</f>
        <v>106.03686399999999</v>
      </c>
      <c r="D223" s="259">
        <f t="shared" si="388"/>
        <v>126.989085</v>
      </c>
      <c r="E223" s="259">
        <f t="shared" si="388"/>
        <v>138.38865300000001</v>
      </c>
      <c r="F223" s="259">
        <f t="shared" si="388"/>
        <v>192.28147300000001</v>
      </c>
      <c r="G223" s="426">
        <f t="shared" si="388"/>
        <v>285.22047500000002</v>
      </c>
      <c r="H223" s="426">
        <f t="shared" si="388"/>
        <v>734.29018499999995</v>
      </c>
      <c r="I223" s="426">
        <f t="shared" si="388"/>
        <v>1514.978795</v>
      </c>
      <c r="J223" s="259">
        <f>I223*(1+J224)</f>
        <v>1908.8732817</v>
      </c>
      <c r="K223" s="259">
        <f t="shared" ref="K223:S223" si="389">J223*(1+K224)</f>
        <v>2214.2930067719999</v>
      </c>
      <c r="L223" s="259">
        <f t="shared" si="389"/>
        <v>2457.8652375169199</v>
      </c>
      <c r="M223" s="259">
        <f t="shared" si="389"/>
        <v>2605.3371517679352</v>
      </c>
      <c r="N223" s="259">
        <f t="shared" si="389"/>
        <v>2709.5506378386526</v>
      </c>
      <c r="O223" s="259">
        <f t="shared" si="389"/>
        <v>2763.7416505954257</v>
      </c>
      <c r="P223" s="259">
        <f t="shared" si="389"/>
        <v>2763.7416505954257</v>
      </c>
      <c r="Q223" s="259">
        <f t="shared" si="389"/>
        <v>2763.7416505954257</v>
      </c>
      <c r="R223" s="259">
        <f t="shared" si="389"/>
        <v>2763.7416505954257</v>
      </c>
      <c r="S223" s="259">
        <f t="shared" si="389"/>
        <v>2763.7416505954257</v>
      </c>
      <c r="T223" s="265"/>
      <c r="U223" s="510">
        <f>(K223/I223)^(1/2)-1</f>
        <v>0.20896650077659307</v>
      </c>
      <c r="V223" s="265"/>
      <c r="W223" s="259">
        <f t="shared" ref="W223:AP223" si="390">VLOOKUP($A223,CTRP,MATCH(W$5,Period_CTRP,FALSE),FALSE)</f>
        <v>35.198399999999999</v>
      </c>
      <c r="X223" s="259">
        <f t="shared" si="390"/>
        <v>34.190294000000002</v>
      </c>
      <c r="Y223" s="259">
        <f t="shared" si="390"/>
        <v>34.141393999999998</v>
      </c>
      <c r="Z223" s="259">
        <f t="shared" si="390"/>
        <v>34.858564999999999</v>
      </c>
      <c r="AA223" s="259">
        <f t="shared" si="390"/>
        <v>35.268438000000003</v>
      </c>
      <c r="AB223" s="259">
        <f t="shared" si="390"/>
        <v>45.842407999999999</v>
      </c>
      <c r="AC223" s="259">
        <f t="shared" si="390"/>
        <v>47.873735000000003</v>
      </c>
      <c r="AD223" s="259">
        <f t="shared" si="390"/>
        <v>63.296892</v>
      </c>
      <c r="AE223" s="259">
        <f t="shared" si="390"/>
        <v>54.989178000000003</v>
      </c>
      <c r="AF223" s="259">
        <f t="shared" si="390"/>
        <v>58.377132000000003</v>
      </c>
      <c r="AG223" s="259">
        <f t="shared" si="390"/>
        <v>56.452092</v>
      </c>
      <c r="AH223" s="259">
        <f t="shared" si="390"/>
        <v>115.402073</v>
      </c>
      <c r="AI223" s="259">
        <f t="shared" si="390"/>
        <v>163.979409</v>
      </c>
      <c r="AJ223" s="259">
        <f t="shared" si="390"/>
        <v>142.11943199999999</v>
      </c>
      <c r="AK223" s="259">
        <f t="shared" si="390"/>
        <v>188.85109399999999</v>
      </c>
      <c r="AL223" s="259">
        <f t="shared" si="390"/>
        <v>239.34025</v>
      </c>
      <c r="AM223" s="259">
        <f t="shared" si="390"/>
        <v>341.64512100000002</v>
      </c>
      <c r="AN223" s="259">
        <f t="shared" si="390"/>
        <v>346.43929400000002</v>
      </c>
      <c r="AO223" s="259">
        <f t="shared" si="390"/>
        <v>472.404223</v>
      </c>
      <c r="AP223" s="259">
        <f t="shared" si="390"/>
        <v>354.49015700000001</v>
      </c>
      <c r="AQ223" s="259">
        <f>AM223*(1+AQ224)</f>
        <v>430.47285246000001</v>
      </c>
      <c r="AR223" s="259">
        <f>AN223*(1+AR224)</f>
        <v>471.15743984000005</v>
      </c>
      <c r="AS223" s="259">
        <f>AO223*(1+AS224)</f>
        <v>500.74847638</v>
      </c>
      <c r="AT223" s="298">
        <f>J223-SUM(AQ223:AS223)</f>
        <v>506.49451301999989</v>
      </c>
      <c r="AU223" s="259">
        <f>AQ223*(1+AU224)</f>
        <v>520.87215147660004</v>
      </c>
      <c r="AV223" s="259">
        <f>AR223*(1+AV224)</f>
        <v>555.96577901120008</v>
      </c>
      <c r="AW223" s="259">
        <f>AS223*(1+AW224)</f>
        <v>555.83080878179999</v>
      </c>
      <c r="AX223" s="298">
        <f>N223-SUM(AU223:AW223)</f>
        <v>1076.8818985690525</v>
      </c>
      <c r="AY223" s="22"/>
      <c r="AZ223" s="22"/>
      <c r="BA223" s="265"/>
      <c r="BB223" s="265"/>
      <c r="BC223" s="265"/>
      <c r="BD223" s="265"/>
      <c r="BE223" s="265"/>
      <c r="BF223" s="265"/>
      <c r="BG223" s="265"/>
      <c r="BH223" s="265"/>
      <c r="BI223" s="265"/>
      <c r="BJ223" s="265"/>
      <c r="BK223" s="265"/>
      <c r="BL223" s="265"/>
      <c r="BM223" s="265"/>
      <c r="BN223" s="265"/>
      <c r="BO223" s="265"/>
      <c r="BP223" s="266"/>
      <c r="BQ223" s="266"/>
      <c r="BR223" s="266"/>
      <c r="BS223" s="266"/>
      <c r="BT223" s="266"/>
      <c r="BU223" s="266"/>
      <c r="BV223" s="266"/>
      <c r="BW223" s="266"/>
      <c r="BX223" s="266"/>
      <c r="BY223" s="266"/>
      <c r="BZ223" s="266"/>
      <c r="CA223" s="266"/>
      <c r="CF223" s="199"/>
      <c r="CG223" s="199"/>
      <c r="CH223" s="199"/>
      <c r="CI223" s="199"/>
      <c r="CJ223" s="199"/>
      <c r="CK223" s="200"/>
      <c r="CL223" s="201"/>
    </row>
    <row r="224" spans="1:90" outlineLevel="1">
      <c r="A224" s="242"/>
      <c r="B224" s="12" t="s">
        <v>82</v>
      </c>
      <c r="C224" s="23"/>
      <c r="D224" s="322">
        <f t="shared" ref="D224:I224" si="391">(D223/C223-1)*1</f>
        <v>0.19759374437931321</v>
      </c>
      <c r="E224" s="322">
        <f t="shared" si="391"/>
        <v>8.9768093060911491E-2</v>
      </c>
      <c r="F224" s="322">
        <f t="shared" si="391"/>
        <v>0.38943091670962349</v>
      </c>
      <c r="G224" s="423">
        <f t="shared" si="391"/>
        <v>0.4833487103565095</v>
      </c>
      <c r="H224" s="322">
        <f t="shared" si="391"/>
        <v>1.5744651922341828</v>
      </c>
      <c r="I224" s="322">
        <f t="shared" si="391"/>
        <v>1.0631881318146723</v>
      </c>
      <c r="J224" s="240">
        <f>J65-4%</f>
        <v>0.26</v>
      </c>
      <c r="K224" s="240">
        <f t="shared" ref="K224:Q224" si="392">K65-4%</f>
        <v>0.16</v>
      </c>
      <c r="L224" s="240">
        <f t="shared" si="392"/>
        <v>0.11000000000000001</v>
      </c>
      <c r="M224" s="240">
        <f t="shared" si="392"/>
        <v>6.0000000000000019E-2</v>
      </c>
      <c r="N224" s="240">
        <f t="shared" si="392"/>
        <v>4.0000000000000015E-2</v>
      </c>
      <c r="O224" s="240">
        <f t="shared" si="392"/>
        <v>2.0000000000000011E-2</v>
      </c>
      <c r="P224" s="240">
        <f t="shared" si="392"/>
        <v>0</v>
      </c>
      <c r="Q224" s="240">
        <f t="shared" si="392"/>
        <v>0</v>
      </c>
      <c r="R224" s="240">
        <f>R65-4%</f>
        <v>0</v>
      </c>
      <c r="S224" s="240">
        <f>S65-4%</f>
        <v>0</v>
      </c>
      <c r="W224" s="23"/>
      <c r="X224" s="23"/>
      <c r="Y224" s="23"/>
      <c r="Z224" s="23"/>
      <c r="AA224" s="322">
        <f t="shared" ref="AA224:AL224" si="393">(AA223/W223-1)*1</f>
        <v>1.989806354834478E-3</v>
      </c>
      <c r="AB224" s="322">
        <f t="shared" si="393"/>
        <v>0.34080180767091384</v>
      </c>
      <c r="AC224" s="322">
        <f t="shared" si="393"/>
        <v>0.40221969261126267</v>
      </c>
      <c r="AD224" s="322">
        <f t="shared" si="393"/>
        <v>0.81582035864069558</v>
      </c>
      <c r="AE224" s="322">
        <f t="shared" si="393"/>
        <v>0.55916114005389184</v>
      </c>
      <c r="AF224" s="322">
        <f t="shared" si="393"/>
        <v>0.27343074997282013</v>
      </c>
      <c r="AG224" s="322">
        <f t="shared" si="393"/>
        <v>0.17918712630213607</v>
      </c>
      <c r="AH224" s="322">
        <f t="shared" si="393"/>
        <v>0.82318703736670051</v>
      </c>
      <c r="AI224" s="322">
        <f t="shared" si="393"/>
        <v>1.982030555175784</v>
      </c>
      <c r="AJ224" s="322">
        <f t="shared" si="393"/>
        <v>1.4345052100195668</v>
      </c>
      <c r="AK224" s="322">
        <f t="shared" si="393"/>
        <v>2.3453338452009889</v>
      </c>
      <c r="AL224" s="322">
        <f t="shared" si="393"/>
        <v>1.0739683766339274</v>
      </c>
      <c r="AM224" s="322">
        <f>(AM223/AI223-1)*1</f>
        <v>1.0834635463285518</v>
      </c>
      <c r="AN224" s="322">
        <f>(AN223/AJ223-1)*1</f>
        <v>1.4376630917016335</v>
      </c>
      <c r="AO224" s="322">
        <f>(AO223/AK223-1)*1</f>
        <v>1.5014640529432146</v>
      </c>
      <c r="AP224" s="322">
        <f>(AP223/AL223-1)*1</f>
        <v>0.48111384106935629</v>
      </c>
      <c r="AQ224" s="240">
        <f>AQ65-4%</f>
        <v>0.26</v>
      </c>
      <c r="AR224" s="240">
        <f>AR65-4%</f>
        <v>0.36000000000000004</v>
      </c>
      <c r="AS224" s="240">
        <f>AS65-4%</f>
        <v>6.0000000000000005E-2</v>
      </c>
      <c r="AT224" s="322">
        <f>(AT223/AP223-1)*1</f>
        <v>0.42879711331448855</v>
      </c>
      <c r="AU224" s="240">
        <f>AU65-4%</f>
        <v>0.21</v>
      </c>
      <c r="AV224" s="240">
        <f>AV65-4%</f>
        <v>0.18</v>
      </c>
      <c r="AW224" s="240">
        <f>AW65-4%</f>
        <v>0.10999999999999999</v>
      </c>
      <c r="AX224" s="322">
        <f>(AX223/AT223-1)*1</f>
        <v>1.1261472155899344</v>
      </c>
      <c r="AY224" s="37"/>
      <c r="AZ224" s="37"/>
    </row>
    <row r="225" spans="1:90" outlineLevel="1">
      <c r="C225" s="23"/>
      <c r="D225" s="23"/>
      <c r="E225" s="23"/>
      <c r="F225" s="23"/>
      <c r="G225" s="238"/>
      <c r="H225" s="238"/>
      <c r="I225" s="238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5"/>
      <c r="AZ225" s="5"/>
    </row>
    <row r="226" spans="1:90" outlineLevel="1">
      <c r="B226" s="202" t="s">
        <v>730</v>
      </c>
      <c r="C226" s="262"/>
      <c r="D226" s="262"/>
      <c r="E226" s="262"/>
      <c r="F226" s="262"/>
      <c r="G226" s="262"/>
      <c r="H226" s="263"/>
      <c r="I226" s="263"/>
      <c r="J226" s="264"/>
      <c r="K226" s="264"/>
      <c r="L226" s="264"/>
      <c r="M226" s="264"/>
      <c r="N226" s="264"/>
      <c r="O226" s="264"/>
      <c r="P226" s="264"/>
      <c r="Q226" s="264"/>
      <c r="R226" s="264"/>
      <c r="S226" s="264"/>
      <c r="T226" s="265"/>
      <c r="U226" s="265"/>
      <c r="V226" s="265"/>
      <c r="W226" s="343"/>
      <c r="X226" s="343"/>
      <c r="Y226" s="343"/>
      <c r="Z226" s="343"/>
      <c r="AA226" s="343"/>
      <c r="AB226" s="343"/>
      <c r="AC226" s="343"/>
      <c r="AD226" s="343"/>
      <c r="AE226" s="260"/>
      <c r="AF226" s="260"/>
      <c r="AG226" s="260"/>
      <c r="AH226" s="260"/>
      <c r="AI226" s="260"/>
      <c r="AJ226" s="260"/>
      <c r="AK226" s="260"/>
      <c r="AL226" s="260"/>
      <c r="AM226" s="260"/>
      <c r="AN226" s="260"/>
      <c r="AO226" s="260"/>
      <c r="AP226" s="260"/>
      <c r="AQ226" s="260"/>
      <c r="AR226" s="260"/>
      <c r="AS226" s="260"/>
      <c r="AT226" s="260"/>
      <c r="AU226" s="260"/>
      <c r="AV226" s="260"/>
      <c r="AW226" s="260"/>
      <c r="AX226" s="260"/>
      <c r="AY226" s="260"/>
      <c r="AZ226" s="22"/>
    </row>
    <row r="227" spans="1:90" outlineLevel="1">
      <c r="B227" s="12" t="s">
        <v>82</v>
      </c>
      <c r="C227" s="23"/>
      <c r="D227" s="23"/>
      <c r="E227" s="23"/>
      <c r="F227" s="23"/>
      <c r="G227" s="238"/>
      <c r="H227" s="238"/>
      <c r="I227" s="238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W227" s="23"/>
      <c r="X227" s="23"/>
      <c r="Y227" s="23"/>
      <c r="Z227" s="23"/>
      <c r="AA227" s="23"/>
      <c r="AB227" s="23"/>
      <c r="AC227" s="23"/>
      <c r="AD227" s="23"/>
      <c r="AE227" s="178"/>
      <c r="AF227" s="178"/>
      <c r="AG227" s="178"/>
      <c r="AH227" s="178"/>
      <c r="AI227" s="178"/>
      <c r="AJ227" s="178"/>
      <c r="AK227" s="178"/>
      <c r="AL227" s="178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  <c r="AX227" s="23"/>
      <c r="AY227" s="5"/>
      <c r="AZ227" s="5"/>
    </row>
    <row r="228" spans="1:90" outlineLevel="1">
      <c r="C228" s="23"/>
      <c r="D228" s="23"/>
      <c r="E228" s="23"/>
      <c r="F228" s="23"/>
      <c r="G228" s="238"/>
      <c r="H228" s="238"/>
      <c r="I228" s="238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W228" s="23"/>
      <c r="X228" s="23"/>
      <c r="Y228" s="23"/>
      <c r="Z228" s="23"/>
      <c r="AA228" s="23"/>
      <c r="AB228" s="23"/>
      <c r="AC228" s="23"/>
      <c r="AD228" s="23"/>
      <c r="AE228" s="178"/>
      <c r="AF228" s="178"/>
      <c r="AG228" s="178"/>
      <c r="AH228" s="178"/>
      <c r="AI228" s="178"/>
      <c r="AJ228" s="178"/>
      <c r="AK228" s="178"/>
      <c r="AL228" s="178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5"/>
      <c r="AZ228" s="5"/>
    </row>
    <row r="229" spans="1:90" s="202" customFormat="1" outlineLevel="1">
      <c r="A229" s="258" t="s">
        <v>478</v>
      </c>
      <c r="B229" s="202" t="s">
        <v>478</v>
      </c>
      <c r="C229" s="279">
        <f t="shared" ref="C229:I232" si="394">VLOOKUP($A229,CTRP,MATCH(C$5,Period_CTRP,FALSE),FALSE)</f>
        <v>-805.12978399999997</v>
      </c>
      <c r="D229" s="279">
        <f t="shared" si="394"/>
        <v>-1037.791093</v>
      </c>
      <c r="E229" s="279">
        <f t="shared" si="394"/>
        <v>-1386.767067</v>
      </c>
      <c r="F229" s="279">
        <f t="shared" si="394"/>
        <v>-2100.6064129999995</v>
      </c>
      <c r="G229" s="279">
        <f t="shared" si="394"/>
        <v>-3043.4398190000002</v>
      </c>
      <c r="H229" s="418">
        <f t="shared" si="394"/>
        <v>-4729.7501920000004</v>
      </c>
      <c r="I229" s="418">
        <f t="shared" si="394"/>
        <v>-4678.2091030000001</v>
      </c>
      <c r="J229" s="438">
        <f>-J230*J182</f>
        <v>-5562.7856951335725</v>
      </c>
      <c r="K229" s="438">
        <f t="shared" ref="K229:Q229" si="395">-K230*K182</f>
        <v>-6590.1603915156757</v>
      </c>
      <c r="L229" s="438">
        <f t="shared" si="395"/>
        <v>-7582.8576136093743</v>
      </c>
      <c r="M229" s="438">
        <f t="shared" si="395"/>
        <v>-8683.9262891185426</v>
      </c>
      <c r="N229" s="438">
        <f t="shared" si="395"/>
        <v>-9853.9426659934525</v>
      </c>
      <c r="O229" s="438">
        <f t="shared" si="395"/>
        <v>-10715.196281799257</v>
      </c>
      <c r="P229" s="438">
        <f t="shared" si="395"/>
        <v>-11666.454376538337</v>
      </c>
      <c r="Q229" s="438">
        <f t="shared" si="395"/>
        <v>-12595.860887677487</v>
      </c>
      <c r="R229" s="438">
        <f>-R230*R182</f>
        <v>-13486.466176931841</v>
      </c>
      <c r="S229" s="438">
        <f>-S230*S182</f>
        <v>-14281.26320876588</v>
      </c>
      <c r="T229" s="265"/>
      <c r="U229" s="510">
        <f>(K229/I229)^(1/2)-1</f>
        <v>0.18688373262959446</v>
      </c>
      <c r="V229" s="265"/>
      <c r="W229" s="279">
        <f t="shared" ref="W229:AL229" si="396">VLOOKUP($A229,CTRP,MATCH(W$5,Period_CTRP,FALSE),FALSE)</f>
        <v>-304.17168700000002</v>
      </c>
      <c r="X229" s="279">
        <f t="shared" si="396"/>
        <v>-309.111062</v>
      </c>
      <c r="Y229" s="279">
        <f t="shared" si="396"/>
        <v>-379.12170900000001</v>
      </c>
      <c r="Z229" s="279">
        <f t="shared" si="396"/>
        <v>-394.36260900000002</v>
      </c>
      <c r="AA229" s="279">
        <f t="shared" si="396"/>
        <v>-449.41188699999998</v>
      </c>
      <c r="AB229" s="279">
        <f t="shared" si="396"/>
        <v>-478.60139299999997</v>
      </c>
      <c r="AC229" s="279">
        <f t="shared" si="396"/>
        <v>-588.98023000000001</v>
      </c>
      <c r="AD229" s="279">
        <f t="shared" si="396"/>
        <v>-583.61290299999996</v>
      </c>
      <c r="AE229" s="279">
        <f t="shared" si="396"/>
        <v>-704.606314</v>
      </c>
      <c r="AF229" s="279">
        <f t="shared" si="396"/>
        <v>-730.01903100000004</v>
      </c>
      <c r="AG229" s="279">
        <f t="shared" si="396"/>
        <v>-845.57812899999999</v>
      </c>
      <c r="AH229" s="279">
        <f t="shared" si="396"/>
        <v>-763.23634500000003</v>
      </c>
      <c r="AI229" s="279">
        <f t="shared" si="396"/>
        <v>-1135.944483</v>
      </c>
      <c r="AJ229" s="279">
        <f t="shared" si="396"/>
        <v>-1233.1485359999999</v>
      </c>
      <c r="AK229" s="279">
        <f t="shared" si="396"/>
        <v>-1234.297161</v>
      </c>
      <c r="AL229" s="279">
        <f t="shared" si="396"/>
        <v>-1126.3600120000001</v>
      </c>
      <c r="AM229" s="454">
        <f t="shared" ref="AM229:AP232" si="397">VLOOKUP($A229,CTRP,MATCH(AM$5,Period_CTRP,FALSE),FALSE)</f>
        <v>-1189.3067900000001</v>
      </c>
      <c r="AN229" s="454">
        <f t="shared" si="397"/>
        <v>-1124.0941459999999</v>
      </c>
      <c r="AO229" s="454">
        <f t="shared" si="397"/>
        <v>-1303.4836580000001</v>
      </c>
      <c r="AP229" s="454">
        <f t="shared" si="397"/>
        <v>-1061.324509</v>
      </c>
      <c r="AQ229" s="276">
        <f>-AQ230*AQ182</f>
        <v>-1180.4590013531229</v>
      </c>
      <c r="AR229" s="276">
        <f>-AR230*AR182</f>
        <v>-1305.445528574415</v>
      </c>
      <c r="AS229" s="276">
        <f>-AS230*AS182</f>
        <v>-1609.9912232881768</v>
      </c>
      <c r="AT229" s="298">
        <f>J229-SUM(AQ229:AS229)</f>
        <v>-1466.8899419178579</v>
      </c>
      <c r="AU229" s="276">
        <f>-AU230*AU182</f>
        <v>-1501.5046742756278</v>
      </c>
      <c r="AV229" s="276">
        <f>-AV230*AV182</f>
        <v>-1617.5573837714535</v>
      </c>
      <c r="AW229" s="276">
        <f>-AW230*AW182</f>
        <v>-1824.5077336474867</v>
      </c>
      <c r="AX229" s="298">
        <f>N229-SUM(AU229:AW229)</f>
        <v>-4910.3728742988842</v>
      </c>
      <c r="AY229" s="195"/>
      <c r="AZ229" s="195"/>
      <c r="BA229" s="265"/>
      <c r="BB229" s="265"/>
      <c r="BC229" s="265"/>
      <c r="BD229" s="265"/>
      <c r="BE229" s="265"/>
      <c r="BF229" s="265"/>
      <c r="BG229" s="265"/>
      <c r="BH229" s="265"/>
      <c r="BI229" s="265"/>
      <c r="BJ229" s="265"/>
      <c r="BK229" s="265"/>
      <c r="BL229" s="265"/>
      <c r="BM229" s="265"/>
      <c r="BN229" s="265"/>
      <c r="BO229" s="265"/>
      <c r="BP229" s="266"/>
      <c r="BQ229" s="266"/>
      <c r="BR229" s="266"/>
      <c r="BS229" s="266"/>
      <c r="BT229" s="266"/>
      <c r="BU229" s="266"/>
      <c r="BV229" s="266"/>
      <c r="BW229" s="266"/>
      <c r="BX229" s="266"/>
      <c r="BY229" s="266"/>
      <c r="BZ229" s="266"/>
      <c r="CA229" s="266"/>
      <c r="CF229" s="199"/>
      <c r="CG229" s="199"/>
      <c r="CH229" s="199"/>
      <c r="CI229" s="199"/>
      <c r="CJ229" s="199"/>
      <c r="CK229" s="200"/>
      <c r="CL229" s="201"/>
    </row>
    <row r="230" spans="1:90" outlineLevel="1">
      <c r="A230" s="242" t="s">
        <v>152</v>
      </c>
      <c r="B230" s="39" t="s">
        <v>165</v>
      </c>
      <c r="C230" s="321">
        <f t="shared" si="394"/>
        <v>0.2301630376679383</v>
      </c>
      <c r="D230" s="321">
        <f t="shared" si="394"/>
        <v>0.24954152080836989</v>
      </c>
      <c r="E230" s="321">
        <f t="shared" si="394"/>
        <v>0.25744061162486598</v>
      </c>
      <c r="F230" s="321">
        <f t="shared" si="394"/>
        <v>0.28591666702918817</v>
      </c>
      <c r="G230" s="321">
        <f t="shared" si="394"/>
        <v>0.27927697280384983</v>
      </c>
      <c r="H230" s="416">
        <f t="shared" si="394"/>
        <v>0.24597680507371825</v>
      </c>
      <c r="I230" s="416">
        <f t="shared" si="394"/>
        <v>0.17469281409648735</v>
      </c>
      <c r="J230" s="240">
        <f>J71+2%</f>
        <v>0.19</v>
      </c>
      <c r="K230" s="240">
        <f t="shared" ref="K230:Q230" si="398">K71+2%</f>
        <v>0.188</v>
      </c>
      <c r="L230" s="240">
        <f t="shared" si="398"/>
        <v>0.186</v>
      </c>
      <c r="M230" s="240">
        <f t="shared" si="398"/>
        <v>0.186</v>
      </c>
      <c r="N230" s="240">
        <f t="shared" si="398"/>
        <v>0.186</v>
      </c>
      <c r="O230" s="240">
        <f t="shared" si="398"/>
        <v>0.184</v>
      </c>
      <c r="P230" s="240">
        <f t="shared" si="398"/>
        <v>0.184</v>
      </c>
      <c r="Q230" s="240">
        <f t="shared" si="398"/>
        <v>0.184</v>
      </c>
      <c r="R230" s="240">
        <f>R71+2%</f>
        <v>0.184</v>
      </c>
      <c r="S230" s="240">
        <f>S71+2%</f>
        <v>0.184</v>
      </c>
      <c r="W230" s="321">
        <f t="shared" ref="W230:AL230" si="399">VLOOKUP($A230,CTRP,MATCH(W$5,Period_CTRP,FALSE),FALSE)</f>
        <v>0.2621021586049479</v>
      </c>
      <c r="X230" s="321">
        <f t="shared" si="399"/>
        <v>0.24831075702594901</v>
      </c>
      <c r="Y230" s="321">
        <f t="shared" si="399"/>
        <v>0.24602706626092929</v>
      </c>
      <c r="Z230" s="321">
        <f t="shared" si="399"/>
        <v>0.27378571287395964</v>
      </c>
      <c r="AA230" s="321">
        <f t="shared" si="399"/>
        <v>0.2841163622039134</v>
      </c>
      <c r="AB230" s="321">
        <f t="shared" si="399"/>
        <v>0.27789133728998888</v>
      </c>
      <c r="AC230" s="321">
        <f t="shared" si="399"/>
        <v>0.27657230324489884</v>
      </c>
      <c r="AD230" s="321">
        <f t="shared" si="399"/>
        <v>0.30502967488965738</v>
      </c>
      <c r="AE230" s="321">
        <f t="shared" si="399"/>
        <v>0.30439499992068786</v>
      </c>
      <c r="AF230" s="321">
        <f t="shared" si="399"/>
        <v>0.28887205118263337</v>
      </c>
      <c r="AG230" s="321">
        <f t="shared" si="399"/>
        <v>0.26577131257042141</v>
      </c>
      <c r="AH230" s="321">
        <f t="shared" si="399"/>
        <v>0.26556078908156838</v>
      </c>
      <c r="AI230" s="321">
        <f t="shared" si="399"/>
        <v>0.2718867162543534</v>
      </c>
      <c r="AJ230" s="321">
        <f t="shared" si="399"/>
        <v>0.2795440777959603</v>
      </c>
      <c r="AK230" s="321">
        <f t="shared" si="399"/>
        <v>0.22152309814740179</v>
      </c>
      <c r="AL230" s="321">
        <f t="shared" si="399"/>
        <v>0.22228090891257879</v>
      </c>
      <c r="AM230" s="456">
        <f t="shared" si="397"/>
        <v>0.19544695053141803</v>
      </c>
      <c r="AN230" s="456">
        <f t="shared" si="397"/>
        <v>0.17520800870218212</v>
      </c>
      <c r="AO230" s="456">
        <f t="shared" si="397"/>
        <v>0.16500469748312874</v>
      </c>
      <c r="AP230" s="456">
        <f t="shared" si="397"/>
        <v>0.16637465120012246</v>
      </c>
      <c r="AQ230" s="347">
        <f>AQ71+2%</f>
        <v>0.19199999999999998</v>
      </c>
      <c r="AR230" s="347">
        <f>AR71+2%</f>
        <v>0.189</v>
      </c>
      <c r="AS230" s="347">
        <f>AS71+2%</f>
        <v>0.189</v>
      </c>
      <c r="AT230" s="322">
        <f>-AT229/AT173</f>
        <v>0.18884511714992272</v>
      </c>
      <c r="AU230" s="347">
        <f>AU71+2%</f>
        <v>0.188</v>
      </c>
      <c r="AV230" s="347">
        <f>AV71+2%</f>
        <v>0.188</v>
      </c>
      <c r="AW230" s="347">
        <f>AW71+2%</f>
        <v>0.188</v>
      </c>
      <c r="AX230" s="322">
        <f>-AX229/AX173</f>
        <v>0.1826255035845657</v>
      </c>
      <c r="AY230" s="37"/>
      <c r="AZ230" s="37"/>
    </row>
    <row r="231" spans="1:90" outlineLevel="1">
      <c r="A231" s="242" t="s">
        <v>544</v>
      </c>
      <c r="B231" s="39" t="s">
        <v>47</v>
      </c>
      <c r="C231" s="321">
        <f t="shared" si="394"/>
        <v>0.76983696233206167</v>
      </c>
      <c r="D231" s="321">
        <f t="shared" si="394"/>
        <v>0.75045847919163022</v>
      </c>
      <c r="E231" s="321">
        <f t="shared" si="394"/>
        <v>0.74255938837513413</v>
      </c>
      <c r="F231" s="321">
        <f t="shared" si="394"/>
        <v>0.71408333297081183</v>
      </c>
      <c r="G231" s="321">
        <f t="shared" si="394"/>
        <v>0.72072302719615011</v>
      </c>
      <c r="H231" s="416">
        <f t="shared" si="394"/>
        <v>0.754023194926282</v>
      </c>
      <c r="I231" s="416">
        <f t="shared" si="394"/>
        <v>0.8253071859035126</v>
      </c>
      <c r="J231" s="322">
        <f>1-J230</f>
        <v>0.81</v>
      </c>
      <c r="K231" s="322">
        <f t="shared" ref="K231:Q231" si="400">1-K230</f>
        <v>0.81200000000000006</v>
      </c>
      <c r="L231" s="322">
        <f t="shared" si="400"/>
        <v>0.81400000000000006</v>
      </c>
      <c r="M231" s="322">
        <f t="shared" si="400"/>
        <v>0.81400000000000006</v>
      </c>
      <c r="N231" s="322">
        <f t="shared" si="400"/>
        <v>0.81400000000000006</v>
      </c>
      <c r="O231" s="322">
        <f t="shared" si="400"/>
        <v>0.81600000000000006</v>
      </c>
      <c r="P231" s="322">
        <f t="shared" si="400"/>
        <v>0.81600000000000006</v>
      </c>
      <c r="Q231" s="322">
        <f t="shared" si="400"/>
        <v>0.81600000000000006</v>
      </c>
      <c r="R231" s="322">
        <f>1-R230</f>
        <v>0.81600000000000006</v>
      </c>
      <c r="S231" s="322">
        <f>1-S230</f>
        <v>0.81600000000000006</v>
      </c>
      <c r="W231" s="321">
        <f t="shared" ref="W231:AL232" si="401">VLOOKUP($A231,CTRP,MATCH(W$5,Period_CTRP,FALSE),FALSE)</f>
        <v>0.7378978413950521</v>
      </c>
      <c r="X231" s="321">
        <f t="shared" si="401"/>
        <v>0.75168924297405104</v>
      </c>
      <c r="Y231" s="321">
        <f t="shared" si="401"/>
        <v>0.75397293373907071</v>
      </c>
      <c r="Z231" s="321">
        <f t="shared" si="401"/>
        <v>0.72621428712604041</v>
      </c>
      <c r="AA231" s="321">
        <f t="shared" si="401"/>
        <v>0.71588363779608666</v>
      </c>
      <c r="AB231" s="321">
        <f t="shared" si="401"/>
        <v>0.72210866271001117</v>
      </c>
      <c r="AC231" s="321">
        <f t="shared" si="401"/>
        <v>0.7234276967551011</v>
      </c>
      <c r="AD231" s="321">
        <f t="shared" si="401"/>
        <v>0.69497032511034262</v>
      </c>
      <c r="AE231" s="321">
        <f t="shared" si="401"/>
        <v>0.69560500007931203</v>
      </c>
      <c r="AF231" s="321">
        <f t="shared" si="401"/>
        <v>0.71112794881736663</v>
      </c>
      <c r="AG231" s="321">
        <f t="shared" si="401"/>
        <v>0.73422868742957859</v>
      </c>
      <c r="AH231" s="321">
        <f t="shared" si="401"/>
        <v>0.73443921091843167</v>
      </c>
      <c r="AI231" s="321">
        <f t="shared" si="401"/>
        <v>0.72811328374564654</v>
      </c>
      <c r="AJ231" s="321">
        <f t="shared" si="401"/>
        <v>0.72045592220403976</v>
      </c>
      <c r="AK231" s="321">
        <f t="shared" si="401"/>
        <v>0.77847690185259832</v>
      </c>
      <c r="AL231" s="321">
        <f t="shared" si="401"/>
        <v>0.77771909108742121</v>
      </c>
      <c r="AM231" s="451">
        <f t="shared" si="397"/>
        <v>0.80455304946858208</v>
      </c>
      <c r="AN231" s="451">
        <f t="shared" si="397"/>
        <v>0.82479199129781799</v>
      </c>
      <c r="AO231" s="451">
        <f t="shared" si="397"/>
        <v>0.83499530251687126</v>
      </c>
      <c r="AP231" s="451">
        <f t="shared" si="397"/>
        <v>0.8336253487998776</v>
      </c>
      <c r="AQ231" s="322">
        <f t="shared" ref="AQ231:AX231" si="402">1-AQ230</f>
        <v>0.80800000000000005</v>
      </c>
      <c r="AR231" s="322">
        <f t="shared" si="402"/>
        <v>0.81099999999999994</v>
      </c>
      <c r="AS231" s="322">
        <f t="shared" si="402"/>
        <v>0.81099999999999994</v>
      </c>
      <c r="AT231" s="322">
        <f t="shared" si="402"/>
        <v>0.81115488285007731</v>
      </c>
      <c r="AU231" s="322">
        <f t="shared" si="402"/>
        <v>0.81200000000000006</v>
      </c>
      <c r="AV231" s="322">
        <f t="shared" si="402"/>
        <v>0.81200000000000006</v>
      </c>
      <c r="AW231" s="322">
        <f t="shared" si="402"/>
        <v>0.81200000000000006</v>
      </c>
      <c r="AX231" s="322">
        <f t="shared" si="402"/>
        <v>0.81737449641543436</v>
      </c>
      <c r="AY231" s="5"/>
      <c r="AZ231" s="5"/>
    </row>
    <row r="232" spans="1:90" outlineLevel="1">
      <c r="A232" s="242" t="s">
        <v>61</v>
      </c>
      <c r="B232" s="39" t="s">
        <v>157</v>
      </c>
      <c r="C232" s="203">
        <f t="shared" si="394"/>
        <v>2692.9548439999999</v>
      </c>
      <c r="D232" s="203">
        <f t="shared" si="394"/>
        <v>3121.0001560000001</v>
      </c>
      <c r="E232" s="203">
        <f t="shared" si="394"/>
        <v>3999.9784749999999</v>
      </c>
      <c r="F232" s="203">
        <f t="shared" si="394"/>
        <v>5246.3119560000014</v>
      </c>
      <c r="G232" s="203">
        <f t="shared" si="394"/>
        <v>7854.1282420000016</v>
      </c>
      <c r="H232" s="419">
        <f t="shared" si="394"/>
        <v>14498.689622000002</v>
      </c>
      <c r="I232" s="419">
        <f t="shared" si="394"/>
        <v>22101.421914999999</v>
      </c>
      <c r="J232" s="23">
        <f t="shared" ref="J232:Q232" si="403">J182+J229</f>
        <v>23715.033752937859</v>
      </c>
      <c r="K232" s="23">
        <f t="shared" si="403"/>
        <v>28463.884244206005</v>
      </c>
      <c r="L232" s="23">
        <f t="shared" si="403"/>
        <v>33185.194072462531</v>
      </c>
      <c r="M232" s="23">
        <f t="shared" si="403"/>
        <v>38003.849458830613</v>
      </c>
      <c r="N232" s="23">
        <f t="shared" si="403"/>
        <v>43124.24371031543</v>
      </c>
      <c r="O232" s="23">
        <f t="shared" si="403"/>
        <v>47519.566119283656</v>
      </c>
      <c r="P232" s="23">
        <f t="shared" si="403"/>
        <v>51738.188974213495</v>
      </c>
      <c r="Q232" s="23">
        <f t="shared" si="403"/>
        <v>55859.904806221901</v>
      </c>
      <c r="R232" s="23">
        <f>R182+R229</f>
        <v>59809.545654219466</v>
      </c>
      <c r="S232" s="23">
        <f>S182+S229</f>
        <v>63334.297708439997</v>
      </c>
      <c r="W232" s="203">
        <f t="shared" si="401"/>
        <v>856.33644699999968</v>
      </c>
      <c r="X232" s="203">
        <f t="shared" si="401"/>
        <v>935.74464100000023</v>
      </c>
      <c r="Y232" s="203">
        <f t="shared" si="401"/>
        <v>1161.8539029999997</v>
      </c>
      <c r="Z232" s="203">
        <f t="shared" si="401"/>
        <v>1046.043484</v>
      </c>
      <c r="AA232" s="203">
        <f t="shared" si="401"/>
        <v>1132.3762350000002</v>
      </c>
      <c r="AB232" s="203">
        <f t="shared" si="401"/>
        <v>1243.6595370000002</v>
      </c>
      <c r="AC232" s="203">
        <f t="shared" si="401"/>
        <v>1540.5903130000002</v>
      </c>
      <c r="AD232" s="203">
        <f t="shared" si="401"/>
        <v>1329.6858709999999</v>
      </c>
      <c r="AE232" s="203">
        <f t="shared" si="401"/>
        <v>1610.1699279999993</v>
      </c>
      <c r="AF232" s="203">
        <f t="shared" si="401"/>
        <v>1797.1172150000004</v>
      </c>
      <c r="AG232" s="203">
        <f t="shared" si="401"/>
        <v>2336.0223260000002</v>
      </c>
      <c r="AH232" s="203">
        <f t="shared" si="401"/>
        <v>2110.818773</v>
      </c>
      <c r="AI232" s="203">
        <f t="shared" si="401"/>
        <v>3042.0620729999991</v>
      </c>
      <c r="AJ232" s="203">
        <f t="shared" si="401"/>
        <v>3178.1362450000015</v>
      </c>
      <c r="AK232" s="203">
        <f t="shared" si="401"/>
        <v>4337.5694810000005</v>
      </c>
      <c r="AL232" s="203">
        <f t="shared" si="401"/>
        <v>3940.9218229999997</v>
      </c>
      <c r="AM232" s="24">
        <f t="shared" si="397"/>
        <v>4895.755099</v>
      </c>
      <c r="AN232" s="24">
        <f t="shared" si="397"/>
        <v>5291.6750549999997</v>
      </c>
      <c r="AO232" s="24">
        <f t="shared" si="397"/>
        <v>6596.1923989999996</v>
      </c>
      <c r="AP232" s="24">
        <f t="shared" si="397"/>
        <v>5317.7993620000007</v>
      </c>
      <c r="AQ232" s="23">
        <f t="shared" ref="AQ232:AX232" si="404">AQ182+AQ229</f>
        <v>4967.7649640277268</v>
      </c>
      <c r="AR232" s="23">
        <f t="shared" si="404"/>
        <v>5601.6736702320131</v>
      </c>
      <c r="AS232" s="23">
        <f t="shared" si="404"/>
        <v>6908.4808576016467</v>
      </c>
      <c r="AT232" s="23">
        <f t="shared" si="404"/>
        <v>6237.1142610764782</v>
      </c>
      <c r="AU232" s="23">
        <f t="shared" si="404"/>
        <v>6485.22231655218</v>
      </c>
      <c r="AV232" s="23">
        <f t="shared" si="404"/>
        <v>6986.4712533107459</v>
      </c>
      <c r="AW232" s="23">
        <f t="shared" si="404"/>
        <v>7880.320636817868</v>
      </c>
      <c r="AX232" s="23">
        <f t="shared" si="404"/>
        <v>21772.229503634648</v>
      </c>
      <c r="AY232" s="5"/>
      <c r="AZ232" s="5"/>
    </row>
    <row r="233" spans="1:90" outlineLevel="1">
      <c r="C233" s="23"/>
      <c r="D233" s="23"/>
      <c r="E233" s="23"/>
      <c r="F233" s="23"/>
      <c r="G233" s="238"/>
      <c r="H233" s="238"/>
      <c r="I233" s="238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  <c r="AX233" s="23"/>
      <c r="AY233" s="5"/>
      <c r="AZ233" s="5"/>
    </row>
    <row r="234" spans="1:90" s="202" customFormat="1" outlineLevel="1">
      <c r="A234" s="258" t="s">
        <v>539</v>
      </c>
      <c r="B234" s="202" t="s">
        <v>539</v>
      </c>
      <c r="C234" s="276">
        <f t="shared" ref="C234:I234" si="405">VLOOKUP($A234,CTRP,MATCH(C$5,Period_CTRP,FALSE),FALSE)</f>
        <v>-1626.9606739999999</v>
      </c>
      <c r="D234" s="276">
        <f t="shared" si="405"/>
        <v>-2466.3943440000003</v>
      </c>
      <c r="E234" s="276">
        <f t="shared" si="405"/>
        <v>-3161.536791</v>
      </c>
      <c r="F234" s="276">
        <f t="shared" si="405"/>
        <v>-5397.1090999999997</v>
      </c>
      <c r="G234" s="429">
        <f t="shared" si="405"/>
        <v>-7473.0852969999996</v>
      </c>
      <c r="H234" s="429">
        <f t="shared" si="405"/>
        <v>-16067.168108</v>
      </c>
      <c r="I234" s="429">
        <f t="shared" si="405"/>
        <v>-19175.251370999998</v>
      </c>
      <c r="J234" s="276">
        <f>-J235*J182</f>
        <v>-21958.364586053576</v>
      </c>
      <c r="K234" s="276">
        <f t="shared" ref="K234:Q234" si="406">-K235*K182</f>
        <v>-24888.37169136239</v>
      </c>
      <c r="L234" s="276">
        <f t="shared" si="406"/>
        <v>-28129.955663389617</v>
      </c>
      <c r="M234" s="276">
        <f t="shared" si="406"/>
        <v>-31280.809751125937</v>
      </c>
      <c r="N234" s="276">
        <f t="shared" si="406"/>
        <v>-34435.821144600777</v>
      </c>
      <c r="O234" s="276">
        <f t="shared" si="406"/>
        <v>-37270.247936693071</v>
      </c>
      <c r="P234" s="276">
        <f t="shared" si="406"/>
        <v>-39944.925310973653</v>
      </c>
      <c r="Q234" s="276">
        <f t="shared" si="406"/>
        <v>-42442.574730217624</v>
      </c>
      <c r="R234" s="276">
        <f>-R235*R182</f>
        <v>-45443.527335313811</v>
      </c>
      <c r="S234" s="276">
        <f>-S235*S182</f>
        <v>-48121.647768667644</v>
      </c>
      <c r="T234" s="265"/>
      <c r="U234" s="510">
        <f>(K234/I234)^(1/2)-1</f>
        <v>0.1392727483410745</v>
      </c>
      <c r="V234" s="265"/>
      <c r="W234" s="276">
        <f t="shared" ref="W234:AL234" si="407">VLOOKUP($A234,CTRP,MATCH(W$5,Period_CTRP,FALSE),FALSE)</f>
        <v>-696.31970100000001</v>
      </c>
      <c r="X234" s="276">
        <f t="shared" si="407"/>
        <v>-739.80396799999994</v>
      </c>
      <c r="Y234" s="276">
        <f t="shared" si="407"/>
        <v>-862.31250399999999</v>
      </c>
      <c r="Z234" s="276">
        <f t="shared" si="407"/>
        <v>-863.10061799999994</v>
      </c>
      <c r="AA234" s="276">
        <f t="shared" si="407"/>
        <v>-1061.4291040000001</v>
      </c>
      <c r="AB234" s="276">
        <f t="shared" si="407"/>
        <v>-1152.7398780000001</v>
      </c>
      <c r="AC234" s="276">
        <f t="shared" si="407"/>
        <v>-1452.3477669999997</v>
      </c>
      <c r="AD234" s="276">
        <f t="shared" si="407"/>
        <v>-1730.592351</v>
      </c>
      <c r="AE234" s="276">
        <f t="shared" si="407"/>
        <v>-1790.4372860000001</v>
      </c>
      <c r="AF234" s="276">
        <f t="shared" si="407"/>
        <v>-1736.233923</v>
      </c>
      <c r="AG234" s="276">
        <f t="shared" si="407"/>
        <v>-1930.788</v>
      </c>
      <c r="AH234" s="276">
        <f t="shared" si="407"/>
        <v>-2015.626088</v>
      </c>
      <c r="AI234" s="276">
        <f t="shared" si="407"/>
        <v>-4869.4377039999999</v>
      </c>
      <c r="AJ234" s="276">
        <f t="shared" si="407"/>
        <v>-3574.0492469999999</v>
      </c>
      <c r="AK234" s="276">
        <f t="shared" si="407"/>
        <v>-3890.1457370000003</v>
      </c>
      <c r="AL234" s="276">
        <f t="shared" si="407"/>
        <v>-3733.5354200000002</v>
      </c>
      <c r="AM234" s="276">
        <f>VLOOKUP($A234,CTRP,MATCH(AM$5,Period_CTRP,FALSE),FALSE)</f>
        <v>-4481.5813129999997</v>
      </c>
      <c r="AN234" s="276">
        <f>VLOOKUP($A234,CTRP,MATCH(AN$5,Period_CTRP,FALSE),FALSE)</f>
        <v>-4646.4128010000004</v>
      </c>
      <c r="AO234" s="276">
        <f>VLOOKUP($A234,CTRP,MATCH(AO$5,Period_CTRP,FALSE),FALSE)</f>
        <v>-5237.1941299999999</v>
      </c>
      <c r="AP234" s="276">
        <f>VLOOKUP($A234,CTRP,MATCH(AP$5,Period_CTRP,FALSE),FALSE)</f>
        <v>-4810.0631270000003</v>
      </c>
      <c r="AQ234" s="276">
        <f>-AQ235*AQ182</f>
        <v>-4955.4685160969648</v>
      </c>
      <c r="AR234" s="276">
        <f>-AR235*AR182</f>
        <v>-5387.5529750690139</v>
      </c>
      <c r="AS234" s="276">
        <f>-AS235*AS182</f>
        <v>-6218.4846190495709</v>
      </c>
      <c r="AT234" s="298">
        <f>J234-SUM(AQ234:AS234)</f>
        <v>-5396.8584758380275</v>
      </c>
      <c r="AU234" s="276">
        <f>-AU235*AU182</f>
        <v>-5750.4434333960216</v>
      </c>
      <c r="AV234" s="276">
        <f>-AV235*AV182</f>
        <v>-6108.8603323283614</v>
      </c>
      <c r="AW234" s="276">
        <f>-AW235*AW182</f>
        <v>-6696.3315756210959</v>
      </c>
      <c r="AX234" s="298">
        <f>N234-SUM(AU234:AW234)</f>
        <v>-15880.185803255299</v>
      </c>
      <c r="AY234" s="195"/>
      <c r="AZ234" s="195"/>
      <c r="BA234" s="265"/>
      <c r="BB234" s="265"/>
      <c r="BC234" s="265"/>
      <c r="BD234" s="265"/>
      <c r="BE234" s="265"/>
      <c r="BF234" s="265"/>
      <c r="BG234" s="265"/>
      <c r="BH234" s="265"/>
      <c r="BI234" s="265"/>
      <c r="BJ234" s="265"/>
      <c r="BK234" s="265"/>
      <c r="BL234" s="265"/>
      <c r="BM234" s="265"/>
      <c r="BN234" s="265"/>
      <c r="BO234" s="265"/>
      <c r="BP234" s="266"/>
      <c r="BQ234" s="266"/>
      <c r="BR234" s="266"/>
      <c r="BS234" s="266"/>
      <c r="BT234" s="266"/>
      <c r="BU234" s="266"/>
      <c r="BV234" s="266"/>
      <c r="BW234" s="266"/>
      <c r="BX234" s="266"/>
      <c r="BY234" s="266"/>
      <c r="BZ234" s="266"/>
      <c r="CA234" s="266"/>
      <c r="CF234" s="199"/>
      <c r="CG234" s="199"/>
      <c r="CH234" s="199"/>
      <c r="CI234" s="199"/>
      <c r="CJ234" s="199"/>
      <c r="CK234" s="200"/>
      <c r="CL234" s="201"/>
    </row>
    <row r="235" spans="1:90" outlineLevel="1">
      <c r="B235" s="39" t="s">
        <v>154</v>
      </c>
      <c r="C235" s="322">
        <f t="shared" ref="C235:H235" si="408">-C234/C173</f>
        <v>0.43661509908206653</v>
      </c>
      <c r="D235" s="322">
        <f t="shared" si="408"/>
        <v>0.55937554991506566</v>
      </c>
      <c r="E235" s="322">
        <f t="shared" si="408"/>
        <v>0.5530046100464131</v>
      </c>
      <c r="F235" s="322">
        <f t="shared" si="408"/>
        <v>0.69438011528269616</v>
      </c>
      <c r="G235" s="423">
        <f t="shared" si="408"/>
        <v>0.65000610003713244</v>
      </c>
      <c r="H235" s="322">
        <f t="shared" si="408"/>
        <v>0.8119616818912373</v>
      </c>
      <c r="I235" s="322">
        <f>-I234/I173</f>
        <v>0.71080037451140754</v>
      </c>
      <c r="J235" s="349">
        <f t="shared" ref="J235:S235" si="409">J76+2%</f>
        <v>0.75</v>
      </c>
      <c r="K235" s="349">
        <f t="shared" si="409"/>
        <v>0.71</v>
      </c>
      <c r="L235" s="349">
        <f t="shared" si="409"/>
        <v>0.69000000000000006</v>
      </c>
      <c r="M235" s="349">
        <f t="shared" si="409"/>
        <v>0.67</v>
      </c>
      <c r="N235" s="349">
        <f t="shared" si="409"/>
        <v>0.65</v>
      </c>
      <c r="O235" s="349">
        <f t="shared" si="409"/>
        <v>0.64</v>
      </c>
      <c r="P235" s="349">
        <f t="shared" si="409"/>
        <v>0.63</v>
      </c>
      <c r="Q235" s="349">
        <f t="shared" si="409"/>
        <v>0.62</v>
      </c>
      <c r="R235" s="349">
        <f t="shared" si="409"/>
        <v>0.62</v>
      </c>
      <c r="S235" s="349">
        <f t="shared" si="409"/>
        <v>0.62</v>
      </c>
      <c r="W235" s="322">
        <f>-W234/W173</f>
        <v>0.56684713631043393</v>
      </c>
      <c r="X235" s="322">
        <f t="shared" ref="X235:AK235" si="410">-X234/X173</f>
        <v>0.56039372479260097</v>
      </c>
      <c r="Y235" s="322">
        <f t="shared" si="410"/>
        <v>0.52564446687375688</v>
      </c>
      <c r="Z235" s="322">
        <f t="shared" si="410"/>
        <v>0.56486668541229501</v>
      </c>
      <c r="AA235" s="322">
        <f t="shared" si="410"/>
        <v>0.63438103688575764</v>
      </c>
      <c r="AB235" s="322">
        <f t="shared" si="410"/>
        <v>0.63354559342502426</v>
      </c>
      <c r="AC235" s="322">
        <f t="shared" si="410"/>
        <v>0.64278202437944343</v>
      </c>
      <c r="AD235" s="322">
        <f t="shared" si="410"/>
        <v>0.85655637066811929</v>
      </c>
      <c r="AE235" s="322">
        <f t="shared" si="410"/>
        <v>0.73279393035957052</v>
      </c>
      <c r="AF235" s="322">
        <f t="shared" si="410"/>
        <v>0.65137540579544118</v>
      </c>
      <c r="AG235" s="322">
        <f t="shared" si="410"/>
        <v>0.57536386334602063</v>
      </c>
      <c r="AH235" s="322">
        <f t="shared" si="410"/>
        <v>0.66469963980281921</v>
      </c>
      <c r="AI235" s="322">
        <f t="shared" si="410"/>
        <v>1.1069064126376356</v>
      </c>
      <c r="AJ235" s="322">
        <f t="shared" si="410"/>
        <v>0.78682092541697835</v>
      </c>
      <c r="AK235" s="322">
        <f t="shared" si="410"/>
        <v>0.68635967399920939</v>
      </c>
      <c r="AL235" s="322">
        <f>-AL234/AL173</f>
        <v>0.7209325331858969</v>
      </c>
      <c r="AM235" s="322">
        <f>-AM234/AM173</f>
        <v>0.73070010156923759</v>
      </c>
      <c r="AN235" s="322">
        <f>-AN234/AN173</f>
        <v>0.71908492563181337</v>
      </c>
      <c r="AO235" s="322">
        <f>-AO234/AO173</f>
        <v>0.65819108520214187</v>
      </c>
      <c r="AP235" s="322">
        <f>-AP234/AP173</f>
        <v>0.74862455742860023</v>
      </c>
      <c r="AQ235" s="240">
        <f>AQ76+2%</f>
        <v>0.80600000000000005</v>
      </c>
      <c r="AR235" s="240">
        <f>AR76+2%</f>
        <v>0.78</v>
      </c>
      <c r="AS235" s="240">
        <f>AS76+2%</f>
        <v>0.73</v>
      </c>
      <c r="AT235" s="322">
        <f>-AT234/AT173</f>
        <v>0.69478312038781198</v>
      </c>
      <c r="AU235" s="240">
        <f>AU76+2%</f>
        <v>0.72</v>
      </c>
      <c r="AV235" s="240">
        <f>AV76+2%</f>
        <v>0.71</v>
      </c>
      <c r="AW235" s="240">
        <f>AW76+2%</f>
        <v>0.69000000000000006</v>
      </c>
      <c r="AX235" s="322">
        <f>-AX234/AX173</f>
        <v>0.59061236357739078</v>
      </c>
      <c r="AY235" s="37"/>
      <c r="AZ235" s="37"/>
    </row>
    <row r="236" spans="1:90" outlineLevel="1">
      <c r="A236" s="242" t="s">
        <v>62</v>
      </c>
      <c r="B236" s="39" t="s">
        <v>76</v>
      </c>
      <c r="C236" s="250">
        <f t="shared" ref="C236:I237" si="411">VLOOKUP($A236,CTRP,MATCH(C$5,Period_CTRP,FALSE),FALSE)</f>
        <v>1065.9941699999999</v>
      </c>
      <c r="D236" s="250">
        <f t="shared" si="411"/>
        <v>654.60581199999979</v>
      </c>
      <c r="E236" s="250">
        <f t="shared" si="411"/>
        <v>838.4416839999999</v>
      </c>
      <c r="F236" s="250">
        <f t="shared" si="411"/>
        <v>-150.7971439999983</v>
      </c>
      <c r="G236" s="430">
        <f t="shared" si="411"/>
        <v>381.04294500000196</v>
      </c>
      <c r="H236" s="430">
        <f t="shared" si="411"/>
        <v>-1568.4784859999995</v>
      </c>
      <c r="I236" s="430">
        <f t="shared" si="411"/>
        <v>2926.1705440000005</v>
      </c>
      <c r="J236" s="250">
        <f t="shared" ref="J236:Q236" si="412">J232+J234</f>
        <v>1756.6691668842832</v>
      </c>
      <c r="K236" s="250">
        <f t="shared" si="412"/>
        <v>3575.5125528436147</v>
      </c>
      <c r="L236" s="250">
        <f t="shared" si="412"/>
        <v>5055.2384090729138</v>
      </c>
      <c r="M236" s="250">
        <f t="shared" si="412"/>
        <v>6723.0397077046764</v>
      </c>
      <c r="N236" s="250">
        <f t="shared" si="412"/>
        <v>8688.4225657146526</v>
      </c>
      <c r="O236" s="250">
        <f t="shared" si="412"/>
        <v>10249.318182590585</v>
      </c>
      <c r="P236" s="250">
        <f t="shared" si="412"/>
        <v>11793.263663239843</v>
      </c>
      <c r="Q236" s="250">
        <f t="shared" si="412"/>
        <v>13417.330076004277</v>
      </c>
      <c r="R236" s="250">
        <f>R232+R234</f>
        <v>14366.018318905655</v>
      </c>
      <c r="S236" s="250">
        <f>S232+S234</f>
        <v>15212.649939772353</v>
      </c>
      <c r="W236" s="250">
        <f t="shared" ref="W236:AE236" si="413">VLOOKUP($A236,CTRP,MATCH(W$5,Period_CTRP,FALSE),FALSE)</f>
        <v>160.01674599999967</v>
      </c>
      <c r="X236" s="250">
        <f t="shared" si="413"/>
        <v>195.94067300000029</v>
      </c>
      <c r="Y236" s="250">
        <f t="shared" si="413"/>
        <v>299.54139899999973</v>
      </c>
      <c r="Z236" s="250">
        <f t="shared" si="413"/>
        <v>182.94286600000009</v>
      </c>
      <c r="AA236" s="250">
        <f t="shared" si="413"/>
        <v>70.947131000000127</v>
      </c>
      <c r="AB236" s="250">
        <f t="shared" si="413"/>
        <v>90.919659000000138</v>
      </c>
      <c r="AC236" s="250">
        <f t="shared" si="413"/>
        <v>88.242546000000402</v>
      </c>
      <c r="AD236" s="250">
        <f t="shared" si="413"/>
        <v>-400.9064800000001</v>
      </c>
      <c r="AE236" s="250">
        <f t="shared" si="413"/>
        <v>-180.26735800000074</v>
      </c>
      <c r="AF236" s="250">
        <f>AF232+AF234</f>
        <v>60.883292000000438</v>
      </c>
      <c r="AG236" s="250">
        <f>AG232+AG234</f>
        <v>405.23432600000024</v>
      </c>
      <c r="AH236" s="250">
        <f>AH232+AH234</f>
        <v>95.192684999999983</v>
      </c>
      <c r="AI236" s="250">
        <f t="shared" ref="AI236:AN236" si="414">AI232+AI234</f>
        <v>-1827.3756310000008</v>
      </c>
      <c r="AJ236" s="250">
        <f t="shared" si="414"/>
        <v>-395.91300199999841</v>
      </c>
      <c r="AK236" s="250">
        <f t="shared" si="414"/>
        <v>447.42374400000017</v>
      </c>
      <c r="AL236" s="250">
        <f t="shared" si="414"/>
        <v>207.38640299999952</v>
      </c>
      <c r="AM236" s="250">
        <f t="shared" si="414"/>
        <v>414.17378600000029</v>
      </c>
      <c r="AN236" s="250">
        <f t="shared" si="414"/>
        <v>645.2622539999993</v>
      </c>
      <c r="AO236" s="250">
        <f t="shared" ref="AO236:AT236" si="415">AO232+AO234</f>
        <v>1358.9982689999997</v>
      </c>
      <c r="AP236" s="250">
        <f>AP232+AP234</f>
        <v>507.73623500000031</v>
      </c>
      <c r="AQ236" s="250">
        <f t="shared" si="415"/>
        <v>12.296447930762042</v>
      </c>
      <c r="AR236" s="250">
        <f t="shared" si="415"/>
        <v>214.12069516299925</v>
      </c>
      <c r="AS236" s="250">
        <f t="shared" si="415"/>
        <v>689.99623855207574</v>
      </c>
      <c r="AT236" s="250">
        <f t="shared" si="415"/>
        <v>840.2557852384507</v>
      </c>
      <c r="AU236" s="250">
        <f>AU232+AU234</f>
        <v>734.77888315615837</v>
      </c>
      <c r="AV236" s="250">
        <f>AV232+AV234</f>
        <v>877.61092098238441</v>
      </c>
      <c r="AW236" s="250">
        <f>AW232+AW234</f>
        <v>1183.9890611967721</v>
      </c>
      <c r="AX236" s="250">
        <f>AX232+AX234</f>
        <v>5892.0437003793486</v>
      </c>
      <c r="AY236" s="62"/>
      <c r="AZ236" s="62"/>
    </row>
    <row r="237" spans="1:90" outlineLevel="1">
      <c r="A237" s="242" t="s">
        <v>75</v>
      </c>
      <c r="B237" s="39" t="s">
        <v>156</v>
      </c>
      <c r="C237" s="322">
        <f t="shared" si="411"/>
        <v>0.30473652966179754</v>
      </c>
      <c r="D237" s="322">
        <f t="shared" si="411"/>
        <v>0.15740290214311736</v>
      </c>
      <c r="E237" s="322">
        <f t="shared" si="411"/>
        <v>0.15564902360112259</v>
      </c>
      <c r="F237" s="322">
        <f t="shared" si="411"/>
        <v>-2.0525223832114456E-2</v>
      </c>
      <c r="G237" s="322">
        <f t="shared" si="411"/>
        <v>3.4965869712130622E-2</v>
      </c>
      <c r="H237" s="322">
        <f t="shared" si="411"/>
        <v>-8.1570761911635134E-2</v>
      </c>
      <c r="I237" s="322">
        <f t="shared" si="411"/>
        <v>0.10926851613575883</v>
      </c>
      <c r="J237" s="322">
        <f>J236/J182</f>
        <v>5.9999999999999901E-2</v>
      </c>
      <c r="K237" s="322">
        <f t="shared" ref="K237:Q237" si="416">K236/K182</f>
        <v>0.1020000000000001</v>
      </c>
      <c r="L237" s="322">
        <f t="shared" si="416"/>
        <v>0.12399999999999993</v>
      </c>
      <c r="M237" s="322">
        <f t="shared" si="416"/>
        <v>0.14399999999999996</v>
      </c>
      <c r="N237" s="322">
        <f t="shared" si="416"/>
        <v>0.16399999999999992</v>
      </c>
      <c r="O237" s="322">
        <f t="shared" si="416"/>
        <v>0.17599999999999985</v>
      </c>
      <c r="P237" s="322">
        <f t="shared" si="416"/>
        <v>0.18600000000000003</v>
      </c>
      <c r="Q237" s="322">
        <f t="shared" si="416"/>
        <v>0.19599999999999995</v>
      </c>
      <c r="R237" s="322">
        <f>R236/R182</f>
        <v>0.19599999999999998</v>
      </c>
      <c r="S237" s="322">
        <f>S236/S182</f>
        <v>0.19600000000000001</v>
      </c>
      <c r="W237" s="322">
        <f t="shared" ref="W237:AH237" si="417">W236/W182</f>
        <v>0.13788507060994001</v>
      </c>
      <c r="X237" s="322">
        <f t="shared" si="417"/>
        <v>0.1574003095521829</v>
      </c>
      <c r="Y237" s="322">
        <f t="shared" si="417"/>
        <v>0.19438425674448623</v>
      </c>
      <c r="Z237" s="322">
        <f t="shared" si="417"/>
        <v>0.12700783958708239</v>
      </c>
      <c r="AA237" s="322">
        <f t="shared" si="417"/>
        <v>4.4852486886989104E-2</v>
      </c>
      <c r="AB237" s="322">
        <f t="shared" si="417"/>
        <v>5.2790873564088882E-2</v>
      </c>
      <c r="AC237" s="322">
        <f t="shared" si="417"/>
        <v>4.1436779960193314E-2</v>
      </c>
      <c r="AD237" s="322">
        <f t="shared" si="417"/>
        <v>-0.20953678821517926</v>
      </c>
      <c r="AE237" s="322">
        <f t="shared" si="417"/>
        <v>-7.7876796352569777E-2</v>
      </c>
      <c r="AF237" s="322">
        <f t="shared" si="417"/>
        <v>2.4091812262345441E-2</v>
      </c>
      <c r="AG237" s="322">
        <f t="shared" si="417"/>
        <v>0.12736807519723597</v>
      </c>
      <c r="AH237" s="322">
        <f t="shared" si="417"/>
        <v>3.3121384626138541E-2</v>
      </c>
      <c r="AI237" s="322">
        <f t="shared" ref="AI237:AP237" si="418">AI236/AI182</f>
        <v>-0.43737979021974543</v>
      </c>
      <c r="AJ237" s="322">
        <f t="shared" si="418"/>
        <v>-8.9750043729946688E-2</v>
      </c>
      <c r="AK237" s="322">
        <f t="shared" si="418"/>
        <v>8.0300511973380465E-2</v>
      </c>
      <c r="AL237" s="322">
        <f t="shared" si="418"/>
        <v>4.092655781795479E-2</v>
      </c>
      <c r="AM237" s="322">
        <f t="shared" si="418"/>
        <v>6.806402195328605E-2</v>
      </c>
      <c r="AN237" s="322">
        <f t="shared" si="418"/>
        <v>0.1005744180915088</v>
      </c>
      <c r="AO237" s="322">
        <f t="shared" si="418"/>
        <v>0.17203215159636512</v>
      </c>
      <c r="AP237" s="322">
        <f t="shared" si="418"/>
        <v>7.9593412084096565E-2</v>
      </c>
      <c r="AQ237" s="322">
        <f t="shared" ref="AQ237:AX237" si="419">AQ236/AQ182</f>
        <v>2.000000000000056E-3</v>
      </c>
      <c r="AR237" s="322">
        <f t="shared" si="419"/>
        <v>3.0999999999999996E-2</v>
      </c>
      <c r="AS237" s="322">
        <f t="shared" si="419"/>
        <v>8.1000000000000003E-2</v>
      </c>
      <c r="AT237" s="322">
        <f t="shared" si="419"/>
        <v>0.10906741002449949</v>
      </c>
      <c r="AU237" s="322">
        <f t="shared" si="419"/>
        <v>9.2000000000000012E-2</v>
      </c>
      <c r="AV237" s="322">
        <f t="shared" si="419"/>
        <v>0.10200000000000001</v>
      </c>
      <c r="AW237" s="322">
        <f t="shared" si="419"/>
        <v>0.12199999999999987</v>
      </c>
      <c r="AX237" s="322">
        <f t="shared" si="419"/>
        <v>0.22081967931479049</v>
      </c>
      <c r="AY237" s="5"/>
      <c r="AZ237" s="5"/>
    </row>
    <row r="238" spans="1:90" outlineLevel="1">
      <c r="A238" s="242"/>
      <c r="C238" s="250"/>
      <c r="D238" s="250"/>
      <c r="E238" s="250"/>
      <c r="F238" s="250"/>
      <c r="G238" s="238"/>
      <c r="H238" s="238"/>
      <c r="I238" s="238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W238" s="250"/>
      <c r="X238" s="250"/>
      <c r="Y238" s="250"/>
      <c r="Z238" s="250"/>
      <c r="AA238" s="250"/>
      <c r="AB238" s="250"/>
      <c r="AC238" s="250"/>
      <c r="AD238" s="250"/>
      <c r="AE238" s="250"/>
      <c r="AF238" s="250"/>
      <c r="AG238" s="250"/>
      <c r="AH238" s="250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  <c r="AX238" s="23"/>
      <c r="AY238" s="5"/>
      <c r="AZ238" s="5"/>
    </row>
    <row r="239" spans="1:90" outlineLevel="1">
      <c r="A239" s="242"/>
      <c r="B239" s="282" t="s">
        <v>169</v>
      </c>
      <c r="C239" s="283"/>
      <c r="D239" s="283"/>
      <c r="E239" s="283"/>
      <c r="F239" s="283"/>
      <c r="G239" s="285"/>
      <c r="H239" s="285"/>
      <c r="I239" s="285"/>
      <c r="J239" s="284"/>
      <c r="K239" s="284"/>
      <c r="L239" s="284"/>
      <c r="M239" s="284"/>
      <c r="N239" s="284"/>
      <c r="O239" s="284"/>
      <c r="P239" s="284"/>
      <c r="Q239" s="284"/>
      <c r="R239" s="284"/>
      <c r="S239" s="284"/>
      <c r="W239" s="283"/>
      <c r="X239" s="283"/>
      <c r="Y239" s="283"/>
      <c r="Z239" s="283"/>
      <c r="AA239" s="283"/>
      <c r="AB239" s="283"/>
      <c r="AC239" s="283"/>
      <c r="AD239" s="283"/>
      <c r="AE239" s="283"/>
      <c r="AF239" s="283"/>
      <c r="AG239" s="283"/>
      <c r="AH239" s="283"/>
      <c r="AI239" s="284"/>
      <c r="AJ239" s="284"/>
      <c r="AK239" s="284"/>
      <c r="AL239" s="284"/>
      <c r="AM239" s="284"/>
      <c r="AN239" s="284"/>
      <c r="AO239" s="284"/>
      <c r="AP239" s="284"/>
      <c r="AQ239" s="284"/>
      <c r="AR239" s="284"/>
      <c r="AS239" s="284"/>
      <c r="AT239" s="284"/>
      <c r="AU239" s="284"/>
      <c r="AV239" s="284"/>
      <c r="AW239" s="284"/>
      <c r="AX239" s="284"/>
      <c r="AY239" s="5"/>
      <c r="AZ239" s="5"/>
    </row>
    <row r="240" spans="1:90" outlineLevel="1">
      <c r="A240" s="242"/>
      <c r="B240" s="290" t="s">
        <v>167</v>
      </c>
      <c r="C240" s="283"/>
      <c r="D240" s="283"/>
      <c r="E240" s="283"/>
      <c r="F240" s="283"/>
      <c r="G240" s="285"/>
      <c r="H240" s="285"/>
      <c r="I240" s="285"/>
      <c r="J240" s="284"/>
      <c r="K240" s="284"/>
      <c r="L240" s="284"/>
      <c r="M240" s="284"/>
      <c r="N240" s="284"/>
      <c r="O240" s="284"/>
      <c r="P240" s="284"/>
      <c r="Q240" s="284"/>
      <c r="R240" s="284"/>
      <c r="S240" s="284"/>
      <c r="W240" s="283"/>
      <c r="X240" s="283"/>
      <c r="Y240" s="283"/>
      <c r="Z240" s="283"/>
      <c r="AA240" s="283"/>
      <c r="AB240" s="283"/>
      <c r="AC240" s="283"/>
      <c r="AD240" s="283"/>
      <c r="AE240" s="283"/>
      <c r="AF240" s="283"/>
      <c r="AG240" s="283"/>
      <c r="AH240" s="283"/>
      <c r="AI240" s="284"/>
      <c r="AJ240" s="284"/>
      <c r="AK240" s="284"/>
      <c r="AL240" s="284"/>
      <c r="AM240" s="284"/>
      <c r="AN240" s="284"/>
      <c r="AO240" s="284"/>
      <c r="AP240" s="284"/>
      <c r="AQ240" s="284"/>
      <c r="AR240" s="284"/>
      <c r="AS240" s="284"/>
      <c r="AT240" s="284"/>
      <c r="AU240" s="284"/>
      <c r="AV240" s="284"/>
      <c r="AW240" s="284"/>
      <c r="AX240" s="284"/>
      <c r="AY240" s="5"/>
      <c r="AZ240" s="5"/>
    </row>
    <row r="241" spans="1:52" outlineLevel="1">
      <c r="A241" s="242"/>
      <c r="B241" s="290" t="s">
        <v>84</v>
      </c>
      <c r="C241" s="283"/>
      <c r="D241" s="283"/>
      <c r="E241" s="283"/>
      <c r="F241" s="283"/>
      <c r="G241" s="285"/>
      <c r="H241" s="285"/>
      <c r="I241" s="285"/>
      <c r="J241" s="284"/>
      <c r="K241" s="284"/>
      <c r="L241" s="284"/>
      <c r="M241" s="284"/>
      <c r="N241" s="284"/>
      <c r="O241" s="284"/>
      <c r="P241" s="284"/>
      <c r="Q241" s="284"/>
      <c r="R241" s="284"/>
      <c r="S241" s="284"/>
      <c r="W241" s="283"/>
      <c r="X241" s="283"/>
      <c r="Y241" s="283"/>
      <c r="Z241" s="283"/>
      <c r="AA241" s="283"/>
      <c r="AB241" s="283"/>
      <c r="AC241" s="283"/>
      <c r="AD241" s="283"/>
      <c r="AE241" s="283"/>
      <c r="AF241" s="283"/>
      <c r="AG241" s="283"/>
      <c r="AH241" s="283"/>
      <c r="AI241" s="284"/>
      <c r="AJ241" s="284"/>
      <c r="AK241" s="284"/>
      <c r="AL241" s="284"/>
      <c r="AM241" s="284"/>
      <c r="AN241" s="284"/>
      <c r="AO241" s="284"/>
      <c r="AP241" s="284"/>
      <c r="AQ241" s="284"/>
      <c r="AR241" s="284"/>
      <c r="AS241" s="284"/>
      <c r="AT241" s="284"/>
      <c r="AU241" s="284"/>
      <c r="AV241" s="284"/>
      <c r="AW241" s="284"/>
      <c r="AX241" s="284"/>
      <c r="AY241" s="5"/>
      <c r="AZ241" s="5"/>
    </row>
    <row r="242" spans="1:52" outlineLevel="1">
      <c r="A242" s="242"/>
      <c r="B242" s="290" t="s">
        <v>168</v>
      </c>
      <c r="C242" s="283"/>
      <c r="D242" s="283"/>
      <c r="E242" s="283"/>
      <c r="F242" s="283"/>
      <c r="G242" s="285"/>
      <c r="H242" s="285"/>
      <c r="I242" s="285"/>
      <c r="J242" s="284"/>
      <c r="K242" s="284"/>
      <c r="L242" s="284"/>
      <c r="M242" s="284"/>
      <c r="N242" s="284"/>
      <c r="O242" s="284"/>
      <c r="P242" s="284"/>
      <c r="Q242" s="284"/>
      <c r="R242" s="284"/>
      <c r="S242" s="284"/>
      <c r="W242" s="283"/>
      <c r="X242" s="283"/>
      <c r="Y242" s="283"/>
      <c r="Z242" s="283"/>
      <c r="AA242" s="283"/>
      <c r="AB242" s="283"/>
      <c r="AC242" s="283"/>
      <c r="AD242" s="283"/>
      <c r="AE242" s="283"/>
      <c r="AF242" s="283"/>
      <c r="AG242" s="283"/>
      <c r="AH242" s="283"/>
      <c r="AI242" s="284"/>
      <c r="AJ242" s="284"/>
      <c r="AK242" s="284"/>
      <c r="AL242" s="284"/>
      <c r="AM242" s="284"/>
      <c r="AN242" s="284"/>
      <c r="AO242" s="284"/>
      <c r="AP242" s="284"/>
      <c r="AQ242" s="284"/>
      <c r="AR242" s="284"/>
      <c r="AS242" s="284"/>
      <c r="AT242" s="284"/>
      <c r="AU242" s="284"/>
      <c r="AV242" s="284"/>
      <c r="AW242" s="284"/>
      <c r="AX242" s="284"/>
      <c r="AY242" s="5"/>
      <c r="AZ242" s="5"/>
    </row>
    <row r="243" spans="1:52" outlineLevel="1">
      <c r="A243" s="242"/>
      <c r="B243" s="290" t="s">
        <v>119</v>
      </c>
      <c r="C243" s="283"/>
      <c r="D243" s="283"/>
      <c r="E243" s="283"/>
      <c r="F243" s="283"/>
      <c r="G243" s="285"/>
      <c r="H243" s="285"/>
      <c r="I243" s="285"/>
      <c r="J243" s="284"/>
      <c r="K243" s="284"/>
      <c r="L243" s="284"/>
      <c r="M243" s="284"/>
      <c r="N243" s="284"/>
      <c r="O243" s="284"/>
      <c r="P243" s="284"/>
      <c r="Q243" s="284"/>
      <c r="R243" s="284"/>
      <c r="S243" s="284"/>
      <c r="W243" s="283"/>
      <c r="X243" s="283"/>
      <c r="Y243" s="283"/>
      <c r="Z243" s="283"/>
      <c r="AA243" s="283"/>
      <c r="AB243" s="283"/>
      <c r="AC243" s="283"/>
      <c r="AD243" s="283"/>
      <c r="AE243" s="283"/>
      <c r="AF243" s="283"/>
      <c r="AG243" s="283"/>
      <c r="AH243" s="283"/>
      <c r="AI243" s="284"/>
      <c r="AJ243" s="284"/>
      <c r="AK243" s="284"/>
      <c r="AL243" s="284"/>
      <c r="AM243" s="284"/>
      <c r="AN243" s="284"/>
      <c r="AO243" s="284"/>
      <c r="AP243" s="284"/>
      <c r="AQ243" s="284"/>
      <c r="AR243" s="284"/>
      <c r="AS243" s="284"/>
      <c r="AT243" s="284"/>
      <c r="AU243" s="284"/>
      <c r="AV243" s="284"/>
      <c r="AW243" s="284"/>
      <c r="AX243" s="284"/>
      <c r="AY243" s="5"/>
      <c r="AZ243" s="5"/>
    </row>
    <row r="244" spans="1:52" outlineLevel="1">
      <c r="A244" s="242"/>
      <c r="B244" s="290" t="s">
        <v>125</v>
      </c>
      <c r="C244" s="283"/>
      <c r="D244" s="283"/>
      <c r="E244" s="283"/>
      <c r="F244" s="283"/>
      <c r="G244" s="285"/>
      <c r="H244" s="285"/>
      <c r="I244" s="285"/>
      <c r="J244" s="284"/>
      <c r="K244" s="284"/>
      <c r="L244" s="284"/>
      <c r="M244" s="284"/>
      <c r="N244" s="284"/>
      <c r="O244" s="284"/>
      <c r="P244" s="284"/>
      <c r="Q244" s="284"/>
      <c r="R244" s="284"/>
      <c r="S244" s="284"/>
      <c r="W244" s="283"/>
      <c r="X244" s="283"/>
      <c r="Y244" s="283"/>
      <c r="Z244" s="283"/>
      <c r="AA244" s="283"/>
      <c r="AB244" s="283"/>
      <c r="AC244" s="283"/>
      <c r="AD244" s="283"/>
      <c r="AE244" s="283"/>
      <c r="AF244" s="283"/>
      <c r="AG244" s="283"/>
      <c r="AH244" s="283"/>
      <c r="AI244" s="284"/>
      <c r="AJ244" s="284"/>
      <c r="AK244" s="284"/>
      <c r="AL244" s="284"/>
      <c r="AM244" s="284"/>
      <c r="AN244" s="284"/>
      <c r="AO244" s="284"/>
      <c r="AP244" s="284"/>
      <c r="AQ244" s="284"/>
      <c r="AR244" s="284"/>
      <c r="AS244" s="284"/>
      <c r="AT244" s="284"/>
      <c r="AU244" s="284"/>
      <c r="AV244" s="284"/>
      <c r="AW244" s="284"/>
      <c r="AX244" s="284"/>
      <c r="AY244" s="5"/>
      <c r="AZ244" s="5"/>
    </row>
    <row r="245" spans="1:52">
      <c r="G245" s="301"/>
      <c r="H245" s="301"/>
      <c r="I245" s="301"/>
      <c r="J245" s="299"/>
      <c r="K245" s="299"/>
      <c r="L245" s="299"/>
      <c r="M245" s="299"/>
      <c r="N245" s="299"/>
      <c r="O245" s="299"/>
      <c r="P245" s="299"/>
      <c r="Q245" s="299"/>
      <c r="R245" s="299"/>
      <c r="S245" s="299"/>
      <c r="AF245" s="299"/>
      <c r="AG245" s="299"/>
      <c r="AH245" s="299"/>
      <c r="AI245" s="299"/>
      <c r="AJ245" s="299"/>
      <c r="AK245" s="299"/>
      <c r="AL245" s="299"/>
      <c r="AM245" s="299"/>
      <c r="AN245" s="299"/>
      <c r="AO245" s="299"/>
      <c r="AP245" s="299"/>
      <c r="AQ245" s="299"/>
      <c r="AR245" s="299"/>
      <c r="AS245" s="299"/>
      <c r="AT245" s="299"/>
      <c r="AU245" s="299"/>
      <c r="AV245" s="299"/>
      <c r="AW245" s="299"/>
      <c r="AX245" s="299"/>
      <c r="AY245" s="300"/>
      <c r="AZ245" s="300"/>
    </row>
  </sheetData>
  <customSheetViews>
    <customSheetView guid="{6ED7E203-3B12-4790-A9AD-D7EF4259F09D}" scale="85" showGridLines="0" hiddenColumns="1">
      <pane xSplit="2" ySplit="6" topLeftCell="R7" activePane="bottomRight" state="frozen"/>
      <selection pane="bottomRight" activeCell="T20" sqref="T20"/>
      <pageMargins left="0.7" right="0.7" top="0.75" bottom="0.75" header="0.3" footer="0.3"/>
      <pageSetup orientation="portrait" r:id="rId1"/>
    </customSheetView>
    <customSheetView guid="{B8862541-B9EF-4C0A-9660-E37FD3328D7C}" scale="85" showGridLines="0">
      <pane xSplit="2" ySplit="6" topLeftCell="M38" activePane="bottomRight" state="frozen"/>
      <selection pane="bottomRight" activeCell="S73" sqref="S73"/>
      <pageMargins left="0.7" right="0.7" top="0.75" bottom="0.75" header="0.3" footer="0.3"/>
    </customSheetView>
    <customSheetView guid="{E131BE6B-79DB-46DB-B0E9-6B0271F9C8B0}" scale="85" showGridLines="0">
      <pane xSplit="2" ySplit="6" topLeftCell="L29" activePane="bottomRight" state="frozen"/>
      <selection pane="bottomRight" activeCell="Q67" sqref="Q67"/>
      <pageMargins left="0.7" right="0.7" top="0.75" bottom="0.75" header="0.3" footer="0.3"/>
    </customSheetView>
    <customSheetView guid="{FB5A43A4-CF56-4312-A757-8F3AEABE0131}" scale="85" showGridLines="0">
      <pane xSplit="9" ySplit="6" topLeftCell="Q37" activePane="bottomRight" state="frozen"/>
      <selection pane="bottomRight" activeCell="AR1" sqref="AR1:AR65536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  <pageSetUpPr fitToPage="1"/>
  </sheetPr>
  <dimension ref="A1:CR1220"/>
  <sheetViews>
    <sheetView showGridLines="0" zoomScale="85" zoomScaleNormal="85" workbookViewId="0">
      <pane xSplit="2" ySplit="5" topLeftCell="R352" activePane="bottomRight" state="frozen"/>
      <selection pane="topRight" activeCell="C1" sqref="C1"/>
      <selection pane="bottomLeft" activeCell="A6" sqref="A6"/>
      <selection pane="bottomRight" activeCell="U335" sqref="U335"/>
    </sheetView>
  </sheetViews>
  <sheetFormatPr defaultRowHeight="15" outlineLevelRow="2" outlineLevelCol="1"/>
  <cols>
    <col min="1" max="1" width="10.7109375" style="3" customWidth="1"/>
    <col min="2" max="2" width="44.140625" style="13" bestFit="1" customWidth="1"/>
    <col min="3" max="7" width="10.5703125" style="13" hidden="1" customWidth="1" outlineLevel="1"/>
    <col min="8" max="8" width="10.28515625" style="13" hidden="1" customWidth="1" outlineLevel="1"/>
    <col min="9" max="9" width="10.28515625" style="13" hidden="1" customWidth="1" outlineLevel="1" collapsed="1"/>
    <col min="10" max="15" width="11.28515625" style="13" hidden="1" customWidth="1" outlineLevel="1"/>
    <col min="16" max="16" width="11.42578125" style="13" hidden="1" customWidth="1" outlineLevel="1"/>
    <col min="17" max="17" width="11.28515625" style="13" hidden="1" customWidth="1" outlineLevel="1"/>
    <col min="18" max="18" width="10.7109375" style="13" bestFit="1" customWidth="1" collapsed="1"/>
    <col min="19" max="19" width="10" style="13" bestFit="1" customWidth="1"/>
    <col min="20" max="22" width="10.42578125" style="13" bestFit="1" customWidth="1"/>
    <col min="23" max="23" width="10.85546875" style="13" customWidth="1"/>
    <col min="24" max="24" width="10.85546875" style="13" hidden="1" customWidth="1" outlineLevel="1"/>
    <col min="25" max="25" width="10.42578125" style="13" hidden="1" customWidth="1" outlineLevel="1"/>
    <col min="26" max="30" width="10.85546875" style="13" hidden="1" customWidth="1" outlineLevel="1"/>
    <col min="31" max="31" width="10.7109375" style="13" customWidth="1" collapsed="1"/>
    <col min="32" max="45" width="10.28515625" style="13" hidden="1" customWidth="1" outlineLevel="1"/>
    <col min="46" max="51" width="11.28515625" style="13" hidden="1" customWidth="1" outlineLevel="1"/>
    <col min="52" max="52" width="11.28515625" style="13" hidden="1" customWidth="1" outlineLevel="1" collapsed="1"/>
    <col min="53" max="61" width="11.28515625" style="13" hidden="1" customWidth="1" outlineLevel="1"/>
    <col min="62" max="64" width="10.28515625" style="13" hidden="1" customWidth="1" outlineLevel="1"/>
    <col min="65" max="65" width="10.140625" style="13" hidden="1" customWidth="1" outlineLevel="1"/>
    <col min="66" max="67" width="9.28515625" style="13" hidden="1" customWidth="1" outlineLevel="1"/>
    <col min="68" max="68" width="9.28515625" style="13" customWidth="1" collapsed="1"/>
    <col min="69" max="73" width="9.28515625" style="13" customWidth="1"/>
    <col min="74" max="74" width="9.7109375" style="13" customWidth="1"/>
    <col min="75" max="83" width="9.28515625" style="13" customWidth="1"/>
    <col min="84" max="84" width="13.42578125" style="12" customWidth="1"/>
    <col min="85" max="86" width="4.5703125" style="12" customWidth="1"/>
    <col min="87" max="87" width="9.140625" style="13"/>
    <col min="88" max="88" width="19.85546875" customWidth="1"/>
    <col min="89" max="89" width="7.28515625" customWidth="1"/>
    <col min="90" max="90" width="13" customWidth="1"/>
    <col min="94" max="96" width="9.140625" style="13"/>
    <col min="97" max="16384" width="9.140625" style="12"/>
  </cols>
  <sheetData>
    <row r="1" spans="1:96">
      <c r="A1" s="3" t="s">
        <v>159</v>
      </c>
      <c r="B1" s="91"/>
      <c r="C1" s="138"/>
      <c r="R1" s="41"/>
      <c r="BP1" s="41"/>
      <c r="BT1" s="41"/>
      <c r="CG1" s="5"/>
      <c r="CH1" s="5"/>
    </row>
    <row r="2" spans="1:96">
      <c r="A2" s="3" t="s">
        <v>301</v>
      </c>
      <c r="B2" s="116" t="s">
        <v>170</v>
      </c>
      <c r="R2" s="41"/>
      <c r="T2" s="377" t="s">
        <v>159</v>
      </c>
      <c r="V2" s="139"/>
      <c r="Y2" s="140"/>
      <c r="BP2" s="41"/>
      <c r="BQ2" s="41"/>
      <c r="BT2" s="41"/>
      <c r="CG2" s="5"/>
      <c r="CH2" s="5"/>
    </row>
    <row r="3" spans="1:96">
      <c r="A3" s="3" t="s">
        <v>302</v>
      </c>
      <c r="B3" s="651">
        <f ca="1">Valuation!T19</f>
        <v>43.709581881412824</v>
      </c>
      <c r="S3" s="116" t="s">
        <v>793</v>
      </c>
      <c r="T3" s="116" t="s">
        <v>794</v>
      </c>
      <c r="BP3" s="116" t="s">
        <v>792</v>
      </c>
      <c r="BS3" s="323"/>
      <c r="BT3" s="116" t="s">
        <v>791</v>
      </c>
      <c r="CG3" s="5"/>
      <c r="CH3" s="5"/>
    </row>
    <row r="4" spans="1:96" s="5" customFormat="1">
      <c r="A4" s="3" t="s">
        <v>580</v>
      </c>
      <c r="B4" s="512"/>
      <c r="C4" s="513" t="str">
        <f t="shared" ref="C4:O4" si="0">+"FY"&amp;RIGHT(YEAR(C5),2)</f>
        <v>FY00</v>
      </c>
      <c r="D4" s="513" t="str">
        <f t="shared" si="0"/>
        <v>FY01</v>
      </c>
      <c r="E4" s="513" t="str">
        <f t="shared" si="0"/>
        <v>FY02</v>
      </c>
      <c r="F4" s="513" t="str">
        <f t="shared" si="0"/>
        <v>FY03</v>
      </c>
      <c r="G4" s="513" t="str">
        <f t="shared" si="0"/>
        <v>FY04</v>
      </c>
      <c r="H4" s="513" t="str">
        <f t="shared" si="0"/>
        <v>FY05</v>
      </c>
      <c r="I4" s="513" t="str">
        <f t="shared" si="0"/>
        <v>FY06</v>
      </c>
      <c r="J4" s="513" t="str">
        <f t="shared" si="0"/>
        <v>FY07</v>
      </c>
      <c r="K4" s="513" t="str">
        <f t="shared" si="0"/>
        <v>FY08</v>
      </c>
      <c r="L4" s="513" t="str">
        <f t="shared" si="0"/>
        <v>FY09</v>
      </c>
      <c r="M4" s="513" t="str">
        <f t="shared" si="0"/>
        <v>FY10</v>
      </c>
      <c r="N4" s="513" t="str">
        <f t="shared" si="0"/>
        <v>FY11</v>
      </c>
      <c r="O4" s="513" t="str">
        <f t="shared" si="0"/>
        <v>FY12</v>
      </c>
      <c r="P4" s="513" t="s">
        <v>4</v>
      </c>
      <c r="Q4" s="513" t="s">
        <v>9</v>
      </c>
      <c r="R4" s="513" t="s">
        <v>284</v>
      </c>
      <c r="S4" s="513" t="str">
        <f>+"FY"&amp;RIGHT(YEAR(S5),2)</f>
        <v>FY16</v>
      </c>
      <c r="T4" s="513" t="str">
        <f>+"FY"&amp;RIGHT(YEAR(T5),2)&amp;""</f>
        <v>FY17</v>
      </c>
      <c r="U4" s="513" t="str">
        <f t="shared" ref="U4:AD4" si="1">+"FY"&amp;RIGHT(YEAR(U5),2)&amp;"F"</f>
        <v>FY18F</v>
      </c>
      <c r="V4" s="513" t="str">
        <f t="shared" si="1"/>
        <v>FY19F</v>
      </c>
      <c r="W4" s="513" t="str">
        <f t="shared" si="1"/>
        <v>FY20F</v>
      </c>
      <c r="X4" s="513" t="str">
        <f t="shared" si="1"/>
        <v>FY21F</v>
      </c>
      <c r="Y4" s="513" t="str">
        <f t="shared" si="1"/>
        <v>FY22F</v>
      </c>
      <c r="Z4" s="513" t="str">
        <f t="shared" si="1"/>
        <v>FY23F</v>
      </c>
      <c r="AA4" s="513" t="str">
        <f t="shared" si="1"/>
        <v>FY24F</v>
      </c>
      <c r="AB4" s="513" t="str">
        <f t="shared" si="1"/>
        <v>FY25F</v>
      </c>
      <c r="AC4" s="513" t="str">
        <f t="shared" si="1"/>
        <v>FY26F</v>
      </c>
      <c r="AD4" s="513" t="str">
        <f t="shared" si="1"/>
        <v>FY27F</v>
      </c>
      <c r="AE4" s="513"/>
      <c r="AF4" s="513" t="s">
        <v>96</v>
      </c>
      <c r="AG4" s="513" t="s">
        <v>97</v>
      </c>
      <c r="AH4" s="513" t="s">
        <v>98</v>
      </c>
      <c r="AI4" s="513" t="s">
        <v>99</v>
      </c>
      <c r="AJ4" s="513" t="s">
        <v>100</v>
      </c>
      <c r="AK4" s="513" t="s">
        <v>101</v>
      </c>
      <c r="AL4" s="513" t="s">
        <v>102</v>
      </c>
      <c r="AM4" s="513" t="s">
        <v>103</v>
      </c>
      <c r="AN4" s="513" t="s">
        <v>104</v>
      </c>
      <c r="AO4" s="513" t="s">
        <v>105</v>
      </c>
      <c r="AP4" s="513" t="s">
        <v>106</v>
      </c>
      <c r="AQ4" s="513" t="s">
        <v>107</v>
      </c>
      <c r="AR4" s="513" t="s">
        <v>108</v>
      </c>
      <c r="AS4" s="513" t="s">
        <v>109</v>
      </c>
      <c r="AT4" s="513" t="s">
        <v>110</v>
      </c>
      <c r="AU4" s="513" t="s">
        <v>111</v>
      </c>
      <c r="AV4" s="513" t="s">
        <v>92</v>
      </c>
      <c r="AW4" s="513" t="s">
        <v>93</v>
      </c>
      <c r="AX4" s="513" t="s">
        <v>94</v>
      </c>
      <c r="AY4" s="513" t="s">
        <v>95</v>
      </c>
      <c r="AZ4" s="513" t="s">
        <v>88</v>
      </c>
      <c r="BA4" s="513" t="s">
        <v>89</v>
      </c>
      <c r="BB4" s="513" t="s">
        <v>90</v>
      </c>
      <c r="BC4" s="513" t="s">
        <v>91</v>
      </c>
      <c r="BD4" s="513" t="s">
        <v>0</v>
      </c>
      <c r="BE4" s="513" t="s">
        <v>1</v>
      </c>
      <c r="BF4" s="513" t="s">
        <v>2</v>
      </c>
      <c r="BG4" s="513" t="s">
        <v>3</v>
      </c>
      <c r="BH4" s="513" t="s">
        <v>5</v>
      </c>
      <c r="BI4" s="513" t="s">
        <v>6</v>
      </c>
      <c r="BJ4" s="513" t="s">
        <v>7</v>
      </c>
      <c r="BK4" s="513" t="s">
        <v>8</v>
      </c>
      <c r="BL4" s="513" t="s">
        <v>10</v>
      </c>
      <c r="BM4" s="513" t="s">
        <v>499</v>
      </c>
      <c r="BN4" s="513" t="s">
        <v>501</v>
      </c>
      <c r="BO4" s="513" t="s">
        <v>533</v>
      </c>
      <c r="BP4" s="513" t="s">
        <v>551</v>
      </c>
      <c r="BQ4" s="513" t="s">
        <v>552</v>
      </c>
      <c r="BR4" s="513" t="s">
        <v>553</v>
      </c>
      <c r="BS4" s="513" t="s">
        <v>554</v>
      </c>
      <c r="BT4" s="513" t="s">
        <v>555</v>
      </c>
      <c r="BU4" s="513" t="s">
        <v>556</v>
      </c>
      <c r="BV4" s="513" t="s">
        <v>557</v>
      </c>
      <c r="BW4" s="513" t="s">
        <v>558</v>
      </c>
      <c r="BX4" s="513" t="s">
        <v>731</v>
      </c>
      <c r="BY4" s="513" t="s">
        <v>732</v>
      </c>
      <c r="BZ4" s="513" t="s">
        <v>733</v>
      </c>
      <c r="CA4" s="513" t="s">
        <v>734</v>
      </c>
      <c r="CB4" s="513" t="s">
        <v>838</v>
      </c>
      <c r="CC4" s="513" t="s">
        <v>839</v>
      </c>
      <c r="CD4" s="513" t="s">
        <v>840</v>
      </c>
      <c r="CE4" s="513" t="s">
        <v>841</v>
      </c>
      <c r="CF4" s="4"/>
      <c r="CI4" s="6"/>
      <c r="CJ4"/>
      <c r="CK4"/>
      <c r="CL4"/>
      <c r="CM4"/>
      <c r="CN4"/>
      <c r="CO4"/>
      <c r="CP4" s="6"/>
      <c r="CQ4" s="6"/>
      <c r="CR4" s="6"/>
    </row>
    <row r="5" spans="1:96" s="5" customFormat="1">
      <c r="A5" s="3"/>
      <c r="B5" s="508" t="s">
        <v>11</v>
      </c>
      <c r="C5" s="509">
        <f t="shared" ref="C5:O5" si="2">+EOMONTH(D5,-12)</f>
        <v>36891</v>
      </c>
      <c r="D5" s="509">
        <f t="shared" si="2"/>
        <v>37256</v>
      </c>
      <c r="E5" s="509">
        <f t="shared" si="2"/>
        <v>37621</v>
      </c>
      <c r="F5" s="509">
        <f t="shared" si="2"/>
        <v>37986</v>
      </c>
      <c r="G5" s="509">
        <f t="shared" si="2"/>
        <v>38352</v>
      </c>
      <c r="H5" s="509">
        <f t="shared" si="2"/>
        <v>38717</v>
      </c>
      <c r="I5" s="509">
        <f t="shared" si="2"/>
        <v>39082</v>
      </c>
      <c r="J5" s="509">
        <f t="shared" si="2"/>
        <v>39447</v>
      </c>
      <c r="K5" s="509">
        <f t="shared" si="2"/>
        <v>39813</v>
      </c>
      <c r="L5" s="509">
        <f t="shared" si="2"/>
        <v>40178</v>
      </c>
      <c r="M5" s="509">
        <f t="shared" si="2"/>
        <v>40543</v>
      </c>
      <c r="N5" s="509">
        <f t="shared" si="2"/>
        <v>40908</v>
      </c>
      <c r="O5" s="509">
        <f t="shared" si="2"/>
        <v>41274</v>
      </c>
      <c r="P5" s="509">
        <f>+BG5</f>
        <v>41639</v>
      </c>
      <c r="Q5" s="509">
        <f>+BK5</f>
        <v>42004</v>
      </c>
      <c r="R5" s="509">
        <f t="shared" ref="R5:AD5" si="3">+EOMONTH(Q5,12)</f>
        <v>42369</v>
      </c>
      <c r="S5" s="509">
        <f t="shared" si="3"/>
        <v>42735</v>
      </c>
      <c r="T5" s="509">
        <f t="shared" si="3"/>
        <v>43100</v>
      </c>
      <c r="U5" s="509">
        <f t="shared" si="3"/>
        <v>43465</v>
      </c>
      <c r="V5" s="509">
        <f t="shared" si="3"/>
        <v>43830</v>
      </c>
      <c r="W5" s="509">
        <f t="shared" si="3"/>
        <v>44196</v>
      </c>
      <c r="X5" s="509">
        <f t="shared" si="3"/>
        <v>44561</v>
      </c>
      <c r="Y5" s="509">
        <f t="shared" si="3"/>
        <v>44926</v>
      </c>
      <c r="Z5" s="509">
        <f t="shared" si="3"/>
        <v>45291</v>
      </c>
      <c r="AA5" s="509">
        <f t="shared" si="3"/>
        <v>45657</v>
      </c>
      <c r="AB5" s="509">
        <f t="shared" si="3"/>
        <v>46022</v>
      </c>
      <c r="AC5" s="509">
        <f t="shared" si="3"/>
        <v>46387</v>
      </c>
      <c r="AD5" s="509">
        <f t="shared" si="3"/>
        <v>46752</v>
      </c>
      <c r="AE5" s="509"/>
      <c r="AF5" s="509">
        <v>39172</v>
      </c>
      <c r="AG5" s="509">
        <f>+EOMONTH(AF5,3)</f>
        <v>39263</v>
      </c>
      <c r="AH5" s="509">
        <f>+EOMONTH(AG5,3)</f>
        <v>39355</v>
      </c>
      <c r="AI5" s="509">
        <f>+EOMONTH(AH5,3)</f>
        <v>39447</v>
      </c>
      <c r="AJ5" s="509">
        <v>39538</v>
      </c>
      <c r="AK5" s="509">
        <f>+EOMONTH(AJ5,3)</f>
        <v>39629</v>
      </c>
      <c r="AL5" s="509">
        <f>+EOMONTH(AK5,3)</f>
        <v>39721</v>
      </c>
      <c r="AM5" s="509">
        <f>+EOMONTH(AL5,3)</f>
        <v>39813</v>
      </c>
      <c r="AN5" s="509">
        <v>39903</v>
      </c>
      <c r="AO5" s="509">
        <f>+EOMONTH(AN5,3)</f>
        <v>39994</v>
      </c>
      <c r="AP5" s="509">
        <f>+EOMONTH(AO5,3)</f>
        <v>40086</v>
      </c>
      <c r="AQ5" s="509">
        <f>+EOMONTH(AP5,3)</f>
        <v>40178</v>
      </c>
      <c r="AR5" s="509">
        <v>40268</v>
      </c>
      <c r="AS5" s="509">
        <f>+EOMONTH(AR5,3)</f>
        <v>40359</v>
      </c>
      <c r="AT5" s="509">
        <f>+EOMONTH(AS5,3)</f>
        <v>40451</v>
      </c>
      <c r="AU5" s="509">
        <f>+EOMONTH(AT5,3)</f>
        <v>40543</v>
      </c>
      <c r="AV5" s="509">
        <v>40633</v>
      </c>
      <c r="AW5" s="509">
        <f>+EOMONTH(AV5,3)</f>
        <v>40724</v>
      </c>
      <c r="AX5" s="509">
        <f>+EOMONTH(AW5,3)</f>
        <v>40816</v>
      </c>
      <c r="AY5" s="509">
        <f>+EOMONTH(AX5,3)</f>
        <v>40908</v>
      </c>
      <c r="AZ5" s="509">
        <v>40999</v>
      </c>
      <c r="BA5" s="509">
        <f>+EOMONTH(AZ5,3)</f>
        <v>41090</v>
      </c>
      <c r="BB5" s="509">
        <f>+EOMONTH(BA5,3)</f>
        <v>41182</v>
      </c>
      <c r="BC5" s="509">
        <f>+EOMONTH(BB5,3)</f>
        <v>41274</v>
      </c>
      <c r="BD5" s="509">
        <v>41364</v>
      </c>
      <c r="BE5" s="509">
        <f>+EOMONTH(BD5,3)</f>
        <v>41455</v>
      </c>
      <c r="BF5" s="509">
        <f>+EOMONTH(BE5,3)</f>
        <v>41547</v>
      </c>
      <c r="BG5" s="509">
        <f>+EOMONTH(BF5,3)</f>
        <v>41639</v>
      </c>
      <c r="BH5" s="509">
        <f>+EOMONTH(P5,3)</f>
        <v>41729</v>
      </c>
      <c r="BI5" s="509">
        <f>+EOMONTH(BH5,3)</f>
        <v>41820</v>
      </c>
      <c r="BJ5" s="509">
        <f>+EOMONTH(BI5,3)</f>
        <v>41912</v>
      </c>
      <c r="BK5" s="509">
        <f>+EOMONTH(BJ5,3)</f>
        <v>42004</v>
      </c>
      <c r="BL5" s="509">
        <f>+EOMONTH(Q5,3)</f>
        <v>42094</v>
      </c>
      <c r="BM5" s="509">
        <f>+EOMONTH(BL5,3)</f>
        <v>42185</v>
      </c>
      <c r="BN5" s="509">
        <f>+EOMONTH(BM5,3)</f>
        <v>42277</v>
      </c>
      <c r="BO5" s="509">
        <f>+EOMONTH(BN5,3)</f>
        <v>42369</v>
      </c>
      <c r="BP5" s="514">
        <f>+EOMONTH(R5,3)</f>
        <v>42460</v>
      </c>
      <c r="BQ5" s="514">
        <f>+EOMONTH(BP5,3)</f>
        <v>42551</v>
      </c>
      <c r="BR5" s="514">
        <f>+EOMONTH(BQ5,3)</f>
        <v>42643</v>
      </c>
      <c r="BS5" s="509">
        <f>+EOMONTH(BR5,3)</f>
        <v>42735</v>
      </c>
      <c r="BT5" s="509">
        <f>+EOMONTH($S5,3)</f>
        <v>42825</v>
      </c>
      <c r="BU5" s="509">
        <f t="shared" ref="BU5:CA5" si="4">+EOMONTH(BT5,3)</f>
        <v>42916</v>
      </c>
      <c r="BV5" s="509">
        <f t="shared" si="4"/>
        <v>43008</v>
      </c>
      <c r="BW5" s="509">
        <f t="shared" si="4"/>
        <v>43100</v>
      </c>
      <c r="BX5" s="509">
        <f t="shared" si="4"/>
        <v>43190</v>
      </c>
      <c r="BY5" s="509">
        <f t="shared" si="4"/>
        <v>43281</v>
      </c>
      <c r="BZ5" s="509">
        <f t="shared" si="4"/>
        <v>43373</v>
      </c>
      <c r="CA5" s="509">
        <f t="shared" si="4"/>
        <v>43465</v>
      </c>
      <c r="CB5" s="509">
        <f>+EOMONTH(CA5,3)</f>
        <v>43555</v>
      </c>
      <c r="CC5" s="509">
        <f>+EOMONTH(CB5,3)</f>
        <v>43646</v>
      </c>
      <c r="CD5" s="509">
        <f>+EOMONTH(CC5,3)</f>
        <v>43738</v>
      </c>
      <c r="CE5" s="509">
        <f>+EOMONTH(CD5,3)</f>
        <v>43830</v>
      </c>
      <c r="CF5" s="8"/>
      <c r="CI5" s="6"/>
      <c r="CJ5"/>
      <c r="CK5"/>
      <c r="CL5"/>
      <c r="CM5"/>
      <c r="CN5"/>
      <c r="CO5"/>
      <c r="CP5" s="6"/>
      <c r="CQ5" s="6"/>
      <c r="CR5" s="6"/>
    </row>
    <row r="6" spans="1:96">
      <c r="B6" s="477" t="s">
        <v>595</v>
      </c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78"/>
      <c r="R6" s="478"/>
      <c r="S6" s="478"/>
      <c r="T6" s="478"/>
      <c r="U6" s="478"/>
      <c r="V6" s="478"/>
      <c r="W6" s="478"/>
      <c r="X6" s="478"/>
      <c r="Y6" s="478"/>
      <c r="Z6" s="478"/>
      <c r="AA6" s="478"/>
      <c r="AB6" s="478"/>
      <c r="AC6" s="478"/>
      <c r="AD6" s="478"/>
      <c r="AE6" s="478"/>
      <c r="AF6" s="478"/>
      <c r="AG6" s="478"/>
      <c r="AH6" s="478"/>
      <c r="AI6" s="478"/>
      <c r="AJ6" s="478"/>
      <c r="AK6" s="478"/>
      <c r="AL6" s="478"/>
      <c r="AM6" s="478"/>
      <c r="AN6" s="478"/>
      <c r="AO6" s="478"/>
      <c r="AP6" s="478"/>
      <c r="AQ6" s="478"/>
      <c r="AR6" s="478"/>
      <c r="AS6" s="478"/>
      <c r="AT6" s="478"/>
      <c r="AU6" s="478"/>
      <c r="AV6" s="478"/>
      <c r="AW6" s="478"/>
      <c r="AX6" s="478"/>
      <c r="AY6" s="478"/>
      <c r="AZ6" s="478"/>
      <c r="BA6" s="478"/>
      <c r="BB6" s="478"/>
      <c r="BC6" s="478"/>
      <c r="BD6" s="478"/>
      <c r="BE6" s="478"/>
      <c r="BF6" s="478"/>
      <c r="BG6" s="478"/>
      <c r="BH6" s="478"/>
      <c r="BI6" s="478"/>
      <c r="BJ6" s="478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  <c r="BV6" s="478"/>
      <c r="BW6" s="478"/>
      <c r="BX6" s="478"/>
      <c r="BY6" s="478"/>
      <c r="BZ6" s="478"/>
      <c r="CA6" s="478"/>
      <c r="CB6" s="478"/>
      <c r="CC6" s="478"/>
      <c r="CD6" s="478"/>
      <c r="CE6" s="478"/>
      <c r="CF6" s="5"/>
      <c r="CG6" s="5"/>
      <c r="CH6" s="5"/>
      <c r="CI6" s="12"/>
      <c r="CP6" s="12"/>
      <c r="CQ6" s="12"/>
      <c r="CR6" s="12"/>
    </row>
    <row r="7" spans="1:96" outlineLevel="1">
      <c r="B7" s="189" t="s">
        <v>121</v>
      </c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90"/>
      <c r="W7" s="190"/>
      <c r="X7" s="190"/>
      <c r="Y7" s="190"/>
      <c r="Z7" s="190"/>
      <c r="AA7" s="190"/>
      <c r="AB7" s="190"/>
      <c r="AC7" s="190"/>
      <c r="AD7" s="190"/>
      <c r="AE7" s="190"/>
      <c r="AF7" s="190"/>
      <c r="AG7" s="190"/>
      <c r="AH7" s="190"/>
      <c r="AI7" s="190"/>
      <c r="AJ7" s="190"/>
      <c r="AK7" s="190"/>
      <c r="AL7" s="190"/>
      <c r="AM7" s="190"/>
      <c r="AN7" s="190"/>
      <c r="AO7" s="190"/>
      <c r="AP7" s="190"/>
      <c r="AQ7" s="190"/>
      <c r="AR7" s="190"/>
      <c r="AS7" s="190"/>
      <c r="AT7" s="190"/>
      <c r="AU7" s="190"/>
      <c r="AV7" s="190"/>
      <c r="AW7" s="190"/>
      <c r="AX7" s="190"/>
      <c r="AY7" s="190"/>
      <c r="AZ7" s="190"/>
      <c r="BA7" s="190"/>
      <c r="BB7" s="190"/>
      <c r="BC7" s="190"/>
      <c r="BD7" s="190"/>
      <c r="BE7" s="190"/>
      <c r="BF7" s="190"/>
      <c r="BG7" s="190"/>
      <c r="BH7" s="190"/>
      <c r="BI7" s="190"/>
      <c r="BJ7" s="190"/>
      <c r="BK7" s="190"/>
      <c r="BL7" s="190"/>
      <c r="BM7" s="190"/>
      <c r="BN7" s="190"/>
      <c r="BO7" s="190"/>
      <c r="BP7" s="190"/>
      <c r="BQ7" s="190"/>
      <c r="BR7" s="190"/>
      <c r="BS7" s="190"/>
      <c r="BT7" s="190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1"/>
      <c r="CG7" s="191"/>
      <c r="CH7" s="191"/>
      <c r="CI7" s="12"/>
      <c r="CP7" s="12"/>
      <c r="CQ7" s="12"/>
      <c r="CR7" s="12"/>
    </row>
    <row r="8" spans="1:96" outlineLevel="1">
      <c r="A8" s="3" t="s">
        <v>133</v>
      </c>
      <c r="B8" s="192" t="s">
        <v>84</v>
      </c>
      <c r="C8" s="6"/>
      <c r="D8" s="6"/>
      <c r="E8" s="6"/>
      <c r="F8" s="6"/>
      <c r="G8" s="6"/>
      <c r="H8" s="126">
        <f t="shared" ref="H8:M8" si="5">Volume_hotel*Price_hotel/1000</f>
        <v>243.71183441240214</v>
      </c>
      <c r="I8" s="126">
        <f t="shared" si="5"/>
        <v>320.03637389701612</v>
      </c>
      <c r="J8" s="126">
        <f t="shared" si="5"/>
        <v>4.5437702921258518</v>
      </c>
      <c r="K8" s="126">
        <f t="shared" si="5"/>
        <v>5.0968819238608818</v>
      </c>
      <c r="L8" s="126">
        <f t="shared" si="5"/>
        <v>6.2679480834173473</v>
      </c>
      <c r="M8" s="126">
        <f t="shared" si="5"/>
        <v>8.5171034369754555</v>
      </c>
      <c r="N8" s="126">
        <f t="shared" ref="N8:AD8" si="6">Volume_hotel*Price_hotel</f>
        <v>10173.296870837254</v>
      </c>
      <c r="O8" s="126">
        <f t="shared" si="6"/>
        <v>12186.926323062087</v>
      </c>
      <c r="P8" s="126">
        <f t="shared" si="6"/>
        <v>15960.81124714983</v>
      </c>
      <c r="Q8" s="126">
        <f t="shared" si="6"/>
        <v>23525.593608356019</v>
      </c>
      <c r="R8" s="126">
        <f t="shared" si="6"/>
        <v>34868.591092224095</v>
      </c>
      <c r="S8" s="126">
        <f>Volume_hotel*Price_hotel</f>
        <v>56147.472767372834</v>
      </c>
      <c r="T8" s="126">
        <f t="shared" si="6"/>
        <v>79246.065243374425</v>
      </c>
      <c r="U8" s="126">
        <f t="shared" ca="1" si="6"/>
        <v>104161.45515709043</v>
      </c>
      <c r="V8" s="126">
        <f t="shared" ca="1" si="6"/>
        <v>135510.26547009623</v>
      </c>
      <c r="W8" s="126">
        <f t="shared" ca="1" si="6"/>
        <v>176369.32071463965</v>
      </c>
      <c r="X8" s="126">
        <f t="shared" ca="1" si="6"/>
        <v>206881.21319827228</v>
      </c>
      <c r="Y8" s="126">
        <f t="shared" ca="1" si="6"/>
        <v>240561.474706951</v>
      </c>
      <c r="Z8" s="126">
        <f t="shared" ca="1" si="6"/>
        <v>277271.15574723168</v>
      </c>
      <c r="AA8" s="126">
        <f t="shared" ca="1" si="6"/>
        <v>316754.56832563743</v>
      </c>
      <c r="AB8" s="126">
        <f t="shared" ca="1" si="6"/>
        <v>358629.52225828666</v>
      </c>
      <c r="AC8" s="324">
        <f t="shared" ca="1" si="6"/>
        <v>402382.32397379767</v>
      </c>
      <c r="AD8" s="324">
        <f t="shared" ca="1" si="6"/>
        <v>443264.36808953556</v>
      </c>
      <c r="AE8" s="324"/>
      <c r="AF8" s="126">
        <f t="shared" ref="AF8:AY8" si="7">Volume_hotel*Price_hotel/1000</f>
        <v>0.92047082758620691</v>
      </c>
      <c r="AG8" s="126">
        <f t="shared" si="7"/>
        <v>1.1428593466666668</v>
      </c>
      <c r="AH8" s="126">
        <f t="shared" si="7"/>
        <v>1.1705247599999999</v>
      </c>
      <c r="AI8" s="126">
        <f t="shared" si="7"/>
        <v>1.3069023466666667</v>
      </c>
      <c r="AJ8" s="126">
        <f t="shared" si="7"/>
        <v>1.1412770666666667</v>
      </c>
      <c r="AK8" s="126">
        <f t="shared" si="7"/>
        <v>1.3058210733333335</v>
      </c>
      <c r="AL8" s="126">
        <f t="shared" si="7"/>
        <v>1.2400374733333333</v>
      </c>
      <c r="AM8" s="126">
        <f t="shared" si="7"/>
        <v>1.4043765000000001</v>
      </c>
      <c r="AN8" s="126">
        <f t="shared" si="7"/>
        <v>1.2336098933333333</v>
      </c>
      <c r="AO8" s="126">
        <f t="shared" si="7"/>
        <v>1.4884785466666668</v>
      </c>
      <c r="AP8" s="126">
        <f t="shared" si="7"/>
        <v>1.7193024800000001</v>
      </c>
      <c r="AQ8" s="126">
        <f t="shared" si="7"/>
        <v>1.8298244933333332</v>
      </c>
      <c r="AR8" s="126">
        <f t="shared" si="7"/>
        <v>1.6794152800000004</v>
      </c>
      <c r="AS8" s="126">
        <f t="shared" si="7"/>
        <v>2.1076697866666669</v>
      </c>
      <c r="AT8" s="126">
        <f t="shared" si="7"/>
        <v>2.3310372266666666</v>
      </c>
      <c r="AU8" s="126">
        <f t="shared" si="7"/>
        <v>2.4021688599999997</v>
      </c>
      <c r="AV8" s="126">
        <f t="shared" si="7"/>
        <v>2.0692930266666667</v>
      </c>
      <c r="AW8" s="126">
        <f t="shared" si="7"/>
        <v>2.5272668551724138</v>
      </c>
      <c r="AX8" s="126">
        <f t="shared" si="7"/>
        <v>2.8305408896551727</v>
      </c>
      <c r="AY8" s="126">
        <f t="shared" si="7"/>
        <v>2.756019179310345</v>
      </c>
      <c r="AZ8" s="126">
        <f t="shared" ref="AZ8:CE8" si="8">GMV_hotel</f>
        <v>2564.9256153846154</v>
      </c>
      <c r="BA8" s="324">
        <f t="shared" si="8"/>
        <v>2889.9326126760566</v>
      </c>
      <c r="BB8" s="324">
        <f t="shared" si="8"/>
        <v>3241.4267588652488</v>
      </c>
      <c r="BC8" s="324">
        <f t="shared" si="8"/>
        <v>3345.0328857142858</v>
      </c>
      <c r="BD8" s="324">
        <f t="shared" si="8"/>
        <v>3218.0349000000001</v>
      </c>
      <c r="BE8" s="324">
        <f t="shared" si="8"/>
        <v>3649.8417857142858</v>
      </c>
      <c r="BF8" s="324">
        <f t="shared" si="8"/>
        <v>4361.8101285714292</v>
      </c>
      <c r="BG8" s="324">
        <f t="shared" si="8"/>
        <v>4585.8195214285715</v>
      </c>
      <c r="BH8" s="324">
        <f t="shared" si="8"/>
        <v>4690.4449785714287</v>
      </c>
      <c r="BI8" s="324">
        <f t="shared" si="8"/>
        <v>5375.4675214285726</v>
      </c>
      <c r="BJ8" s="324">
        <f t="shared" si="8"/>
        <v>6787.8523857142873</v>
      </c>
      <c r="BK8" s="324">
        <f t="shared" si="8"/>
        <v>6577.3425703125004</v>
      </c>
      <c r="BL8" s="324">
        <f t="shared" si="8"/>
        <v>7435.7807031250004</v>
      </c>
      <c r="BM8" s="324">
        <f t="shared" si="8"/>
        <v>8181.0428370370373</v>
      </c>
      <c r="BN8" s="324">
        <f t="shared" si="8"/>
        <v>10171.932911111111</v>
      </c>
      <c r="BO8" s="324">
        <f t="shared" si="8"/>
        <v>8794.2054666666663</v>
      </c>
      <c r="BP8" s="324">
        <f t="shared" si="8"/>
        <v>12415.62426153846</v>
      </c>
      <c r="BQ8" s="324">
        <f t="shared" si="8"/>
        <v>13660.139799999999</v>
      </c>
      <c r="BR8" s="324">
        <f t="shared" si="8"/>
        <v>15935.449469230771</v>
      </c>
      <c r="BS8" s="324">
        <f t="shared" si="8"/>
        <v>14211.546953846151</v>
      </c>
      <c r="BT8" s="324">
        <f t="shared" si="8"/>
        <v>17249.467875000002</v>
      </c>
      <c r="BU8" s="324">
        <f t="shared" si="8"/>
        <v>19259.524891666671</v>
      </c>
      <c r="BV8" s="324">
        <f t="shared" si="8"/>
        <v>23503.203833333333</v>
      </c>
      <c r="BW8" s="324">
        <f t="shared" si="8"/>
        <v>19299.256225000001</v>
      </c>
      <c r="BX8" s="324">
        <f t="shared" ca="1" si="8"/>
        <v>21451.738240095649</v>
      </c>
      <c r="BY8" s="324">
        <f t="shared" ca="1" si="8"/>
        <v>25623.541812391308</v>
      </c>
      <c r="BZ8" s="324">
        <f t="shared" ca="1" si="8"/>
        <v>30268.856526365213</v>
      </c>
      <c r="CA8" s="324">
        <f t="shared" ca="1" si="8"/>
        <v>26817.318578238257</v>
      </c>
      <c r="CB8" s="324">
        <f t="shared" ca="1" si="8"/>
        <v>33466.642310990821</v>
      </c>
      <c r="CC8" s="324">
        <f t="shared" ca="1" si="8"/>
        <v>37871.08232787811</v>
      </c>
      <c r="CD8" s="324">
        <f t="shared" ca="1" si="8"/>
        <v>40831.17401124035</v>
      </c>
      <c r="CE8" s="324">
        <f t="shared" ca="1" si="8"/>
        <v>36892.393366996548</v>
      </c>
      <c r="CF8" s="62"/>
      <c r="CG8" s="5"/>
      <c r="CH8" s="5"/>
    </row>
    <row r="9" spans="1:96" outlineLevel="1">
      <c r="A9" s="3" t="s">
        <v>132</v>
      </c>
      <c r="B9" s="192" t="s">
        <v>534</v>
      </c>
      <c r="C9" s="6"/>
      <c r="D9" s="6"/>
      <c r="E9" s="6"/>
      <c r="F9" s="6"/>
      <c r="G9" s="6"/>
      <c r="H9" s="126">
        <f t="shared" ref="H9:M9" si="9">Volume_tickets*Price_Ticket/1000</f>
        <v>3.9926212790670021</v>
      </c>
      <c r="I9" s="126">
        <f t="shared" si="9"/>
        <v>6.1796211167671622</v>
      </c>
      <c r="J9" s="126">
        <f t="shared" si="9"/>
        <v>10.488612145833331</v>
      </c>
      <c r="K9" s="126">
        <f t="shared" si="9"/>
        <v>13.881493397849463</v>
      </c>
      <c r="L9" s="126">
        <f t="shared" si="9"/>
        <v>19.514138966292137</v>
      </c>
      <c r="M9" s="126">
        <f t="shared" si="9"/>
        <v>28.908298898203594</v>
      </c>
      <c r="N9" s="126">
        <f t="shared" ref="N9:AD9" si="10">Volume_tickets*Price_Ticket</f>
        <v>35484.39911111111</v>
      </c>
      <c r="O9" s="126">
        <f t="shared" si="10"/>
        <v>42257.147574999995</v>
      </c>
      <c r="P9" s="126">
        <f t="shared" si="10"/>
        <v>54044.606474999993</v>
      </c>
      <c r="Q9" s="126">
        <f t="shared" si="10"/>
        <v>73751.81210000001</v>
      </c>
      <c r="R9" s="126">
        <f t="shared" si="10"/>
        <v>111347.143725</v>
      </c>
      <c r="S9" s="126">
        <f t="shared" si="10"/>
        <v>252186.18774285712</v>
      </c>
      <c r="T9" s="126">
        <f t="shared" si="10"/>
        <v>436465.3570357142</v>
      </c>
      <c r="U9" s="126">
        <f t="shared" ca="1" si="10"/>
        <v>642244.22403281892</v>
      </c>
      <c r="V9" s="126">
        <f t="shared" ca="1" si="10"/>
        <v>791755.76009573194</v>
      </c>
      <c r="W9" s="126">
        <f t="shared" ca="1" si="10"/>
        <v>970141.77526164835</v>
      </c>
      <c r="X9" s="126">
        <f t="shared" ca="1" si="10"/>
        <v>1171446.1936284404</v>
      </c>
      <c r="Y9" s="126">
        <f t="shared" ca="1" si="10"/>
        <v>1405173.1381811867</v>
      </c>
      <c r="Z9" s="126">
        <f t="shared" ca="1" si="10"/>
        <v>1666394.8245690688</v>
      </c>
      <c r="AA9" s="126">
        <f t="shared" ca="1" si="10"/>
        <v>1959430.3544695389</v>
      </c>
      <c r="AB9" s="126">
        <f t="shared" ca="1" si="10"/>
        <v>2284303.9072405882</v>
      </c>
      <c r="AC9" s="324">
        <f t="shared" ca="1" si="10"/>
        <v>2640084.2407933096</v>
      </c>
      <c r="AD9" s="324">
        <f t="shared" ca="1" si="10"/>
        <v>3024744.5146768941</v>
      </c>
      <c r="AE9" s="324"/>
      <c r="AF9" s="126">
        <f t="shared" ref="AF9:AY9" si="11">Volume_tickets*Price_Ticket/1000</f>
        <v>2.102594888888889</v>
      </c>
      <c r="AG9" s="126">
        <f t="shared" si="11"/>
        <v>2.3865340204081629</v>
      </c>
      <c r="AH9" s="126">
        <f t="shared" si="11"/>
        <v>2.8093675306122448</v>
      </c>
      <c r="AI9" s="126">
        <f t="shared" si="11"/>
        <v>3.1477027959183674</v>
      </c>
      <c r="AJ9" s="126">
        <f t="shared" si="11"/>
        <v>3.3029471666666663</v>
      </c>
      <c r="AK9" s="126">
        <f t="shared" si="11"/>
        <v>3.5918901914893619</v>
      </c>
      <c r="AL9" s="126">
        <f t="shared" si="11"/>
        <v>3.6178434782608702</v>
      </c>
      <c r="AM9" s="126">
        <f t="shared" si="11"/>
        <v>3.6803821777777781</v>
      </c>
      <c r="AN9" s="126">
        <f t="shared" si="11"/>
        <v>4.0908625555555558</v>
      </c>
      <c r="AO9" s="126">
        <f t="shared" si="11"/>
        <v>4.8053835555555553</v>
      </c>
      <c r="AP9" s="126">
        <f t="shared" si="11"/>
        <v>5.2725720227272728</v>
      </c>
      <c r="AQ9" s="126">
        <f t="shared" si="11"/>
        <v>5.3648850000000001</v>
      </c>
      <c r="AR9" s="126">
        <f t="shared" si="11"/>
        <v>6.0164334772727273</v>
      </c>
      <c r="AS9" s="126">
        <f t="shared" si="11"/>
        <v>7.1449695813953511</v>
      </c>
      <c r="AT9" s="126">
        <f t="shared" si="11"/>
        <v>7.880902550000001</v>
      </c>
      <c r="AU9" s="126">
        <f t="shared" si="11"/>
        <v>7.9932152999999992</v>
      </c>
      <c r="AV9" s="126">
        <f t="shared" si="11"/>
        <v>8.161873074999999</v>
      </c>
      <c r="AW9" s="126">
        <f t="shared" si="11"/>
        <v>8.6834785249999982</v>
      </c>
      <c r="AX9" s="126">
        <f t="shared" si="11"/>
        <v>9.1682910238095232</v>
      </c>
      <c r="AY9" s="126">
        <f t="shared" si="11"/>
        <v>9.4795959147869695</v>
      </c>
      <c r="AZ9" s="126">
        <f t="shared" ref="AZ9:CE9" si="12">Volume_tickets*Price_Ticket</f>
        <v>9011.5854999999992</v>
      </c>
      <c r="BA9" s="126">
        <f t="shared" si="12"/>
        <v>10106.706649999998</v>
      </c>
      <c r="BB9" s="126">
        <f t="shared" si="12"/>
        <v>11959.198550000001</v>
      </c>
      <c r="BC9" s="126">
        <f t="shared" si="12"/>
        <v>11179.657874999999</v>
      </c>
      <c r="BD9" s="126">
        <f t="shared" si="12"/>
        <v>11412.563100000001</v>
      </c>
      <c r="BE9" s="126">
        <f t="shared" si="12"/>
        <v>13050.344274999999</v>
      </c>
      <c r="BF9" s="126">
        <f t="shared" si="12"/>
        <v>15106.8086</v>
      </c>
      <c r="BG9" s="126">
        <f t="shared" si="12"/>
        <v>14474.890500000001</v>
      </c>
      <c r="BH9" s="126">
        <f t="shared" si="12"/>
        <v>16276.630025</v>
      </c>
      <c r="BI9" s="126">
        <f t="shared" si="12"/>
        <v>18137.83655</v>
      </c>
      <c r="BJ9" s="126">
        <f t="shared" si="12"/>
        <v>19994.923175</v>
      </c>
      <c r="BK9" s="126">
        <f t="shared" si="12"/>
        <v>19342.422350000001</v>
      </c>
      <c r="BL9" s="126">
        <f t="shared" si="12"/>
        <v>23697.694775</v>
      </c>
      <c r="BM9" s="126">
        <f t="shared" si="12"/>
        <v>26313.766600000003</v>
      </c>
      <c r="BN9" s="126">
        <f t="shared" si="12"/>
        <v>30224.714375000003</v>
      </c>
      <c r="BO9" s="126">
        <f t="shared" si="12"/>
        <v>31110.967975</v>
      </c>
      <c r="BP9" s="126">
        <f t="shared" si="12"/>
        <v>55685.803599999992</v>
      </c>
      <c r="BQ9" s="126">
        <f t="shared" si="12"/>
        <v>57240.765571428572</v>
      </c>
      <c r="BR9" s="126">
        <f t="shared" si="12"/>
        <v>69363.897971428567</v>
      </c>
      <c r="BS9" s="126">
        <f t="shared" si="12"/>
        <v>69895.720600000001</v>
      </c>
      <c r="BT9" s="126">
        <f t="shared" si="12"/>
        <v>102691.97664285712</v>
      </c>
      <c r="BU9" s="126">
        <f t="shared" si="12"/>
        <v>106868.94128571429</v>
      </c>
      <c r="BV9" s="126">
        <f t="shared" si="12"/>
        <v>122435.52175</v>
      </c>
      <c r="BW9" s="126">
        <f t="shared" si="12"/>
        <v>104468.91735714287</v>
      </c>
      <c r="BX9" s="324">
        <f t="shared" ca="1" si="12"/>
        <v>136970.55844624285</v>
      </c>
      <c r="BY9" s="324">
        <f t="shared" ca="1" si="12"/>
        <v>146552.94148314281</v>
      </c>
      <c r="BZ9" s="324">
        <f t="shared" ca="1" si="12"/>
        <v>185122.508886</v>
      </c>
      <c r="CA9" s="324">
        <f t="shared" ca="1" si="12"/>
        <v>173598.21521743329</v>
      </c>
      <c r="CB9" s="324">
        <f t="shared" ca="1" si="12"/>
        <v>183565.45205586476</v>
      </c>
      <c r="CC9" s="324">
        <f t="shared" ca="1" si="12"/>
        <v>190951.82125519504</v>
      </c>
      <c r="CD9" s="324">
        <f t="shared" ca="1" si="12"/>
        <v>218410.90184750076</v>
      </c>
      <c r="CE9" s="324">
        <f t="shared" ca="1" si="12"/>
        <v>198827.58493717154</v>
      </c>
      <c r="CF9" s="62"/>
      <c r="CG9" s="5"/>
      <c r="CH9" s="5"/>
    </row>
    <row r="10" spans="1:96" outlineLevel="1">
      <c r="A10" s="3" t="s">
        <v>130</v>
      </c>
      <c r="B10" s="192" t="s">
        <v>119</v>
      </c>
      <c r="C10" s="6"/>
      <c r="D10" s="6"/>
      <c r="E10" s="6"/>
      <c r="F10" s="6"/>
      <c r="G10" s="6"/>
      <c r="H10" s="126">
        <f t="shared" ref="H10:AD10" si="13">GMV_Package</f>
        <v>189.63</v>
      </c>
      <c r="I10" s="126">
        <f t="shared" si="13"/>
        <v>347.52073333333334</v>
      </c>
      <c r="J10" s="126">
        <f t="shared" si="13"/>
        <v>595.79654166666671</v>
      </c>
      <c r="K10" s="126">
        <f t="shared" si="13"/>
        <v>910.37290833333327</v>
      </c>
      <c r="L10" s="126">
        <f t="shared" si="13"/>
        <v>1465.5615500000001</v>
      </c>
      <c r="M10" s="126">
        <f t="shared" si="13"/>
        <v>3169.2290583333333</v>
      </c>
      <c r="N10" s="126">
        <f t="shared" si="13"/>
        <v>4455.3348583333336</v>
      </c>
      <c r="O10" s="126">
        <f t="shared" si="13"/>
        <v>5747.1719249999996</v>
      </c>
      <c r="P10" s="126">
        <f t="shared" si="13"/>
        <v>7797.3727416666661</v>
      </c>
      <c r="Q10" s="126">
        <f t="shared" si="13"/>
        <v>10553.69205</v>
      </c>
      <c r="R10" s="126">
        <f t="shared" si="13"/>
        <v>18532.726111111111</v>
      </c>
      <c r="S10" s="126">
        <f t="shared" si="13"/>
        <v>28877.486175000002</v>
      </c>
      <c r="T10" s="126">
        <f t="shared" si="13"/>
        <v>42434.048985714282</v>
      </c>
      <c r="U10" s="126">
        <f t="shared" ca="1" si="13"/>
        <v>53466.901721999995</v>
      </c>
      <c r="V10" s="126">
        <f t="shared" ca="1" si="13"/>
        <v>65229.620100839995</v>
      </c>
      <c r="W10" s="126">
        <f t="shared" ca="1" si="13"/>
        <v>76710.033238587828</v>
      </c>
      <c r="X10" s="126">
        <f t="shared" ca="1" si="13"/>
        <v>87510.805918580998</v>
      </c>
      <c r="Y10" s="126">
        <f t="shared" ca="1" si="13"/>
        <v>97368.02309724997</v>
      </c>
      <c r="Z10" s="126">
        <f t="shared" ca="1" si="13"/>
        <v>106142.05039458936</v>
      </c>
      <c r="AA10" s="126">
        <f t="shared" ca="1" si="13"/>
        <v>113793.78835071514</v>
      </c>
      <c r="AB10" s="126">
        <f t="shared" ca="1" si="13"/>
        <v>120356.46729846533</v>
      </c>
      <c r="AC10" s="324">
        <f t="shared" ca="1" si="13"/>
        <v>125909.39503283937</v>
      </c>
      <c r="AD10" s="324">
        <f t="shared" ca="1" si="13"/>
        <v>130556.69509000899</v>
      </c>
      <c r="AE10" s="324"/>
      <c r="AF10" s="126">
        <f t="shared" ref="AF10:CE10" si="14">GMV_Package</f>
        <v>133.30230833333334</v>
      </c>
      <c r="AG10" s="126">
        <f t="shared" si="14"/>
        <v>107.15294166666666</v>
      </c>
      <c r="AH10" s="126">
        <f t="shared" si="14"/>
        <v>172.36442500000001</v>
      </c>
      <c r="AI10" s="126">
        <f t="shared" si="14"/>
        <v>182.97686666666667</v>
      </c>
      <c r="AJ10" s="126">
        <f t="shared" si="14"/>
        <v>223.27506666666667</v>
      </c>
      <c r="AK10" s="126">
        <f t="shared" si="14"/>
        <v>198.59675833333333</v>
      </c>
      <c r="AL10" s="126">
        <f t="shared" si="14"/>
        <v>236.425375</v>
      </c>
      <c r="AM10" s="126">
        <f t="shared" si="14"/>
        <v>252.07570833333335</v>
      </c>
      <c r="AN10" s="126">
        <f t="shared" si="14"/>
        <v>314.31034166666672</v>
      </c>
      <c r="AO10" s="126">
        <f t="shared" si="14"/>
        <v>297.41661666666664</v>
      </c>
      <c r="AP10" s="126">
        <f t="shared" si="14"/>
        <v>450.01414999999997</v>
      </c>
      <c r="AQ10" s="126">
        <f t="shared" si="14"/>
        <v>403.82044166666668</v>
      </c>
      <c r="AR10" s="126">
        <f t="shared" si="14"/>
        <v>598.17510833333336</v>
      </c>
      <c r="AS10" s="126">
        <f t="shared" si="14"/>
        <v>558.68844166666668</v>
      </c>
      <c r="AT10" s="126">
        <f t="shared" si="14"/>
        <v>1173.8223250000001</v>
      </c>
      <c r="AU10" s="126">
        <f t="shared" si="14"/>
        <v>838.54318333333333</v>
      </c>
      <c r="AV10" s="126">
        <f t="shared" si="14"/>
        <v>1040.2834333333333</v>
      </c>
      <c r="AW10" s="126">
        <f t="shared" si="14"/>
        <v>902.3581916666667</v>
      </c>
      <c r="AX10" s="126">
        <f t="shared" si="14"/>
        <v>1428.0641833333334</v>
      </c>
      <c r="AY10" s="126">
        <f t="shared" si="14"/>
        <v>1084.62905</v>
      </c>
      <c r="AZ10" s="126">
        <f t="shared" si="14"/>
        <v>1386.4998416666665</v>
      </c>
      <c r="BA10" s="126">
        <f t="shared" si="14"/>
        <v>1114.804625</v>
      </c>
      <c r="BB10" s="126">
        <f t="shared" si="14"/>
        <v>1864.8316500000001</v>
      </c>
      <c r="BC10" s="126">
        <f t="shared" si="14"/>
        <v>1381.0358083333335</v>
      </c>
      <c r="BD10" s="126">
        <f t="shared" si="14"/>
        <v>1960.0728583333334</v>
      </c>
      <c r="BE10" s="126">
        <f t="shared" si="14"/>
        <v>1558.5368750000002</v>
      </c>
      <c r="BF10" s="126">
        <f t="shared" si="14"/>
        <v>2663.0513000000001</v>
      </c>
      <c r="BG10" s="126">
        <f t="shared" si="14"/>
        <v>1615.7117083333333</v>
      </c>
      <c r="BH10" s="126">
        <f t="shared" si="14"/>
        <v>2592.2054800000001</v>
      </c>
      <c r="BI10" s="126">
        <f t="shared" si="14"/>
        <v>2051.41896</v>
      </c>
      <c r="BJ10" s="126">
        <f t="shared" si="14"/>
        <v>3576.4316100000001</v>
      </c>
      <c r="BK10" s="126">
        <f t="shared" si="14"/>
        <v>2333.636</v>
      </c>
      <c r="BL10" s="126">
        <f t="shared" si="14"/>
        <v>4399.0249333333331</v>
      </c>
      <c r="BM10" s="126">
        <f t="shared" si="14"/>
        <v>3659.710988888889</v>
      </c>
      <c r="BN10" s="126">
        <f t="shared" si="14"/>
        <v>6590.0483555555556</v>
      </c>
      <c r="BO10" s="126">
        <f t="shared" si="14"/>
        <v>3883.9418333333333</v>
      </c>
      <c r="BP10" s="126">
        <f t="shared" si="14"/>
        <v>6956.1942499999996</v>
      </c>
      <c r="BQ10" s="126">
        <f t="shared" si="14"/>
        <v>5924.1431624999996</v>
      </c>
      <c r="BR10" s="126">
        <f t="shared" si="14"/>
        <v>10165.762200000001</v>
      </c>
      <c r="BS10" s="126">
        <f t="shared" si="14"/>
        <v>5831.3865624999999</v>
      </c>
      <c r="BT10" s="126">
        <f t="shared" si="14"/>
        <v>10026.173342857142</v>
      </c>
      <c r="BU10" s="126">
        <f t="shared" si="14"/>
        <v>8747.1110999999983</v>
      </c>
      <c r="BV10" s="126">
        <f t="shared" si="14"/>
        <v>14758.407714285713</v>
      </c>
      <c r="BW10" s="126">
        <f t="shared" si="14"/>
        <v>8902.3568285714282</v>
      </c>
      <c r="BX10" s="324">
        <f t="shared" ca="1" si="14"/>
        <v>11229.314144</v>
      </c>
      <c r="BY10" s="324">
        <f t="shared" ca="1" si="14"/>
        <v>11371.244429999999</v>
      </c>
      <c r="BZ10" s="324">
        <f t="shared" ca="1" si="14"/>
        <v>17710.089257142856</v>
      </c>
      <c r="CA10" s="324">
        <f t="shared" ca="1" si="14"/>
        <v>13156.253890857144</v>
      </c>
      <c r="CB10" s="324">
        <f t="shared" ca="1" si="14"/>
        <v>14598.1083872</v>
      </c>
      <c r="CC10" s="324">
        <f t="shared" ca="1" si="14"/>
        <v>14214.055537499999</v>
      </c>
      <c r="CD10" s="324">
        <f t="shared" ca="1" si="14"/>
        <v>20720.804430857141</v>
      </c>
      <c r="CE10" s="324">
        <f t="shared" ca="1" si="14"/>
        <v>15696.651745282856</v>
      </c>
      <c r="CF10" s="62"/>
      <c r="CG10" s="5"/>
      <c r="CH10" s="5"/>
    </row>
    <row r="11" spans="1:96" outlineLevel="1">
      <c r="A11" s="3" t="s">
        <v>550</v>
      </c>
      <c r="B11" s="192" t="s">
        <v>125</v>
      </c>
      <c r="C11" s="6"/>
      <c r="D11" s="6"/>
      <c r="E11" s="6"/>
      <c r="F11" s="6"/>
      <c r="G11" s="6"/>
      <c r="H11" s="126">
        <f t="shared" ref="H11:AD11" si="15">SUM(H8:H10)</f>
        <v>437.33445569146915</v>
      </c>
      <c r="I11" s="126">
        <f t="shared" si="15"/>
        <v>673.7367283471167</v>
      </c>
      <c r="J11" s="126">
        <f t="shared" si="15"/>
        <v>610.82892410462591</v>
      </c>
      <c r="K11" s="126">
        <f t="shared" si="15"/>
        <v>929.35128365504363</v>
      </c>
      <c r="L11" s="126">
        <f t="shared" si="15"/>
        <v>1491.3436370497095</v>
      </c>
      <c r="M11" s="126">
        <f t="shared" si="15"/>
        <v>3206.6544606685125</v>
      </c>
      <c r="N11" s="126">
        <f t="shared" si="15"/>
        <v>50113.030840281695</v>
      </c>
      <c r="O11" s="126">
        <f t="shared" si="15"/>
        <v>60191.245823062083</v>
      </c>
      <c r="P11" s="126">
        <f t="shared" si="15"/>
        <v>77802.790463816491</v>
      </c>
      <c r="Q11" s="126">
        <f t="shared" si="15"/>
        <v>107831.09775835603</v>
      </c>
      <c r="R11" s="126">
        <f t="shared" si="15"/>
        <v>164748.4609283352</v>
      </c>
      <c r="S11" s="126">
        <f t="shared" si="15"/>
        <v>337211.14668522996</v>
      </c>
      <c r="T11" s="126">
        <f t="shared" si="15"/>
        <v>558145.47126480297</v>
      </c>
      <c r="U11" s="126">
        <f t="shared" ca="1" si="15"/>
        <v>799872.58091190935</v>
      </c>
      <c r="V11" s="126">
        <f t="shared" ca="1" si="15"/>
        <v>992495.64566666819</v>
      </c>
      <c r="W11" s="126">
        <f t="shared" ca="1" si="15"/>
        <v>1223221.1292148759</v>
      </c>
      <c r="X11" s="126">
        <f t="shared" ca="1" si="15"/>
        <v>1465838.2127452937</v>
      </c>
      <c r="Y11" s="126">
        <f t="shared" ca="1" si="15"/>
        <v>1743102.6359853877</v>
      </c>
      <c r="Z11" s="126">
        <f t="shared" ca="1" si="15"/>
        <v>2049808.0307108897</v>
      </c>
      <c r="AA11" s="126">
        <f t="shared" ca="1" si="15"/>
        <v>2389978.7111458918</v>
      </c>
      <c r="AB11" s="126">
        <f t="shared" ca="1" si="15"/>
        <v>2763289.8967973404</v>
      </c>
      <c r="AC11" s="324">
        <f t="shared" ca="1" si="15"/>
        <v>3168375.9597999468</v>
      </c>
      <c r="AD11" s="324">
        <f t="shared" ca="1" si="15"/>
        <v>3598565.5778564387</v>
      </c>
      <c r="AE11" s="324"/>
      <c r="AF11" s="126">
        <f t="shared" ref="AF11:CA11" si="16">SUM(AF8:AF10)</f>
        <v>136.32537404980843</v>
      </c>
      <c r="AG11" s="126">
        <f t="shared" si="16"/>
        <v>110.6823350337415</v>
      </c>
      <c r="AH11" s="126">
        <f t="shared" si="16"/>
        <v>176.34431729061225</v>
      </c>
      <c r="AI11" s="126">
        <f t="shared" si="16"/>
        <v>187.43147180925169</v>
      </c>
      <c r="AJ11" s="126">
        <f t="shared" si="16"/>
        <v>227.7192909</v>
      </c>
      <c r="AK11" s="126">
        <f t="shared" si="16"/>
        <v>203.49446959815603</v>
      </c>
      <c r="AL11" s="126">
        <f t="shared" si="16"/>
        <v>241.28325595159421</v>
      </c>
      <c r="AM11" s="126">
        <f t="shared" si="16"/>
        <v>257.16046701111111</v>
      </c>
      <c r="AN11" s="126">
        <f t="shared" si="16"/>
        <v>319.63481411555563</v>
      </c>
      <c r="AO11" s="126">
        <f t="shared" si="16"/>
        <v>303.71047876888889</v>
      </c>
      <c r="AP11" s="126">
        <f t="shared" si="16"/>
        <v>457.00602450272726</v>
      </c>
      <c r="AQ11" s="126">
        <f t="shared" si="16"/>
        <v>411.01515116000002</v>
      </c>
      <c r="AR11" s="126">
        <f t="shared" si="16"/>
        <v>605.87095709060611</v>
      </c>
      <c r="AS11" s="126">
        <f t="shared" si="16"/>
        <v>567.94108103472865</v>
      </c>
      <c r="AT11" s="126">
        <f t="shared" si="16"/>
        <v>1184.0342647766668</v>
      </c>
      <c r="AU11" s="126">
        <f t="shared" si="16"/>
        <v>848.93856749333338</v>
      </c>
      <c r="AV11" s="126">
        <f t="shared" si="16"/>
        <v>1050.514599435</v>
      </c>
      <c r="AW11" s="126">
        <f t="shared" si="16"/>
        <v>913.5689370468391</v>
      </c>
      <c r="AX11" s="126">
        <f t="shared" si="16"/>
        <v>1440.0630152467982</v>
      </c>
      <c r="AY11" s="126">
        <f t="shared" si="16"/>
        <v>1096.8646650940973</v>
      </c>
      <c r="AZ11" s="126">
        <f t="shared" si="16"/>
        <v>12963.010957051281</v>
      </c>
      <c r="BA11" s="126">
        <f t="shared" si="16"/>
        <v>14111.443887676056</v>
      </c>
      <c r="BB11" s="126">
        <f t="shared" si="16"/>
        <v>17065.456958865252</v>
      </c>
      <c r="BC11" s="126">
        <f t="shared" si="16"/>
        <v>15905.72656904762</v>
      </c>
      <c r="BD11" s="126">
        <f t="shared" si="16"/>
        <v>16590.670858333335</v>
      </c>
      <c r="BE11" s="126">
        <f t="shared" si="16"/>
        <v>18258.722935714286</v>
      </c>
      <c r="BF11" s="126">
        <f t="shared" si="16"/>
        <v>22131.670028571429</v>
      </c>
      <c r="BG11" s="126">
        <f t="shared" si="16"/>
        <v>20676.421729761907</v>
      </c>
      <c r="BH11" s="126">
        <f t="shared" si="16"/>
        <v>23559.280483571431</v>
      </c>
      <c r="BI11" s="126">
        <f t="shared" si="16"/>
        <v>25564.723031428573</v>
      </c>
      <c r="BJ11" s="126">
        <f t="shared" si="16"/>
        <v>30359.207170714286</v>
      </c>
      <c r="BK11" s="126">
        <f t="shared" si="16"/>
        <v>28253.400920312499</v>
      </c>
      <c r="BL11" s="126">
        <f t="shared" si="16"/>
        <v>35532.500411458335</v>
      </c>
      <c r="BM11" s="126">
        <f t="shared" si="16"/>
        <v>38154.520425925926</v>
      </c>
      <c r="BN11" s="126">
        <f t="shared" si="16"/>
        <v>46986.695641666665</v>
      </c>
      <c r="BO11" s="126">
        <f t="shared" si="16"/>
        <v>43789.115274999996</v>
      </c>
      <c r="BP11" s="126">
        <f t="shared" si="16"/>
        <v>75057.622111538454</v>
      </c>
      <c r="BQ11" s="126">
        <f t="shared" si="16"/>
        <v>76825.048533928566</v>
      </c>
      <c r="BR11" s="126">
        <f t="shared" si="16"/>
        <v>95465.109640659328</v>
      </c>
      <c r="BS11" s="126">
        <f t="shared" si="16"/>
        <v>89938.654116346152</v>
      </c>
      <c r="BT11" s="126">
        <f t="shared" si="16"/>
        <v>129967.61786071426</v>
      </c>
      <c r="BU11" s="126">
        <f t="shared" si="16"/>
        <v>134875.57727738097</v>
      </c>
      <c r="BV11" s="126">
        <f t="shared" si="16"/>
        <v>160697.13329761906</v>
      </c>
      <c r="BW11" s="126">
        <f t="shared" si="16"/>
        <v>132670.5304107143</v>
      </c>
      <c r="BX11" s="324">
        <f t="shared" ca="1" si="16"/>
        <v>169651.6108303385</v>
      </c>
      <c r="BY11" s="324">
        <f t="shared" ca="1" si="16"/>
        <v>183547.72772553412</v>
      </c>
      <c r="BZ11" s="324">
        <f t="shared" ca="1" si="16"/>
        <v>233101.45466950806</v>
      </c>
      <c r="CA11" s="324">
        <f t="shared" ca="1" si="16"/>
        <v>213571.7876865287</v>
      </c>
      <c r="CB11" s="324">
        <f ca="1">SUM(CB8:CB10)</f>
        <v>231630.20275405556</v>
      </c>
      <c r="CC11" s="324">
        <f ca="1">SUM(CC8:CC10)</f>
        <v>243036.95912057316</v>
      </c>
      <c r="CD11" s="324">
        <f ca="1">SUM(CD8:CD10)</f>
        <v>279962.88028959825</v>
      </c>
      <c r="CE11" s="324">
        <f ca="1">SUM(CE8:CE10)</f>
        <v>251416.63004945096</v>
      </c>
      <c r="CF11" s="62"/>
      <c r="CG11" s="5"/>
      <c r="CH11" s="5"/>
    </row>
    <row r="12" spans="1:96" outlineLevel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459"/>
      <c r="T12" s="674">
        <v>560000</v>
      </c>
      <c r="U12" s="5"/>
      <c r="V12" s="5"/>
      <c r="W12" s="679" t="s">
        <v>856</v>
      </c>
      <c r="X12" s="5"/>
      <c r="Y12" s="5"/>
      <c r="Z12" s="5"/>
      <c r="AA12" s="5"/>
      <c r="AB12" s="5"/>
      <c r="AC12" s="5"/>
      <c r="AD12" s="5"/>
      <c r="AE12" s="5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5"/>
      <c r="BT12" s="6"/>
      <c r="BU12" s="6"/>
      <c r="BV12" s="6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12"/>
      <c r="CP12" s="12"/>
      <c r="CQ12" s="12"/>
      <c r="CR12" s="12"/>
    </row>
    <row r="13" spans="1:96" outlineLevel="1">
      <c r="B13" s="12" t="s">
        <v>82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5"/>
      <c r="BT13" s="6"/>
      <c r="BU13" s="6"/>
      <c r="BV13" s="6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12"/>
      <c r="CP13" s="12"/>
      <c r="CQ13" s="12"/>
      <c r="CR13" s="12"/>
    </row>
    <row r="14" spans="1:96" outlineLevel="1">
      <c r="B14" s="12" t="s">
        <v>84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323">
        <f t="shared" ref="O14:AD14" si="17">O8/N8-1</f>
        <v>0.1979328311942905</v>
      </c>
      <c r="P14" s="323">
        <f t="shared" si="17"/>
        <v>0.30966667263313008</v>
      </c>
      <c r="Q14" s="323">
        <f t="shared" si="17"/>
        <v>0.47395976583314692</v>
      </c>
      <c r="R14" s="323">
        <f t="shared" si="17"/>
        <v>0.48215563325208399</v>
      </c>
      <c r="S14" s="323">
        <f t="shared" si="17"/>
        <v>0.61025929091508546</v>
      </c>
      <c r="T14" s="323">
        <f t="shared" si="17"/>
        <v>0.41139148990200192</v>
      </c>
      <c r="U14" s="323">
        <f t="shared" ca="1" si="17"/>
        <v>0.31440538829527709</v>
      </c>
      <c r="V14" s="323">
        <f t="shared" ca="1" si="17"/>
        <v>0.30096363636363654</v>
      </c>
      <c r="W14" s="323">
        <f t="shared" ca="1" si="17"/>
        <v>0.30152000000000001</v>
      </c>
      <c r="X14" s="323">
        <f t="shared" ca="1" si="17"/>
        <v>0.17299999999999982</v>
      </c>
      <c r="Y14" s="323">
        <f t="shared" ca="1" si="17"/>
        <v>0.16280000000000006</v>
      </c>
      <c r="Z14" s="323">
        <f t="shared" ca="1" si="17"/>
        <v>0.15259999999999985</v>
      </c>
      <c r="AA14" s="323">
        <f t="shared" ca="1" si="17"/>
        <v>0.14239999999999986</v>
      </c>
      <c r="AB14" s="323">
        <f t="shared" ca="1" si="17"/>
        <v>0.13219999999999987</v>
      </c>
      <c r="AC14" s="323">
        <f t="shared" ca="1" si="17"/>
        <v>0.12200000000000011</v>
      </c>
      <c r="AD14" s="323">
        <f t="shared" ca="1" si="17"/>
        <v>0.10160000000000013</v>
      </c>
      <c r="AE14" s="323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41"/>
      <c r="BA14" s="41"/>
      <c r="BB14" s="41"/>
      <c r="BC14" s="41"/>
      <c r="BD14" s="41">
        <f t="shared" ref="BD14:BM16" si="18">BD8/AZ8-1</f>
        <v>0.25463088703157166</v>
      </c>
      <c r="BE14" s="41">
        <f t="shared" si="18"/>
        <v>0.26295048185727721</v>
      </c>
      <c r="BF14" s="41">
        <f t="shared" si="18"/>
        <v>0.34564512884394216</v>
      </c>
      <c r="BG14" s="41">
        <f t="shared" si="18"/>
        <v>0.37093406196792378</v>
      </c>
      <c r="BH14" s="41">
        <f t="shared" si="18"/>
        <v>0.45754944378366713</v>
      </c>
      <c r="BI14" s="41">
        <f t="shared" si="18"/>
        <v>0.47279466810547688</v>
      </c>
      <c r="BJ14" s="41">
        <f t="shared" si="18"/>
        <v>0.55620079408120193</v>
      </c>
      <c r="BK14" s="41">
        <f t="shared" si="18"/>
        <v>0.43427854924904041</v>
      </c>
      <c r="BL14" s="41">
        <f t="shared" si="18"/>
        <v>0.58530389698542429</v>
      </c>
      <c r="BM14" s="41">
        <f t="shared" si="18"/>
        <v>0.52192210341229273</v>
      </c>
      <c r="BN14" s="41">
        <f t="shared" ref="BN14:BW16" si="19">BN8/BJ8-1</f>
        <v>0.49854951656269941</v>
      </c>
      <c r="BO14" s="41">
        <f t="shared" si="19"/>
        <v>0.33704537549255842</v>
      </c>
      <c r="BP14" s="41">
        <f t="shared" si="19"/>
        <v>0.66971361276437369</v>
      </c>
      <c r="BQ14" s="41">
        <f t="shared" si="19"/>
        <v>0.66973087320336644</v>
      </c>
      <c r="BR14" s="41">
        <f t="shared" si="19"/>
        <v>0.56660976910533845</v>
      </c>
      <c r="BS14" s="41">
        <f t="shared" si="19"/>
        <v>0.61601261281797881</v>
      </c>
      <c r="BT14" s="41">
        <f t="shared" si="19"/>
        <v>0.38933552688413631</v>
      </c>
      <c r="BU14" s="41">
        <f t="shared" si="19"/>
        <v>0.40990686578966584</v>
      </c>
      <c r="BV14" s="41">
        <f t="shared" si="19"/>
        <v>0.47490059058044687</v>
      </c>
      <c r="BW14" s="41">
        <f t="shared" si="19"/>
        <v>0.3579982733531295</v>
      </c>
      <c r="BX14" s="323">
        <f t="shared" ref="BX14:CA16" ca="1" si="20">BX8/BT8-1</f>
        <v>0.24361739130434756</v>
      </c>
      <c r="BY14" s="323">
        <f t="shared" ca="1" si="20"/>
        <v>0.33043478260869552</v>
      </c>
      <c r="BZ14" s="323">
        <f t="shared" ca="1" si="20"/>
        <v>0.28786086956521717</v>
      </c>
      <c r="CA14" s="323">
        <f t="shared" ca="1" si="20"/>
        <v>0.38955192187662946</v>
      </c>
      <c r="CB14" s="323">
        <f t="shared" ref="CB14:CE17" ca="1" si="21">CB8/BX8-1</f>
        <v>0.56008999999999998</v>
      </c>
      <c r="CC14" s="323">
        <f t="shared" ca="1" si="21"/>
        <v>0.47798000000000029</v>
      </c>
      <c r="CD14" s="323">
        <f t="shared" ca="1" si="21"/>
        <v>0.34894999999999987</v>
      </c>
      <c r="CE14" s="323">
        <f t="shared" ca="1" si="21"/>
        <v>0.37569284786488777</v>
      </c>
      <c r="CF14" s="5"/>
      <c r="CG14" s="5"/>
      <c r="CH14" s="5"/>
      <c r="CI14" s="12"/>
      <c r="CP14" s="12"/>
      <c r="CQ14" s="12"/>
      <c r="CR14" s="12"/>
    </row>
    <row r="15" spans="1:96" outlineLevel="1">
      <c r="B15" s="12" t="s">
        <v>534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323">
        <f t="shared" ref="O15:AD15" si="22">O9/N9-1</f>
        <v>0.19086552495031994</v>
      </c>
      <c r="P15" s="323">
        <f t="shared" si="22"/>
        <v>0.27894591983708916</v>
      </c>
      <c r="Q15" s="323">
        <f t="shared" si="22"/>
        <v>0.36464703714914082</v>
      </c>
      <c r="R15" s="323">
        <f t="shared" si="22"/>
        <v>0.50975468337001018</v>
      </c>
      <c r="S15" s="323">
        <f t="shared" si="22"/>
        <v>1.2648644527936419</v>
      </c>
      <c r="T15" s="323">
        <f t="shared" si="22"/>
        <v>0.73072665454921037</v>
      </c>
      <c r="U15" s="323">
        <f t="shared" ca="1" si="22"/>
        <v>0.4714666666666667</v>
      </c>
      <c r="V15" s="323">
        <f t="shared" ca="1" si="22"/>
        <v>0.23279545454545492</v>
      </c>
      <c r="W15" s="323">
        <f t="shared" ca="1" si="22"/>
        <v>0.22530434782608655</v>
      </c>
      <c r="X15" s="323">
        <f t="shared" ca="1" si="22"/>
        <v>0.20750000000000002</v>
      </c>
      <c r="Y15" s="323">
        <f t="shared" ca="1" si="22"/>
        <v>0.19951999999999992</v>
      </c>
      <c r="Z15" s="323">
        <f t="shared" ca="1" si="22"/>
        <v>0.18589999999999973</v>
      </c>
      <c r="AA15" s="323">
        <f t="shared" ca="1" si="22"/>
        <v>0.17584999999999962</v>
      </c>
      <c r="AB15" s="323">
        <f t="shared" ca="1" si="22"/>
        <v>0.16579999999999995</v>
      </c>
      <c r="AC15" s="323">
        <f t="shared" ca="1" si="22"/>
        <v>0.15574999999999983</v>
      </c>
      <c r="AD15" s="323">
        <f t="shared" ca="1" si="22"/>
        <v>0.14569999999999972</v>
      </c>
      <c r="AE15" s="323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41"/>
      <c r="BA15" s="41"/>
      <c r="BB15" s="41"/>
      <c r="BC15" s="41"/>
      <c r="BD15" s="41">
        <f t="shared" si="18"/>
        <v>0.26643231648859156</v>
      </c>
      <c r="BE15" s="41">
        <f t="shared" si="18"/>
        <v>0.29125586869586262</v>
      </c>
      <c r="BF15" s="41">
        <f t="shared" si="18"/>
        <v>0.26319573480114178</v>
      </c>
      <c r="BG15" s="41">
        <f t="shared" si="18"/>
        <v>0.29475254626251268</v>
      </c>
      <c r="BH15" s="41">
        <f t="shared" si="18"/>
        <v>0.42620285052356022</v>
      </c>
      <c r="BI15" s="41">
        <f t="shared" si="18"/>
        <v>0.38983586699286521</v>
      </c>
      <c r="BJ15" s="41">
        <f t="shared" si="18"/>
        <v>0.32357029895778244</v>
      </c>
      <c r="BK15" s="41">
        <f t="shared" si="18"/>
        <v>0.33627417423295869</v>
      </c>
      <c r="BL15" s="41">
        <f t="shared" si="18"/>
        <v>0.45593373681171445</v>
      </c>
      <c r="BM15" s="41">
        <f t="shared" si="18"/>
        <v>0.4507665524199469</v>
      </c>
      <c r="BN15" s="41">
        <f t="shared" si="19"/>
        <v>0.51161943011566491</v>
      </c>
      <c r="BO15" s="41">
        <f t="shared" si="19"/>
        <v>0.60843184023432295</v>
      </c>
      <c r="BP15" s="41">
        <f t="shared" si="19"/>
        <v>1.349840527895819</v>
      </c>
      <c r="BQ15" s="41">
        <f t="shared" si="19"/>
        <v>1.1753163065385159</v>
      </c>
      <c r="BR15" s="41">
        <f t="shared" si="19"/>
        <v>1.2949397341138167</v>
      </c>
      <c r="BS15" s="41">
        <f t="shared" si="19"/>
        <v>1.2466584985773013</v>
      </c>
      <c r="BT15" s="41">
        <f t="shared" si="19"/>
        <v>0.84413207683074787</v>
      </c>
      <c r="BU15" s="41">
        <f t="shared" si="19"/>
        <v>0.86700754643745293</v>
      </c>
      <c r="BV15" s="41">
        <f t="shared" si="19"/>
        <v>0.7651188201740331</v>
      </c>
      <c r="BW15" s="41">
        <f t="shared" si="19"/>
        <v>0.49463967837170952</v>
      </c>
      <c r="BX15" s="323">
        <f t="shared" ca="1" si="20"/>
        <v>0.33380000000000032</v>
      </c>
      <c r="BY15" s="323">
        <f t="shared" ca="1" si="20"/>
        <v>0.37133333333333285</v>
      </c>
      <c r="BZ15" s="323">
        <f t="shared" ca="1" si="20"/>
        <v>0.51200000000000001</v>
      </c>
      <c r="CA15" s="323">
        <f t="shared" ca="1" si="20"/>
        <v>0.66172120482460262</v>
      </c>
      <c r="CB15" s="323">
        <f t="shared" ca="1" si="21"/>
        <v>0.34018181818181836</v>
      </c>
      <c r="CC15" s="323">
        <f t="shared" ca="1" si="21"/>
        <v>0.30295454545454614</v>
      </c>
      <c r="CD15" s="323">
        <f t="shared" ca="1" si="21"/>
        <v>0.1798181818181821</v>
      </c>
      <c r="CE15" s="323">
        <f t="shared" ca="1" si="21"/>
        <v>0.14533196489455991</v>
      </c>
      <c r="CF15" s="5"/>
      <c r="CG15" s="5"/>
      <c r="CH15" s="5"/>
      <c r="CI15" s="12"/>
      <c r="CP15" s="12"/>
      <c r="CQ15" s="12"/>
      <c r="CR15" s="12"/>
    </row>
    <row r="16" spans="1:96" outlineLevel="1">
      <c r="B16" s="12" t="s">
        <v>119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323">
        <f t="shared" ref="O16:AD16" si="23">O10/N10-1</f>
        <v>0.28995285601269494</v>
      </c>
      <c r="P16" s="323">
        <f t="shared" si="23"/>
        <v>0.35673211858311804</v>
      </c>
      <c r="Q16" s="323">
        <f t="shared" si="23"/>
        <v>0.35349333674975481</v>
      </c>
      <c r="R16" s="323">
        <f t="shared" si="23"/>
        <v>0.75604196363784482</v>
      </c>
      <c r="S16" s="323">
        <f t="shared" si="23"/>
        <v>0.55818879542426258</v>
      </c>
      <c r="T16" s="323">
        <f t="shared" si="23"/>
        <v>0.46945093241705194</v>
      </c>
      <c r="U16" s="323">
        <f t="shared" ca="1" si="23"/>
        <v>0.26</v>
      </c>
      <c r="V16" s="323">
        <f t="shared" ca="1" si="23"/>
        <v>0.21999999999999997</v>
      </c>
      <c r="W16" s="323">
        <f t="shared" ca="1" si="23"/>
        <v>0.17599999999999993</v>
      </c>
      <c r="X16" s="323">
        <f t="shared" ca="1" si="23"/>
        <v>0.14080000000000004</v>
      </c>
      <c r="Y16" s="323">
        <f t="shared" ca="1" si="23"/>
        <v>0.11264000000000007</v>
      </c>
      <c r="Z16" s="323">
        <f t="shared" ca="1" si="23"/>
        <v>9.011199999999997E-2</v>
      </c>
      <c r="AA16" s="323">
        <f t="shared" ca="1" si="23"/>
        <v>7.2089599999999976E-2</v>
      </c>
      <c r="AB16" s="323">
        <f t="shared" ca="1" si="23"/>
        <v>5.7671680000000114E-2</v>
      </c>
      <c r="AC16" s="323">
        <f t="shared" ca="1" si="23"/>
        <v>4.6137343999999914E-2</v>
      </c>
      <c r="AD16" s="323">
        <f t="shared" ca="1" si="23"/>
        <v>3.6909875200000108E-2</v>
      </c>
      <c r="AE16" s="323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41"/>
      <c r="BA16" s="41"/>
      <c r="BB16" s="41"/>
      <c r="BC16" s="41"/>
      <c r="BD16" s="41">
        <f t="shared" si="18"/>
        <v>0.4136841559081561</v>
      </c>
      <c r="BE16" s="41">
        <f t="shared" si="18"/>
        <v>0.39803588902405229</v>
      </c>
      <c r="BF16" s="41">
        <f t="shared" si="18"/>
        <v>0.4280384505486059</v>
      </c>
      <c r="BG16" s="41">
        <f t="shared" si="18"/>
        <v>0.16992745487404282</v>
      </c>
      <c r="BH16" s="41">
        <f t="shared" si="18"/>
        <v>0.3225046553647879</v>
      </c>
      <c r="BI16" s="41">
        <f t="shared" si="18"/>
        <v>0.31624666243459898</v>
      </c>
      <c r="BJ16" s="41">
        <f t="shared" si="18"/>
        <v>0.34298261922329476</v>
      </c>
      <c r="BK16" s="41">
        <f t="shared" si="18"/>
        <v>0.444339350865528</v>
      </c>
      <c r="BL16" s="41">
        <f t="shared" si="18"/>
        <v>0.69702015032131359</v>
      </c>
      <c r="BM16" s="41">
        <f t="shared" si="18"/>
        <v>0.7839900382362115</v>
      </c>
      <c r="BN16" s="41">
        <f t="shared" si="19"/>
        <v>0.84263228664270629</v>
      </c>
      <c r="BO16" s="41">
        <f t="shared" si="19"/>
        <v>0.66433061254340142</v>
      </c>
      <c r="BP16" s="41">
        <f t="shared" si="19"/>
        <v>0.58130366511221099</v>
      </c>
      <c r="BQ16" s="41">
        <f t="shared" si="19"/>
        <v>0.6187461743525835</v>
      </c>
      <c r="BR16" s="41">
        <f t="shared" si="19"/>
        <v>0.54259296010021529</v>
      </c>
      <c r="BS16" s="41">
        <f t="shared" si="19"/>
        <v>0.50140934461299635</v>
      </c>
      <c r="BT16" s="41">
        <f t="shared" si="19"/>
        <v>0.44133027091029597</v>
      </c>
      <c r="BU16" s="41">
        <f t="shared" si="19"/>
        <v>0.47651919612096294</v>
      </c>
      <c r="BV16" s="41">
        <f t="shared" si="19"/>
        <v>0.45177581611005135</v>
      </c>
      <c r="BW16" s="41">
        <f t="shared" si="19"/>
        <v>0.52662779823583827</v>
      </c>
      <c r="BX16" s="323">
        <f t="shared" ca="1" si="20"/>
        <v>0.12000000000000011</v>
      </c>
      <c r="BY16" s="323">
        <f t="shared" ca="1" si="20"/>
        <v>0.30000000000000004</v>
      </c>
      <c r="BZ16" s="323">
        <f t="shared" ca="1" si="20"/>
        <v>0.19999999999999996</v>
      </c>
      <c r="CA16" s="323">
        <f t="shared" ca="1" si="20"/>
        <v>0.47783942434582727</v>
      </c>
      <c r="CB16" s="323">
        <f t="shared" ca="1" si="21"/>
        <v>0.30000000000000004</v>
      </c>
      <c r="CC16" s="323">
        <f t="shared" ca="1" si="21"/>
        <v>0.25</v>
      </c>
      <c r="CD16" s="323">
        <f t="shared" ca="1" si="21"/>
        <v>0.16999999999999993</v>
      </c>
      <c r="CE16" s="323">
        <f t="shared" ca="1" si="21"/>
        <v>0.19309431662694987</v>
      </c>
      <c r="CF16" s="5"/>
      <c r="CG16" s="5"/>
      <c r="CH16" s="5"/>
      <c r="CI16" s="12"/>
      <c r="CP16" s="12"/>
      <c r="CQ16" s="12"/>
      <c r="CR16" s="12"/>
    </row>
    <row r="17" spans="1:96" outlineLevel="1">
      <c r="B17" s="12" t="s">
        <v>131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323">
        <f>O11/N11-1</f>
        <v>0.20110966776089212</v>
      </c>
      <c r="P17" s="323">
        <f t="shared" ref="P17:AD17" si="24">P11/O11-1</f>
        <v>0.29259312379951763</v>
      </c>
      <c r="Q17" s="323">
        <f t="shared" si="24"/>
        <v>0.38595411701209748</v>
      </c>
      <c r="R17" s="323">
        <f t="shared" si="24"/>
        <v>0.52783811306018658</v>
      </c>
      <c r="S17" s="323">
        <f t="shared" si="24"/>
        <v>1.0468242603608613</v>
      </c>
      <c r="T17" s="323">
        <f t="shared" si="24"/>
        <v>0.65518096525380987</v>
      </c>
      <c r="U17" s="323">
        <f t="shared" ca="1" si="24"/>
        <v>0.43308979843432782</v>
      </c>
      <c r="V17" s="323">
        <f t="shared" ca="1" si="24"/>
        <v>0.24081718682637598</v>
      </c>
      <c r="W17" s="323">
        <f t="shared" ca="1" si="24"/>
        <v>0.2324700209573487</v>
      </c>
      <c r="X17" s="323">
        <f t="shared" ca="1" si="24"/>
        <v>0.19834278343944378</v>
      </c>
      <c r="Y17" s="323">
        <f t="shared" ca="1" si="24"/>
        <v>0.18915076768316719</v>
      </c>
      <c r="Z17" s="323">
        <f t="shared" ca="1" si="24"/>
        <v>0.17595372090761563</v>
      </c>
      <c r="AA17" s="323">
        <f t="shared" ca="1" si="24"/>
        <v>0.16595245766357358</v>
      </c>
      <c r="AB17" s="323">
        <f t="shared" ca="1" si="24"/>
        <v>0.15619854014200074</v>
      </c>
      <c r="AC17" s="323">
        <f t="shared" ca="1" si="24"/>
        <v>0.14659557199268236</v>
      </c>
      <c r="AD17" s="323">
        <f t="shared" ca="1" si="24"/>
        <v>0.13577606430382527</v>
      </c>
      <c r="AE17" s="323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41"/>
      <c r="BA17" s="41"/>
      <c r="BB17" s="41"/>
      <c r="BC17" s="41"/>
      <c r="BD17" s="41">
        <f t="shared" ref="BD17:BM17" si="25">BD11/AZ11-1</f>
        <v>0.27984701342158269</v>
      </c>
      <c r="BE17" s="41">
        <f t="shared" si="25"/>
        <v>0.29389473402223376</v>
      </c>
      <c r="BF17" s="41">
        <f t="shared" si="25"/>
        <v>0.29686946455156904</v>
      </c>
      <c r="BG17" s="41">
        <f t="shared" si="25"/>
        <v>0.2999356954870589</v>
      </c>
      <c r="BH17" s="41">
        <f t="shared" si="25"/>
        <v>0.42003181696162883</v>
      </c>
      <c r="BI17" s="41">
        <f t="shared" si="25"/>
        <v>0.40013751900597949</v>
      </c>
      <c r="BJ17" s="41">
        <f t="shared" si="25"/>
        <v>0.37175401275734332</v>
      </c>
      <c r="BK17" s="41">
        <f t="shared" si="25"/>
        <v>0.36645505153554647</v>
      </c>
      <c r="BL17" s="41">
        <f t="shared" si="25"/>
        <v>0.50821670620357784</v>
      </c>
      <c r="BM17" s="41">
        <f t="shared" si="25"/>
        <v>0.49246758429652449</v>
      </c>
      <c r="BN17" s="41">
        <f t="shared" ref="BN17:CA17" si="26">BN11/BJ11-1</f>
        <v>0.54769178844011202</v>
      </c>
      <c r="BO17" s="41">
        <f t="shared" si="26"/>
        <v>0.54987059428722618</v>
      </c>
      <c r="BP17" s="41">
        <f t="shared" si="26"/>
        <v>1.1123653343386515</v>
      </c>
      <c r="BQ17" s="41">
        <f t="shared" si="26"/>
        <v>1.0135241558881209</v>
      </c>
      <c r="BR17" s="41">
        <f t="shared" si="26"/>
        <v>1.031747675314354</v>
      </c>
      <c r="BS17" s="41">
        <f t="shared" si="26"/>
        <v>1.0539043447560532</v>
      </c>
      <c r="BT17" s="41">
        <f t="shared" si="26"/>
        <v>0.73157121428090921</v>
      </c>
      <c r="BU17" s="41">
        <f t="shared" si="26"/>
        <v>0.75561981217382912</v>
      </c>
      <c r="BV17" s="41">
        <f t="shared" si="26"/>
        <v>0.68330748168100275</v>
      </c>
      <c r="BW17" s="41">
        <f t="shared" si="26"/>
        <v>0.47512247891868031</v>
      </c>
      <c r="BX17" s="323">
        <f t="shared" ca="1" si="26"/>
        <v>0.30533754194181961</v>
      </c>
      <c r="BY17" s="323">
        <f t="shared" ca="1" si="26"/>
        <v>0.36086704079905796</v>
      </c>
      <c r="BZ17" s="323">
        <f t="shared" ca="1" si="26"/>
        <v>0.45056386437082607</v>
      </c>
      <c r="CA17" s="323">
        <f t="shared" ca="1" si="26"/>
        <v>0.60979071256717399</v>
      </c>
      <c r="CB17" s="323">
        <f t="shared" ca="1" si="21"/>
        <v>0.36532863802689897</v>
      </c>
      <c r="CC17" s="323">
        <f t="shared" ca="1" si="21"/>
        <v>0.32410769739408352</v>
      </c>
      <c r="CD17" s="323">
        <f t="shared" ca="1" si="21"/>
        <v>0.20103446238261546</v>
      </c>
      <c r="CE17" s="323">
        <f t="shared" ca="1" si="21"/>
        <v>0.17719963283947071</v>
      </c>
      <c r="CF17" s="5"/>
      <c r="CG17" s="5"/>
      <c r="CH17" s="5"/>
      <c r="CI17" s="12"/>
      <c r="CP17" s="12"/>
      <c r="CQ17" s="12"/>
      <c r="CR17" s="12"/>
    </row>
    <row r="18" spans="1:96" outlineLevel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5"/>
      <c r="CG18" s="5"/>
      <c r="CH18" s="5"/>
      <c r="CI18" s="12"/>
      <c r="CP18" s="12"/>
      <c r="CQ18" s="12"/>
      <c r="CR18" s="12"/>
    </row>
    <row r="19" spans="1:96" outlineLevel="1">
      <c r="B19" s="12" t="s">
        <v>141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5"/>
      <c r="CG19" s="5"/>
      <c r="CH19" s="5"/>
      <c r="CI19" s="12"/>
      <c r="CP19" s="12"/>
      <c r="CQ19" s="12"/>
      <c r="CR19" s="12"/>
    </row>
    <row r="20" spans="1:96" outlineLevel="1">
      <c r="B20" s="12" t="s">
        <v>84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323">
        <f t="shared" ref="N20:AD20" si="27">N8/N$11</f>
        <v>0.20300701634393636</v>
      </c>
      <c r="O20" s="323">
        <f t="shared" si="27"/>
        <v>0.20247007943458625</v>
      </c>
      <c r="P20" s="323">
        <f t="shared" si="27"/>
        <v>0.20514445757022914</v>
      </c>
      <c r="Q20" s="323">
        <f t="shared" si="27"/>
        <v>0.21817076981888536</v>
      </c>
      <c r="R20" s="323">
        <f t="shared" si="27"/>
        <v>0.21164744663315407</v>
      </c>
      <c r="S20" s="323">
        <f t="shared" si="27"/>
        <v>0.16650538785357455</v>
      </c>
      <c r="T20" s="323">
        <f t="shared" si="27"/>
        <v>0.14198102344859378</v>
      </c>
      <c r="U20" s="323">
        <f t="shared" ca="1" si="27"/>
        <v>0.13022255999616747</v>
      </c>
      <c r="V20" s="323">
        <f t="shared" ca="1" si="27"/>
        <v>0.13653487152487484</v>
      </c>
      <c r="W20" s="323">
        <f t="shared" ca="1" si="27"/>
        <v>0.14418433143633011</v>
      </c>
      <c r="X20" s="323">
        <f t="shared" ca="1" si="27"/>
        <v>0.14113509349085326</v>
      </c>
      <c r="Y20" s="323">
        <f t="shared" ca="1" si="27"/>
        <v>0.13800763634951418</v>
      </c>
      <c r="Z20" s="323">
        <f t="shared" ca="1" si="27"/>
        <v>0.13526688918818991</v>
      </c>
      <c r="AA20" s="323">
        <f t="shared" ca="1" si="27"/>
        <v>0.13253447273334384</v>
      </c>
      <c r="AB20" s="323">
        <f t="shared" ca="1" si="27"/>
        <v>0.12978353182340338</v>
      </c>
      <c r="AC20" s="323">
        <f t="shared" ca="1" si="27"/>
        <v>0.12699955089900516</v>
      </c>
      <c r="AD20" s="323">
        <f t="shared" ca="1" si="27"/>
        <v>0.1231780715119204</v>
      </c>
      <c r="AE20" s="323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41">
        <f t="shared" ref="AZ20:CA20" si="28">AZ8/AZ$11</f>
        <v>0.19786495775423332</v>
      </c>
      <c r="BA20" s="41">
        <f t="shared" si="28"/>
        <v>0.20479354456420443</v>
      </c>
      <c r="BB20" s="41">
        <f t="shared" si="28"/>
        <v>0.18994081240709909</v>
      </c>
      <c r="BC20" s="41">
        <f t="shared" si="28"/>
        <v>0.21030368346854933</v>
      </c>
      <c r="BD20" s="41">
        <f t="shared" si="28"/>
        <v>0.19396653260610086</v>
      </c>
      <c r="BE20" s="41">
        <f t="shared" si="28"/>
        <v>0.19989578671874966</v>
      </c>
      <c r="BF20" s="41">
        <f t="shared" si="28"/>
        <v>0.19708454549252011</v>
      </c>
      <c r="BG20" s="41">
        <f t="shared" si="28"/>
        <v>0.22178980393051687</v>
      </c>
      <c r="BH20" s="41">
        <f t="shared" si="28"/>
        <v>0.19909118115225174</v>
      </c>
      <c r="BI20" s="41">
        <f t="shared" si="28"/>
        <v>0.21026895205632071</v>
      </c>
      <c r="BJ20" s="41">
        <f t="shared" si="28"/>
        <v>0.22358463933347122</v>
      </c>
      <c r="BK20" s="41">
        <f t="shared" si="28"/>
        <v>0.23279825989315805</v>
      </c>
      <c r="BL20" s="41">
        <f t="shared" si="28"/>
        <v>0.20926702644115494</v>
      </c>
      <c r="BM20" s="41">
        <f t="shared" si="28"/>
        <v>0.21441870440803742</v>
      </c>
      <c r="BN20" s="41">
        <f t="shared" si="28"/>
        <v>0.21648538532449782</v>
      </c>
      <c r="BO20" s="41">
        <f t="shared" si="28"/>
        <v>0.20083085514375393</v>
      </c>
      <c r="BP20" s="41">
        <f t="shared" si="28"/>
        <v>0.16541456966340307</v>
      </c>
      <c r="BQ20" s="41">
        <f t="shared" si="28"/>
        <v>0.17780841093731578</v>
      </c>
      <c r="BR20" s="41">
        <f t="shared" si="28"/>
        <v>0.16692433004281326</v>
      </c>
      <c r="BS20" s="41">
        <f t="shared" si="28"/>
        <v>0.15801378276643829</v>
      </c>
      <c r="BT20" s="41">
        <f t="shared" si="28"/>
        <v>0.13272127441380194</v>
      </c>
      <c r="BU20" s="41">
        <f t="shared" si="28"/>
        <v>0.14279475410183509</v>
      </c>
      <c r="BV20" s="41">
        <f t="shared" si="28"/>
        <v>0.14625776671326324</v>
      </c>
      <c r="BW20" s="41">
        <f t="shared" si="28"/>
        <v>0.14546754403750706</v>
      </c>
      <c r="BX20" s="323">
        <f t="shared" ca="1" si="28"/>
        <v>0.12644582703991322</v>
      </c>
      <c r="BY20" s="323">
        <f t="shared" ca="1" si="28"/>
        <v>0.13960152015996169</v>
      </c>
      <c r="BZ20" s="323">
        <f t="shared" ca="1" si="28"/>
        <v>0.12985271400077913</v>
      </c>
      <c r="CA20" s="323">
        <f t="shared" ca="1" si="28"/>
        <v>0.12556582902981334</v>
      </c>
      <c r="CB20" s="323">
        <f t="shared" ref="CB20:CE22" ca="1" si="29">CB8/CB$11</f>
        <v>0.1444830678947582</v>
      </c>
      <c r="CC20" s="323">
        <f t="shared" ca="1" si="29"/>
        <v>0.15582437529219526</v>
      </c>
      <c r="CD20" s="323">
        <f t="shared" ca="1" si="29"/>
        <v>0.14584495619206342</v>
      </c>
      <c r="CE20" s="323">
        <f t="shared" ca="1" si="29"/>
        <v>0.1467380791785341</v>
      </c>
      <c r="CF20" s="5"/>
      <c r="CG20" s="5"/>
      <c r="CH20" s="5"/>
      <c r="CI20" s="12"/>
      <c r="CP20" s="12"/>
      <c r="CQ20" s="12"/>
      <c r="CR20" s="12"/>
    </row>
    <row r="21" spans="1:96" outlineLevel="1">
      <c r="B21" s="12" t="s">
        <v>534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323">
        <f t="shared" ref="N21:AD21" si="30">N9/N$11</f>
        <v>0.70808726824377488</v>
      </c>
      <c r="O21" s="323">
        <f t="shared" si="30"/>
        <v>0.70204806358750105</v>
      </c>
      <c r="P21" s="323">
        <f t="shared" si="30"/>
        <v>0.69463583700297171</v>
      </c>
      <c r="Q21" s="323">
        <f t="shared" si="30"/>
        <v>0.68395679570353674</v>
      </c>
      <c r="R21" s="323">
        <f t="shared" si="30"/>
        <v>0.67586151092140079</v>
      </c>
      <c r="S21" s="323">
        <f t="shared" si="30"/>
        <v>0.74785839739236304</v>
      </c>
      <c r="T21" s="323">
        <f t="shared" si="30"/>
        <v>0.78199211407493507</v>
      </c>
      <c r="U21" s="323">
        <f t="shared" ca="1" si="30"/>
        <v>0.80293316630583422</v>
      </c>
      <c r="V21" s="323">
        <f t="shared" ca="1" si="30"/>
        <v>0.79774230098904109</v>
      </c>
      <c r="W21" s="323">
        <f t="shared" ca="1" si="30"/>
        <v>0.79310416742419543</v>
      </c>
      <c r="X21" s="323">
        <f t="shared" ca="1" si="30"/>
        <v>0.79916472598602706</v>
      </c>
      <c r="Y21" s="323">
        <f t="shared" ca="1" si="30"/>
        <v>0.80613333327147019</v>
      </c>
      <c r="Z21" s="323">
        <f t="shared" ca="1" si="30"/>
        <v>0.81295165186329665</v>
      </c>
      <c r="AA21" s="323">
        <f t="shared" ca="1" si="30"/>
        <v>0.81985263941120068</v>
      </c>
      <c r="AB21" s="323">
        <f t="shared" ca="1" si="30"/>
        <v>0.82666097027608354</v>
      </c>
      <c r="AC21" s="323">
        <f t="shared" ca="1" si="30"/>
        <v>0.8332610379230394</v>
      </c>
      <c r="AD21" s="323">
        <f t="shared" ca="1" si="30"/>
        <v>0.84054172398287841</v>
      </c>
      <c r="AE21" s="323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41">
        <f t="shared" ref="AZ21:CA21" si="31">AZ9/AZ$11</f>
        <v>0.695176879033502</v>
      </c>
      <c r="BA21" s="41">
        <f t="shared" si="31"/>
        <v>0.71620641590237877</v>
      </c>
      <c r="BB21" s="41">
        <f t="shared" si="31"/>
        <v>0.70078396252890107</v>
      </c>
      <c r="BC21" s="41">
        <f t="shared" si="31"/>
        <v>0.70286999002959716</v>
      </c>
      <c r="BD21" s="41">
        <f t="shared" si="31"/>
        <v>0.68789039318850576</v>
      </c>
      <c r="BE21" s="41">
        <f t="shared" si="31"/>
        <v>0.71474573117451523</v>
      </c>
      <c r="BF21" s="41">
        <f t="shared" si="31"/>
        <v>0.68258782913794991</v>
      </c>
      <c r="BG21" s="41">
        <f t="shared" si="31"/>
        <v>0.70006748213907144</v>
      </c>
      <c r="BH21" s="41">
        <f t="shared" si="31"/>
        <v>0.69087975909748889</v>
      </c>
      <c r="BI21" s="41">
        <f t="shared" si="31"/>
        <v>0.70948691787905693</v>
      </c>
      <c r="BJ21" s="41">
        <f t="shared" si="31"/>
        <v>0.6586115066367052</v>
      </c>
      <c r="BK21" s="41">
        <f t="shared" si="31"/>
        <v>0.68460509956144644</v>
      </c>
      <c r="BL21" s="41">
        <f t="shared" si="31"/>
        <v>0.66693012032888321</v>
      </c>
      <c r="BM21" s="41">
        <f t="shared" si="31"/>
        <v>0.68966314623417069</v>
      </c>
      <c r="BN21" s="41">
        <f t="shared" si="31"/>
        <v>0.64326111811526188</v>
      </c>
      <c r="BO21" s="41">
        <f t="shared" si="31"/>
        <v>0.71047263183145004</v>
      </c>
      <c r="BP21" s="41">
        <f t="shared" si="31"/>
        <v>0.7419073777377172</v>
      </c>
      <c r="BQ21" s="41">
        <f t="shared" si="31"/>
        <v>0.7450794586371019</v>
      </c>
      <c r="BR21" s="41">
        <f t="shared" si="31"/>
        <v>0.72658899395309495</v>
      </c>
      <c r="BS21" s="41">
        <f t="shared" si="31"/>
        <v>0.7771488386915566</v>
      </c>
      <c r="BT21" s="41">
        <f t="shared" si="31"/>
        <v>0.79013509928997594</v>
      </c>
      <c r="BU21" s="41">
        <f t="shared" si="31"/>
        <v>0.79235205841551959</v>
      </c>
      <c r="BV21" s="41">
        <f t="shared" si="31"/>
        <v>0.76190233912414196</v>
      </c>
      <c r="BW21" s="41">
        <f t="shared" si="31"/>
        <v>0.78743121802357774</v>
      </c>
      <c r="BX21" s="323">
        <f t="shared" ca="1" si="31"/>
        <v>0.80736373663567151</v>
      </c>
      <c r="BY21" s="323">
        <f t="shared" ca="1" si="31"/>
        <v>0.79844595898397064</v>
      </c>
      <c r="BZ21" s="323">
        <f t="shared" ca="1" si="31"/>
        <v>0.79417140124014773</v>
      </c>
      <c r="CA21" s="323">
        <f t="shared" ca="1" si="31"/>
        <v>0.81283308576427304</v>
      </c>
      <c r="CB21" s="323">
        <f t="shared" ca="1" si="29"/>
        <v>0.79249359484770709</v>
      </c>
      <c r="CC21" s="323">
        <f t="shared" ca="1" si="29"/>
        <v>0.7856904643069611</v>
      </c>
      <c r="CD21" s="323">
        <f t="shared" ca="1" si="29"/>
        <v>0.78014235894977546</v>
      </c>
      <c r="CE21" s="323">
        <f t="shared" ca="1" si="29"/>
        <v>0.79082909073303653</v>
      </c>
      <c r="CF21" s="5"/>
      <c r="CG21" s="5"/>
      <c r="CH21" s="5"/>
      <c r="CI21" s="12"/>
      <c r="CP21" s="12"/>
      <c r="CQ21" s="12"/>
      <c r="CR21" s="12"/>
    </row>
    <row r="22" spans="1:96" outlineLevel="1">
      <c r="B22" s="12" t="s">
        <v>119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323">
        <f t="shared" ref="N22:AD22" si="32">N10/N$11</f>
        <v>8.8905715412288741E-2</v>
      </c>
      <c r="O22" s="323">
        <f t="shared" si="32"/>
        <v>9.5481856977912713E-2</v>
      </c>
      <c r="P22" s="323">
        <f t="shared" si="32"/>
        <v>0.10021970542679914</v>
      </c>
      <c r="Q22" s="323">
        <f t="shared" si="32"/>
        <v>9.7872434477577916E-2</v>
      </c>
      <c r="R22" s="323">
        <f t="shared" si="32"/>
        <v>0.11249104244544511</v>
      </c>
      <c r="S22" s="323">
        <f t="shared" si="32"/>
        <v>8.563621475406244E-2</v>
      </c>
      <c r="T22" s="323">
        <f t="shared" si="32"/>
        <v>7.6026862476471016E-2</v>
      </c>
      <c r="U22" s="323">
        <f t="shared" ca="1" si="32"/>
        <v>6.6844273697998349E-2</v>
      </c>
      <c r="V22" s="323">
        <f t="shared" ca="1" si="32"/>
        <v>6.5722827486084004E-2</v>
      </c>
      <c r="W22" s="323">
        <f t="shared" ca="1" si="32"/>
        <v>6.2711501139474379E-2</v>
      </c>
      <c r="X22" s="323">
        <f t="shared" ca="1" si="32"/>
        <v>5.9700180523119581E-2</v>
      </c>
      <c r="Y22" s="323">
        <f t="shared" ca="1" si="32"/>
        <v>5.5859030379015615E-2</v>
      </c>
      <c r="Z22" s="323">
        <f t="shared" ca="1" si="32"/>
        <v>5.1781458948513562E-2</v>
      </c>
      <c r="AA22" s="323">
        <f t="shared" ca="1" si="32"/>
        <v>4.7612887855455387E-2</v>
      </c>
      <c r="AB22" s="323">
        <f t="shared" ca="1" si="32"/>
        <v>4.3555497900512996E-2</v>
      </c>
      <c r="AC22" s="323">
        <f t="shared" ca="1" si="32"/>
        <v>3.9739411177955465E-2</v>
      </c>
      <c r="AD22" s="323">
        <f t="shared" ca="1" si="32"/>
        <v>3.6280204505201162E-2</v>
      </c>
      <c r="AE22" s="323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41">
        <f t="shared" ref="AZ22:CA22" si="33">AZ10/AZ$11</f>
        <v>0.10695816321226469</v>
      </c>
      <c r="BA22" s="41">
        <f t="shared" si="33"/>
        <v>7.9000039533416708E-2</v>
      </c>
      <c r="BB22" s="41">
        <f t="shared" si="33"/>
        <v>0.10927522506399968</v>
      </c>
      <c r="BC22" s="41">
        <f t="shared" si="33"/>
        <v>8.6826326501853429E-2</v>
      </c>
      <c r="BD22" s="41">
        <f t="shared" si="33"/>
        <v>0.11814307420539343</v>
      </c>
      <c r="BE22" s="41">
        <f t="shared" si="33"/>
        <v>8.5358482106735023E-2</v>
      </c>
      <c r="BF22" s="41">
        <f t="shared" si="33"/>
        <v>0.12032762536953008</v>
      </c>
      <c r="BG22" s="41">
        <f t="shared" si="33"/>
        <v>7.8142713930411709E-2</v>
      </c>
      <c r="BH22" s="41">
        <f t="shared" si="33"/>
        <v>0.11002905975025935</v>
      </c>
      <c r="BI22" s="41">
        <f t="shared" si="33"/>
        <v>8.0244130064622304E-2</v>
      </c>
      <c r="BJ22" s="41">
        <f t="shared" si="33"/>
        <v>0.11780385402982362</v>
      </c>
      <c r="BK22" s="41">
        <f t="shared" si="33"/>
        <v>8.2596640545395575E-2</v>
      </c>
      <c r="BL22" s="41">
        <f t="shared" si="33"/>
        <v>0.12380285322996179</v>
      </c>
      <c r="BM22" s="41">
        <f t="shared" si="33"/>
        <v>9.5918149357792012E-2</v>
      </c>
      <c r="BN22" s="41">
        <f t="shared" si="33"/>
        <v>0.14025349656024033</v>
      </c>
      <c r="BO22" s="41">
        <f t="shared" si="33"/>
        <v>8.8696513024796059E-2</v>
      </c>
      <c r="BP22" s="41">
        <f t="shared" si="33"/>
        <v>9.2678052598879734E-2</v>
      </c>
      <c r="BQ22" s="41">
        <f t="shared" si="33"/>
        <v>7.7112130425582431E-2</v>
      </c>
      <c r="BR22" s="41">
        <f t="shared" si="33"/>
        <v>0.10648667600409191</v>
      </c>
      <c r="BS22" s="41">
        <f t="shared" si="33"/>
        <v>6.4837378542005095E-2</v>
      </c>
      <c r="BT22" s="41">
        <f t="shared" si="33"/>
        <v>7.7143626296222109E-2</v>
      </c>
      <c r="BU22" s="41">
        <f t="shared" si="33"/>
        <v>6.4853187482645264E-2</v>
      </c>
      <c r="BV22" s="41">
        <f t="shared" si="33"/>
        <v>9.1839894162594735E-2</v>
      </c>
      <c r="BW22" s="41">
        <f t="shared" si="33"/>
        <v>6.7101237938915217E-2</v>
      </c>
      <c r="BX22" s="323">
        <f t="shared" ca="1" si="33"/>
        <v>6.6190436324415264E-2</v>
      </c>
      <c r="BY22" s="323">
        <f t="shared" ca="1" si="33"/>
        <v>6.1952520856067755E-2</v>
      </c>
      <c r="BZ22" s="323">
        <f t="shared" ca="1" si="33"/>
        <v>7.5975884759073145E-2</v>
      </c>
      <c r="CA22" s="323">
        <f t="shared" ca="1" si="33"/>
        <v>6.1601085205913605E-2</v>
      </c>
      <c r="CB22" s="323">
        <f t="shared" ca="1" si="29"/>
        <v>6.3023337257534756E-2</v>
      </c>
      <c r="CC22" s="323">
        <f t="shared" ca="1" si="29"/>
        <v>5.8485160400843637E-2</v>
      </c>
      <c r="CD22" s="323">
        <f t="shared" ca="1" si="29"/>
        <v>7.401268485816119E-2</v>
      </c>
      <c r="CE22" s="323">
        <f t="shared" ca="1" si="29"/>
        <v>6.2432830088429279E-2</v>
      </c>
      <c r="CF22" s="5"/>
      <c r="CG22" s="5"/>
      <c r="CH22" s="5"/>
      <c r="CI22" s="12"/>
      <c r="CP22" s="12"/>
      <c r="CQ22" s="12"/>
      <c r="CR22" s="12"/>
    </row>
    <row r="23" spans="1:96" outlineLevel="1">
      <c r="B23" s="12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5"/>
      <c r="BT23" s="6"/>
      <c r="BU23" s="6"/>
      <c r="BV23" s="6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12"/>
      <c r="CP23" s="12"/>
      <c r="CQ23" s="12"/>
      <c r="CR23" s="12"/>
    </row>
    <row r="24" spans="1:96" outlineLevel="1">
      <c r="B24" s="189" t="s">
        <v>12</v>
      </c>
      <c r="C24" s="190"/>
      <c r="D24" s="190"/>
      <c r="E24" s="190"/>
      <c r="F24" s="190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190"/>
      <c r="S24" s="190"/>
      <c r="T24" s="190"/>
      <c r="U24" s="190"/>
      <c r="V24" s="190"/>
      <c r="W24" s="190"/>
      <c r="X24" s="190"/>
      <c r="Y24" s="190"/>
      <c r="Z24" s="190"/>
      <c r="AA24" s="190"/>
      <c r="AB24" s="190"/>
      <c r="AC24" s="190"/>
      <c r="AD24" s="190"/>
      <c r="AE24" s="190"/>
      <c r="AF24" s="190"/>
      <c r="AG24" s="190"/>
      <c r="AH24" s="190"/>
      <c r="AI24" s="190"/>
      <c r="AJ24" s="190"/>
      <c r="AK24" s="190"/>
      <c r="AL24" s="190"/>
      <c r="AM24" s="190"/>
      <c r="AN24" s="190"/>
      <c r="AO24" s="190"/>
      <c r="AP24" s="190"/>
      <c r="AQ24" s="190"/>
      <c r="AR24" s="190"/>
      <c r="AS24" s="190"/>
      <c r="AT24" s="190"/>
      <c r="AU24" s="190"/>
      <c r="AV24" s="190"/>
      <c r="AW24" s="190"/>
      <c r="AX24" s="190"/>
      <c r="AY24" s="190"/>
      <c r="AZ24" s="190"/>
      <c r="BA24" s="190"/>
      <c r="BB24" s="190"/>
      <c r="BC24" s="190"/>
      <c r="BD24" s="190"/>
      <c r="BE24" s="190"/>
      <c r="BF24" s="190"/>
      <c r="BG24" s="190"/>
      <c r="BH24" s="190"/>
      <c r="BI24" s="190"/>
      <c r="BJ24" s="190"/>
      <c r="BK24" s="190"/>
      <c r="BL24" s="190"/>
      <c r="BM24" s="190"/>
      <c r="BN24" s="190"/>
      <c r="BO24" s="190"/>
      <c r="BP24" s="190"/>
      <c r="BQ24" s="190"/>
      <c r="BR24" s="190"/>
      <c r="BS24" s="190"/>
      <c r="BT24" s="190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1"/>
      <c r="CG24" s="191"/>
      <c r="CH24" s="191"/>
      <c r="CI24" s="12"/>
      <c r="CP24" s="12"/>
      <c r="CQ24" s="12"/>
      <c r="CR24" s="12"/>
    </row>
    <row r="25" spans="1:96" outlineLevel="1">
      <c r="B25" s="6" t="s">
        <v>13</v>
      </c>
      <c r="C25" s="6">
        <f t="shared" ref="C25:AD25" si="34">Rev_Hotel</f>
        <v>5.3389899999999999</v>
      </c>
      <c r="D25" s="6">
        <f t="shared" si="34"/>
        <v>43.379536000000002</v>
      </c>
      <c r="E25" s="6">
        <f t="shared" si="34"/>
        <v>96.762837000000005</v>
      </c>
      <c r="F25" s="6">
        <f t="shared" si="34"/>
        <v>153.38868599999998</v>
      </c>
      <c r="G25" s="6">
        <f t="shared" si="34"/>
        <v>276.04294399999998</v>
      </c>
      <c r="H25" s="6">
        <f t="shared" si="34"/>
        <v>362.85680000000002</v>
      </c>
      <c r="I25" s="6">
        <f t="shared" si="34"/>
        <v>476.49460599999998</v>
      </c>
      <c r="J25" s="6">
        <f t="shared" si="34"/>
        <v>676.51123800000005</v>
      </c>
      <c r="K25" s="6">
        <f t="shared" si="34"/>
        <v>755.73315200000002</v>
      </c>
      <c r="L25" s="6">
        <f t="shared" si="34"/>
        <v>940.68213200000002</v>
      </c>
      <c r="M25" s="6">
        <f t="shared" si="34"/>
        <v>1278.0436729999999</v>
      </c>
      <c r="N25" s="6">
        <f t="shared" si="34"/>
        <v>1486.898858</v>
      </c>
      <c r="O25" s="6">
        <f t="shared" si="34"/>
        <v>1702.500571</v>
      </c>
      <c r="P25" s="6">
        <f t="shared" si="34"/>
        <v>2214.1708870000002</v>
      </c>
      <c r="Q25" s="6">
        <f t="shared" si="34"/>
        <v>3201.4269330000002</v>
      </c>
      <c r="R25" s="6">
        <f t="shared" si="34"/>
        <v>4616.649394</v>
      </c>
      <c r="S25" s="6">
        <f t="shared" si="34"/>
        <v>7308.9588629999998</v>
      </c>
      <c r="T25" s="6">
        <f t="shared" si="34"/>
        <v>9517.374339</v>
      </c>
      <c r="U25" s="6">
        <f t="shared" ca="1" si="34"/>
        <v>11978.567343065401</v>
      </c>
      <c r="V25" s="6">
        <f t="shared" ca="1" si="34"/>
        <v>14906.129201710584</v>
      </c>
      <c r="W25" s="6">
        <f t="shared" ca="1" si="34"/>
        <v>17636.932071463965</v>
      </c>
      <c r="X25" s="6">
        <f t="shared" ca="1" si="34"/>
        <v>20688.121319827231</v>
      </c>
      <c r="Y25" s="6">
        <f t="shared" ca="1" si="34"/>
        <v>24056.147470695101</v>
      </c>
      <c r="Z25" s="6">
        <f t="shared" ca="1" si="34"/>
        <v>27727.115574723171</v>
      </c>
      <c r="AA25" s="6">
        <f t="shared" ca="1" si="34"/>
        <v>31675.456832563745</v>
      </c>
      <c r="AB25" s="6">
        <f t="shared" ca="1" si="34"/>
        <v>35862.952225828667</v>
      </c>
      <c r="AC25" s="6">
        <f t="shared" ca="1" si="34"/>
        <v>40238.232397379768</v>
      </c>
      <c r="AD25" s="6">
        <f t="shared" ca="1" si="34"/>
        <v>44326.436808953556</v>
      </c>
      <c r="AE25" s="6"/>
      <c r="AF25" s="6">
        <f t="shared" ref="AF25:CE25" si="35">Rev_Hotel</f>
        <v>133.46826999999999</v>
      </c>
      <c r="AG25" s="6">
        <f t="shared" si="35"/>
        <v>171.42890199999999</v>
      </c>
      <c r="AH25" s="6">
        <f t="shared" si="35"/>
        <v>175.57871399999999</v>
      </c>
      <c r="AI25" s="6">
        <f t="shared" si="35"/>
        <v>196.03535199999999</v>
      </c>
      <c r="AJ25" s="6">
        <f t="shared" si="35"/>
        <v>171.19156000000001</v>
      </c>
      <c r="AK25" s="6">
        <f t="shared" si="35"/>
        <v>195.87316100000001</v>
      </c>
      <c r="AL25" s="6">
        <f t="shared" si="35"/>
        <v>186.00562099999999</v>
      </c>
      <c r="AM25" s="6">
        <f t="shared" si="35"/>
        <v>210.656475</v>
      </c>
      <c r="AN25" s="6">
        <f t="shared" si="35"/>
        <v>185.041484</v>
      </c>
      <c r="AO25" s="6">
        <f t="shared" si="35"/>
        <v>223.271782</v>
      </c>
      <c r="AP25" s="6">
        <f t="shared" si="35"/>
        <v>257.89537200000001</v>
      </c>
      <c r="AQ25" s="6">
        <f t="shared" si="35"/>
        <v>274.47367400000002</v>
      </c>
      <c r="AR25" s="6">
        <f t="shared" si="35"/>
        <v>251.91229200000001</v>
      </c>
      <c r="AS25" s="6">
        <f t="shared" si="35"/>
        <v>316.15046799999999</v>
      </c>
      <c r="AT25" s="6">
        <f t="shared" si="35"/>
        <v>349.65558399999998</v>
      </c>
      <c r="AU25" s="6">
        <f t="shared" si="35"/>
        <v>360.32532900000001</v>
      </c>
      <c r="AV25" s="6">
        <f t="shared" si="35"/>
        <v>310.39395400000001</v>
      </c>
      <c r="AW25" s="6">
        <f t="shared" si="35"/>
        <v>366.45369399999998</v>
      </c>
      <c r="AX25" s="6">
        <f t="shared" si="35"/>
        <v>410.42842899999999</v>
      </c>
      <c r="AY25" s="6">
        <f t="shared" si="35"/>
        <v>399.62278099999997</v>
      </c>
      <c r="AZ25" s="6">
        <f t="shared" si="35"/>
        <v>366.78436299999998</v>
      </c>
      <c r="BA25" s="6">
        <f t="shared" si="35"/>
        <v>410.370431</v>
      </c>
      <c r="BB25" s="6">
        <f t="shared" si="35"/>
        <v>457.04117300000001</v>
      </c>
      <c r="BC25" s="6">
        <f t="shared" si="35"/>
        <v>468.30460399999998</v>
      </c>
      <c r="BD25" s="6">
        <f t="shared" si="35"/>
        <v>450.52488599999998</v>
      </c>
      <c r="BE25" s="6">
        <f t="shared" si="35"/>
        <v>510.97784999999999</v>
      </c>
      <c r="BF25" s="6">
        <f t="shared" si="35"/>
        <v>610.65341799999999</v>
      </c>
      <c r="BG25" s="6">
        <f t="shared" si="35"/>
        <v>642.01473299999998</v>
      </c>
      <c r="BH25" s="6">
        <f t="shared" si="35"/>
        <v>656.66229699999997</v>
      </c>
      <c r="BI25" s="6">
        <f t="shared" si="35"/>
        <v>752.56545300000005</v>
      </c>
      <c r="BJ25" s="6">
        <f t="shared" si="35"/>
        <v>950.29933400000004</v>
      </c>
      <c r="BK25" s="6">
        <f t="shared" si="35"/>
        <v>841.89984900000002</v>
      </c>
      <c r="BL25" s="6">
        <f t="shared" si="35"/>
        <v>951.77993000000004</v>
      </c>
      <c r="BM25" s="6">
        <f t="shared" si="35"/>
        <v>1104.440783</v>
      </c>
      <c r="BN25" s="6">
        <f t="shared" si="35"/>
        <v>1373.210943</v>
      </c>
      <c r="BO25" s="6">
        <f t="shared" si="35"/>
        <v>1187.2177380000001</v>
      </c>
      <c r="BP25" s="6">
        <f t="shared" si="35"/>
        <v>1614.031154</v>
      </c>
      <c r="BQ25" s="6">
        <f t="shared" si="35"/>
        <v>1775.818174</v>
      </c>
      <c r="BR25" s="6">
        <f t="shared" si="35"/>
        <v>2071.6084310000001</v>
      </c>
      <c r="BS25" s="6">
        <f t="shared" si="35"/>
        <v>1847.5011039999999</v>
      </c>
      <c r="BT25" s="6">
        <f t="shared" si="35"/>
        <v>2069.9361450000001</v>
      </c>
      <c r="BU25" s="6">
        <f t="shared" si="35"/>
        <v>2311.1429870000002</v>
      </c>
      <c r="BV25" s="6">
        <f t="shared" si="35"/>
        <v>2820.3844600000002</v>
      </c>
      <c r="BW25" s="6">
        <f t="shared" si="35"/>
        <v>2315.9107469999999</v>
      </c>
      <c r="BX25" s="6">
        <f t="shared" ca="1" si="35"/>
        <v>2466.9498976109999</v>
      </c>
      <c r="BY25" s="6">
        <f t="shared" ca="1" si="35"/>
        <v>2946.7073084250005</v>
      </c>
      <c r="BZ25" s="6">
        <f t="shared" ca="1" si="35"/>
        <v>3480.9185005319996</v>
      </c>
      <c r="CA25" s="6">
        <f t="shared" ca="1" si="35"/>
        <v>3083.9916364973992</v>
      </c>
      <c r="CB25" s="6">
        <f t="shared" ca="1" si="35"/>
        <v>3346.6642310990828</v>
      </c>
      <c r="CC25" s="6">
        <f t="shared" ca="1" si="35"/>
        <v>3787.1082327878112</v>
      </c>
      <c r="CD25" s="6">
        <f t="shared" ca="1" si="35"/>
        <v>4083.117401124035</v>
      </c>
      <c r="CE25" s="6">
        <f t="shared" ca="1" si="35"/>
        <v>3689.2393366996548</v>
      </c>
      <c r="CF25" s="5"/>
      <c r="CG25" s="5"/>
      <c r="CH25" s="5"/>
      <c r="CI25" s="12"/>
      <c r="CP25" s="12"/>
      <c r="CQ25" s="12"/>
      <c r="CR25" s="12"/>
    </row>
    <row r="26" spans="1:96" outlineLevel="1">
      <c r="B26" s="6" t="s">
        <v>14</v>
      </c>
      <c r="C26" s="6">
        <f t="shared" ref="C26:AD26" si="36">Rev_Ticket</f>
        <v>0.84576600000000002</v>
      </c>
      <c r="D26" s="6">
        <f t="shared" si="36"/>
        <v>1.831855</v>
      </c>
      <c r="E26" s="6">
        <f t="shared" si="36"/>
        <v>5.6002409999999996</v>
      </c>
      <c r="F26" s="6">
        <f t="shared" si="36"/>
        <v>20.322986</v>
      </c>
      <c r="G26" s="6">
        <f t="shared" si="36"/>
        <v>63.005651</v>
      </c>
      <c r="H26" s="6">
        <f t="shared" si="36"/>
        <v>162.64500000000001</v>
      </c>
      <c r="I26" s="6">
        <f t="shared" si="36"/>
        <v>292.70119899999997</v>
      </c>
      <c r="J26" s="6">
        <f t="shared" si="36"/>
        <v>503.45338299999997</v>
      </c>
      <c r="K26" s="6">
        <f t="shared" si="36"/>
        <v>645.48944300000005</v>
      </c>
      <c r="L26" s="6">
        <f t="shared" si="36"/>
        <v>868.37918400000001</v>
      </c>
      <c r="M26" s="6">
        <f t="shared" si="36"/>
        <v>1206.9214790000001</v>
      </c>
      <c r="N26" s="6">
        <f t="shared" si="36"/>
        <v>1437.118164</v>
      </c>
      <c r="O26" s="6">
        <f t="shared" si="36"/>
        <v>1690.285903</v>
      </c>
      <c r="P26" s="6">
        <f t="shared" si="36"/>
        <v>2161.784259</v>
      </c>
      <c r="Q26" s="6">
        <f t="shared" si="36"/>
        <v>2950.0724840000003</v>
      </c>
      <c r="R26" s="6">
        <f t="shared" si="36"/>
        <v>4453.885749</v>
      </c>
      <c r="S26" s="6">
        <f t="shared" si="36"/>
        <v>8826.5165710000001</v>
      </c>
      <c r="T26" s="6">
        <f t="shared" si="36"/>
        <v>12221.029997</v>
      </c>
      <c r="U26" s="6">
        <f t="shared" ca="1" si="36"/>
        <v>13487.128704689199</v>
      </c>
      <c r="V26" s="6">
        <f t="shared" ca="1" si="36"/>
        <v>17418.626722106103</v>
      </c>
      <c r="W26" s="6">
        <f t="shared" ca="1" si="36"/>
        <v>22313.260831017913</v>
      </c>
      <c r="X26" s="6">
        <f t="shared" ca="1" si="36"/>
        <v>28114.708647082571</v>
      </c>
      <c r="Y26" s="6">
        <f t="shared" ca="1" si="36"/>
        <v>35129.32845452967</v>
      </c>
      <c r="Z26" s="6">
        <f t="shared" ca="1" si="36"/>
        <v>41659.870614226726</v>
      </c>
      <c r="AA26" s="6">
        <f t="shared" ca="1" si="36"/>
        <v>48985.758861738483</v>
      </c>
      <c r="AB26" s="6">
        <f t="shared" ca="1" si="36"/>
        <v>57107.597681014711</v>
      </c>
      <c r="AC26" s="6">
        <f t="shared" ca="1" si="36"/>
        <v>66002.106019832732</v>
      </c>
      <c r="AD26" s="6">
        <f t="shared" ca="1" si="36"/>
        <v>75618.612866922354</v>
      </c>
      <c r="AE26" s="6"/>
      <c r="AF26" s="6">
        <f t="shared" ref="AF26:CE26" si="37">Rev_Ticket</f>
        <v>94.616770000000002</v>
      </c>
      <c r="AG26" s="6">
        <f t="shared" si="37"/>
        <v>116.940167</v>
      </c>
      <c r="AH26" s="6">
        <f t="shared" si="37"/>
        <v>137.659009</v>
      </c>
      <c r="AI26" s="6">
        <f t="shared" si="37"/>
        <v>154.237437</v>
      </c>
      <c r="AJ26" s="6">
        <f t="shared" si="37"/>
        <v>158.54146399999999</v>
      </c>
      <c r="AK26" s="6">
        <f t="shared" si="37"/>
        <v>168.818839</v>
      </c>
      <c r="AL26" s="6">
        <f t="shared" si="37"/>
        <v>166.42080000000001</v>
      </c>
      <c r="AM26" s="6">
        <f t="shared" si="37"/>
        <v>165.617198</v>
      </c>
      <c r="AN26" s="6">
        <f t="shared" si="37"/>
        <v>184.08881500000001</v>
      </c>
      <c r="AO26" s="6">
        <f t="shared" si="37"/>
        <v>216.24225999999999</v>
      </c>
      <c r="AP26" s="6">
        <f t="shared" si="37"/>
        <v>231.99316899999999</v>
      </c>
      <c r="AQ26" s="6">
        <f t="shared" si="37"/>
        <v>236.05493999999999</v>
      </c>
      <c r="AR26" s="6">
        <f t="shared" si="37"/>
        <v>264.723073</v>
      </c>
      <c r="AS26" s="6">
        <f t="shared" si="37"/>
        <v>307.23369200000002</v>
      </c>
      <c r="AT26" s="6">
        <f t="shared" si="37"/>
        <v>315.23610200000002</v>
      </c>
      <c r="AU26" s="6">
        <f t="shared" si="37"/>
        <v>319.728612</v>
      </c>
      <c r="AV26" s="6">
        <f t="shared" si="37"/>
        <v>326.47492299999999</v>
      </c>
      <c r="AW26" s="6">
        <f t="shared" si="37"/>
        <v>347.33914099999998</v>
      </c>
      <c r="AX26" s="6">
        <f t="shared" si="37"/>
        <v>385.06822299999999</v>
      </c>
      <c r="AY26" s="6">
        <f t="shared" si="37"/>
        <v>378.23587700000002</v>
      </c>
      <c r="AZ26" s="6">
        <f t="shared" si="37"/>
        <v>360.46341999999999</v>
      </c>
      <c r="BA26" s="6">
        <f t="shared" si="37"/>
        <v>404.26826599999998</v>
      </c>
      <c r="BB26" s="6">
        <f t="shared" si="37"/>
        <v>478.36794200000003</v>
      </c>
      <c r="BC26" s="6">
        <f t="shared" si="37"/>
        <v>447.18631499999998</v>
      </c>
      <c r="BD26" s="6">
        <f t="shared" si="37"/>
        <v>456.50252399999999</v>
      </c>
      <c r="BE26" s="6">
        <f t="shared" si="37"/>
        <v>522.01377100000002</v>
      </c>
      <c r="BF26" s="6">
        <f t="shared" si="37"/>
        <v>604.27234399999998</v>
      </c>
      <c r="BG26" s="6">
        <f t="shared" si="37"/>
        <v>578.99562000000003</v>
      </c>
      <c r="BH26" s="6">
        <f t="shared" si="37"/>
        <v>651.065201</v>
      </c>
      <c r="BI26" s="6">
        <f t="shared" si="37"/>
        <v>725.513462</v>
      </c>
      <c r="BJ26" s="6">
        <f t="shared" si="37"/>
        <v>799.79692699999998</v>
      </c>
      <c r="BK26" s="6">
        <f t="shared" si="37"/>
        <v>773.69689400000004</v>
      </c>
      <c r="BL26" s="6">
        <f t="shared" si="37"/>
        <v>947.90779099999997</v>
      </c>
      <c r="BM26" s="6">
        <f t="shared" si="37"/>
        <v>1052.5506640000001</v>
      </c>
      <c r="BN26" s="6">
        <f t="shared" si="37"/>
        <v>1208.9885750000001</v>
      </c>
      <c r="BO26" s="6">
        <f t="shared" si="37"/>
        <v>1244.438719</v>
      </c>
      <c r="BP26" s="6">
        <f t="shared" si="37"/>
        <v>1949.0031260000001</v>
      </c>
      <c r="BQ26" s="6">
        <f t="shared" si="37"/>
        <v>2003.4267950000001</v>
      </c>
      <c r="BR26" s="6">
        <f t="shared" si="37"/>
        <v>2427.736429</v>
      </c>
      <c r="BS26" s="6">
        <f t="shared" si="37"/>
        <v>2446.3502210000001</v>
      </c>
      <c r="BT26" s="6">
        <f t="shared" si="37"/>
        <v>2875.3753459999998</v>
      </c>
      <c r="BU26" s="6">
        <f t="shared" si="37"/>
        <v>2992.3303559999999</v>
      </c>
      <c r="BV26" s="6">
        <f t="shared" si="37"/>
        <v>3428.1946090000001</v>
      </c>
      <c r="BW26" s="6">
        <f t="shared" si="37"/>
        <v>2925.1296860000002</v>
      </c>
      <c r="BX26" s="6">
        <f t="shared" ca="1" si="37"/>
        <v>2876.3817273710997</v>
      </c>
      <c r="BY26" s="6">
        <f t="shared" ca="1" si="37"/>
        <v>3077.6117711459997</v>
      </c>
      <c r="BZ26" s="6">
        <f t="shared" ca="1" si="37"/>
        <v>3887.5726866059999</v>
      </c>
      <c r="CA26" s="6">
        <f t="shared" ca="1" si="37"/>
        <v>3645.5625195660996</v>
      </c>
      <c r="CB26" s="6">
        <f t="shared" ca="1" si="37"/>
        <v>4038.4399452290245</v>
      </c>
      <c r="CC26" s="6">
        <f t="shared" ca="1" si="37"/>
        <v>4200.9400676142905</v>
      </c>
      <c r="CD26" s="6">
        <f t="shared" ca="1" si="37"/>
        <v>4805.0398406450158</v>
      </c>
      <c r="CE26" s="6">
        <f t="shared" ca="1" si="37"/>
        <v>4374.2068686177736</v>
      </c>
      <c r="CF26" s="5"/>
      <c r="CG26" s="5"/>
      <c r="CH26" s="5"/>
      <c r="CI26" s="12"/>
      <c r="CP26" s="12"/>
      <c r="CQ26" s="12"/>
      <c r="CR26" s="12"/>
    </row>
    <row r="27" spans="1:96" outlineLevel="1">
      <c r="B27" s="6" t="s">
        <v>15</v>
      </c>
      <c r="C27" s="6">
        <f t="shared" ref="C27:AD27" si="38">Rev_Package</f>
        <v>0.31075000000000003</v>
      </c>
      <c r="D27" s="6">
        <f t="shared" si="38"/>
        <v>0.59480200000000005</v>
      </c>
      <c r="E27" s="6">
        <f t="shared" si="38"/>
        <v>0.43229500000000004</v>
      </c>
      <c r="F27" s="6">
        <f t="shared" si="38"/>
        <v>4.7887269999999997</v>
      </c>
      <c r="G27" s="6">
        <f t="shared" si="38"/>
        <v>10.47978</v>
      </c>
      <c r="H27" s="6">
        <f t="shared" si="38"/>
        <v>22.755600000000001</v>
      </c>
      <c r="I27" s="6">
        <f t="shared" si="38"/>
        <v>41.702488000000002</v>
      </c>
      <c r="J27" s="6">
        <f t="shared" si="38"/>
        <v>71.495585000000005</v>
      </c>
      <c r="K27" s="6">
        <f t="shared" si="38"/>
        <v>109.244749</v>
      </c>
      <c r="L27" s="6">
        <f t="shared" si="38"/>
        <v>175.86738600000001</v>
      </c>
      <c r="M27" s="6">
        <f t="shared" si="38"/>
        <v>380.30748699999998</v>
      </c>
      <c r="N27" s="6">
        <f t="shared" si="38"/>
        <v>534.64018299999998</v>
      </c>
      <c r="O27" s="6">
        <f t="shared" si="38"/>
        <v>689.66063099999997</v>
      </c>
      <c r="P27" s="6">
        <f t="shared" si="38"/>
        <v>935.68472899999995</v>
      </c>
      <c r="Q27" s="6">
        <f t="shared" si="38"/>
        <v>1055.369205</v>
      </c>
      <c r="R27" s="6">
        <f t="shared" si="38"/>
        <v>1667.94535</v>
      </c>
      <c r="S27" s="6">
        <f t="shared" si="38"/>
        <v>2310.1988940000001</v>
      </c>
      <c r="T27" s="6">
        <f t="shared" si="38"/>
        <v>2970.383429</v>
      </c>
      <c r="U27" s="6">
        <f t="shared" ca="1" si="38"/>
        <v>3742.6831205399999</v>
      </c>
      <c r="V27" s="6">
        <f t="shared" ca="1" si="38"/>
        <v>4566.0734070588005</v>
      </c>
      <c r="W27" s="6">
        <f t="shared" ca="1" si="38"/>
        <v>5369.7023267011482</v>
      </c>
      <c r="X27" s="6">
        <f t="shared" ca="1" si="38"/>
        <v>6125.7564143006703</v>
      </c>
      <c r="Y27" s="6">
        <f t="shared" ca="1" si="38"/>
        <v>6815.7616168074983</v>
      </c>
      <c r="Z27" s="6">
        <f t="shared" ca="1" si="38"/>
        <v>7429.9435276212562</v>
      </c>
      <c r="AA27" s="6">
        <f t="shared" ca="1" si="38"/>
        <v>7965.5651845500606</v>
      </c>
      <c r="AB27" s="6">
        <f t="shared" ca="1" si="38"/>
        <v>8424.952710892574</v>
      </c>
      <c r="AC27" s="6">
        <f t="shared" ca="1" si="38"/>
        <v>8813.6576522987561</v>
      </c>
      <c r="AD27" s="6">
        <f t="shared" ca="1" si="38"/>
        <v>9138.9686563006308</v>
      </c>
      <c r="AE27" s="6"/>
      <c r="AF27" s="6">
        <f t="shared" ref="AF27:CE27" si="39">Rev_Package</f>
        <v>15.996276999999999</v>
      </c>
      <c r="AG27" s="6">
        <f t="shared" si="39"/>
        <v>12.858352999999999</v>
      </c>
      <c r="AH27" s="6">
        <f t="shared" si="39"/>
        <v>20.683731000000002</v>
      </c>
      <c r="AI27" s="6">
        <f t="shared" si="39"/>
        <v>21.957224</v>
      </c>
      <c r="AJ27" s="6">
        <f t="shared" si="39"/>
        <v>26.793008</v>
      </c>
      <c r="AK27" s="6">
        <f t="shared" si="39"/>
        <v>23.831610999999999</v>
      </c>
      <c r="AL27" s="6">
        <f t="shared" si="39"/>
        <v>28.371044999999999</v>
      </c>
      <c r="AM27" s="6">
        <f t="shared" si="39"/>
        <v>30.249085000000001</v>
      </c>
      <c r="AN27" s="6">
        <f t="shared" si="39"/>
        <v>37.717241000000001</v>
      </c>
      <c r="AO27" s="6">
        <f t="shared" si="39"/>
        <v>35.689993999999999</v>
      </c>
      <c r="AP27" s="6">
        <f t="shared" si="39"/>
        <v>54.001697999999998</v>
      </c>
      <c r="AQ27" s="6">
        <f t="shared" si="39"/>
        <v>48.458452999999999</v>
      </c>
      <c r="AR27" s="6">
        <f t="shared" si="39"/>
        <v>71.781013000000002</v>
      </c>
      <c r="AS27" s="6">
        <f t="shared" si="39"/>
        <v>67.042613000000003</v>
      </c>
      <c r="AT27" s="6">
        <f t="shared" si="39"/>
        <v>140.858679</v>
      </c>
      <c r="AU27" s="6">
        <f t="shared" si="39"/>
        <v>100.625182</v>
      </c>
      <c r="AV27" s="6">
        <f t="shared" si="39"/>
        <v>124.834012</v>
      </c>
      <c r="AW27" s="6">
        <f t="shared" si="39"/>
        <v>108.282983</v>
      </c>
      <c r="AX27" s="6">
        <f t="shared" si="39"/>
        <v>171.36770200000001</v>
      </c>
      <c r="AY27" s="6">
        <f t="shared" si="39"/>
        <v>130.155486</v>
      </c>
      <c r="AZ27" s="6">
        <f t="shared" si="39"/>
        <v>166.37998099999999</v>
      </c>
      <c r="BA27" s="6">
        <f t="shared" si="39"/>
        <v>133.776555</v>
      </c>
      <c r="BB27" s="6">
        <f t="shared" si="39"/>
        <v>223.779798</v>
      </c>
      <c r="BC27" s="6">
        <f t="shared" si="39"/>
        <v>165.72429700000001</v>
      </c>
      <c r="BD27" s="6">
        <f t="shared" si="39"/>
        <v>235.208743</v>
      </c>
      <c r="BE27" s="6">
        <f t="shared" si="39"/>
        <v>187.02442500000001</v>
      </c>
      <c r="BF27" s="6">
        <f t="shared" si="39"/>
        <v>319.56615599999998</v>
      </c>
      <c r="BG27" s="6">
        <f t="shared" si="39"/>
        <v>193.88540499999999</v>
      </c>
      <c r="BH27" s="6">
        <f t="shared" si="39"/>
        <v>259.22054800000001</v>
      </c>
      <c r="BI27" s="6">
        <f t="shared" si="39"/>
        <v>205.141896</v>
      </c>
      <c r="BJ27" s="6">
        <f t="shared" si="39"/>
        <v>357.64316100000002</v>
      </c>
      <c r="BK27" s="6">
        <f t="shared" si="39"/>
        <v>233.36359999999999</v>
      </c>
      <c r="BL27" s="6">
        <f t="shared" si="39"/>
        <v>395.91224399999999</v>
      </c>
      <c r="BM27" s="6">
        <f t="shared" si="39"/>
        <v>329.37398899999999</v>
      </c>
      <c r="BN27" s="6">
        <f t="shared" si="39"/>
        <v>593.10435199999995</v>
      </c>
      <c r="BO27" s="6">
        <f t="shared" si="39"/>
        <v>349.55476499999997</v>
      </c>
      <c r="BP27" s="6">
        <f t="shared" si="39"/>
        <v>556.49554000000001</v>
      </c>
      <c r="BQ27" s="6">
        <f t="shared" si="39"/>
        <v>473.93145299999998</v>
      </c>
      <c r="BR27" s="6">
        <f t="shared" si="39"/>
        <v>813.26097600000003</v>
      </c>
      <c r="BS27" s="6">
        <f t="shared" si="39"/>
        <v>466.51092499999999</v>
      </c>
      <c r="BT27" s="6">
        <f t="shared" si="39"/>
        <v>701.832134</v>
      </c>
      <c r="BU27" s="6">
        <f t="shared" si="39"/>
        <v>612.297777</v>
      </c>
      <c r="BV27" s="6">
        <f t="shared" si="39"/>
        <v>1033.08854</v>
      </c>
      <c r="BW27" s="6">
        <f t="shared" si="39"/>
        <v>623.16497800000002</v>
      </c>
      <c r="BX27" s="6">
        <f t="shared" ca="1" si="39"/>
        <v>786.05199008000011</v>
      </c>
      <c r="BY27" s="6">
        <f t="shared" ca="1" si="39"/>
        <v>795.9871101</v>
      </c>
      <c r="BZ27" s="6">
        <f t="shared" ca="1" si="39"/>
        <v>1239.706248</v>
      </c>
      <c r="CA27" s="6">
        <f t="shared" ca="1" si="39"/>
        <v>920.9377723599996</v>
      </c>
      <c r="CB27" s="6">
        <f t="shared" ca="1" si="39"/>
        <v>1021.8675871040001</v>
      </c>
      <c r="CC27" s="6">
        <f t="shared" ca="1" si="39"/>
        <v>994.98388762499997</v>
      </c>
      <c r="CD27" s="6">
        <f t="shared" ca="1" si="39"/>
        <v>1450.4563101599999</v>
      </c>
      <c r="CE27" s="6">
        <f t="shared" ca="1" si="39"/>
        <v>1098.7656221698007</v>
      </c>
      <c r="CF27" s="5"/>
      <c r="CG27" s="5"/>
      <c r="CH27" s="5"/>
      <c r="CI27" s="12"/>
      <c r="CP27" s="12"/>
      <c r="CQ27" s="12"/>
      <c r="CR27" s="12"/>
    </row>
    <row r="28" spans="1:96" s="495" customFormat="1" outlineLevel="1">
      <c r="A28" s="494"/>
      <c r="B28" s="495" t="s">
        <v>730</v>
      </c>
      <c r="C28" s="496"/>
      <c r="D28" s="496"/>
      <c r="E28" s="496"/>
      <c r="F28" s="496"/>
      <c r="G28" s="496"/>
      <c r="H28" s="496"/>
      <c r="I28" s="496"/>
      <c r="J28" s="496"/>
      <c r="K28" s="496"/>
      <c r="L28" s="496"/>
      <c r="M28" s="496"/>
      <c r="N28" s="496"/>
      <c r="O28" s="496"/>
      <c r="P28" s="496"/>
      <c r="Q28" s="496"/>
      <c r="R28" s="496"/>
      <c r="S28" s="496"/>
      <c r="T28" s="496"/>
      <c r="U28" s="496"/>
      <c r="V28" s="496"/>
      <c r="W28" s="496"/>
      <c r="X28" s="496"/>
      <c r="Y28" s="496"/>
      <c r="Z28" s="496"/>
      <c r="AA28" s="496"/>
      <c r="AB28" s="496"/>
      <c r="AC28" s="496"/>
      <c r="AD28" s="496"/>
      <c r="AE28" s="496"/>
      <c r="AF28" s="496"/>
      <c r="AG28" s="496"/>
      <c r="AH28" s="496"/>
      <c r="AI28" s="496"/>
      <c r="AJ28" s="496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496"/>
      <c r="AV28" s="496"/>
      <c r="AW28" s="496"/>
      <c r="AX28" s="496"/>
      <c r="AY28" s="496"/>
      <c r="AZ28" s="496"/>
      <c r="BA28" s="496"/>
      <c r="BB28" s="496"/>
      <c r="BC28" s="496"/>
      <c r="BD28" s="496"/>
      <c r="BE28" s="496"/>
      <c r="BF28" s="496"/>
      <c r="BG28" s="496"/>
      <c r="BH28" s="496"/>
      <c r="BI28" s="496"/>
      <c r="BJ28" s="496"/>
      <c r="BK28" s="496"/>
      <c r="BL28" s="496"/>
      <c r="BM28" s="496"/>
      <c r="BN28" s="496"/>
      <c r="BO28" s="496"/>
      <c r="BP28" s="496"/>
      <c r="BQ28" s="496"/>
      <c r="BR28" s="496"/>
      <c r="BS28" s="496"/>
      <c r="BT28" s="496"/>
      <c r="BU28" s="496"/>
      <c r="BV28" s="496"/>
      <c r="BW28" s="496"/>
      <c r="BX28" s="496"/>
      <c r="BY28" s="496"/>
      <c r="BZ28" s="496"/>
      <c r="CA28" s="496"/>
      <c r="CB28" s="496"/>
      <c r="CC28" s="496"/>
      <c r="CD28" s="496"/>
      <c r="CE28" s="496"/>
      <c r="CF28" s="497"/>
      <c r="CG28" s="497"/>
      <c r="CH28" s="497"/>
      <c r="CJ28"/>
      <c r="CK28"/>
      <c r="CL28"/>
      <c r="CM28"/>
      <c r="CN28"/>
      <c r="CO28"/>
    </row>
    <row r="29" spans="1:96" outlineLevel="1">
      <c r="B29" s="6" t="s">
        <v>146</v>
      </c>
      <c r="C29" s="6">
        <f t="shared" ref="C29:AD29" si="40">Rev_Gross</f>
        <v>6.9084459999999996</v>
      </c>
      <c r="D29" s="6">
        <f t="shared" si="40"/>
        <v>46.382268000000003</v>
      </c>
      <c r="E29" s="6">
        <f t="shared" si="40"/>
        <v>105.31268899999999</v>
      </c>
      <c r="F29" s="6">
        <f t="shared" si="40"/>
        <v>182.67881799999995</v>
      </c>
      <c r="G29" s="6">
        <f t="shared" si="40"/>
        <v>354.02907299999998</v>
      </c>
      <c r="H29" s="6">
        <f t="shared" si="40"/>
        <v>556.21439999999996</v>
      </c>
      <c r="I29" s="6">
        <f t="shared" si="40"/>
        <v>834.02663899999993</v>
      </c>
      <c r="J29" s="6">
        <f t="shared" si="40"/>
        <v>1287.2782280000001</v>
      </c>
      <c r="K29" s="6">
        <f t="shared" si="40"/>
        <v>1588.1583900000003</v>
      </c>
      <c r="L29" s="6">
        <f t="shared" si="40"/>
        <v>2122.5617960000004</v>
      </c>
      <c r="M29" s="6">
        <f t="shared" si="40"/>
        <v>3066.7130209999996</v>
      </c>
      <c r="N29" s="6">
        <f t="shared" si="40"/>
        <v>3726.3041920000001</v>
      </c>
      <c r="O29" s="6">
        <f t="shared" si="40"/>
        <v>4409.192258</v>
      </c>
      <c r="P29" s="6">
        <f t="shared" si="40"/>
        <v>5717.0170619999999</v>
      </c>
      <c r="Q29" s="6">
        <f t="shared" si="40"/>
        <v>7772.5571070000005</v>
      </c>
      <c r="R29" s="6">
        <f t="shared" si="40"/>
        <v>11496.946408000002</v>
      </c>
      <c r="S29" s="6">
        <f t="shared" si="40"/>
        <v>19788.086638000001</v>
      </c>
      <c r="T29" s="6">
        <f t="shared" si="40"/>
        <v>26976.985464000001</v>
      </c>
      <c r="U29" s="6">
        <f t="shared" ca="1" si="40"/>
        <v>32081.714286594601</v>
      </c>
      <c r="V29" s="6">
        <f t="shared" ca="1" si="40"/>
        <v>40320.75421913949</v>
      </c>
      <c r="W29" s="6">
        <f t="shared" ca="1" si="40"/>
        <v>49274.974430367263</v>
      </c>
      <c r="X29" s="6">
        <f t="shared" ca="1" si="40"/>
        <v>59328.661792231309</v>
      </c>
      <c r="Y29" s="6">
        <f t="shared" ca="1" si="40"/>
        <v>70809.735636213503</v>
      </c>
      <c r="Z29" s="6">
        <f t="shared" ca="1" si="40"/>
        <v>81977.124344715412</v>
      </c>
      <c r="AA29" s="6">
        <f t="shared" ca="1" si="40"/>
        <v>94062.888605265674</v>
      </c>
      <c r="AB29" s="6">
        <f t="shared" ca="1" si="40"/>
        <v>107086.58752230329</v>
      </c>
      <c r="AC29" s="6">
        <f t="shared" ca="1" si="40"/>
        <v>120972.72437026131</v>
      </c>
      <c r="AD29" s="6">
        <f t="shared" ca="1" si="40"/>
        <v>135239.49576495658</v>
      </c>
      <c r="AE29" s="6"/>
      <c r="AF29" s="6">
        <f t="shared" ref="AF29:CE29" si="41">Rev_Gross</f>
        <v>249.18135699999999</v>
      </c>
      <c r="AG29" s="6">
        <f t="shared" si="41"/>
        <v>309.17787899999996</v>
      </c>
      <c r="AH29" s="6">
        <f t="shared" si="41"/>
        <v>345.83093499999995</v>
      </c>
      <c r="AI29" s="6">
        <f t="shared" si="41"/>
        <v>383.08805699999999</v>
      </c>
      <c r="AJ29" s="6">
        <f t="shared" si="41"/>
        <v>366.662037</v>
      </c>
      <c r="AK29" s="6">
        <f t="shared" si="41"/>
        <v>401.88525500000003</v>
      </c>
      <c r="AL29" s="6">
        <f t="shared" si="41"/>
        <v>397.04645199999999</v>
      </c>
      <c r="AM29" s="6">
        <f t="shared" si="41"/>
        <v>422.74505199999999</v>
      </c>
      <c r="AN29" s="6">
        <f t="shared" si="41"/>
        <v>428.601091</v>
      </c>
      <c r="AO29" s="6">
        <f t="shared" si="41"/>
        <v>507.65861000000001</v>
      </c>
      <c r="AP29" s="6">
        <f t="shared" si="41"/>
        <v>583.3999050000001</v>
      </c>
      <c r="AQ29" s="6">
        <f t="shared" si="41"/>
        <v>602.90237000000002</v>
      </c>
      <c r="AR29" s="6">
        <f t="shared" si="41"/>
        <v>627.20509700000002</v>
      </c>
      <c r="AS29" s="6">
        <f t="shared" si="41"/>
        <v>741.64561200000003</v>
      </c>
      <c r="AT29" s="6">
        <f t="shared" si="41"/>
        <v>862.72482099999991</v>
      </c>
      <c r="AU29" s="6">
        <f t="shared" si="41"/>
        <v>835.13749100000007</v>
      </c>
      <c r="AV29" s="6">
        <f t="shared" si="41"/>
        <v>814.10721000000001</v>
      </c>
      <c r="AW29" s="6">
        <f t="shared" si="41"/>
        <v>886.38787200000002</v>
      </c>
      <c r="AX29" s="6">
        <f t="shared" si="41"/>
        <v>1039.213602</v>
      </c>
      <c r="AY29" s="6">
        <f t="shared" si="41"/>
        <v>986.595508</v>
      </c>
      <c r="AZ29" s="6">
        <f t="shared" si="41"/>
        <v>963.59899500000006</v>
      </c>
      <c r="BA29" s="6">
        <f t="shared" si="41"/>
        <v>1030.9516610000001</v>
      </c>
      <c r="BB29" s="6">
        <f t="shared" si="41"/>
        <v>1247.3475539999999</v>
      </c>
      <c r="BC29" s="6">
        <f t="shared" si="41"/>
        <v>1167.2940880000001</v>
      </c>
      <c r="BD29" s="6">
        <f t="shared" si="41"/>
        <v>1228.4082539999997</v>
      </c>
      <c r="BE29" s="6">
        <f t="shared" si="41"/>
        <v>1320.1503430000002</v>
      </c>
      <c r="BF29" s="6">
        <f t="shared" si="41"/>
        <v>1640.4862189999997</v>
      </c>
      <c r="BG29" s="6">
        <f t="shared" si="41"/>
        <v>1527.972246</v>
      </c>
      <c r="BH29" s="6">
        <f t="shared" si="41"/>
        <v>1673.1728130000001</v>
      </c>
      <c r="BI29" s="6">
        <f t="shared" si="41"/>
        <v>1819.5057940000002</v>
      </c>
      <c r="BJ29" s="6">
        <f t="shared" si="41"/>
        <v>2259.4716590000003</v>
      </c>
      <c r="BK29" s="6">
        <f t="shared" si="41"/>
        <v>2020.406841</v>
      </c>
      <c r="BL29" s="6">
        <f t="shared" si="41"/>
        <v>2443.3025599999996</v>
      </c>
      <c r="BM29" s="6">
        <f t="shared" si="41"/>
        <v>2665.4889140000005</v>
      </c>
      <c r="BN29" s="6">
        <f t="shared" si="41"/>
        <v>3355.7686240000003</v>
      </c>
      <c r="BO29" s="6">
        <f t="shared" si="41"/>
        <v>3032.3863099999999</v>
      </c>
      <c r="BP29" s="6">
        <f t="shared" si="41"/>
        <v>4399.1412899999996</v>
      </c>
      <c r="BQ29" s="6">
        <f t="shared" si="41"/>
        <v>4542.3922160000011</v>
      </c>
      <c r="BR29" s="6">
        <f t="shared" si="41"/>
        <v>5667.7947210000002</v>
      </c>
      <c r="BS29" s="6">
        <f t="shared" si="41"/>
        <v>5178.7584109999998</v>
      </c>
      <c r="BT29" s="6">
        <f t="shared" si="41"/>
        <v>6133.2704119999999</v>
      </c>
      <c r="BU29" s="6">
        <f t="shared" si="41"/>
        <v>6461.5633499999994</v>
      </c>
      <c r="BV29" s="6">
        <f t="shared" si="41"/>
        <v>7956.9508729999998</v>
      </c>
      <c r="BW29" s="6">
        <f t="shared" si="41"/>
        <v>6425.2008290000003</v>
      </c>
      <c r="BX29" s="6">
        <f t="shared" ca="1" si="41"/>
        <v>6749.7899048821</v>
      </c>
      <c r="BY29" s="6">
        <f t="shared" ca="1" si="41"/>
        <v>7544.5447244709994</v>
      </c>
      <c r="BZ29" s="6">
        <f t="shared" ca="1" si="41"/>
        <v>9377.3833008679994</v>
      </c>
      <c r="CA29" s="6">
        <f t="shared" ca="1" si="41"/>
        <v>8409.9963563734982</v>
      </c>
      <c r="CB29" s="6">
        <f t="shared" ca="1" si="41"/>
        <v>9177.1915967315072</v>
      </c>
      <c r="CC29" s="6">
        <f t="shared" ca="1" si="41"/>
        <v>9852.2497890911018</v>
      </c>
      <c r="CD29" s="6">
        <f t="shared" ca="1" si="41"/>
        <v>11230.66353413145</v>
      </c>
      <c r="CE29" s="6">
        <f t="shared" ca="1" si="41"/>
        <v>10060.64929918543</v>
      </c>
      <c r="CF29" s="5"/>
      <c r="CG29" s="5"/>
      <c r="CH29" s="5"/>
      <c r="CI29" s="12"/>
      <c r="CP29" s="12"/>
      <c r="CQ29" s="12"/>
      <c r="CR29" s="12"/>
    </row>
    <row r="30" spans="1:96" outlineLevel="1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5"/>
      <c r="BT30" s="6"/>
      <c r="BU30" s="6"/>
      <c r="BV30" s="6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12"/>
      <c r="CP30" s="12"/>
      <c r="CQ30" s="12"/>
      <c r="CR30" s="12"/>
    </row>
    <row r="31" spans="1:96" outlineLevel="1">
      <c r="B31" s="115" t="s">
        <v>82</v>
      </c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  <c r="BS31" s="22"/>
      <c r="BT31" s="84"/>
      <c r="BU31" s="84"/>
      <c r="BV31" s="84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12"/>
      <c r="CP31" s="12"/>
      <c r="CQ31" s="12"/>
      <c r="CR31" s="12"/>
    </row>
    <row r="32" spans="1:96" outlineLevel="1">
      <c r="B32" s="12" t="s">
        <v>84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323">
        <f>O25/N25-1</f>
        <v>0.14500092715788471</v>
      </c>
      <c r="P32" s="323">
        <f t="shared" ref="P32:AD32" si="42">P25/O25-1</f>
        <v>0.30054046660287437</v>
      </c>
      <c r="Q32" s="323">
        <f t="shared" si="42"/>
        <v>0.44588069141205344</v>
      </c>
      <c r="R32" s="323">
        <f t="shared" si="42"/>
        <v>0.44205989723270678</v>
      </c>
      <c r="S32" s="323">
        <f t="shared" si="42"/>
        <v>0.58317390800762192</v>
      </c>
      <c r="T32" s="323">
        <f t="shared" si="42"/>
        <v>0.30215185464781014</v>
      </c>
      <c r="U32" s="323">
        <f t="shared" ca="1" si="42"/>
        <v>0.25860000000000016</v>
      </c>
      <c r="V32" s="323">
        <f t="shared" ca="1" si="42"/>
        <v>0.24439999999999995</v>
      </c>
      <c r="W32" s="323">
        <f t="shared" ca="1" si="42"/>
        <v>0.18320000000000003</v>
      </c>
      <c r="X32" s="323">
        <f t="shared" ca="1" si="42"/>
        <v>0.17300000000000004</v>
      </c>
      <c r="Y32" s="323">
        <f t="shared" ca="1" si="42"/>
        <v>0.16279999999999983</v>
      </c>
      <c r="Z32" s="323">
        <f t="shared" ca="1" si="42"/>
        <v>0.15259999999999985</v>
      </c>
      <c r="AA32" s="323">
        <f t="shared" ca="1" si="42"/>
        <v>0.14239999999999986</v>
      </c>
      <c r="AB32" s="323">
        <f t="shared" ca="1" si="42"/>
        <v>0.13219999999999987</v>
      </c>
      <c r="AC32" s="323">
        <f t="shared" ca="1" si="42"/>
        <v>0.12200000000000011</v>
      </c>
      <c r="AD32" s="323">
        <f t="shared" ca="1" si="42"/>
        <v>0.10160000000000013</v>
      </c>
      <c r="AE32" s="323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323">
        <f>BD25/AZ25-1</f>
        <v>0.22830995933160869</v>
      </c>
      <c r="BE32" s="323">
        <f t="shared" ref="BE32:CA32" si="43">BE25/BA25-1</f>
        <v>0.24516244690154099</v>
      </c>
      <c r="BF32" s="323">
        <f t="shared" si="43"/>
        <v>0.33610154636987155</v>
      </c>
      <c r="BG32" s="323">
        <f t="shared" si="43"/>
        <v>0.37093406196792378</v>
      </c>
      <c r="BH32" s="323">
        <f t="shared" si="43"/>
        <v>0.45754944378366713</v>
      </c>
      <c r="BI32" s="323">
        <f t="shared" si="43"/>
        <v>0.47279466810547666</v>
      </c>
      <c r="BJ32" s="323">
        <f t="shared" si="43"/>
        <v>0.55620079408120193</v>
      </c>
      <c r="BK32" s="323">
        <f t="shared" si="43"/>
        <v>0.31134038788483687</v>
      </c>
      <c r="BL32" s="323">
        <f t="shared" si="43"/>
        <v>0.44942070581524507</v>
      </c>
      <c r="BM32" s="323">
        <f t="shared" si="43"/>
        <v>0.46756774257613976</v>
      </c>
      <c r="BN32" s="323">
        <f t="shared" si="43"/>
        <v>0.44502989097117474</v>
      </c>
      <c r="BO32" s="323">
        <f t="shared" si="43"/>
        <v>0.41016504446480795</v>
      </c>
      <c r="BP32" s="323">
        <f t="shared" si="43"/>
        <v>0.6958028879638174</v>
      </c>
      <c r="BQ32" s="323">
        <f t="shared" si="43"/>
        <v>0.60788898901064936</v>
      </c>
      <c r="BR32" s="323">
        <f t="shared" si="43"/>
        <v>0.50858718506439993</v>
      </c>
      <c r="BS32" s="323">
        <f t="shared" si="43"/>
        <v>0.55616029382472032</v>
      </c>
      <c r="BT32" s="323">
        <f t="shared" si="43"/>
        <v>0.28246356327766398</v>
      </c>
      <c r="BU32" s="323">
        <f t="shared" si="43"/>
        <v>0.30145249149815267</v>
      </c>
      <c r="BV32" s="323">
        <f t="shared" si="43"/>
        <v>0.36144669899733572</v>
      </c>
      <c r="BW32" s="323">
        <f t="shared" si="43"/>
        <v>0.2535368677105807</v>
      </c>
      <c r="BX32" s="323">
        <f t="shared" ca="1" si="43"/>
        <v>0.19179999999999997</v>
      </c>
      <c r="BY32" s="323">
        <f t="shared" ca="1" si="43"/>
        <v>0.27500000000000013</v>
      </c>
      <c r="BZ32" s="323">
        <f t="shared" ca="1" si="43"/>
        <v>0.23419999999999974</v>
      </c>
      <c r="CA32" s="323">
        <f t="shared" ca="1" si="43"/>
        <v>0.33165392513176983</v>
      </c>
      <c r="CB32" s="323">
        <f t="shared" ref="CB32:CE34" ca="1" si="44">CB25/BX25-1</f>
        <v>0.35660000000000025</v>
      </c>
      <c r="CC32" s="323">
        <f t="shared" ca="1" si="44"/>
        <v>0.28520000000000012</v>
      </c>
      <c r="CD32" s="323">
        <f t="shared" ca="1" si="44"/>
        <v>0.17299999999999982</v>
      </c>
      <c r="CE32" s="323">
        <f t="shared" ca="1" si="44"/>
        <v>0.19625465031729372</v>
      </c>
      <c r="CF32" s="5"/>
      <c r="CG32" s="5"/>
      <c r="CH32" s="5"/>
      <c r="CI32" s="12"/>
      <c r="CP32" s="12"/>
      <c r="CQ32" s="12"/>
      <c r="CR32" s="12"/>
    </row>
    <row r="33" spans="2:96" outlineLevel="1">
      <c r="B33" s="12" t="s">
        <v>534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323">
        <f>O26/N26-1</f>
        <v>0.17616348143241467</v>
      </c>
      <c r="P33" s="323">
        <f t="shared" ref="P33:AD33" si="45">P26/O26-1</f>
        <v>0.27894591983708938</v>
      </c>
      <c r="Q33" s="323">
        <f t="shared" si="45"/>
        <v>0.3646470371491406</v>
      </c>
      <c r="R33" s="323">
        <f t="shared" si="45"/>
        <v>0.50975468337001018</v>
      </c>
      <c r="S33" s="323">
        <f t="shared" si="45"/>
        <v>0.98175639619443689</v>
      </c>
      <c r="T33" s="323">
        <f t="shared" si="45"/>
        <v>0.38458132363936848</v>
      </c>
      <c r="U33" s="323">
        <f t="shared" ca="1" si="45"/>
        <v>0.10359999999999991</v>
      </c>
      <c r="V33" s="323">
        <f t="shared" ca="1" si="45"/>
        <v>0.29150000000000009</v>
      </c>
      <c r="W33" s="323">
        <f t="shared" ca="1" si="45"/>
        <v>0.28099999999999969</v>
      </c>
      <c r="X33" s="323">
        <f t="shared" ca="1" si="45"/>
        <v>0.26</v>
      </c>
      <c r="Y33" s="323">
        <f t="shared" ca="1" si="45"/>
        <v>0.24949999999999983</v>
      </c>
      <c r="Z33" s="323">
        <f t="shared" ca="1" si="45"/>
        <v>0.18589999999999973</v>
      </c>
      <c r="AA33" s="323">
        <f t="shared" ca="1" si="45"/>
        <v>0.17584999999999962</v>
      </c>
      <c r="AB33" s="323">
        <f t="shared" ca="1" si="45"/>
        <v>0.16579999999999973</v>
      </c>
      <c r="AC33" s="323">
        <f t="shared" ca="1" si="45"/>
        <v>0.15574999999999961</v>
      </c>
      <c r="AD33" s="323">
        <f t="shared" ca="1" si="45"/>
        <v>0.14569999999999994</v>
      </c>
      <c r="AE33" s="323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323">
        <f>BD26/AZ26-1</f>
        <v>0.26643231648859134</v>
      </c>
      <c r="BE33" s="323">
        <f t="shared" ref="BE33:CA33" si="46">BE26/BA26-1</f>
        <v>0.29125586869586262</v>
      </c>
      <c r="BF33" s="323">
        <f t="shared" si="46"/>
        <v>0.26319573480114178</v>
      </c>
      <c r="BG33" s="323">
        <f t="shared" si="46"/>
        <v>0.29475254626251268</v>
      </c>
      <c r="BH33" s="323">
        <f t="shared" si="46"/>
        <v>0.42620285052356022</v>
      </c>
      <c r="BI33" s="323">
        <f t="shared" si="46"/>
        <v>0.38983586699286521</v>
      </c>
      <c r="BJ33" s="323">
        <f t="shared" si="46"/>
        <v>0.32357029895778244</v>
      </c>
      <c r="BK33" s="323">
        <f t="shared" si="46"/>
        <v>0.33627417423295869</v>
      </c>
      <c r="BL33" s="323">
        <f t="shared" si="46"/>
        <v>0.45593373681171445</v>
      </c>
      <c r="BM33" s="323">
        <f t="shared" si="46"/>
        <v>0.4507665524199469</v>
      </c>
      <c r="BN33" s="323">
        <f t="shared" si="46"/>
        <v>0.51161943011566491</v>
      </c>
      <c r="BO33" s="323">
        <f t="shared" si="46"/>
        <v>0.60843184023432295</v>
      </c>
      <c r="BP33" s="323">
        <f t="shared" si="46"/>
        <v>1.0561104619088422</v>
      </c>
      <c r="BQ33" s="323">
        <f t="shared" si="46"/>
        <v>0.90340176822120166</v>
      </c>
      <c r="BR33" s="323">
        <f t="shared" si="46"/>
        <v>1.0080722673495899</v>
      </c>
      <c r="BS33" s="323">
        <f t="shared" si="46"/>
        <v>0.96582618625513872</v>
      </c>
      <c r="BT33" s="323">
        <f t="shared" si="46"/>
        <v>0.47530566146459829</v>
      </c>
      <c r="BU33" s="323">
        <f t="shared" si="46"/>
        <v>0.49360603714996221</v>
      </c>
      <c r="BV33" s="323">
        <f t="shared" si="46"/>
        <v>0.41209505613922648</v>
      </c>
      <c r="BW33" s="323">
        <f t="shared" si="46"/>
        <v>0.19571174269736757</v>
      </c>
      <c r="BX33" s="323">
        <f t="shared" ca="1" si="46"/>
        <v>3.5000000000007248E-4</v>
      </c>
      <c r="BY33" s="323">
        <f t="shared" ca="1" si="46"/>
        <v>2.849999999999997E-2</v>
      </c>
      <c r="BZ33" s="323">
        <f t="shared" ca="1" si="46"/>
        <v>0.1339999999999999</v>
      </c>
      <c r="CA33" s="323">
        <f t="shared" ca="1" si="46"/>
        <v>0.24629090361845218</v>
      </c>
      <c r="CB33" s="323">
        <f t="shared" ca="1" si="44"/>
        <v>0.40400000000000014</v>
      </c>
      <c r="CC33" s="323">
        <f t="shared" ca="1" si="44"/>
        <v>0.36500000000000021</v>
      </c>
      <c r="CD33" s="323">
        <f t="shared" ca="1" si="44"/>
        <v>0.23599999999999999</v>
      </c>
      <c r="CE33" s="323">
        <f t="shared" ca="1" si="44"/>
        <v>0.19987158227049107</v>
      </c>
      <c r="CF33" s="5"/>
      <c r="CG33" s="5"/>
      <c r="CH33" s="5"/>
      <c r="CI33" s="12"/>
      <c r="CP33" s="12"/>
      <c r="CQ33" s="12"/>
      <c r="CR33" s="12"/>
    </row>
    <row r="34" spans="2:96" outlineLevel="1">
      <c r="B34" s="12" t="s">
        <v>119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323">
        <f>O27/N27-1</f>
        <v>0.28995285601269516</v>
      </c>
      <c r="P34" s="323">
        <f t="shared" ref="P34:AD34" si="47">P27/O27-1</f>
        <v>0.35673211858311804</v>
      </c>
      <c r="Q34" s="323">
        <f t="shared" si="47"/>
        <v>0.12791111395812904</v>
      </c>
      <c r="R34" s="323">
        <f t="shared" si="47"/>
        <v>0.58043776727406038</v>
      </c>
      <c r="S34" s="323">
        <f t="shared" si="47"/>
        <v>0.38505670704378914</v>
      </c>
      <c r="T34" s="323">
        <f t="shared" si="47"/>
        <v>0.28576956586492064</v>
      </c>
      <c r="U34" s="323">
        <f t="shared" ca="1" si="47"/>
        <v>0.26</v>
      </c>
      <c r="V34" s="323">
        <f t="shared" ca="1" si="47"/>
        <v>0.2200000000000002</v>
      </c>
      <c r="W34" s="323">
        <f t="shared" ca="1" si="47"/>
        <v>0.17599999999999971</v>
      </c>
      <c r="X34" s="323">
        <f t="shared" ca="1" si="47"/>
        <v>0.14080000000000004</v>
      </c>
      <c r="Y34" s="323">
        <f t="shared" ca="1" si="47"/>
        <v>0.11264000000000007</v>
      </c>
      <c r="Z34" s="323">
        <f t="shared" ca="1" si="47"/>
        <v>9.0112000000000192E-2</v>
      </c>
      <c r="AA34" s="323">
        <f t="shared" ca="1" si="47"/>
        <v>7.2089599999999976E-2</v>
      </c>
      <c r="AB34" s="323">
        <f t="shared" ca="1" si="47"/>
        <v>5.7671680000000114E-2</v>
      </c>
      <c r="AC34" s="323">
        <f t="shared" ca="1" si="47"/>
        <v>4.6137343999999914E-2</v>
      </c>
      <c r="AD34" s="323">
        <f t="shared" ca="1" si="47"/>
        <v>3.6909875200000331E-2</v>
      </c>
      <c r="AE34" s="323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323">
        <f>BD27/AZ27-1</f>
        <v>0.41368415590815588</v>
      </c>
      <c r="BE34" s="323">
        <f t="shared" ref="BE34:CA34" si="48">BE27/BA27-1</f>
        <v>0.39803588902405207</v>
      </c>
      <c r="BF34" s="323">
        <f t="shared" si="48"/>
        <v>0.42803845054860568</v>
      </c>
      <c r="BG34" s="323">
        <f t="shared" si="48"/>
        <v>0.16992745487404282</v>
      </c>
      <c r="BH34" s="323">
        <f t="shared" si="48"/>
        <v>0.10208721280399002</v>
      </c>
      <c r="BI34" s="323">
        <f t="shared" si="48"/>
        <v>9.6872218695499335E-2</v>
      </c>
      <c r="BJ34" s="323">
        <f t="shared" si="48"/>
        <v>0.11915218268607908</v>
      </c>
      <c r="BK34" s="323">
        <f t="shared" si="48"/>
        <v>0.20361612572127341</v>
      </c>
      <c r="BL34" s="323">
        <f t="shared" si="48"/>
        <v>0.52731813528918225</v>
      </c>
      <c r="BM34" s="323">
        <f t="shared" si="48"/>
        <v>0.6055910344125901</v>
      </c>
      <c r="BN34" s="323">
        <f t="shared" si="48"/>
        <v>0.65836905797843537</v>
      </c>
      <c r="BO34" s="323">
        <f t="shared" si="48"/>
        <v>0.49789755128906132</v>
      </c>
      <c r="BP34" s="323">
        <f t="shared" si="48"/>
        <v>0.40560325787752105</v>
      </c>
      <c r="BQ34" s="323">
        <f t="shared" si="48"/>
        <v>0.43888548831340768</v>
      </c>
      <c r="BR34" s="323">
        <f t="shared" si="48"/>
        <v>0.37119374231130253</v>
      </c>
      <c r="BS34" s="323">
        <f t="shared" si="48"/>
        <v>0.33458608410044133</v>
      </c>
      <c r="BT34" s="323">
        <f t="shared" si="48"/>
        <v>0.26116398704650901</v>
      </c>
      <c r="BU34" s="323">
        <f t="shared" si="48"/>
        <v>0.29195429660584282</v>
      </c>
      <c r="BV34" s="323">
        <f t="shared" si="48"/>
        <v>0.27030383909629507</v>
      </c>
      <c r="BW34" s="323">
        <f t="shared" si="48"/>
        <v>0.33579932345635854</v>
      </c>
      <c r="BX34" s="323">
        <f t="shared" ca="1" si="48"/>
        <v>0.12000000000000011</v>
      </c>
      <c r="BY34" s="323">
        <f t="shared" ca="1" si="48"/>
        <v>0.30000000000000004</v>
      </c>
      <c r="BZ34" s="323">
        <f t="shared" ca="1" si="48"/>
        <v>0.19999999999999996</v>
      </c>
      <c r="CA34" s="323">
        <f t="shared" ca="1" si="48"/>
        <v>0.47783942434582638</v>
      </c>
      <c r="CB34" s="323">
        <f t="shared" ca="1" si="44"/>
        <v>0.30000000000000004</v>
      </c>
      <c r="CC34" s="323">
        <f t="shared" ca="1" si="44"/>
        <v>0.25</v>
      </c>
      <c r="CD34" s="323">
        <f t="shared" ca="1" si="44"/>
        <v>0.16999999999999993</v>
      </c>
      <c r="CE34" s="323">
        <f t="shared" ca="1" si="44"/>
        <v>0.19309431662695142</v>
      </c>
      <c r="CF34" s="5"/>
      <c r="CG34" s="5"/>
      <c r="CH34" s="5"/>
      <c r="CI34" s="12"/>
      <c r="CP34" s="12"/>
      <c r="CQ34" s="12"/>
      <c r="CR34" s="12"/>
    </row>
    <row r="35" spans="2:96" outlineLevel="1">
      <c r="B35" s="12" t="s">
        <v>146</v>
      </c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323">
        <f t="shared" ref="O35:AD35" si="49">O29/N29-1</f>
        <v>0.18326149203441089</v>
      </c>
      <c r="P35" s="323">
        <f t="shared" si="49"/>
        <v>0.29661324058325955</v>
      </c>
      <c r="Q35" s="323">
        <f t="shared" si="49"/>
        <v>0.35954764918628834</v>
      </c>
      <c r="R35" s="323">
        <f t="shared" si="49"/>
        <v>0.47917168696590196</v>
      </c>
      <c r="S35" s="323">
        <f t="shared" si="49"/>
        <v>0.72116020513331414</v>
      </c>
      <c r="T35" s="323">
        <f t="shared" si="49"/>
        <v>0.36329428698754618</v>
      </c>
      <c r="U35" s="323">
        <f t="shared" ca="1" si="49"/>
        <v>0.18922532428268202</v>
      </c>
      <c r="V35" s="323">
        <f t="shared" ca="1" si="49"/>
        <v>0.25681420446997705</v>
      </c>
      <c r="W35" s="323">
        <f t="shared" ca="1" si="49"/>
        <v>0.22207472019403296</v>
      </c>
      <c r="X35" s="323">
        <f t="shared" ca="1" si="49"/>
        <v>0.20403232022111695</v>
      </c>
      <c r="Y35" s="323">
        <f t="shared" ca="1" si="49"/>
        <v>0.19351648085690631</v>
      </c>
      <c r="Z35" s="323">
        <f t="shared" ca="1" si="49"/>
        <v>0.15770979241999439</v>
      </c>
      <c r="AA35" s="323">
        <f t="shared" ca="1" si="49"/>
        <v>0.14742849736628227</v>
      </c>
      <c r="AB35" s="323">
        <f t="shared" ca="1" si="49"/>
        <v>0.13845735667008374</v>
      </c>
      <c r="AC35" s="323">
        <f t="shared" ca="1" si="49"/>
        <v>0.12967204548436939</v>
      </c>
      <c r="AD35" s="323">
        <f t="shared" ca="1" si="49"/>
        <v>0.11793378605766502</v>
      </c>
      <c r="AE35" s="323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323">
        <f>BD29/AZ29-1</f>
        <v>0.27481271812658914</v>
      </c>
      <c r="BE35" s="323">
        <f t="shared" ref="BE35:CA35" si="50">BE29/BA29-1</f>
        <v>0.28051623848152496</v>
      </c>
      <c r="BF35" s="323">
        <f t="shared" si="50"/>
        <v>0.31517972977080921</v>
      </c>
      <c r="BG35" s="323">
        <f t="shared" si="50"/>
        <v>0.30898653707565082</v>
      </c>
      <c r="BH35" s="323">
        <f t="shared" si="50"/>
        <v>0.3620657526125679</v>
      </c>
      <c r="BI35" s="323">
        <f t="shared" si="50"/>
        <v>0.37825650210810857</v>
      </c>
      <c r="BJ35" s="323">
        <f t="shared" si="50"/>
        <v>0.37731828090413289</v>
      </c>
      <c r="BK35" s="323">
        <f t="shared" si="50"/>
        <v>0.32227980337281603</v>
      </c>
      <c r="BL35" s="323">
        <f t="shared" si="50"/>
        <v>0.46028105466234304</v>
      </c>
      <c r="BM35" s="323">
        <f t="shared" si="50"/>
        <v>0.46495214403257923</v>
      </c>
      <c r="BN35" s="323">
        <f t="shared" si="50"/>
        <v>0.48520058246059183</v>
      </c>
      <c r="BO35" s="323">
        <f t="shared" si="50"/>
        <v>0.50087905488338214</v>
      </c>
      <c r="BP35" s="323">
        <f t="shared" si="50"/>
        <v>0.80048978052067365</v>
      </c>
      <c r="BQ35" s="323">
        <f t="shared" si="50"/>
        <v>0.70414973108381873</v>
      </c>
      <c r="BR35" s="323">
        <f t="shared" si="50"/>
        <v>0.68897065204814889</v>
      </c>
      <c r="BS35" s="323">
        <f t="shared" si="50"/>
        <v>0.70781618223306131</v>
      </c>
      <c r="BT35" s="323">
        <f t="shared" si="50"/>
        <v>0.3941971870605685</v>
      </c>
      <c r="BU35" s="323">
        <f t="shared" si="50"/>
        <v>0.42250229454866561</v>
      </c>
      <c r="BV35" s="323">
        <f t="shared" si="50"/>
        <v>0.40388833129724055</v>
      </c>
      <c r="BW35" s="323">
        <f t="shared" si="50"/>
        <v>0.2406836386405824</v>
      </c>
      <c r="BX35" s="323">
        <f t="shared" ca="1" si="50"/>
        <v>0.10052051376633475</v>
      </c>
      <c r="BY35" s="323">
        <f t="shared" ca="1" si="50"/>
        <v>0.16760361476158869</v>
      </c>
      <c r="BZ35" s="323">
        <f t="shared" ca="1" si="50"/>
        <v>0.1785146660497674</v>
      </c>
      <c r="CA35" s="323">
        <f t="shared" ca="1" si="50"/>
        <v>0.3089079361403253</v>
      </c>
      <c r="CB35" s="323">
        <f ca="1">CB29/BX29-1</f>
        <v>0.35962625889935862</v>
      </c>
      <c r="CC35" s="323">
        <f ca="1">CC29/BY29-1</f>
        <v>0.30587731253484107</v>
      </c>
      <c r="CD35" s="323">
        <f ca="1">CD29/BZ29-1</f>
        <v>0.19763298286974207</v>
      </c>
      <c r="CE35" s="323">
        <f ca="1">CE29/CA29-1</f>
        <v>0.19627272984024402</v>
      </c>
      <c r="CF35" s="5"/>
      <c r="CG35" s="5"/>
      <c r="CH35" s="5"/>
      <c r="CI35" s="12"/>
      <c r="CP35" s="12"/>
      <c r="CQ35" s="12"/>
      <c r="CR35" s="12"/>
    </row>
    <row r="36" spans="2:96" outlineLevel="1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5"/>
      <c r="CG36" s="5"/>
      <c r="CH36" s="5"/>
      <c r="CI36" s="12"/>
      <c r="CP36" s="12"/>
      <c r="CQ36" s="12"/>
      <c r="CR36" s="12"/>
    </row>
    <row r="37" spans="2:96" outlineLevel="1">
      <c r="B37" s="115" t="s">
        <v>141</v>
      </c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84"/>
      <c r="BS37" s="84"/>
      <c r="BT37" s="84"/>
      <c r="BU37" s="84"/>
      <c r="BV37" s="84"/>
      <c r="BW37" s="84"/>
      <c r="BX37" s="84"/>
      <c r="BY37" s="84"/>
      <c r="BZ37" s="84"/>
      <c r="CA37" s="84"/>
      <c r="CB37" s="84"/>
      <c r="CC37" s="84"/>
      <c r="CD37" s="84"/>
      <c r="CE37" s="84"/>
      <c r="CF37" s="22"/>
      <c r="CG37" s="22"/>
      <c r="CH37" s="22"/>
      <c r="CI37" s="12"/>
      <c r="CP37" s="12"/>
      <c r="CQ37" s="12"/>
      <c r="CR37" s="12"/>
    </row>
    <row r="38" spans="2:96" outlineLevel="1">
      <c r="B38" s="12" t="s">
        <v>84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323">
        <f t="shared" ref="N38:AD38" si="51">N25/N$29</f>
        <v>0.3990277715899368</v>
      </c>
      <c r="O38" s="323">
        <f t="shared" si="51"/>
        <v>0.38612527451280854</v>
      </c>
      <c r="P38" s="323">
        <f t="shared" si="51"/>
        <v>0.38729478379856552</v>
      </c>
      <c r="Q38" s="323">
        <f t="shared" si="51"/>
        <v>0.41188850579390152</v>
      </c>
      <c r="R38" s="323">
        <f t="shared" si="51"/>
        <v>0.40155439802585879</v>
      </c>
      <c r="S38" s="323">
        <f t="shared" si="51"/>
        <v>0.36936157581624185</v>
      </c>
      <c r="T38" s="323">
        <f t="shared" si="51"/>
        <v>0.35279606580582024</v>
      </c>
      <c r="U38" s="323">
        <f t="shared" ca="1" si="51"/>
        <v>0.3733767851698207</v>
      </c>
      <c r="V38" s="323">
        <f t="shared" ca="1" si="51"/>
        <v>0.36968874938938839</v>
      </c>
      <c r="W38" s="323">
        <f t="shared" ca="1" si="51"/>
        <v>0.35792879195477872</v>
      </c>
      <c r="X38" s="323">
        <f t="shared" ca="1" si="51"/>
        <v>0.34870365679706267</v>
      </c>
      <c r="Y38" s="323">
        <f t="shared" ca="1" si="51"/>
        <v>0.33972937837649986</v>
      </c>
      <c r="Z38" s="323">
        <f t="shared" ca="1" si="51"/>
        <v>0.33822991226345178</v>
      </c>
      <c r="AA38" s="323">
        <f t="shared" ca="1" si="51"/>
        <v>0.33674765151524955</v>
      </c>
      <c r="AB38" s="323">
        <f t="shared" ca="1" si="51"/>
        <v>0.33489676957312109</v>
      </c>
      <c r="AC38" s="323">
        <f t="shared" ca="1" si="51"/>
        <v>0.33262235439306614</v>
      </c>
      <c r="AD38" s="323">
        <f t="shared" ca="1" si="51"/>
        <v>0.32776251167034798</v>
      </c>
      <c r="AE38" s="323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323">
        <f t="shared" ref="AZ38:CA38" si="52">AZ25/AZ$29</f>
        <v>0.38064004311253974</v>
      </c>
      <c r="BA38" s="323">
        <f t="shared" si="52"/>
        <v>0.39805011866603895</v>
      </c>
      <c r="BB38" s="323">
        <f t="shared" si="52"/>
        <v>0.36641044553649721</v>
      </c>
      <c r="BC38" s="323">
        <f t="shared" si="52"/>
        <v>0.40118819140288486</v>
      </c>
      <c r="BD38" s="323">
        <f t="shared" si="52"/>
        <v>0.36675501367967861</v>
      </c>
      <c r="BE38" s="323">
        <f t="shared" si="52"/>
        <v>0.38706034711078352</v>
      </c>
      <c r="BF38" s="323">
        <f t="shared" si="52"/>
        <v>0.37223928547978868</v>
      </c>
      <c r="BG38" s="323">
        <f t="shared" si="52"/>
        <v>0.42017434196249137</v>
      </c>
      <c r="BH38" s="323">
        <f t="shared" si="52"/>
        <v>0.39246531613348651</v>
      </c>
      <c r="BI38" s="323">
        <f t="shared" si="52"/>
        <v>0.41360981398446706</v>
      </c>
      <c r="BJ38" s="323">
        <f t="shared" si="52"/>
        <v>0.42058475494248276</v>
      </c>
      <c r="BK38" s="323">
        <f t="shared" si="52"/>
        <v>0.41669817777062262</v>
      </c>
      <c r="BL38" s="323">
        <f t="shared" si="52"/>
        <v>0.38954648743952536</v>
      </c>
      <c r="BM38" s="323">
        <f t="shared" si="52"/>
        <v>0.41434829355287267</v>
      </c>
      <c r="BN38" s="323">
        <f t="shared" si="52"/>
        <v>0.40920906560094233</v>
      </c>
      <c r="BO38" s="323">
        <f t="shared" si="52"/>
        <v>0.39151269549162426</v>
      </c>
      <c r="BP38" s="323">
        <f t="shared" si="52"/>
        <v>0.36689686636548113</v>
      </c>
      <c r="BQ38" s="323">
        <f t="shared" si="52"/>
        <v>0.39094338171523485</v>
      </c>
      <c r="BR38" s="323">
        <f t="shared" si="52"/>
        <v>0.36550519787253249</v>
      </c>
      <c r="BS38" s="323">
        <f t="shared" si="52"/>
        <v>0.35674595286696414</v>
      </c>
      <c r="BT38" s="323">
        <f t="shared" si="52"/>
        <v>0.33749305117056044</v>
      </c>
      <c r="BU38" s="323">
        <f t="shared" si="52"/>
        <v>0.35767551315580626</v>
      </c>
      <c r="BV38" s="323">
        <f t="shared" si="52"/>
        <v>0.35445543211411507</v>
      </c>
      <c r="BW38" s="323">
        <f t="shared" si="52"/>
        <v>0.36044176806850747</v>
      </c>
      <c r="BX38" s="323">
        <f t="shared" ca="1" si="52"/>
        <v>0.36548543471355505</v>
      </c>
      <c r="BY38" s="323">
        <f t="shared" ca="1" si="52"/>
        <v>0.39057456957836706</v>
      </c>
      <c r="BZ38" s="323">
        <f t="shared" ca="1" si="52"/>
        <v>0.37120360646981287</v>
      </c>
      <c r="CA38" s="323">
        <f t="shared" ca="1" si="52"/>
        <v>0.3667054664251076</v>
      </c>
      <c r="CB38" s="323">
        <f t="shared" ref="CB38:CE40" ca="1" si="53">CB25/CB$29</f>
        <v>0.36467193648773882</v>
      </c>
      <c r="CC38" s="323">
        <f t="shared" ca="1" si="53"/>
        <v>0.38439019653978779</v>
      </c>
      <c r="CD38" s="323">
        <f t="shared" ca="1" si="53"/>
        <v>0.36356866971527629</v>
      </c>
      <c r="CE38" s="323">
        <f t="shared" ca="1" si="53"/>
        <v>0.36669992432778248</v>
      </c>
      <c r="CF38" s="5"/>
      <c r="CG38" s="5"/>
      <c r="CH38" s="5"/>
      <c r="CI38" s="12"/>
      <c r="CP38" s="12"/>
      <c r="CQ38" s="12"/>
      <c r="CR38" s="12"/>
    </row>
    <row r="39" spans="2:96" outlineLevel="1">
      <c r="B39" s="12" t="s">
        <v>534</v>
      </c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323">
        <f t="shared" ref="N39:AD39" si="54">N26/N$29</f>
        <v>0.38566850422070964</v>
      </c>
      <c r="O39" s="323">
        <f t="shared" si="54"/>
        <v>0.3833550011191188</v>
      </c>
      <c r="P39" s="323">
        <f t="shared" si="54"/>
        <v>0.37813150381673638</v>
      </c>
      <c r="Q39" s="323">
        <f t="shared" si="54"/>
        <v>0.3795497985268132</v>
      </c>
      <c r="R39" s="323">
        <f t="shared" si="54"/>
        <v>0.38739727845480965</v>
      </c>
      <c r="S39" s="323">
        <f t="shared" si="54"/>
        <v>0.44605204800599679</v>
      </c>
      <c r="T39" s="323">
        <f t="shared" si="54"/>
        <v>0.45301688779528781</v>
      </c>
      <c r="U39" s="323">
        <f t="shared" ca="1" si="54"/>
        <v>0.42039925249022053</v>
      </c>
      <c r="V39" s="323">
        <f t="shared" ca="1" si="54"/>
        <v>0.43200151037447149</v>
      </c>
      <c r="W39" s="323">
        <f t="shared" ca="1" si="54"/>
        <v>0.45283150501782216</v>
      </c>
      <c r="X39" s="323">
        <f t="shared" ca="1" si="54"/>
        <v>0.47388071461210679</v>
      </c>
      <c r="Y39" s="323">
        <f t="shared" ca="1" si="54"/>
        <v>0.49610873616316448</v>
      </c>
      <c r="Z39" s="323">
        <f t="shared" ca="1" si="54"/>
        <v>0.50818897280473219</v>
      </c>
      <c r="AA39" s="323">
        <f t="shared" ca="1" si="54"/>
        <v>0.52077668024109824</v>
      </c>
      <c r="AB39" s="323">
        <f t="shared" ca="1" si="54"/>
        <v>0.53328431694698197</v>
      </c>
      <c r="AC39" s="323">
        <f t="shared" ca="1" si="54"/>
        <v>0.5455949377300956</v>
      </c>
      <c r="AD39" s="323">
        <f t="shared" ca="1" si="54"/>
        <v>0.55914592434111055</v>
      </c>
      <c r="AE39" s="323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323">
        <f t="shared" ref="AZ39:CA39" si="55">AZ26/AZ$29</f>
        <v>0.37408031958356286</v>
      </c>
      <c r="BA39" s="323">
        <f t="shared" si="55"/>
        <v>0.39213115541020499</v>
      </c>
      <c r="BB39" s="323">
        <f t="shared" si="55"/>
        <v>0.38350814130830457</v>
      </c>
      <c r="BC39" s="323">
        <f t="shared" si="55"/>
        <v>0.38309653034068991</v>
      </c>
      <c r="BD39" s="323">
        <f t="shared" si="55"/>
        <v>0.37162117928914545</v>
      </c>
      <c r="BE39" s="323">
        <f t="shared" si="55"/>
        <v>0.39541994119680346</v>
      </c>
      <c r="BF39" s="323">
        <f t="shared" si="55"/>
        <v>0.36834953991161817</v>
      </c>
      <c r="BG39" s="323">
        <f t="shared" si="55"/>
        <v>0.37893071782928184</v>
      </c>
      <c r="BH39" s="323">
        <f t="shared" si="55"/>
        <v>0.38912011714596273</v>
      </c>
      <c r="BI39" s="323">
        <f t="shared" si="55"/>
        <v>0.39874204544577557</v>
      </c>
      <c r="BJ39" s="323">
        <f t="shared" si="55"/>
        <v>0.35397519761499247</v>
      </c>
      <c r="BK39" s="323">
        <f t="shared" si="55"/>
        <v>0.38294113754686104</v>
      </c>
      <c r="BL39" s="323">
        <f t="shared" si="55"/>
        <v>0.38796169026237998</v>
      </c>
      <c r="BM39" s="323">
        <f t="shared" si="55"/>
        <v>0.39488090101281881</v>
      </c>
      <c r="BN39" s="323">
        <f t="shared" si="55"/>
        <v>0.36027173219079478</v>
      </c>
      <c r="BO39" s="323">
        <f t="shared" si="55"/>
        <v>0.41038264646432865</v>
      </c>
      <c r="BP39" s="323">
        <f t="shared" si="55"/>
        <v>0.44304172053541846</v>
      </c>
      <c r="BQ39" s="323">
        <f t="shared" si="55"/>
        <v>0.44105103648759852</v>
      </c>
      <c r="BR39" s="323">
        <f t="shared" si="55"/>
        <v>0.42833880697987969</v>
      </c>
      <c r="BS39" s="323">
        <f t="shared" si="55"/>
        <v>0.47238160710563415</v>
      </c>
      <c r="BT39" s="323">
        <f t="shared" si="55"/>
        <v>0.46881600726004313</v>
      </c>
      <c r="BU39" s="323">
        <f t="shared" si="55"/>
        <v>0.46309696182116672</v>
      </c>
      <c r="BV39" s="323">
        <f t="shared" si="55"/>
        <v>0.43084275166669112</v>
      </c>
      <c r="BW39" s="323">
        <f t="shared" si="55"/>
        <v>0.45525887265616549</v>
      </c>
      <c r="BX39" s="323">
        <f t="shared" ca="1" si="55"/>
        <v>0.42614389009213793</v>
      </c>
      <c r="BY39" s="323">
        <f t="shared" ca="1" si="55"/>
        <v>0.40792544594025087</v>
      </c>
      <c r="BZ39" s="323">
        <f t="shared" ca="1" si="55"/>
        <v>0.41456902868054402</v>
      </c>
      <c r="CA39" s="323">
        <f t="shared" ca="1" si="55"/>
        <v>0.43347967883521349</v>
      </c>
      <c r="CB39" s="323">
        <f t="shared" ca="1" si="53"/>
        <v>0.44005182878249277</v>
      </c>
      <c r="CC39" s="323">
        <f t="shared" ca="1" si="53"/>
        <v>0.42639398691106867</v>
      </c>
      <c r="CD39" s="323">
        <f t="shared" ca="1" si="53"/>
        <v>0.42785003985222009</v>
      </c>
      <c r="CE39" s="323">
        <f t="shared" ca="1" si="53"/>
        <v>0.4347837538648659</v>
      </c>
      <c r="CF39" s="5"/>
      <c r="CG39" s="5"/>
      <c r="CH39" s="5"/>
      <c r="CI39" s="12"/>
      <c r="CP39" s="12"/>
      <c r="CQ39" s="12"/>
      <c r="CR39" s="12"/>
    </row>
    <row r="40" spans="2:96" outlineLevel="1">
      <c r="B40" s="12" t="s">
        <v>119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323">
        <f t="shared" ref="N40:AD40" si="56">N27/N$29</f>
        <v>0.14347733181521213</v>
      </c>
      <c r="O40" s="323">
        <f t="shared" si="56"/>
        <v>0.15641427967870661</v>
      </c>
      <c r="P40" s="323">
        <f t="shared" si="56"/>
        <v>0.1636665972573933</v>
      </c>
      <c r="Q40" s="323">
        <f t="shared" si="56"/>
        <v>0.13578146682891909</v>
      </c>
      <c r="R40" s="323">
        <f t="shared" si="56"/>
        <v>0.14507724841088079</v>
      </c>
      <c r="S40" s="323">
        <f t="shared" si="56"/>
        <v>0.11674695670493052</v>
      </c>
      <c r="T40" s="323">
        <f t="shared" si="56"/>
        <v>0.11010805610448543</v>
      </c>
      <c r="U40" s="323">
        <f t="shared" ca="1" si="56"/>
        <v>0.11666094545651778</v>
      </c>
      <c r="V40" s="323">
        <f t="shared" ca="1" si="56"/>
        <v>0.11324374991208307</v>
      </c>
      <c r="W40" s="323">
        <f t="shared" ca="1" si="56"/>
        <v>0.10897422857700965</v>
      </c>
      <c r="X40" s="323">
        <f t="shared" ca="1" si="56"/>
        <v>0.10325121499879839</v>
      </c>
      <c r="Y40" s="323">
        <f t="shared" ca="1" si="56"/>
        <v>9.6254583576241781E-2</v>
      </c>
      <c r="Z40" s="323">
        <f t="shared" ca="1" si="56"/>
        <v>9.063435180256138E-2</v>
      </c>
      <c r="AA40" s="323">
        <f t="shared" ca="1" si="56"/>
        <v>8.4683399613395938E-2</v>
      </c>
      <c r="AB40" s="323">
        <f t="shared" ca="1" si="56"/>
        <v>7.8674210335985165E-2</v>
      </c>
      <c r="AC40" s="323">
        <f t="shared" ca="1" si="56"/>
        <v>7.2856569100012897E-2</v>
      </c>
      <c r="AD40" s="323">
        <f t="shared" ca="1" si="56"/>
        <v>6.7576181089760698E-2</v>
      </c>
      <c r="AE40" s="323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323">
        <f t="shared" ref="AZ40:CA40" si="57">AZ27/AZ$29</f>
        <v>0.17266516659245787</v>
      </c>
      <c r="BA40" s="323">
        <f t="shared" si="57"/>
        <v>0.12976025943858485</v>
      </c>
      <c r="BB40" s="323">
        <f t="shared" si="57"/>
        <v>0.17940452705613757</v>
      </c>
      <c r="BC40" s="323">
        <f t="shared" si="57"/>
        <v>0.14197304578484252</v>
      </c>
      <c r="BD40" s="323">
        <f t="shared" si="57"/>
        <v>0.19147440782337827</v>
      </c>
      <c r="BE40" s="323">
        <f t="shared" si="57"/>
        <v>0.14166903488809682</v>
      </c>
      <c r="BF40" s="323">
        <f t="shared" si="57"/>
        <v>0.19479965896622997</v>
      </c>
      <c r="BG40" s="323">
        <f t="shared" si="57"/>
        <v>0.12689065885035714</v>
      </c>
      <c r="BH40" s="323">
        <f t="shared" si="57"/>
        <v>0.15492754005201492</v>
      </c>
      <c r="BI40" s="323">
        <f t="shared" si="57"/>
        <v>0.11274594270404395</v>
      </c>
      <c r="BJ40" s="323">
        <f t="shared" si="57"/>
        <v>0.15828619030268615</v>
      </c>
      <c r="BK40" s="323">
        <f t="shared" si="57"/>
        <v>0.11550327155123703</v>
      </c>
      <c r="BL40" s="323">
        <f t="shared" si="57"/>
        <v>0.16203979420379278</v>
      </c>
      <c r="BM40" s="323">
        <f t="shared" si="57"/>
        <v>0.12356982138249475</v>
      </c>
      <c r="BN40" s="323">
        <f t="shared" si="57"/>
        <v>0.17674172997452756</v>
      </c>
      <c r="BO40" s="323">
        <f t="shared" si="57"/>
        <v>0.11527382373652781</v>
      </c>
      <c r="BP40" s="323">
        <f t="shared" si="57"/>
        <v>0.12650094718826366</v>
      </c>
      <c r="BQ40" s="323">
        <f t="shared" si="57"/>
        <v>0.10433521159415439</v>
      </c>
      <c r="BR40" s="323">
        <f t="shared" si="57"/>
        <v>0.14348807887955969</v>
      </c>
      <c r="BS40" s="323">
        <f t="shared" si="57"/>
        <v>9.0081615703312634E-2</v>
      </c>
      <c r="BT40" s="323">
        <f t="shared" si="57"/>
        <v>0.11443032621337486</v>
      </c>
      <c r="BU40" s="323">
        <f t="shared" si="57"/>
        <v>9.4760005254765481E-2</v>
      </c>
      <c r="BV40" s="323">
        <f t="shared" si="57"/>
        <v>0.12983472645351343</v>
      </c>
      <c r="BW40" s="323">
        <f t="shared" si="57"/>
        <v>9.6987626470344521E-2</v>
      </c>
      <c r="BX40" s="323">
        <f t="shared" ca="1" si="57"/>
        <v>0.11645577138800296</v>
      </c>
      <c r="BY40" s="323">
        <f t="shared" ca="1" si="57"/>
        <v>0.10550498925643419</v>
      </c>
      <c r="BZ40" s="323">
        <f t="shared" ca="1" si="57"/>
        <v>0.13220172496150914</v>
      </c>
      <c r="CA40" s="323">
        <f t="shared" ca="1" si="57"/>
        <v>0.10950513333600541</v>
      </c>
      <c r="CB40" s="323">
        <f t="shared" ca="1" si="53"/>
        <v>0.1113486164403435</v>
      </c>
      <c r="CC40" s="323">
        <f t="shared" ca="1" si="53"/>
        <v>0.1009905259128423</v>
      </c>
      <c r="CD40" s="323">
        <f t="shared" ca="1" si="53"/>
        <v>0.12915143488644942</v>
      </c>
      <c r="CE40" s="323">
        <f t="shared" ca="1" si="53"/>
        <v>0.10921418583378742</v>
      </c>
      <c r="CF40" s="5"/>
      <c r="CG40" s="5"/>
      <c r="CH40" s="5"/>
      <c r="CI40" s="12"/>
      <c r="CP40" s="12"/>
      <c r="CQ40" s="12"/>
      <c r="CR40" s="12"/>
    </row>
    <row r="41" spans="2:96" outlineLevel="1">
      <c r="B41" s="12" t="s">
        <v>17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323">
        <f t="shared" ref="N41:AB41" si="58">1-SUM(N38:N40)</f>
        <v>7.1826392374141457E-2</v>
      </c>
      <c r="O41" s="323">
        <f t="shared" si="58"/>
        <v>7.4105444689366085E-2</v>
      </c>
      <c r="P41" s="323">
        <f t="shared" si="58"/>
        <v>7.0907115127304743E-2</v>
      </c>
      <c r="Q41" s="323">
        <f t="shared" si="58"/>
        <v>7.2780228850366169E-2</v>
      </c>
      <c r="R41" s="323">
        <f t="shared" si="58"/>
        <v>6.5971075108450794E-2</v>
      </c>
      <c r="S41" s="323">
        <f t="shared" si="58"/>
        <v>6.7839419472830786E-2</v>
      </c>
      <c r="T41" s="323">
        <f t="shared" si="58"/>
        <v>8.4078990294406575E-2</v>
      </c>
      <c r="U41" s="323">
        <f t="shared" ca="1" si="58"/>
        <v>8.9563016883440927E-2</v>
      </c>
      <c r="V41" s="323">
        <f t="shared" ca="1" si="58"/>
        <v>8.5065990324057039E-2</v>
      </c>
      <c r="W41" s="323">
        <f t="shared" ca="1" si="58"/>
        <v>8.0265474450389451E-2</v>
      </c>
      <c r="X41" s="323">
        <f t="shared" ca="1" si="58"/>
        <v>7.4164413592032186E-2</v>
      </c>
      <c r="Y41" s="323">
        <f t="shared" ca="1" si="58"/>
        <v>6.7907301884093885E-2</v>
      </c>
      <c r="Z41" s="323">
        <f t="shared" ca="1" si="58"/>
        <v>6.2946763129254624E-2</v>
      </c>
      <c r="AA41" s="323">
        <f t="shared" ca="1" si="58"/>
        <v>5.7792268630256327E-2</v>
      </c>
      <c r="AB41" s="323">
        <f t="shared" ca="1" si="58"/>
        <v>5.3144703143911731E-2</v>
      </c>
      <c r="AC41" s="323">
        <f ca="1">1-SUM(AC38:AC40)</f>
        <v>4.892613877682539E-2</v>
      </c>
      <c r="AD41" s="323">
        <f ca="1">1-SUM(AD38:AD40)</f>
        <v>4.5515382898780765E-2</v>
      </c>
      <c r="AE41" s="323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323">
        <f>1-SUM(AZ38:AZ40)</f>
        <v>7.261447071143956E-2</v>
      </c>
      <c r="BA41" s="323">
        <f t="shared" ref="BA41:BW41" si="59">1-SUM(BA38:BA40)</f>
        <v>8.0058466485171231E-2</v>
      </c>
      <c r="BB41" s="323">
        <f t="shared" si="59"/>
        <v>7.0676886099060754E-2</v>
      </c>
      <c r="BC41" s="323">
        <f t="shared" si="59"/>
        <v>7.3742232471582736E-2</v>
      </c>
      <c r="BD41" s="323">
        <f t="shared" si="59"/>
        <v>7.0149399207797725E-2</v>
      </c>
      <c r="BE41" s="323">
        <f t="shared" si="59"/>
        <v>7.585067680431623E-2</v>
      </c>
      <c r="BF41" s="323">
        <f t="shared" si="59"/>
        <v>6.4611515642363226E-2</v>
      </c>
      <c r="BG41" s="323">
        <f t="shared" si="59"/>
        <v>7.4004281357869628E-2</v>
      </c>
      <c r="BH41" s="323">
        <f t="shared" si="59"/>
        <v>6.3487026668535895E-2</v>
      </c>
      <c r="BI41" s="323">
        <f t="shared" si="59"/>
        <v>7.4902197865713505E-2</v>
      </c>
      <c r="BJ41" s="323">
        <f t="shared" si="59"/>
        <v>6.715385713983868E-2</v>
      </c>
      <c r="BK41" s="323">
        <f t="shared" si="59"/>
        <v>8.4857413131279258E-2</v>
      </c>
      <c r="BL41" s="323">
        <f t="shared" si="59"/>
        <v>6.0452028094301946E-2</v>
      </c>
      <c r="BM41" s="323">
        <f t="shared" si="59"/>
        <v>6.7200984051813739E-2</v>
      </c>
      <c r="BN41" s="323">
        <f t="shared" si="59"/>
        <v>5.3777472233735413E-2</v>
      </c>
      <c r="BO41" s="323">
        <f t="shared" si="59"/>
        <v>8.2830834307519252E-2</v>
      </c>
      <c r="BP41" s="323">
        <f t="shared" si="59"/>
        <v>6.356046591083675E-2</v>
      </c>
      <c r="BQ41" s="323">
        <f t="shared" si="59"/>
        <v>6.367037020301225E-2</v>
      </c>
      <c r="BR41" s="323">
        <f t="shared" si="59"/>
        <v>6.2667916268028034E-2</v>
      </c>
      <c r="BS41" s="323">
        <f t="shared" si="59"/>
        <v>8.0790824324089128E-2</v>
      </c>
      <c r="BT41" s="323">
        <f t="shared" si="59"/>
        <v>7.9260615356021469E-2</v>
      </c>
      <c r="BU41" s="323">
        <f t="shared" si="59"/>
        <v>8.4467519768261612E-2</v>
      </c>
      <c r="BV41" s="323">
        <f t="shared" si="59"/>
        <v>8.4867089765680359E-2</v>
      </c>
      <c r="BW41" s="323">
        <f t="shared" si="59"/>
        <v>8.73117328049825E-2</v>
      </c>
      <c r="BX41" s="323">
        <f t="shared" ref="BX41:CE41" ca="1" si="60">1-SUM(BX38:BX40)</f>
        <v>9.1914903806304071E-2</v>
      </c>
      <c r="BY41" s="323">
        <f t="shared" ca="1" si="60"/>
        <v>9.5994995224947921E-2</v>
      </c>
      <c r="BZ41" s="323">
        <f t="shared" ca="1" si="60"/>
        <v>8.2025639888133939E-2</v>
      </c>
      <c r="CA41" s="323">
        <f t="shared" ca="1" si="60"/>
        <v>9.0309721403673549E-2</v>
      </c>
      <c r="CB41" s="323">
        <f t="shared" ca="1" si="60"/>
        <v>8.3927618289424855E-2</v>
      </c>
      <c r="CC41" s="323">
        <f t="shared" ca="1" si="60"/>
        <v>8.8225290636301246E-2</v>
      </c>
      <c r="CD41" s="323">
        <f t="shared" ca="1" si="60"/>
        <v>7.9429855546054196E-2</v>
      </c>
      <c r="CE41" s="323">
        <f t="shared" ca="1" si="60"/>
        <v>8.9302135973564178E-2</v>
      </c>
      <c r="CF41" s="5"/>
      <c r="CG41" s="5"/>
      <c r="CH41" s="5"/>
      <c r="CI41" s="12"/>
      <c r="CP41" s="12"/>
      <c r="CQ41" s="12"/>
      <c r="CR41" s="12"/>
    </row>
    <row r="42" spans="2:96" outlineLevel="1">
      <c r="B42" s="12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5"/>
      <c r="BT42" s="6"/>
      <c r="BU42" s="6"/>
      <c r="BV42" s="6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12"/>
      <c r="CP42" s="12"/>
      <c r="CQ42" s="12"/>
      <c r="CR42" s="12"/>
    </row>
    <row r="43" spans="2:96" outlineLevel="1">
      <c r="B43" s="189" t="s">
        <v>490</v>
      </c>
      <c r="C43" s="190"/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 s="190"/>
      <c r="X43" s="190"/>
      <c r="Y43" s="190"/>
      <c r="Z43" s="190"/>
      <c r="AA43" s="190"/>
      <c r="AB43" s="190"/>
      <c r="AC43" s="190"/>
      <c r="AD43" s="190"/>
      <c r="AE43" s="190"/>
      <c r="AF43" s="190"/>
      <c r="AG43" s="190"/>
      <c r="AH43" s="190"/>
      <c r="AI43" s="190"/>
      <c r="AJ43" s="190"/>
      <c r="AK43" s="190"/>
      <c r="AL43" s="190"/>
      <c r="AM43" s="190"/>
      <c r="AN43" s="190"/>
      <c r="AO43" s="190"/>
      <c r="AP43" s="190"/>
      <c r="AQ43" s="190"/>
      <c r="AR43" s="190"/>
      <c r="AS43" s="190"/>
      <c r="AT43" s="190"/>
      <c r="AU43" s="190"/>
      <c r="AV43" s="190"/>
      <c r="AW43" s="190"/>
      <c r="AX43" s="190"/>
      <c r="AY43" s="190"/>
      <c r="AZ43" s="190"/>
      <c r="BA43" s="190"/>
      <c r="BB43" s="190"/>
      <c r="BC43" s="190"/>
      <c r="BD43" s="190"/>
      <c r="BE43" s="190"/>
      <c r="BF43" s="190"/>
      <c r="BG43" s="190"/>
      <c r="BH43" s="190"/>
      <c r="BI43" s="190"/>
      <c r="BJ43" s="190"/>
      <c r="BK43" s="190"/>
      <c r="BL43" s="190"/>
      <c r="BM43" s="190"/>
      <c r="BN43" s="190"/>
      <c r="BO43" s="190"/>
      <c r="BP43" s="190"/>
      <c r="BQ43" s="190"/>
      <c r="BR43" s="190"/>
      <c r="BS43" s="190"/>
      <c r="BT43" s="190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1"/>
      <c r="CG43" s="191"/>
      <c r="CH43" s="191"/>
      <c r="CI43" s="12"/>
      <c r="CP43" s="12"/>
      <c r="CQ43" s="12"/>
      <c r="CR43" s="12"/>
    </row>
    <row r="44" spans="2:96" outlineLevel="1">
      <c r="B44" s="12" t="s">
        <v>84</v>
      </c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>
        <f>M25/M8/1000</f>
        <v>0.15005614085319263</v>
      </c>
      <c r="N44" s="323">
        <f t="shared" ref="N44:AD44" si="61">N25/N8</f>
        <v>0.14615703020152104</v>
      </c>
      <c r="O44" s="323">
        <f t="shared" si="61"/>
        <v>0.13969893030191305</v>
      </c>
      <c r="P44" s="323">
        <f t="shared" si="61"/>
        <v>0.13872546029860428</v>
      </c>
      <c r="Q44" s="323">
        <f t="shared" si="61"/>
        <v>0.1360827270204519</v>
      </c>
      <c r="R44" s="323">
        <f t="shared" si="61"/>
        <v>0.13240137468673177</v>
      </c>
      <c r="S44" s="323">
        <f t="shared" si="61"/>
        <v>0.1301743160067432</v>
      </c>
      <c r="T44" s="323">
        <f t="shared" si="61"/>
        <v>0.12009901450338223</v>
      </c>
      <c r="U44" s="323">
        <f t="shared" ca="1" si="61"/>
        <v>0.115</v>
      </c>
      <c r="V44" s="323">
        <f t="shared" ca="1" si="61"/>
        <v>0.10999999999999999</v>
      </c>
      <c r="W44" s="323">
        <f t="shared" ca="1" si="61"/>
        <v>0.1</v>
      </c>
      <c r="X44" s="323">
        <f t="shared" ca="1" si="61"/>
        <v>0.10000000000000002</v>
      </c>
      <c r="Y44" s="323">
        <f t="shared" ca="1" si="61"/>
        <v>0.1</v>
      </c>
      <c r="Z44" s="323">
        <f t="shared" ca="1" si="61"/>
        <v>0.10000000000000002</v>
      </c>
      <c r="AA44" s="323">
        <f t="shared" ca="1" si="61"/>
        <v>0.1</v>
      </c>
      <c r="AB44" s="323">
        <f t="shared" ca="1" si="61"/>
        <v>0.1</v>
      </c>
      <c r="AC44" s="323">
        <f t="shared" ca="1" si="61"/>
        <v>0.1</v>
      </c>
      <c r="AD44" s="323">
        <f t="shared" ca="1" si="61"/>
        <v>0.1</v>
      </c>
      <c r="AE44" s="323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323">
        <f t="shared" ref="AZ44:CA44" si="62">AZ25/AZ8</f>
        <v>0.14299999999999999</v>
      </c>
      <c r="BA44" s="323">
        <f t="shared" si="62"/>
        <v>0.14199999999999999</v>
      </c>
      <c r="BB44" s="323">
        <f t="shared" si="62"/>
        <v>0.14099999999999999</v>
      </c>
      <c r="BC44" s="323">
        <f t="shared" si="62"/>
        <v>0.13999999999999999</v>
      </c>
      <c r="BD44" s="323">
        <f t="shared" si="62"/>
        <v>0.13999999999999999</v>
      </c>
      <c r="BE44" s="323">
        <f t="shared" si="62"/>
        <v>0.13999999999999999</v>
      </c>
      <c r="BF44" s="323">
        <f t="shared" si="62"/>
        <v>0.13999999999999999</v>
      </c>
      <c r="BG44" s="323">
        <f t="shared" si="62"/>
        <v>0.13999999999999999</v>
      </c>
      <c r="BH44" s="323">
        <f t="shared" si="62"/>
        <v>0.13999999999999999</v>
      </c>
      <c r="BI44" s="323">
        <f t="shared" si="62"/>
        <v>0.13999999999999999</v>
      </c>
      <c r="BJ44" s="323">
        <f t="shared" si="62"/>
        <v>0.13999999999999999</v>
      </c>
      <c r="BK44" s="323">
        <f t="shared" si="62"/>
        <v>0.128</v>
      </c>
      <c r="BL44" s="323">
        <f t="shared" si="62"/>
        <v>0.128</v>
      </c>
      <c r="BM44" s="323">
        <f t="shared" si="62"/>
        <v>0.13500000000000001</v>
      </c>
      <c r="BN44" s="323">
        <f t="shared" si="62"/>
        <v>0.13500000000000001</v>
      </c>
      <c r="BO44" s="323">
        <f t="shared" si="62"/>
        <v>0.13500000000000001</v>
      </c>
      <c r="BP44" s="323">
        <f t="shared" si="62"/>
        <v>0.13</v>
      </c>
      <c r="BQ44" s="323">
        <f t="shared" si="62"/>
        <v>0.13</v>
      </c>
      <c r="BR44" s="323">
        <f t="shared" si="62"/>
        <v>0.13</v>
      </c>
      <c r="BS44" s="323">
        <f t="shared" si="62"/>
        <v>0.13000000000000003</v>
      </c>
      <c r="BT44" s="323">
        <f t="shared" si="62"/>
        <v>0.12</v>
      </c>
      <c r="BU44" s="323">
        <f t="shared" si="62"/>
        <v>0.11999999999999998</v>
      </c>
      <c r="BV44" s="323">
        <f t="shared" si="62"/>
        <v>0.12000000000000001</v>
      </c>
      <c r="BW44" s="323">
        <f t="shared" si="62"/>
        <v>0.12</v>
      </c>
      <c r="BX44" s="323">
        <f t="shared" ca="1" si="62"/>
        <v>0.11500000000000002</v>
      </c>
      <c r="BY44" s="323">
        <f t="shared" ca="1" si="62"/>
        <v>0.115</v>
      </c>
      <c r="BZ44" s="323">
        <f t="shared" ca="1" si="62"/>
        <v>0.115</v>
      </c>
      <c r="CA44" s="323">
        <f t="shared" ca="1" si="62"/>
        <v>0.11499999999999999</v>
      </c>
      <c r="CB44" s="323">
        <f t="shared" ref="CB44:CE46" ca="1" si="63">CB25/CB8</f>
        <v>0.10000000000000002</v>
      </c>
      <c r="CC44" s="323">
        <f t="shared" ca="1" si="63"/>
        <v>0.1</v>
      </c>
      <c r="CD44" s="323">
        <f t="shared" ca="1" si="63"/>
        <v>0.1</v>
      </c>
      <c r="CE44" s="323">
        <f t="shared" ca="1" si="63"/>
        <v>0.1</v>
      </c>
      <c r="CF44" s="117"/>
      <c r="CG44" s="5"/>
      <c r="CH44" s="5"/>
      <c r="CI44" s="12"/>
      <c r="CP44" s="12"/>
      <c r="CQ44" s="12"/>
      <c r="CR44" s="12"/>
    </row>
    <row r="45" spans="2:96" outlineLevel="1">
      <c r="B45" s="12" t="s">
        <v>534</v>
      </c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>
        <f>M26/M9/1000</f>
        <v>4.1750000000000002E-2</v>
      </c>
      <c r="N45" s="323">
        <f t="shared" ref="N45:AD45" si="64">N26/N9</f>
        <v>4.0500000000000001E-2</v>
      </c>
      <c r="O45" s="323">
        <f t="shared" si="64"/>
        <v>0.04</v>
      </c>
      <c r="P45" s="323">
        <f t="shared" si="64"/>
        <v>4.0000000000000008E-2</v>
      </c>
      <c r="Q45" s="323">
        <f t="shared" si="64"/>
        <v>0.04</v>
      </c>
      <c r="R45" s="323">
        <f t="shared" si="64"/>
        <v>0.04</v>
      </c>
      <c r="S45" s="323">
        <f t="shared" si="64"/>
        <v>3.5000000000000003E-2</v>
      </c>
      <c r="T45" s="323">
        <f t="shared" si="64"/>
        <v>2.8000000000000004E-2</v>
      </c>
      <c r="U45" s="323">
        <f t="shared" ca="1" si="64"/>
        <v>2.1000000000000005E-2</v>
      </c>
      <c r="V45" s="323">
        <f t="shared" ca="1" si="64"/>
        <v>2.1999999999999999E-2</v>
      </c>
      <c r="W45" s="323">
        <f t="shared" ca="1" si="64"/>
        <v>2.3E-2</v>
      </c>
      <c r="X45" s="323">
        <f t="shared" ca="1" si="64"/>
        <v>2.4E-2</v>
      </c>
      <c r="Y45" s="323">
        <f t="shared" ca="1" si="64"/>
        <v>2.5000000000000001E-2</v>
      </c>
      <c r="Z45" s="323">
        <f t="shared" ca="1" si="64"/>
        <v>2.5000000000000001E-2</v>
      </c>
      <c r="AA45" s="323">
        <f t="shared" ca="1" si="64"/>
        <v>2.5000000000000005E-2</v>
      </c>
      <c r="AB45" s="323">
        <f t="shared" ca="1" si="64"/>
        <v>2.5000000000000001E-2</v>
      </c>
      <c r="AC45" s="323">
        <f t="shared" ca="1" si="64"/>
        <v>2.4999999999999998E-2</v>
      </c>
      <c r="AD45" s="323">
        <f t="shared" ca="1" si="64"/>
        <v>2.5000000000000001E-2</v>
      </c>
      <c r="AE45" s="323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323">
        <f t="shared" ref="AZ45:CA45" si="65">AZ26/AZ9</f>
        <v>0.04</v>
      </c>
      <c r="BA45" s="323">
        <f t="shared" si="65"/>
        <v>4.0000000000000008E-2</v>
      </c>
      <c r="BB45" s="323">
        <f t="shared" si="65"/>
        <v>0.04</v>
      </c>
      <c r="BC45" s="323">
        <f t="shared" si="65"/>
        <v>0.04</v>
      </c>
      <c r="BD45" s="323">
        <f t="shared" si="65"/>
        <v>3.9999999999999994E-2</v>
      </c>
      <c r="BE45" s="323">
        <f t="shared" si="65"/>
        <v>0.04</v>
      </c>
      <c r="BF45" s="323">
        <f t="shared" si="65"/>
        <v>0.04</v>
      </c>
      <c r="BG45" s="323">
        <f t="shared" si="65"/>
        <v>0.04</v>
      </c>
      <c r="BH45" s="323">
        <f t="shared" si="65"/>
        <v>0.04</v>
      </c>
      <c r="BI45" s="323">
        <f t="shared" si="65"/>
        <v>0.04</v>
      </c>
      <c r="BJ45" s="323">
        <f t="shared" si="65"/>
        <v>0.04</v>
      </c>
      <c r="BK45" s="323">
        <f t="shared" si="65"/>
        <v>0.04</v>
      </c>
      <c r="BL45" s="323">
        <f t="shared" si="65"/>
        <v>0.04</v>
      </c>
      <c r="BM45" s="323">
        <f t="shared" si="65"/>
        <v>0.04</v>
      </c>
      <c r="BN45" s="323">
        <f t="shared" si="65"/>
        <v>0.04</v>
      </c>
      <c r="BO45" s="323">
        <f t="shared" si="65"/>
        <v>0.04</v>
      </c>
      <c r="BP45" s="323">
        <f t="shared" si="65"/>
        <v>3.5000000000000003E-2</v>
      </c>
      <c r="BQ45" s="323">
        <f t="shared" si="65"/>
        <v>3.5000000000000003E-2</v>
      </c>
      <c r="BR45" s="323">
        <f t="shared" si="65"/>
        <v>3.5000000000000003E-2</v>
      </c>
      <c r="BS45" s="323">
        <f t="shared" si="65"/>
        <v>3.5000000000000003E-2</v>
      </c>
      <c r="BT45" s="323">
        <f t="shared" si="65"/>
        <v>2.8000000000000004E-2</v>
      </c>
      <c r="BU45" s="323">
        <f t="shared" si="65"/>
        <v>2.7999999999999997E-2</v>
      </c>
      <c r="BV45" s="323">
        <f t="shared" si="65"/>
        <v>2.8000000000000001E-2</v>
      </c>
      <c r="BW45" s="323">
        <f t="shared" si="65"/>
        <v>2.8000000000000001E-2</v>
      </c>
      <c r="BX45" s="323">
        <f t="shared" ca="1" si="65"/>
        <v>2.0999999999999998E-2</v>
      </c>
      <c r="BY45" s="323">
        <f t="shared" ca="1" si="65"/>
        <v>2.1000000000000005E-2</v>
      </c>
      <c r="BZ45" s="323">
        <f t="shared" ca="1" si="65"/>
        <v>2.1000000000000001E-2</v>
      </c>
      <c r="CA45" s="323">
        <f t="shared" ca="1" si="65"/>
        <v>2.1000000000000005E-2</v>
      </c>
      <c r="CB45" s="323">
        <f t="shared" ca="1" si="63"/>
        <v>2.1999999999999999E-2</v>
      </c>
      <c r="CC45" s="323">
        <f t="shared" ca="1" si="63"/>
        <v>2.1999999999999999E-2</v>
      </c>
      <c r="CD45" s="323">
        <f t="shared" ca="1" si="63"/>
        <v>2.1999999999999995E-2</v>
      </c>
      <c r="CE45" s="323">
        <f t="shared" ca="1" si="63"/>
        <v>2.1999999999999999E-2</v>
      </c>
      <c r="CF45" s="117"/>
      <c r="CG45" s="5"/>
      <c r="CH45" s="5"/>
      <c r="CI45" s="12"/>
      <c r="CP45" s="12"/>
      <c r="CQ45" s="12"/>
      <c r="CR45" s="12"/>
    </row>
    <row r="46" spans="2:96" outlineLevel="1">
      <c r="B46" s="12" t="s">
        <v>119</v>
      </c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>
        <f>M27/M10</f>
        <v>0.12</v>
      </c>
      <c r="N46" s="323">
        <f t="shared" ref="N46:AD46" si="66">N27/N10</f>
        <v>0.11999999999999998</v>
      </c>
      <c r="O46" s="323">
        <f t="shared" si="66"/>
        <v>0.12</v>
      </c>
      <c r="P46" s="323">
        <f t="shared" si="66"/>
        <v>0.12</v>
      </c>
      <c r="Q46" s="323">
        <f t="shared" si="66"/>
        <v>0.1</v>
      </c>
      <c r="R46" s="323">
        <f t="shared" si="66"/>
        <v>0.09</v>
      </c>
      <c r="S46" s="323">
        <f t="shared" si="66"/>
        <v>0.08</v>
      </c>
      <c r="T46" s="323">
        <f t="shared" si="66"/>
        <v>7.0000000000000007E-2</v>
      </c>
      <c r="U46" s="323">
        <f t="shared" ca="1" si="66"/>
        <v>7.0000000000000007E-2</v>
      </c>
      <c r="V46" s="323">
        <f t="shared" ca="1" si="66"/>
        <v>7.0000000000000007E-2</v>
      </c>
      <c r="W46" s="323">
        <f t="shared" ca="1" si="66"/>
        <v>7.0000000000000007E-2</v>
      </c>
      <c r="X46" s="323">
        <f t="shared" ca="1" si="66"/>
        <v>7.0000000000000007E-2</v>
      </c>
      <c r="Y46" s="323">
        <f t="shared" ca="1" si="66"/>
        <v>7.0000000000000007E-2</v>
      </c>
      <c r="Z46" s="323">
        <f t="shared" ca="1" si="66"/>
        <v>7.0000000000000007E-2</v>
      </c>
      <c r="AA46" s="323">
        <f t="shared" ca="1" si="66"/>
        <v>7.0000000000000007E-2</v>
      </c>
      <c r="AB46" s="323">
        <f t="shared" ca="1" si="66"/>
        <v>7.0000000000000007E-2</v>
      </c>
      <c r="AC46" s="323">
        <f t="shared" ca="1" si="66"/>
        <v>7.0000000000000007E-2</v>
      </c>
      <c r="AD46" s="323">
        <f t="shared" ca="1" si="66"/>
        <v>7.0000000000000007E-2</v>
      </c>
      <c r="AE46" s="323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323">
        <f t="shared" ref="AZ46:CA46" si="67">AZ27/AZ10</f>
        <v>0.12000000000000001</v>
      </c>
      <c r="BA46" s="323">
        <f t="shared" si="67"/>
        <v>0.12000000000000001</v>
      </c>
      <c r="BB46" s="323">
        <f t="shared" si="67"/>
        <v>0.12</v>
      </c>
      <c r="BC46" s="323">
        <f t="shared" si="67"/>
        <v>0.11999999999999998</v>
      </c>
      <c r="BD46" s="323">
        <f t="shared" si="67"/>
        <v>0.12</v>
      </c>
      <c r="BE46" s="323">
        <f t="shared" si="67"/>
        <v>0.11999999999999998</v>
      </c>
      <c r="BF46" s="323">
        <f t="shared" si="67"/>
        <v>0.11999999999999998</v>
      </c>
      <c r="BG46" s="323">
        <f t="shared" si="67"/>
        <v>0.12</v>
      </c>
      <c r="BH46" s="323">
        <f t="shared" si="67"/>
        <v>0.1</v>
      </c>
      <c r="BI46" s="323">
        <f t="shared" si="67"/>
        <v>0.1</v>
      </c>
      <c r="BJ46" s="323">
        <f t="shared" si="67"/>
        <v>0.1</v>
      </c>
      <c r="BK46" s="323">
        <f t="shared" si="67"/>
        <v>9.9999999999999992E-2</v>
      </c>
      <c r="BL46" s="323">
        <f t="shared" si="67"/>
        <v>0.09</v>
      </c>
      <c r="BM46" s="323">
        <f t="shared" si="67"/>
        <v>0.09</v>
      </c>
      <c r="BN46" s="323">
        <f t="shared" si="67"/>
        <v>0.09</v>
      </c>
      <c r="BO46" s="323">
        <f t="shared" si="67"/>
        <v>0.09</v>
      </c>
      <c r="BP46" s="323">
        <f t="shared" si="67"/>
        <v>0.08</v>
      </c>
      <c r="BQ46" s="323">
        <f t="shared" si="67"/>
        <v>0.08</v>
      </c>
      <c r="BR46" s="323">
        <f t="shared" si="67"/>
        <v>7.9999999999999988E-2</v>
      </c>
      <c r="BS46" s="323">
        <f t="shared" si="67"/>
        <v>0.08</v>
      </c>
      <c r="BT46" s="323">
        <f t="shared" si="67"/>
        <v>7.0000000000000007E-2</v>
      </c>
      <c r="BU46" s="323">
        <f t="shared" si="67"/>
        <v>7.0000000000000007E-2</v>
      </c>
      <c r="BV46" s="323">
        <f t="shared" si="67"/>
        <v>7.0000000000000007E-2</v>
      </c>
      <c r="BW46" s="323">
        <f t="shared" si="67"/>
        <v>7.0000000000000007E-2</v>
      </c>
      <c r="BX46" s="323">
        <f t="shared" ca="1" si="67"/>
        <v>7.0000000000000007E-2</v>
      </c>
      <c r="BY46" s="323">
        <f t="shared" ca="1" si="67"/>
        <v>7.0000000000000007E-2</v>
      </c>
      <c r="BZ46" s="323">
        <f t="shared" ca="1" si="67"/>
        <v>7.0000000000000007E-2</v>
      </c>
      <c r="CA46" s="323">
        <f t="shared" ca="1" si="67"/>
        <v>6.9999999999999965E-2</v>
      </c>
      <c r="CB46" s="323">
        <f t="shared" ca="1" si="63"/>
        <v>7.0000000000000007E-2</v>
      </c>
      <c r="CC46" s="323">
        <f t="shared" ca="1" si="63"/>
        <v>7.0000000000000007E-2</v>
      </c>
      <c r="CD46" s="323">
        <f t="shared" ca="1" si="63"/>
        <v>7.0000000000000007E-2</v>
      </c>
      <c r="CE46" s="323">
        <f t="shared" ca="1" si="63"/>
        <v>7.0000000000000048E-2</v>
      </c>
      <c r="CF46" s="117"/>
      <c r="CG46" s="5"/>
      <c r="CH46" s="5"/>
      <c r="CI46" s="12"/>
      <c r="CP46" s="12"/>
      <c r="CQ46" s="12"/>
      <c r="CR46" s="12"/>
    </row>
    <row r="47" spans="2:96" outlineLevel="1">
      <c r="B47" s="12" t="s">
        <v>594</v>
      </c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M47" s="323">
        <f>M29/M11</f>
        <v>0.95635905228175466</v>
      </c>
      <c r="N47" s="323">
        <f t="shared" ref="N47:AB47" si="68">N29/N11</f>
        <v>7.4357988920612919E-2</v>
      </c>
      <c r="O47" s="323">
        <f t="shared" si="68"/>
        <v>7.3253048640349497E-2</v>
      </c>
      <c r="P47" s="323">
        <f t="shared" si="68"/>
        <v>7.3480874245234112E-2</v>
      </c>
      <c r="Q47" s="323">
        <f t="shared" si="68"/>
        <v>7.2080849296535063E-2</v>
      </c>
      <c r="R47" s="323">
        <f t="shared" si="68"/>
        <v>6.9784848630550289E-2</v>
      </c>
      <c r="S47" s="157">
        <f t="shared" si="68"/>
        <v>5.8681591141087654E-2</v>
      </c>
      <c r="T47" s="323">
        <f t="shared" si="68"/>
        <v>4.8333251549758094E-2</v>
      </c>
      <c r="U47" s="323">
        <f t="shared" ca="1" si="68"/>
        <v>4.0108531098814834E-2</v>
      </c>
      <c r="V47" s="323">
        <f t="shared" ca="1" si="68"/>
        <v>4.0625623291330092E-2</v>
      </c>
      <c r="W47" s="323">
        <f t="shared" ca="1" si="68"/>
        <v>4.0282965404623443E-2</v>
      </c>
      <c r="X47" s="323">
        <f t="shared" ca="1" si="68"/>
        <v>4.0474222377596285E-2</v>
      </c>
      <c r="Y47" s="323">
        <f t="shared" ca="1" si="68"/>
        <v>4.0622814844281548E-2</v>
      </c>
      <c r="Z47" s="323">
        <f t="shared" ca="1" si="68"/>
        <v>3.9992586191734791E-2</v>
      </c>
      <c r="AA47" s="323">
        <f t="shared" ca="1" si="68"/>
        <v>3.9357207730175377E-2</v>
      </c>
      <c r="AB47" s="323">
        <f t="shared" ca="1" si="68"/>
        <v>3.8753294631307743E-2</v>
      </c>
      <c r="AC47" s="323">
        <f ca="1">AC29/AC11</f>
        <v>3.81813035779692E-2</v>
      </c>
      <c r="AD47" s="323">
        <f ca="1">AD29/AD11</f>
        <v>3.7581500972816741E-2</v>
      </c>
      <c r="AE47" s="323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323">
        <f>AZ29/AZ11</f>
        <v>7.4334504398134951E-2</v>
      </c>
      <c r="BA47" s="323">
        <f t="shared" ref="BA47:BW47" si="69">BA29/BA11</f>
        <v>7.3057843634297473E-2</v>
      </c>
      <c r="BB47" s="323">
        <f t="shared" si="69"/>
        <v>7.3091951595941382E-2</v>
      </c>
      <c r="BC47" s="323">
        <f t="shared" si="69"/>
        <v>7.3388290873272172E-2</v>
      </c>
      <c r="BD47" s="323">
        <f t="shared" si="69"/>
        <v>7.4042108633779691E-2</v>
      </c>
      <c r="BE47" s="323">
        <f t="shared" si="69"/>
        <v>7.23024467619129E-2</v>
      </c>
      <c r="BF47" s="323">
        <f t="shared" si="69"/>
        <v>7.4123923629901098E-2</v>
      </c>
      <c r="BG47" s="323">
        <f t="shared" si="69"/>
        <v>7.3899259067666298E-2</v>
      </c>
      <c r="BH47" s="323">
        <f t="shared" si="69"/>
        <v>7.1019690697547072E-2</v>
      </c>
      <c r="BI47" s="323">
        <f t="shared" si="69"/>
        <v>7.1172521281108708E-2</v>
      </c>
      <c r="BJ47" s="323">
        <f t="shared" si="69"/>
        <v>7.4424593708744075E-2</v>
      </c>
      <c r="BK47" s="323">
        <f t="shared" si="69"/>
        <v>7.1510217361034537E-2</v>
      </c>
      <c r="BL47" s="323">
        <f t="shared" si="69"/>
        <v>6.8762471869615344E-2</v>
      </c>
      <c r="BM47" s="323">
        <f t="shared" si="69"/>
        <v>6.9860369996651975E-2</v>
      </c>
      <c r="BN47" s="323">
        <f t="shared" si="69"/>
        <v>7.1419549261178217E-2</v>
      </c>
      <c r="BO47" s="323">
        <f t="shared" si="69"/>
        <v>6.9249773395884173E-2</v>
      </c>
      <c r="BP47" s="323">
        <f t="shared" si="69"/>
        <v>5.8610187296670682E-2</v>
      </c>
      <c r="BQ47" s="323">
        <f t="shared" si="69"/>
        <v>5.9126447723543259E-2</v>
      </c>
      <c r="BR47" s="323">
        <f t="shared" si="69"/>
        <v>5.9370326419088328E-2</v>
      </c>
      <c r="BS47" s="323">
        <f t="shared" si="69"/>
        <v>5.7581008542785965E-2</v>
      </c>
      <c r="BT47" s="323">
        <f>BT29/BT11</f>
        <v>4.7190758074622863E-2</v>
      </c>
      <c r="BU47" s="157">
        <f t="shared" si="69"/>
        <v>4.7907586239363011E-2</v>
      </c>
      <c r="BV47" s="323">
        <f t="shared" si="69"/>
        <v>4.9515201109800337E-2</v>
      </c>
      <c r="BW47" s="323">
        <f t="shared" si="69"/>
        <v>4.8429751574137897E-2</v>
      </c>
      <c r="BX47" s="323">
        <f t="shared" ref="BX47:CE47" ca="1" si="70">BX29/BX11</f>
        <v>3.978618223455764E-2</v>
      </c>
      <c r="BY47" s="323">
        <f t="shared" ca="1" si="70"/>
        <v>4.1103994137985968E-2</v>
      </c>
      <c r="BZ47" s="323">
        <f t="shared" ca="1" si="70"/>
        <v>4.0228763540593439E-2</v>
      </c>
      <c r="CA47" s="323">
        <f t="shared" ca="1" si="70"/>
        <v>3.9377843148072168E-2</v>
      </c>
      <c r="CB47" s="323">
        <f t="shared" ca="1" si="70"/>
        <v>3.9620012794600146E-2</v>
      </c>
      <c r="CC47" s="323">
        <f t="shared" ca="1" si="70"/>
        <v>4.0538072171168414E-2</v>
      </c>
      <c r="CD47" s="323">
        <f t="shared" ca="1" si="70"/>
        <v>4.0114830660815698E-2</v>
      </c>
      <c r="CE47" s="323">
        <f t="shared" ca="1" si="70"/>
        <v>4.0015846593785813E-2</v>
      </c>
      <c r="CF47" s="117"/>
      <c r="CG47" s="5"/>
      <c r="CH47" s="5"/>
      <c r="CI47" s="12"/>
      <c r="CP47" s="12"/>
      <c r="CQ47" s="12"/>
      <c r="CR47" s="12"/>
    </row>
    <row r="48" spans="2:96" outlineLevel="1">
      <c r="B48" s="12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5"/>
      <c r="BT48" s="6"/>
      <c r="BU48" s="6"/>
      <c r="BV48" s="6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12"/>
      <c r="CP48" s="12"/>
      <c r="CQ48" s="12"/>
      <c r="CR48" s="12"/>
    </row>
    <row r="49" spans="1:96">
      <c r="B49" s="12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5"/>
      <c r="BT49" s="5"/>
      <c r="BU49" s="6"/>
      <c r="BV49" s="6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12"/>
      <c r="CP49" s="12"/>
      <c r="CQ49" s="12"/>
      <c r="CR49" s="12"/>
    </row>
    <row r="50" spans="1:96" s="9" customFormat="1" ht="15.75" thickBot="1">
      <c r="A50" s="3"/>
      <c r="B50" s="479" t="s">
        <v>593</v>
      </c>
      <c r="C50" s="482"/>
      <c r="D50" s="482"/>
      <c r="E50" s="482"/>
      <c r="F50" s="482"/>
      <c r="G50" s="482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1"/>
      <c r="T50" s="481"/>
      <c r="U50" s="481"/>
      <c r="V50" s="481"/>
      <c r="W50" s="483"/>
      <c r="X50" s="483"/>
      <c r="Y50" s="483"/>
      <c r="Z50" s="483"/>
      <c r="AA50" s="484"/>
      <c r="AB50" s="484"/>
      <c r="AC50" s="484"/>
      <c r="AD50" s="484"/>
      <c r="AE50" s="484"/>
      <c r="AF50" s="480"/>
      <c r="AG50" s="480"/>
      <c r="AH50" s="480"/>
      <c r="AI50" s="480"/>
      <c r="AJ50" s="480"/>
      <c r="AK50" s="480"/>
      <c r="AL50" s="480"/>
      <c r="AM50" s="480"/>
      <c r="AN50" s="480"/>
      <c r="AO50" s="480"/>
      <c r="AP50" s="480"/>
      <c r="AQ50" s="480"/>
      <c r="AR50" s="480"/>
      <c r="AS50" s="480"/>
      <c r="AT50" s="480"/>
      <c r="AU50" s="480"/>
      <c r="AV50" s="480"/>
      <c r="AW50" s="480"/>
      <c r="AX50" s="480"/>
      <c r="AY50" s="480"/>
      <c r="AZ50" s="480"/>
      <c r="BA50" s="480"/>
      <c r="BB50" s="480"/>
      <c r="BC50" s="480"/>
      <c r="BD50" s="480"/>
      <c r="BE50" s="480"/>
      <c r="BF50" s="480"/>
      <c r="BG50" s="480"/>
      <c r="BH50" s="480"/>
      <c r="BI50" s="480"/>
      <c r="BJ50" s="480"/>
      <c r="BK50" s="480"/>
      <c r="BL50" s="480"/>
      <c r="BM50" s="480"/>
      <c r="BN50" s="480"/>
      <c r="BO50" s="480"/>
      <c r="BP50" s="480"/>
      <c r="BQ50" s="481"/>
      <c r="BR50" s="481"/>
      <c r="BS50" s="481"/>
      <c r="BT50" s="480"/>
      <c r="BU50" s="481"/>
      <c r="BV50" s="481"/>
      <c r="BW50" s="481"/>
      <c r="BX50" s="481"/>
      <c r="BY50" s="481"/>
      <c r="BZ50" s="481"/>
      <c r="CA50" s="481"/>
      <c r="CB50" s="481"/>
      <c r="CC50" s="481"/>
      <c r="CD50" s="481"/>
      <c r="CE50" s="481"/>
      <c r="CF50" s="460"/>
      <c r="CG50" s="5"/>
      <c r="CH50" s="5"/>
      <c r="CI50" s="193"/>
      <c r="CJ50"/>
      <c r="CK50"/>
      <c r="CL50"/>
      <c r="CM50"/>
      <c r="CN50"/>
      <c r="CO50"/>
      <c r="CP50" s="194"/>
      <c r="CQ50" s="194"/>
      <c r="CR50" s="194"/>
    </row>
    <row r="51" spans="1:96" ht="15.75" outlineLevel="1" thickTop="1">
      <c r="A51" s="3" t="s">
        <v>477</v>
      </c>
      <c r="B51" s="517" t="s">
        <v>760</v>
      </c>
      <c r="C51" s="518">
        <f t="shared" ref="C51:R51" si="71">Rev_Gross</f>
        <v>6.9084459999999996</v>
      </c>
      <c r="D51" s="518">
        <f t="shared" si="71"/>
        <v>46.382268000000003</v>
      </c>
      <c r="E51" s="518">
        <f t="shared" si="71"/>
        <v>105.31268899999999</v>
      </c>
      <c r="F51" s="518">
        <f t="shared" si="71"/>
        <v>182.67881799999995</v>
      </c>
      <c r="G51" s="518">
        <f t="shared" si="71"/>
        <v>354.02907299999998</v>
      </c>
      <c r="H51" s="518">
        <f t="shared" si="71"/>
        <v>556.21439999999996</v>
      </c>
      <c r="I51" s="518">
        <f t="shared" si="71"/>
        <v>834.02663899999993</v>
      </c>
      <c r="J51" s="518">
        <f t="shared" si="71"/>
        <v>1287.2782280000001</v>
      </c>
      <c r="K51" s="518">
        <f t="shared" si="71"/>
        <v>1588.1583900000003</v>
      </c>
      <c r="L51" s="518">
        <f t="shared" si="71"/>
        <v>2122.5617960000004</v>
      </c>
      <c r="M51" s="518">
        <f t="shared" si="71"/>
        <v>3066.7130209999996</v>
      </c>
      <c r="N51" s="556">
        <f t="shared" si="71"/>
        <v>3726.3041920000001</v>
      </c>
      <c r="O51" s="556">
        <f t="shared" si="71"/>
        <v>4409.192258</v>
      </c>
      <c r="P51" s="556">
        <f t="shared" si="71"/>
        <v>5717.0170619999999</v>
      </c>
      <c r="Q51" s="556">
        <f t="shared" si="71"/>
        <v>7772.5571070000005</v>
      </c>
      <c r="R51" s="556">
        <f t="shared" si="71"/>
        <v>11496.946408000002</v>
      </c>
      <c r="S51" s="557">
        <f>Rev_Gross</f>
        <v>19788.086638000001</v>
      </c>
      <c r="T51" s="557">
        <f>Rev_Gross</f>
        <v>26976.985464000001</v>
      </c>
      <c r="U51" s="519">
        <f t="shared" ref="U51:AD51" ca="1" si="72">+VLOOKUP($A51,INDIRECT($T$2),MATCH(U$4,Period_A_CTRP,FALSE),FALSE)</f>
        <v>32081.714286594601</v>
      </c>
      <c r="V51" s="519">
        <f t="shared" ca="1" si="72"/>
        <v>40320.75421913949</v>
      </c>
      <c r="W51" s="519">
        <f t="shared" ca="1" si="72"/>
        <v>49274.974430367263</v>
      </c>
      <c r="X51" s="519">
        <f t="shared" ca="1" si="72"/>
        <v>59328.661792231309</v>
      </c>
      <c r="Y51" s="519">
        <f t="shared" ca="1" si="72"/>
        <v>70809.735636213503</v>
      </c>
      <c r="Z51" s="519">
        <f t="shared" ca="1" si="72"/>
        <v>81977.124344715412</v>
      </c>
      <c r="AA51" s="519">
        <f t="shared" ca="1" si="72"/>
        <v>94062.888605265674</v>
      </c>
      <c r="AB51" s="519">
        <f t="shared" ca="1" si="72"/>
        <v>107086.58752230329</v>
      </c>
      <c r="AC51" s="519">
        <f t="shared" ca="1" si="72"/>
        <v>120972.72437026131</v>
      </c>
      <c r="AD51" s="519">
        <f t="shared" ca="1" si="72"/>
        <v>135239.49576495658</v>
      </c>
      <c r="AE51" s="519"/>
      <c r="AF51" s="518">
        <f t="shared" ref="AF51:BW51" si="73">Rev_Gross</f>
        <v>249.18135699999999</v>
      </c>
      <c r="AG51" s="518">
        <f t="shared" si="73"/>
        <v>309.17787899999996</v>
      </c>
      <c r="AH51" s="518">
        <f t="shared" si="73"/>
        <v>345.83093499999995</v>
      </c>
      <c r="AI51" s="518">
        <f t="shared" si="73"/>
        <v>383.08805699999999</v>
      </c>
      <c r="AJ51" s="518">
        <f t="shared" si="73"/>
        <v>366.662037</v>
      </c>
      <c r="AK51" s="518">
        <f t="shared" si="73"/>
        <v>401.88525500000003</v>
      </c>
      <c r="AL51" s="518">
        <f t="shared" si="73"/>
        <v>397.04645199999999</v>
      </c>
      <c r="AM51" s="518">
        <f t="shared" si="73"/>
        <v>422.74505199999999</v>
      </c>
      <c r="AN51" s="518">
        <f t="shared" si="73"/>
        <v>428.601091</v>
      </c>
      <c r="AO51" s="518">
        <f t="shared" si="73"/>
        <v>507.65861000000001</v>
      </c>
      <c r="AP51" s="518">
        <f t="shared" si="73"/>
        <v>583.3999050000001</v>
      </c>
      <c r="AQ51" s="518">
        <f t="shared" si="73"/>
        <v>602.90237000000002</v>
      </c>
      <c r="AR51" s="518">
        <f t="shared" si="73"/>
        <v>627.20509700000002</v>
      </c>
      <c r="AS51" s="518">
        <f t="shared" si="73"/>
        <v>741.64561200000003</v>
      </c>
      <c r="AT51" s="518">
        <f t="shared" si="73"/>
        <v>862.72482099999991</v>
      </c>
      <c r="AU51" s="518">
        <f t="shared" si="73"/>
        <v>835.13749100000007</v>
      </c>
      <c r="AV51" s="518">
        <f t="shared" si="73"/>
        <v>814.10721000000001</v>
      </c>
      <c r="AW51" s="518">
        <f t="shared" si="73"/>
        <v>886.38787200000002</v>
      </c>
      <c r="AX51" s="518">
        <f t="shared" si="73"/>
        <v>1039.213602</v>
      </c>
      <c r="AY51" s="518">
        <f t="shared" si="73"/>
        <v>986.595508</v>
      </c>
      <c r="AZ51" s="556">
        <f t="shared" si="73"/>
        <v>963.59899500000006</v>
      </c>
      <c r="BA51" s="556">
        <f t="shared" si="73"/>
        <v>1030.9516610000001</v>
      </c>
      <c r="BB51" s="556">
        <f t="shared" si="73"/>
        <v>1247.3475539999999</v>
      </c>
      <c r="BC51" s="556">
        <f t="shared" si="73"/>
        <v>1167.2940880000001</v>
      </c>
      <c r="BD51" s="556">
        <f t="shared" si="73"/>
        <v>1228.4082539999997</v>
      </c>
      <c r="BE51" s="556">
        <f t="shared" si="73"/>
        <v>1320.1503430000002</v>
      </c>
      <c r="BF51" s="556">
        <f t="shared" si="73"/>
        <v>1640.4862189999997</v>
      </c>
      <c r="BG51" s="556">
        <f t="shared" si="73"/>
        <v>1527.972246</v>
      </c>
      <c r="BH51" s="556">
        <f t="shared" si="73"/>
        <v>1673.1728130000001</v>
      </c>
      <c r="BI51" s="556">
        <f t="shared" si="73"/>
        <v>1819.5057940000002</v>
      </c>
      <c r="BJ51" s="556">
        <f t="shared" si="73"/>
        <v>2259.4716590000003</v>
      </c>
      <c r="BK51" s="556">
        <f t="shared" si="73"/>
        <v>2020.406841</v>
      </c>
      <c r="BL51" s="556">
        <f t="shared" si="73"/>
        <v>2443.3025599999996</v>
      </c>
      <c r="BM51" s="556">
        <f t="shared" si="73"/>
        <v>2665.4889140000005</v>
      </c>
      <c r="BN51" s="556">
        <f t="shared" si="73"/>
        <v>3355.7686240000003</v>
      </c>
      <c r="BO51" s="556">
        <f t="shared" si="73"/>
        <v>3032.3863099999999</v>
      </c>
      <c r="BP51" s="556">
        <f t="shared" si="73"/>
        <v>4399.1412899999996</v>
      </c>
      <c r="BQ51" s="556">
        <f t="shared" si="73"/>
        <v>4542.3922160000011</v>
      </c>
      <c r="BR51" s="556">
        <f t="shared" si="73"/>
        <v>5667.7947210000002</v>
      </c>
      <c r="BS51" s="556">
        <f t="shared" si="73"/>
        <v>5178.7584109999998</v>
      </c>
      <c r="BT51" s="556">
        <f t="shared" si="73"/>
        <v>6133.2704119999999</v>
      </c>
      <c r="BU51" s="556">
        <f t="shared" si="73"/>
        <v>6461.5633499999994</v>
      </c>
      <c r="BV51" s="556">
        <f t="shared" si="73"/>
        <v>7956.9508729999998</v>
      </c>
      <c r="BW51" s="556">
        <f t="shared" si="73"/>
        <v>6425.2008290000003</v>
      </c>
      <c r="BX51" s="520">
        <f t="shared" ref="BX51:CE51" ca="1" si="74">+VLOOKUP($A51,INDIRECT($T$2),MATCH(BX$4,Period_A_CTRP,FALSE),FALSE)</f>
        <v>6749.7899048821</v>
      </c>
      <c r="BY51" s="520">
        <f t="shared" ca="1" si="74"/>
        <v>7544.5447244709994</v>
      </c>
      <c r="BZ51" s="520">
        <f t="shared" ca="1" si="74"/>
        <v>9377.3833008679994</v>
      </c>
      <c r="CA51" s="520">
        <f t="shared" ca="1" si="74"/>
        <v>8409.9963563734982</v>
      </c>
      <c r="CB51" s="520">
        <f t="shared" ca="1" si="74"/>
        <v>9177.1915967315072</v>
      </c>
      <c r="CC51" s="520">
        <f t="shared" ca="1" si="74"/>
        <v>9852.2497890911018</v>
      </c>
      <c r="CD51" s="520">
        <f t="shared" ca="1" si="74"/>
        <v>11230.66353413145</v>
      </c>
      <c r="CE51" s="520">
        <f t="shared" ca="1" si="74"/>
        <v>10060.64929918543</v>
      </c>
      <c r="CF51" s="195"/>
      <c r="CG51" s="5"/>
      <c r="CH51" s="5"/>
    </row>
    <row r="52" spans="1:96" outlineLevel="1">
      <c r="B52" s="41" t="s">
        <v>82</v>
      </c>
      <c r="C52" s="41"/>
      <c r="D52" s="41">
        <f t="shared" ref="D52:N52" si="75">(D51/C51-1)</f>
        <v>5.7138496848640061</v>
      </c>
      <c r="E52" s="41">
        <f t="shared" si="75"/>
        <v>1.2705377192853091</v>
      </c>
      <c r="F52" s="41">
        <f t="shared" si="75"/>
        <v>0.73463254746063855</v>
      </c>
      <c r="G52" s="41">
        <f t="shared" si="75"/>
        <v>0.93798644460246106</v>
      </c>
      <c r="H52" s="41">
        <f t="shared" si="75"/>
        <v>0.57109808888492042</v>
      </c>
      <c r="I52" s="41">
        <f t="shared" si="75"/>
        <v>0.49946969909444983</v>
      </c>
      <c r="J52" s="41">
        <f t="shared" si="75"/>
        <v>0.54344977463004063</v>
      </c>
      <c r="K52" s="41">
        <f t="shared" si="75"/>
        <v>0.23373359034236696</v>
      </c>
      <c r="L52" s="41">
        <f t="shared" si="75"/>
        <v>0.33649251193390106</v>
      </c>
      <c r="M52" s="41">
        <f t="shared" si="75"/>
        <v>0.44481683726677179</v>
      </c>
      <c r="N52" s="41">
        <f t="shared" si="75"/>
        <v>0.21508082643641679</v>
      </c>
      <c r="O52" s="41">
        <f t="shared" ref="O52:AD52" si="76">(O51/N51-1)</f>
        <v>0.18326149203441089</v>
      </c>
      <c r="P52" s="41">
        <f t="shared" si="76"/>
        <v>0.29661324058325955</v>
      </c>
      <c r="Q52" s="41">
        <f t="shared" si="76"/>
        <v>0.35954764918628834</v>
      </c>
      <c r="R52" s="41">
        <f t="shared" si="76"/>
        <v>0.47917168696590196</v>
      </c>
      <c r="S52" s="41">
        <f t="shared" si="76"/>
        <v>0.72116020513331414</v>
      </c>
      <c r="T52" s="323">
        <f t="shared" si="76"/>
        <v>0.36329428698754618</v>
      </c>
      <c r="U52" s="41">
        <f t="shared" ca="1" si="76"/>
        <v>0.18922532428268202</v>
      </c>
      <c r="V52" s="41">
        <f t="shared" ca="1" si="76"/>
        <v>0.25681420446997705</v>
      </c>
      <c r="W52" s="41">
        <f t="shared" ca="1" si="76"/>
        <v>0.22207472019403296</v>
      </c>
      <c r="X52" s="41">
        <f t="shared" ca="1" si="76"/>
        <v>0.20403232022111695</v>
      </c>
      <c r="Y52" s="41">
        <f t="shared" ca="1" si="76"/>
        <v>0.19351648085690631</v>
      </c>
      <c r="Z52" s="41">
        <f t="shared" ca="1" si="76"/>
        <v>0.15770979241999439</v>
      </c>
      <c r="AA52" s="41">
        <f t="shared" ca="1" si="76"/>
        <v>0.14742849736628227</v>
      </c>
      <c r="AB52" s="41">
        <f t="shared" ca="1" si="76"/>
        <v>0.13845735667008374</v>
      </c>
      <c r="AC52" s="323">
        <f t="shared" ca="1" si="76"/>
        <v>0.12967204548436939</v>
      </c>
      <c r="AD52" s="323">
        <f t="shared" ca="1" si="76"/>
        <v>0.11793378605766502</v>
      </c>
      <c r="AE52" s="323"/>
      <c r="AF52" s="41"/>
      <c r="AG52" s="41"/>
      <c r="AH52" s="41"/>
      <c r="AI52" s="41"/>
      <c r="AJ52" s="41">
        <f t="shared" ref="AJ52:AY52" si="77">(AJ51/AF51-1)</f>
        <v>0.47146657123309588</v>
      </c>
      <c r="AK52" s="41">
        <f t="shared" si="77"/>
        <v>0.299851258116691</v>
      </c>
      <c r="AL52" s="41">
        <f t="shared" si="77"/>
        <v>0.14809408822839987</v>
      </c>
      <c r="AM52" s="41">
        <f t="shared" si="77"/>
        <v>0.10351926737303629</v>
      </c>
      <c r="AN52" s="41">
        <f t="shared" si="77"/>
        <v>0.16892682565880146</v>
      </c>
      <c r="AO52" s="41">
        <f t="shared" si="77"/>
        <v>0.26319292306456976</v>
      </c>
      <c r="AP52" s="41">
        <f t="shared" si="77"/>
        <v>0.46934924631942088</v>
      </c>
      <c r="AQ52" s="41">
        <f t="shared" si="77"/>
        <v>0.42616067804384383</v>
      </c>
      <c r="AR52" s="41">
        <f t="shared" si="77"/>
        <v>0.46337727591085387</v>
      </c>
      <c r="AS52" s="41">
        <f t="shared" si="77"/>
        <v>0.46091408161086833</v>
      </c>
      <c r="AT52" s="41">
        <f t="shared" si="77"/>
        <v>0.47878807248005928</v>
      </c>
      <c r="AU52" s="41">
        <f t="shared" si="77"/>
        <v>0.38519523650238763</v>
      </c>
      <c r="AV52" s="41">
        <f t="shared" si="77"/>
        <v>0.29799201870963099</v>
      </c>
      <c r="AW52" s="41">
        <f t="shared" si="77"/>
        <v>0.19516364373770467</v>
      </c>
      <c r="AX52" s="41">
        <f t="shared" si="77"/>
        <v>0.20457134964011914</v>
      </c>
      <c r="AY52" s="41">
        <f t="shared" si="77"/>
        <v>0.18135698448724047</v>
      </c>
      <c r="AZ52" s="41">
        <f>(AZ51/AV51-1)</f>
        <v>0.18362665649405074</v>
      </c>
      <c r="BA52" s="41">
        <f t="shared" ref="BA52:CA52" si="78">(BA51/AW51-1)</f>
        <v>0.16309314868423663</v>
      </c>
      <c r="BB52" s="41">
        <f t="shared" si="78"/>
        <v>0.20028024229036201</v>
      </c>
      <c r="BC52" s="41">
        <f t="shared" si="78"/>
        <v>0.18315366179429238</v>
      </c>
      <c r="BD52" s="41">
        <f t="shared" si="78"/>
        <v>0.27481271812658914</v>
      </c>
      <c r="BE52" s="41">
        <f t="shared" si="78"/>
        <v>0.28051623848152496</v>
      </c>
      <c r="BF52" s="41">
        <f t="shared" si="78"/>
        <v>0.31517972977080921</v>
      </c>
      <c r="BG52" s="41">
        <f t="shared" si="78"/>
        <v>0.30898653707565082</v>
      </c>
      <c r="BH52" s="41">
        <f t="shared" si="78"/>
        <v>0.3620657526125679</v>
      </c>
      <c r="BI52" s="41">
        <f t="shared" si="78"/>
        <v>0.37825650210810857</v>
      </c>
      <c r="BJ52" s="41">
        <f t="shared" si="78"/>
        <v>0.37731828090413289</v>
      </c>
      <c r="BK52" s="41">
        <f t="shared" si="78"/>
        <v>0.32227980337281603</v>
      </c>
      <c r="BL52" s="41">
        <f t="shared" si="78"/>
        <v>0.46028105466234304</v>
      </c>
      <c r="BM52" s="41">
        <f t="shared" si="78"/>
        <v>0.46495214403257923</v>
      </c>
      <c r="BN52" s="41">
        <f t="shared" si="78"/>
        <v>0.48520058246059183</v>
      </c>
      <c r="BO52" s="41">
        <f t="shared" si="78"/>
        <v>0.50087905488338214</v>
      </c>
      <c r="BP52" s="41">
        <f t="shared" si="78"/>
        <v>0.80048978052067365</v>
      </c>
      <c r="BQ52" s="41">
        <f t="shared" si="78"/>
        <v>0.70414973108381873</v>
      </c>
      <c r="BR52" s="41">
        <f t="shared" si="78"/>
        <v>0.68897065204814889</v>
      </c>
      <c r="BS52" s="41">
        <f t="shared" si="78"/>
        <v>0.70781618223306131</v>
      </c>
      <c r="BT52" s="41">
        <f>(BT51/BP51-1)</f>
        <v>0.3941971870605685</v>
      </c>
      <c r="BU52" s="41">
        <f t="shared" si="78"/>
        <v>0.42250229454866561</v>
      </c>
      <c r="BV52" s="323">
        <f t="shared" si="78"/>
        <v>0.40388833129724055</v>
      </c>
      <c r="BW52" s="323">
        <f t="shared" si="78"/>
        <v>0.2406836386405824</v>
      </c>
      <c r="BX52" s="323">
        <f t="shared" ca="1" si="78"/>
        <v>0.10052051376633475</v>
      </c>
      <c r="BY52" s="323">
        <f t="shared" ca="1" si="78"/>
        <v>0.16760361476158869</v>
      </c>
      <c r="BZ52" s="323">
        <f t="shared" ca="1" si="78"/>
        <v>0.1785146660497674</v>
      </c>
      <c r="CA52" s="323">
        <f t="shared" ca="1" si="78"/>
        <v>0.3089079361403253</v>
      </c>
      <c r="CB52" s="323">
        <f ca="1">(CB51/BX51-1)</f>
        <v>0.35962625889935862</v>
      </c>
      <c r="CC52" s="323">
        <f ca="1">(CC51/BY51-1)</f>
        <v>0.30587731253484107</v>
      </c>
      <c r="CD52" s="323">
        <f ca="1">(CD51/BZ51-1)</f>
        <v>0.19763298286974207</v>
      </c>
      <c r="CE52" s="323">
        <f ca="1">(CE51/CA51-1)</f>
        <v>0.19627272984024402</v>
      </c>
      <c r="CF52" s="117"/>
      <c r="CG52" s="5"/>
      <c r="CH52" s="5"/>
    </row>
    <row r="53" spans="1:96" outlineLevel="1">
      <c r="B53" s="126" t="s">
        <v>83</v>
      </c>
      <c r="C53" s="5"/>
      <c r="D53" s="5"/>
      <c r="E53" s="5"/>
      <c r="F53" s="5"/>
      <c r="G53" s="5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24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126"/>
      <c r="AG53" s="323">
        <f t="shared" ref="AG53:AY53" si="79">(AG51/AF51-1)</f>
        <v>0.2407745215064383</v>
      </c>
      <c r="AH53" s="323">
        <f t="shared" si="79"/>
        <v>0.11855005965675836</v>
      </c>
      <c r="AI53" s="323">
        <f t="shared" si="79"/>
        <v>0.10773218422464148</v>
      </c>
      <c r="AJ53" s="323">
        <f t="shared" si="79"/>
        <v>-4.2877922451129757E-2</v>
      </c>
      <c r="AK53" s="323">
        <f t="shared" si="79"/>
        <v>9.6064534763930398E-2</v>
      </c>
      <c r="AL53" s="323">
        <f t="shared" si="79"/>
        <v>-1.2040260098619582E-2</v>
      </c>
      <c r="AM53" s="323">
        <f t="shared" si="79"/>
        <v>6.4724416678580532E-2</v>
      </c>
      <c r="AN53" s="323">
        <f t="shared" si="79"/>
        <v>1.3852412872238595E-2</v>
      </c>
      <c r="AO53" s="323">
        <f t="shared" si="79"/>
        <v>0.18445477778776809</v>
      </c>
      <c r="AP53" s="323">
        <f t="shared" si="79"/>
        <v>0.149197302100323</v>
      </c>
      <c r="AQ53" s="323">
        <f t="shared" si="79"/>
        <v>3.3428982131904705E-2</v>
      </c>
      <c r="AR53" s="323">
        <f t="shared" si="79"/>
        <v>4.030955625535193E-2</v>
      </c>
      <c r="AS53" s="323">
        <f t="shared" si="79"/>
        <v>0.18246107301643955</v>
      </c>
      <c r="AT53" s="323">
        <f t="shared" si="79"/>
        <v>0.16325750067270661</v>
      </c>
      <c r="AU53" s="323">
        <f t="shared" si="79"/>
        <v>-3.1976974961753002E-2</v>
      </c>
      <c r="AV53" s="323">
        <f t="shared" si="79"/>
        <v>-2.5181818834187686E-2</v>
      </c>
      <c r="AW53" s="323">
        <f t="shared" si="79"/>
        <v>8.8785188378321722E-2</v>
      </c>
      <c r="AX53" s="323">
        <f t="shared" si="79"/>
        <v>0.1724140580298914</v>
      </c>
      <c r="AY53" s="323">
        <f t="shared" si="79"/>
        <v>-5.0632607097073068E-2</v>
      </c>
      <c r="AZ53" s="323">
        <f>(AZ51/AY51-1)</f>
        <v>-2.3308957737520841E-2</v>
      </c>
      <c r="BA53" s="323">
        <f t="shared" ref="BA53:CA53" si="80">(BA51/AZ51-1)</f>
        <v>6.9896986557151708E-2</v>
      </c>
      <c r="BB53" s="323">
        <f t="shared" si="80"/>
        <v>0.20989916519471019</v>
      </c>
      <c r="BC53" s="323">
        <f t="shared" si="80"/>
        <v>-6.417895777586935E-2</v>
      </c>
      <c r="BD53" s="323">
        <f t="shared" si="80"/>
        <v>5.2355414653654675E-2</v>
      </c>
      <c r="BE53" s="323">
        <f t="shared" si="80"/>
        <v>7.4683712602276797E-2</v>
      </c>
      <c r="BF53" s="323">
        <f t="shared" si="80"/>
        <v>0.24265105690314503</v>
      </c>
      <c r="BG53" s="323">
        <f t="shared" si="80"/>
        <v>-6.8585747138177999E-2</v>
      </c>
      <c r="BH53" s="323">
        <f t="shared" si="80"/>
        <v>9.5028275140542018E-2</v>
      </c>
      <c r="BI53" s="323">
        <f t="shared" si="80"/>
        <v>8.7458378395250724E-2</v>
      </c>
      <c r="BJ53" s="323">
        <f t="shared" si="80"/>
        <v>0.24180514645835749</v>
      </c>
      <c r="BK53" s="323">
        <f t="shared" si="80"/>
        <v>-0.10580562807581573</v>
      </c>
      <c r="BL53" s="323">
        <f t="shared" si="80"/>
        <v>0.20931215952064752</v>
      </c>
      <c r="BM53" s="323">
        <f t="shared" si="80"/>
        <v>9.0936897311645559E-2</v>
      </c>
      <c r="BN53" s="323">
        <f t="shared" si="80"/>
        <v>0.25896926690425537</v>
      </c>
      <c r="BO53" s="323">
        <f t="shared" si="80"/>
        <v>-9.6366093802538799E-2</v>
      </c>
      <c r="BP53" s="323">
        <f t="shared" si="80"/>
        <v>0.4507192818714445</v>
      </c>
      <c r="BQ53" s="323">
        <f t="shared" si="80"/>
        <v>3.2563383750741304E-2</v>
      </c>
      <c r="BR53" s="323">
        <f t="shared" si="80"/>
        <v>0.24775546705013962</v>
      </c>
      <c r="BS53" s="323">
        <f t="shared" si="80"/>
        <v>-8.6283349004869558E-2</v>
      </c>
      <c r="BT53" s="323">
        <f t="shared" si="80"/>
        <v>0.1843129038366722</v>
      </c>
      <c r="BU53" s="323">
        <f t="shared" si="80"/>
        <v>5.3526571624443742E-2</v>
      </c>
      <c r="BV53" s="323">
        <f t="shared" si="80"/>
        <v>0.23142813000510176</v>
      </c>
      <c r="BW53" s="323">
        <f t="shared" si="80"/>
        <v>-0.19250465014150397</v>
      </c>
      <c r="BX53" s="323">
        <f t="shared" ca="1" si="80"/>
        <v>5.0518121459655285E-2</v>
      </c>
      <c r="BY53" s="323">
        <f t="shared" ca="1" si="80"/>
        <v>0.11774511959461975</v>
      </c>
      <c r="BZ53" s="323">
        <f t="shared" ca="1" si="80"/>
        <v>0.24293561021013277</v>
      </c>
      <c r="CA53" s="323">
        <f t="shared" ca="1" si="80"/>
        <v>-0.1031617151028642</v>
      </c>
      <c r="CB53" s="323">
        <f ca="1">(CB51/CA51-1)</f>
        <v>9.1224206033881483E-2</v>
      </c>
      <c r="CC53" s="323">
        <f ca="1">(CC51/CB51-1)</f>
        <v>7.3558254204916018E-2</v>
      </c>
      <c r="CD53" s="323">
        <f ca="1">(CD51/CC51-1)</f>
        <v>0.13990852592537761</v>
      </c>
      <c r="CE53" s="323">
        <f ca="1">(CE51/CD51-1)</f>
        <v>-0.10418033016394757</v>
      </c>
      <c r="CF53" s="62"/>
      <c r="CG53" s="5"/>
      <c r="CH53" s="5"/>
    </row>
    <row r="54" spans="1:96" outlineLevel="1">
      <c r="B54" s="324" t="s">
        <v>756</v>
      </c>
      <c r="C54" s="5"/>
      <c r="D54" s="5"/>
      <c r="E54" s="5"/>
      <c r="F54" s="5"/>
      <c r="G54" s="5"/>
      <c r="H54" s="324"/>
      <c r="I54" s="324"/>
      <c r="J54" s="324"/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324"/>
      <c r="AG54" s="323"/>
      <c r="AH54" s="323"/>
      <c r="AI54" s="323"/>
      <c r="AJ54" s="323"/>
      <c r="AK54" s="323"/>
      <c r="AL54" s="323"/>
      <c r="AM54" s="323"/>
      <c r="AN54" s="323"/>
      <c r="AO54" s="323"/>
      <c r="AP54" s="323"/>
      <c r="AQ54" s="323"/>
      <c r="AR54" s="323"/>
      <c r="AS54" s="323"/>
      <c r="AT54" s="323"/>
      <c r="AU54" s="323"/>
      <c r="AV54" s="323"/>
      <c r="AW54" s="323"/>
      <c r="AX54" s="323"/>
      <c r="AY54" s="323"/>
      <c r="AZ54" s="323"/>
      <c r="BA54" s="323"/>
      <c r="BB54" s="323"/>
      <c r="BC54" s="323"/>
      <c r="BD54" s="323"/>
      <c r="BE54" s="323"/>
      <c r="BF54" s="323"/>
      <c r="BG54" s="323"/>
      <c r="BH54" s="323">
        <f>BH51/SUM($BH$51:$BK$51)</f>
        <v>0.21526671209570566</v>
      </c>
      <c r="BI54" s="323">
        <f>BI51/SUM($BH$51:$BK$51)</f>
        <v>0.23409358965807339</v>
      </c>
      <c r="BJ54" s="323">
        <f>BJ51/SUM($BH$51:$BK$51)</f>
        <v>0.29069862439030647</v>
      </c>
      <c r="BK54" s="323">
        <f>BK51/SUM($BH$51:$BK$51)</f>
        <v>0.25994107385591447</v>
      </c>
      <c r="BL54" s="323">
        <f>BL51/SUM($BL$51:$BO$51)</f>
        <v>0.21251752189606271</v>
      </c>
      <c r="BM54" s="323">
        <f>BM51/SUM($BL$51:$BO$51)</f>
        <v>0.23184320596165037</v>
      </c>
      <c r="BN54" s="323">
        <f>BN51/SUM($BL$51:$BO$51)</f>
        <v>0.29188347104627127</v>
      </c>
      <c r="BO54" s="323">
        <f>BO51/SUM($BL$51:$BO$51)</f>
        <v>0.26375580109601565</v>
      </c>
      <c r="BP54" s="323">
        <f>BP51/SUM($BP$51:$BS$51)</f>
        <v>0.22231261518494264</v>
      </c>
      <c r="BQ54" s="323">
        <f>BQ51/SUM($BP$51:$BS$51)</f>
        <v>0.22955186618584084</v>
      </c>
      <c r="BR54" s="323">
        <f>BR51/SUM($BP$51:$BS$51)</f>
        <v>0.28642459600494496</v>
      </c>
      <c r="BS54" s="323">
        <f>BS51/SUM($BP$51:$BS$51)</f>
        <v>0.26171092262427154</v>
      </c>
      <c r="BT54" s="323">
        <f>BT51/SUM($BT$51:$BW$51)</f>
        <v>0.22735195599169783</v>
      </c>
      <c r="BU54" s="323">
        <f>BU51/SUM($BT$51:$BW$51)</f>
        <v>0.23952132674804483</v>
      </c>
      <c r="BV54" s="323">
        <f>BV51/SUM($BT$51:$BW$51)</f>
        <v>0.29495329949368582</v>
      </c>
      <c r="BW54" s="323">
        <f>BW51/SUM($BT$51:$BW$51)</f>
        <v>0.23817341776657158</v>
      </c>
      <c r="BX54" s="323">
        <f t="shared" ref="BX54:CE54" ca="1" si="81">BX51/SUM($BX$51:$CA$51)</f>
        <v>0.21039367923373445</v>
      </c>
      <c r="BY54" s="323">
        <f t="shared" ca="1" si="81"/>
        <v>0.23516650815706255</v>
      </c>
      <c r="BZ54" s="323">
        <f t="shared" ca="1" si="81"/>
        <v>0.2922968273171847</v>
      </c>
      <c r="CA54" s="323">
        <f t="shared" ca="1" si="81"/>
        <v>0.26214298529201818</v>
      </c>
      <c r="CB54" s="323">
        <f t="shared" ca="1" si="81"/>
        <v>0.28605677099263405</v>
      </c>
      <c r="CC54" s="323">
        <f t="shared" ca="1" si="81"/>
        <v>0.30709860767034763</v>
      </c>
      <c r="CD54" s="323">
        <f t="shared" ca="1" si="81"/>
        <v>0.35006432118324182</v>
      </c>
      <c r="CE54" s="323">
        <f t="shared" ca="1" si="81"/>
        <v>0.31359450462375354</v>
      </c>
      <c r="CF54" s="62"/>
      <c r="CG54" s="5"/>
      <c r="CH54" s="5"/>
    </row>
    <row r="55" spans="1:96" outlineLevel="1">
      <c r="B55" s="324"/>
      <c r="C55" s="5"/>
      <c r="D55" s="5"/>
      <c r="E55" s="5"/>
      <c r="F55" s="5"/>
      <c r="G55" s="5"/>
      <c r="H55" s="324"/>
      <c r="I55" s="324"/>
      <c r="J55" s="324"/>
      <c r="K55" s="324"/>
      <c r="L55" s="324"/>
      <c r="M55" s="324"/>
      <c r="N55" s="324"/>
      <c r="O55" s="324"/>
      <c r="P55" s="324"/>
      <c r="Q55" s="324"/>
      <c r="R55" s="324"/>
      <c r="S55" s="324"/>
      <c r="T55" s="324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324"/>
      <c r="AG55" s="323"/>
      <c r="AH55" s="323"/>
      <c r="AI55" s="323"/>
      <c r="AJ55" s="323"/>
      <c r="AK55" s="323"/>
      <c r="AL55" s="323"/>
      <c r="AM55" s="323"/>
      <c r="AN55" s="323"/>
      <c r="AO55" s="323"/>
      <c r="AP55" s="323"/>
      <c r="AQ55" s="323"/>
      <c r="AR55" s="323"/>
      <c r="AS55" s="323"/>
      <c r="AT55" s="323"/>
      <c r="AU55" s="323"/>
      <c r="AV55" s="323"/>
      <c r="AW55" s="323"/>
      <c r="AX55" s="323"/>
      <c r="AY55" s="323"/>
      <c r="AZ55" s="323"/>
      <c r="BA55" s="323"/>
      <c r="BB55" s="323"/>
      <c r="BC55" s="323"/>
      <c r="BD55" s="323"/>
      <c r="BE55" s="323"/>
      <c r="BF55" s="323"/>
      <c r="BG55" s="323"/>
      <c r="BH55" s="323"/>
      <c r="BI55" s="323"/>
      <c r="BJ55" s="323"/>
      <c r="BK55" s="323"/>
      <c r="BL55" s="323"/>
      <c r="BM55" s="323"/>
      <c r="BN55" s="323"/>
      <c r="BO55" s="323"/>
      <c r="BP55" s="323"/>
      <c r="BQ55" s="323"/>
      <c r="BR55" s="323"/>
      <c r="BS55" s="323"/>
      <c r="BT55" s="355"/>
      <c r="BU55" s="323"/>
      <c r="BV55" s="323"/>
      <c r="BW55" s="323"/>
      <c r="BX55" s="323"/>
      <c r="BY55" s="323"/>
      <c r="BZ55" s="323"/>
      <c r="CA55" s="323"/>
      <c r="CB55" s="323"/>
      <c r="CC55" s="323"/>
      <c r="CD55" s="323"/>
      <c r="CE55" s="323"/>
      <c r="CF55" s="62"/>
      <c r="CG55" s="5"/>
      <c r="CH55" s="5"/>
    </row>
    <row r="56" spans="1:96" outlineLevel="1">
      <c r="B56" s="521" t="s">
        <v>19</v>
      </c>
      <c r="C56" s="558">
        <f t="shared" ref="C56:AD56" si="82">Rev_Net</f>
        <v>6.4528919999999994</v>
      </c>
      <c r="D56" s="558">
        <f t="shared" si="82"/>
        <v>43.983578000000001</v>
      </c>
      <c r="E56" s="558">
        <f t="shared" si="82"/>
        <v>100.048654</v>
      </c>
      <c r="F56" s="558">
        <f t="shared" si="82"/>
        <v>173.14652799999996</v>
      </c>
      <c r="G56" s="558">
        <f t="shared" si="82"/>
        <v>333.82007699999997</v>
      </c>
      <c r="H56" s="558">
        <f t="shared" si="82"/>
        <v>521.22439999999995</v>
      </c>
      <c r="I56" s="558">
        <f t="shared" si="82"/>
        <v>779.9515429999999</v>
      </c>
      <c r="J56" s="558">
        <f t="shared" si="82"/>
        <v>1199.1111470000001</v>
      </c>
      <c r="K56" s="558">
        <f t="shared" si="82"/>
        <v>1481.8242260000002</v>
      </c>
      <c r="L56" s="558">
        <f t="shared" si="82"/>
        <v>1988.0067780000004</v>
      </c>
      <c r="M56" s="558">
        <f t="shared" si="82"/>
        <v>2881.2334969999997</v>
      </c>
      <c r="N56" s="522">
        <f t="shared" si="82"/>
        <v>3498.0846280000001</v>
      </c>
      <c r="O56" s="522">
        <f t="shared" si="82"/>
        <v>4158.7912489999999</v>
      </c>
      <c r="P56" s="522">
        <f t="shared" si="82"/>
        <v>5386.7455419999997</v>
      </c>
      <c r="Q56" s="522">
        <f t="shared" si="82"/>
        <v>7346.9183690000009</v>
      </c>
      <c r="R56" s="522">
        <f t="shared" si="82"/>
        <v>10897.568061000002</v>
      </c>
      <c r="S56" s="522">
        <f t="shared" si="82"/>
        <v>19228.439813999998</v>
      </c>
      <c r="T56" s="522">
        <f t="shared" si="82"/>
        <v>26779.631018</v>
      </c>
      <c r="U56" s="522">
        <f t="shared" ca="1" si="82"/>
        <v>31847.015381551621</v>
      </c>
      <c r="V56" s="522">
        <f t="shared" ca="1" si="82"/>
        <v>40025.781301507923</v>
      </c>
      <c r="W56" s="522">
        <f t="shared" ca="1" si="82"/>
        <v>48914.495484587853</v>
      </c>
      <c r="X56" s="522">
        <f t="shared" ca="1" si="82"/>
        <v>58894.633490753658</v>
      </c>
      <c r="Y56" s="522">
        <f t="shared" ca="1" si="82"/>
        <v>70291.715705241601</v>
      </c>
      <c r="Z56" s="522">
        <f t="shared" ca="1" si="82"/>
        <v>81377.407597960511</v>
      </c>
      <c r="AA56" s="522">
        <f t="shared" ca="1" si="82"/>
        <v>93374.756519691306</v>
      </c>
      <c r="AB56" s="522">
        <f t="shared" ca="1" si="82"/>
        <v>106303.17848712041</v>
      </c>
      <c r="AC56" s="522">
        <f t="shared" ca="1" si="82"/>
        <v>120087.72908303533</v>
      </c>
      <c r="AD56" s="522">
        <f t="shared" ca="1" si="82"/>
        <v>134250.12963286485</v>
      </c>
      <c r="AE56" s="522"/>
      <c r="AF56" s="522">
        <f t="shared" ref="AF56:CE56" si="83">Rev_Net</f>
        <v>232.21614499999998</v>
      </c>
      <c r="AG56" s="522">
        <f t="shared" si="83"/>
        <v>288.01849699999997</v>
      </c>
      <c r="AH56" s="522">
        <f t="shared" si="83"/>
        <v>322.67038399999996</v>
      </c>
      <c r="AI56" s="522">
        <f t="shared" si="83"/>
        <v>356.206121</v>
      </c>
      <c r="AJ56" s="522">
        <f t="shared" si="83"/>
        <v>340.489014</v>
      </c>
      <c r="AK56" s="522">
        <f t="shared" si="83"/>
        <v>375.04368300000004</v>
      </c>
      <c r="AL56" s="522">
        <f t="shared" si="83"/>
        <v>370.13715500000001</v>
      </c>
      <c r="AM56" s="522">
        <f t="shared" si="83"/>
        <v>396.33477999999997</v>
      </c>
      <c r="AN56" s="522">
        <f t="shared" si="83"/>
        <v>400.57742000000002</v>
      </c>
      <c r="AO56" s="522">
        <f t="shared" si="83"/>
        <v>476.286925</v>
      </c>
      <c r="AP56" s="522">
        <f t="shared" si="83"/>
        <v>545.42913500000009</v>
      </c>
      <c r="AQ56" s="522">
        <f t="shared" si="83"/>
        <v>565.71347800000001</v>
      </c>
      <c r="AR56" s="522">
        <f t="shared" si="83"/>
        <v>586.72187300000007</v>
      </c>
      <c r="AS56" s="522">
        <f t="shared" si="83"/>
        <v>695.18038999999999</v>
      </c>
      <c r="AT56" s="522">
        <f t="shared" si="83"/>
        <v>812.20470299999988</v>
      </c>
      <c r="AU56" s="522">
        <f t="shared" si="83"/>
        <v>787.12653100000011</v>
      </c>
      <c r="AV56" s="522">
        <f t="shared" si="83"/>
        <v>764.52301</v>
      </c>
      <c r="AW56" s="522">
        <f t="shared" si="83"/>
        <v>833.02770800000008</v>
      </c>
      <c r="AX56" s="522">
        <f t="shared" si="83"/>
        <v>974.70081100000004</v>
      </c>
      <c r="AY56" s="522">
        <f t="shared" si="83"/>
        <v>925.83309899999995</v>
      </c>
      <c r="AZ56" s="522">
        <f t="shared" si="83"/>
        <v>910.80839100000003</v>
      </c>
      <c r="BA56" s="522">
        <f t="shared" si="83"/>
        <v>973.62508800000001</v>
      </c>
      <c r="BB56" s="522">
        <f t="shared" si="83"/>
        <v>1173.0025439999999</v>
      </c>
      <c r="BC56" s="522">
        <f t="shared" si="83"/>
        <v>1101.355266</v>
      </c>
      <c r="BD56" s="522">
        <f t="shared" si="83"/>
        <v>1160.5081339999997</v>
      </c>
      <c r="BE56" s="522">
        <f t="shared" si="83"/>
        <v>1244.8557030000002</v>
      </c>
      <c r="BF56" s="522">
        <f t="shared" si="83"/>
        <v>1540.9756119999997</v>
      </c>
      <c r="BG56" s="522">
        <f t="shared" si="83"/>
        <v>1440.4060930000001</v>
      </c>
      <c r="BH56" s="522">
        <f t="shared" si="83"/>
        <v>1581.7881220000002</v>
      </c>
      <c r="BI56" s="522">
        <f t="shared" si="83"/>
        <v>1722.2609300000001</v>
      </c>
      <c r="BJ56" s="522">
        <f t="shared" si="83"/>
        <v>2129.5705430000003</v>
      </c>
      <c r="BK56" s="522">
        <f t="shared" si="83"/>
        <v>1913.2987739999999</v>
      </c>
      <c r="BL56" s="522">
        <f t="shared" si="83"/>
        <v>2314.7762419999995</v>
      </c>
      <c r="BM56" s="522">
        <f t="shared" si="83"/>
        <v>2527.1362460000005</v>
      </c>
      <c r="BN56" s="522">
        <f t="shared" si="83"/>
        <v>3181.6004550000002</v>
      </c>
      <c r="BO56" s="522">
        <f t="shared" si="83"/>
        <v>2874.0551179999998</v>
      </c>
      <c r="BP56" s="522">
        <f t="shared" si="83"/>
        <v>4178.0065559999994</v>
      </c>
      <c r="BQ56" s="522">
        <f t="shared" si="83"/>
        <v>4411.2847810000012</v>
      </c>
      <c r="BR56" s="522">
        <f t="shared" si="83"/>
        <v>5571.866642</v>
      </c>
      <c r="BS56" s="522">
        <f t="shared" si="83"/>
        <v>5067.2818349999998</v>
      </c>
      <c r="BT56" s="522">
        <f t="shared" si="83"/>
        <v>6085.0618889999996</v>
      </c>
      <c r="BU56" s="522">
        <f t="shared" si="83"/>
        <v>6415.7692009999992</v>
      </c>
      <c r="BV56" s="522">
        <f t="shared" si="83"/>
        <v>7899.6760569999997</v>
      </c>
      <c r="BW56" s="522">
        <f t="shared" si="83"/>
        <v>6379.1238710000007</v>
      </c>
      <c r="BX56" s="522">
        <f t="shared" ca="1" si="83"/>
        <v>6702.5413755479249</v>
      </c>
      <c r="BY56" s="522">
        <f t="shared" ca="1" si="83"/>
        <v>7491.7329113997021</v>
      </c>
      <c r="BZ56" s="522">
        <f t="shared" ca="1" si="83"/>
        <v>9311.7416177619234</v>
      </c>
      <c r="CA56" s="522">
        <f t="shared" ca="1" si="83"/>
        <v>8340.9994768420675</v>
      </c>
      <c r="CB56" s="522">
        <f t="shared" ca="1" si="83"/>
        <v>9112.9512555543861</v>
      </c>
      <c r="CC56" s="522">
        <f t="shared" ca="1" si="83"/>
        <v>9783.2840405674633</v>
      </c>
      <c r="CD56" s="522">
        <f t="shared" ca="1" si="83"/>
        <v>11152.04888939253</v>
      </c>
      <c r="CE56" s="522">
        <f t="shared" ca="1" si="83"/>
        <v>9977.497115993543</v>
      </c>
      <c r="CF56" s="361"/>
      <c r="CG56" s="5"/>
      <c r="CH56" s="5"/>
    </row>
    <row r="57" spans="1:96" outlineLevel="1">
      <c r="B57" s="323" t="s">
        <v>82</v>
      </c>
      <c r="C57" s="5"/>
      <c r="D57" s="5"/>
      <c r="E57" s="5"/>
      <c r="F57" s="5"/>
      <c r="G57" s="5"/>
      <c r="H57" s="324"/>
      <c r="I57" s="324"/>
      <c r="J57" s="324"/>
      <c r="K57" s="324"/>
      <c r="L57" s="324"/>
      <c r="M57" s="324"/>
      <c r="N57" s="355"/>
      <c r="O57" s="323">
        <f>O56/N56-1</f>
        <v>0.18887668288853066</v>
      </c>
      <c r="P57" s="323">
        <f t="shared" ref="P57:AD57" si="84">P56/O56-1</f>
        <v>0.29526711476448031</v>
      </c>
      <c r="Q57" s="323">
        <f t="shared" si="84"/>
        <v>0.36388814205473397</v>
      </c>
      <c r="R57" s="323">
        <f t="shared" si="84"/>
        <v>0.48328421709186409</v>
      </c>
      <c r="S57" s="323">
        <f t="shared" si="84"/>
        <v>0.7644707246944713</v>
      </c>
      <c r="T57" s="323">
        <f t="shared" si="84"/>
        <v>0.39270951138230514</v>
      </c>
      <c r="U57" s="323">
        <f t="shared" ca="1" si="84"/>
        <v>0.18922532428268202</v>
      </c>
      <c r="V57" s="323">
        <f t="shared" ca="1" si="84"/>
        <v>0.25681420446997705</v>
      </c>
      <c r="W57" s="323">
        <f t="shared" ca="1" si="84"/>
        <v>0.22207472019403296</v>
      </c>
      <c r="X57" s="323">
        <f t="shared" ca="1" si="84"/>
        <v>0.20403232022111695</v>
      </c>
      <c r="Y57" s="323">
        <f t="shared" ca="1" si="84"/>
        <v>0.19351648085690631</v>
      </c>
      <c r="Z57" s="323">
        <f t="shared" ca="1" si="84"/>
        <v>0.15770979241999439</v>
      </c>
      <c r="AA57" s="323">
        <f t="shared" ca="1" si="84"/>
        <v>0.14742849736628227</v>
      </c>
      <c r="AB57" s="323">
        <f t="shared" ca="1" si="84"/>
        <v>0.13845735667008352</v>
      </c>
      <c r="AC57" s="323">
        <f t="shared" ca="1" si="84"/>
        <v>0.12967204548436939</v>
      </c>
      <c r="AD57" s="323">
        <f t="shared" ca="1" si="84"/>
        <v>0.11793378605766502</v>
      </c>
      <c r="AE57" s="323"/>
      <c r="AF57" s="324"/>
      <c r="AG57" s="323"/>
      <c r="AH57" s="323"/>
      <c r="AI57" s="323"/>
      <c r="AJ57" s="323"/>
      <c r="AK57" s="323"/>
      <c r="AL57" s="323"/>
      <c r="AM57" s="323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3"/>
      <c r="BG57" s="323"/>
      <c r="BH57" s="323"/>
      <c r="BI57" s="323"/>
      <c r="BJ57" s="323"/>
      <c r="BK57" s="323"/>
      <c r="BL57" s="323">
        <f>BL56/BH56-1</f>
        <v>0.46339210024741817</v>
      </c>
      <c r="BM57" s="323">
        <f>BM56/BI56-1</f>
        <v>0.46733645406448376</v>
      </c>
      <c r="BN57" s="323">
        <f>BN56/BJ56-1</f>
        <v>0.49401036066077841</v>
      </c>
      <c r="BO57" s="323">
        <f>BO56/BK56-1</f>
        <v>0.50214653197702819</v>
      </c>
      <c r="BP57" s="323">
        <f>BP56/BL56-1</f>
        <v>0.80492890854545074</v>
      </c>
      <c r="BQ57" s="323">
        <f t="shared" ref="BQ57:CA57" si="85">BQ56/BM56-1</f>
        <v>0.74556666186172871</v>
      </c>
      <c r="BR57" s="323">
        <f t="shared" si="85"/>
        <v>0.75127792468209198</v>
      </c>
      <c r="BS57" s="323">
        <f t="shared" si="85"/>
        <v>0.76311226714615854</v>
      </c>
      <c r="BT57" s="323">
        <f t="shared" si="85"/>
        <v>0.45645101496102125</v>
      </c>
      <c r="BU57" s="323">
        <f t="shared" si="85"/>
        <v>0.45439923276628669</v>
      </c>
      <c r="BV57" s="323">
        <f t="shared" si="85"/>
        <v>0.41777909712577777</v>
      </c>
      <c r="BW57" s="323">
        <f t="shared" si="85"/>
        <v>0.25888475887388673</v>
      </c>
      <c r="BX57" s="323">
        <f t="shared" ca="1" si="85"/>
        <v>0.10147464361277025</v>
      </c>
      <c r="BY57" s="323">
        <f t="shared" ca="1" si="85"/>
        <v>0.16770611234456445</v>
      </c>
      <c r="BZ57" s="323">
        <f t="shared" ca="1" si="85"/>
        <v>0.17874980576079125</v>
      </c>
      <c r="CA57" s="323">
        <f t="shared" ca="1" si="85"/>
        <v>0.30754624702632083</v>
      </c>
      <c r="CB57" s="323">
        <f ca="1">CB56/BX56-1</f>
        <v>0.35962625889935862</v>
      </c>
      <c r="CC57" s="323">
        <f ca="1">CC56/BY56-1</f>
        <v>0.30587731253484107</v>
      </c>
      <c r="CD57" s="323">
        <f ca="1">CD56/BZ56-1</f>
        <v>0.19763298286974207</v>
      </c>
      <c r="CE57" s="323">
        <f ca="1">CE56/CA56-1</f>
        <v>0.19619922572768944</v>
      </c>
      <c r="CF57" s="62"/>
      <c r="CG57" s="5"/>
      <c r="CH57" s="5"/>
    </row>
    <row r="58" spans="1:96" outlineLevel="1">
      <c r="B58" s="324" t="s">
        <v>83</v>
      </c>
      <c r="C58" s="5"/>
      <c r="D58" s="5"/>
      <c r="E58" s="5"/>
      <c r="F58" s="5"/>
      <c r="G58" s="5"/>
      <c r="H58" s="324"/>
      <c r="I58" s="324"/>
      <c r="J58" s="324"/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324"/>
      <c r="AG58" s="323"/>
      <c r="AH58" s="323"/>
      <c r="AI58" s="323"/>
      <c r="AJ58" s="323"/>
      <c r="AK58" s="323"/>
      <c r="AL58" s="323"/>
      <c r="AM58" s="323"/>
      <c r="AN58" s="323"/>
      <c r="AO58" s="323"/>
      <c r="AP58" s="323"/>
      <c r="AQ58" s="323"/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323"/>
      <c r="BC58" s="323"/>
      <c r="BD58" s="323"/>
      <c r="BE58" s="323"/>
      <c r="BF58" s="323"/>
      <c r="BG58" s="323"/>
      <c r="BH58" s="323"/>
      <c r="BI58" s="323"/>
      <c r="BJ58" s="323"/>
      <c r="BK58" s="323"/>
      <c r="BL58" s="323">
        <f>BL56/BK56-1</f>
        <v>0.20983521938952521</v>
      </c>
      <c r="BM58" s="323">
        <f>BM56/BL56-1</f>
        <v>9.174105045095815E-2</v>
      </c>
      <c r="BN58" s="323">
        <f t="shared" ref="BN58:CA58" si="86">BN56/BM56-1</f>
        <v>0.25897464374384183</v>
      </c>
      <c r="BO58" s="323">
        <f t="shared" si="86"/>
        <v>-9.666372046077687E-2</v>
      </c>
      <c r="BP58" s="323">
        <f t="shared" si="86"/>
        <v>0.45369743601416901</v>
      </c>
      <c r="BQ58" s="323">
        <f t="shared" si="86"/>
        <v>5.5834815449246511E-2</v>
      </c>
      <c r="BR58" s="323">
        <f t="shared" si="86"/>
        <v>0.26309384195706009</v>
      </c>
      <c r="BS58" s="323">
        <f t="shared" si="86"/>
        <v>-9.0559383312677655E-2</v>
      </c>
      <c r="BT58" s="323">
        <f t="shared" si="86"/>
        <v>0.20085325567844592</v>
      </c>
      <c r="BU58" s="323">
        <f t="shared" si="86"/>
        <v>5.4347403203543587E-2</v>
      </c>
      <c r="BV58" s="323">
        <f t="shared" si="86"/>
        <v>0.23129056072788745</v>
      </c>
      <c r="BW58" s="323">
        <f t="shared" si="86"/>
        <v>-0.19248285309783297</v>
      </c>
      <c r="BX58" s="323">
        <f t="shared" ca="1" si="86"/>
        <v>5.0699361085964512E-2</v>
      </c>
      <c r="BY58" s="323">
        <f t="shared" ca="1" si="86"/>
        <v>0.11774511959461975</v>
      </c>
      <c r="BZ58" s="323">
        <f t="shared" ca="1" si="86"/>
        <v>0.24293561021013277</v>
      </c>
      <c r="CA58" s="323">
        <f t="shared" ca="1" si="86"/>
        <v>-0.10424925655885775</v>
      </c>
      <c r="CB58" s="323">
        <f ca="1">CB56/CA56-1</f>
        <v>9.2549074107433293E-2</v>
      </c>
      <c r="CC58" s="323">
        <f ca="1">CC56/CB56-1</f>
        <v>7.3558254204916018E-2</v>
      </c>
      <c r="CD58" s="323">
        <f ca="1">CD56/CC56-1</f>
        <v>0.13990852592537761</v>
      </c>
      <c r="CE58" s="323">
        <f ca="1">CE56/CD56-1</f>
        <v>-0.10532161265148177</v>
      </c>
      <c r="CF58" s="62"/>
      <c r="CG58" s="5"/>
      <c r="CH58" s="5"/>
    </row>
    <row r="59" spans="1:96" outlineLevel="1">
      <c r="B59" s="324" t="s">
        <v>756</v>
      </c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323">
        <f>BL56/SUM($BL56:$BO56)</f>
        <v>0.21241218490610531</v>
      </c>
      <c r="BM59" s="323">
        <f>BM56/SUM($BL56:$BO56)</f>
        <v>0.23189910187797455</v>
      </c>
      <c r="BN59" s="323">
        <f>BN56/SUM($BL56:$BO56)</f>
        <v>0.29195508917133989</v>
      </c>
      <c r="BO59" s="323">
        <f>BO56/SUM($BL56:$BO56)</f>
        <v>0.26373362404458028</v>
      </c>
      <c r="BP59" s="323">
        <f>BP56/SUM($BP56:$BS56)</f>
        <v>0.21728266028937213</v>
      </c>
      <c r="BQ59" s="323">
        <f>BQ56/SUM($BP56:$BS56)</f>
        <v>0.22941459752695054</v>
      </c>
      <c r="BR59" s="323">
        <f>BR56/SUM($BP56:$BS56)</f>
        <v>0.28977216539134859</v>
      </c>
      <c r="BS59" s="323">
        <f>BS56/SUM($BP56:$BS56)</f>
        <v>0.26353057679232883</v>
      </c>
      <c r="BT59" s="323">
        <f>BT56/SUM($BT56:$BW56)</f>
        <v>0.22722724913236889</v>
      </c>
      <c r="BU59" s="323">
        <f>BU56/SUM($BT56:$BW56)</f>
        <v>0.2395764600597978</v>
      </c>
      <c r="BV59" s="323">
        <f>BV56/SUM($BT56:$BW56)</f>
        <v>0.29498823384423078</v>
      </c>
      <c r="BW59" s="323">
        <f>BW56/SUM($BT56:$BW56)</f>
        <v>0.2382080569636025</v>
      </c>
      <c r="BX59" s="323">
        <f t="shared" ref="BX59:CE59" ca="1" si="87">BX56/SUM($BX56:$CA56)</f>
        <v>0.2104605814782437</v>
      </c>
      <c r="BY59" s="323">
        <f t="shared" ca="1" si="87"/>
        <v>0.23524128781435272</v>
      </c>
      <c r="BZ59" s="323">
        <f t="shared" ca="1" si="87"/>
        <v>0.29238977361614998</v>
      </c>
      <c r="CA59" s="323">
        <f t="shared" ca="1" si="87"/>
        <v>0.2619083570912536</v>
      </c>
      <c r="CB59" s="323">
        <f t="shared" ca="1" si="87"/>
        <v>0.28614773304104812</v>
      </c>
      <c r="CC59" s="323">
        <f t="shared" ca="1" si="87"/>
        <v>0.30719626072824197</v>
      </c>
      <c r="CD59" s="323">
        <f t="shared" ca="1" si="87"/>
        <v>0.3501756367365183</v>
      </c>
      <c r="CE59" s="323">
        <f t="shared" ca="1" si="87"/>
        <v>0.31329457396416877</v>
      </c>
      <c r="CF59" s="5"/>
      <c r="CG59" s="5"/>
      <c r="CH59" s="5"/>
    </row>
    <row r="60" spans="1:96" outlineLevel="1">
      <c r="B60" s="324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5"/>
      <c r="CG60" s="5"/>
      <c r="CH60" s="5"/>
    </row>
    <row r="61" spans="1:96" s="115" customFormat="1" outlineLevel="1">
      <c r="A61" s="3" t="s">
        <v>54</v>
      </c>
      <c r="B61" s="189" t="s">
        <v>606</v>
      </c>
      <c r="C61" s="197"/>
      <c r="D61" s="197"/>
      <c r="E61" s="197"/>
      <c r="F61" s="197"/>
      <c r="G61" s="197"/>
      <c r="H61" s="196">
        <f t="shared" ref="H61:R61" si="88">Rev_Hotel</f>
        <v>362.85680000000002</v>
      </c>
      <c r="I61" s="196">
        <f t="shared" si="88"/>
        <v>476.49460599999998</v>
      </c>
      <c r="J61" s="196">
        <f t="shared" si="88"/>
        <v>676.51123800000005</v>
      </c>
      <c r="K61" s="196">
        <f t="shared" si="88"/>
        <v>755.73315200000002</v>
      </c>
      <c r="L61" s="196">
        <f t="shared" si="88"/>
        <v>940.68213200000002</v>
      </c>
      <c r="M61" s="196">
        <f t="shared" si="88"/>
        <v>1278.0436729999999</v>
      </c>
      <c r="N61" s="539">
        <f t="shared" si="88"/>
        <v>1486.898858</v>
      </c>
      <c r="O61" s="539">
        <f t="shared" si="88"/>
        <v>1702.500571</v>
      </c>
      <c r="P61" s="539">
        <f t="shared" si="88"/>
        <v>2214.1708870000002</v>
      </c>
      <c r="Q61" s="539">
        <f t="shared" si="88"/>
        <v>3201.4269330000002</v>
      </c>
      <c r="R61" s="539">
        <f t="shared" si="88"/>
        <v>4616.649394</v>
      </c>
      <c r="S61" s="559">
        <f>Rev_Hotel</f>
        <v>7308.9588629999998</v>
      </c>
      <c r="T61" s="559">
        <f>Rev_Hotel</f>
        <v>9517.374339</v>
      </c>
      <c r="U61" s="536">
        <f t="shared" ref="U61:AD61" ca="1" si="89">U65*U69</f>
        <v>11978.567343065401</v>
      </c>
      <c r="V61" s="536">
        <f t="shared" ca="1" si="89"/>
        <v>14906.129201710584</v>
      </c>
      <c r="W61" s="536">
        <f t="shared" ca="1" si="89"/>
        <v>17636.932071463965</v>
      </c>
      <c r="X61" s="536">
        <f t="shared" ca="1" si="89"/>
        <v>20688.121319827231</v>
      </c>
      <c r="Y61" s="536">
        <f t="shared" ca="1" si="89"/>
        <v>24056.147470695101</v>
      </c>
      <c r="Z61" s="536">
        <f t="shared" ca="1" si="89"/>
        <v>27727.115574723171</v>
      </c>
      <c r="AA61" s="536">
        <f t="shared" ca="1" si="89"/>
        <v>31675.456832563745</v>
      </c>
      <c r="AB61" s="536">
        <f t="shared" ca="1" si="89"/>
        <v>35862.952225828667</v>
      </c>
      <c r="AC61" s="536">
        <f t="shared" ca="1" si="89"/>
        <v>40238.232397379768</v>
      </c>
      <c r="AD61" s="536">
        <f t="shared" ca="1" si="89"/>
        <v>44326.436808953556</v>
      </c>
      <c r="AE61" s="536"/>
      <c r="AF61" s="196">
        <f t="shared" ref="AF61:BW61" si="90">Rev_Hotel</f>
        <v>133.46826999999999</v>
      </c>
      <c r="AG61" s="196">
        <f t="shared" si="90"/>
        <v>171.42890199999999</v>
      </c>
      <c r="AH61" s="196">
        <f t="shared" si="90"/>
        <v>175.57871399999999</v>
      </c>
      <c r="AI61" s="196">
        <f t="shared" si="90"/>
        <v>196.03535199999999</v>
      </c>
      <c r="AJ61" s="196">
        <f t="shared" si="90"/>
        <v>171.19156000000001</v>
      </c>
      <c r="AK61" s="196">
        <f t="shared" si="90"/>
        <v>195.87316100000001</v>
      </c>
      <c r="AL61" s="196">
        <f t="shared" si="90"/>
        <v>186.00562099999999</v>
      </c>
      <c r="AM61" s="196">
        <f t="shared" si="90"/>
        <v>210.656475</v>
      </c>
      <c r="AN61" s="196">
        <f t="shared" si="90"/>
        <v>185.041484</v>
      </c>
      <c r="AO61" s="196">
        <f t="shared" si="90"/>
        <v>223.271782</v>
      </c>
      <c r="AP61" s="196">
        <f t="shared" si="90"/>
        <v>257.89537200000001</v>
      </c>
      <c r="AQ61" s="196">
        <f t="shared" si="90"/>
        <v>274.47367400000002</v>
      </c>
      <c r="AR61" s="196">
        <f t="shared" si="90"/>
        <v>251.91229200000001</v>
      </c>
      <c r="AS61" s="196">
        <f t="shared" si="90"/>
        <v>316.15046799999999</v>
      </c>
      <c r="AT61" s="196">
        <f t="shared" si="90"/>
        <v>349.65558399999998</v>
      </c>
      <c r="AU61" s="196">
        <f t="shared" si="90"/>
        <v>360.32532900000001</v>
      </c>
      <c r="AV61" s="196">
        <f t="shared" si="90"/>
        <v>310.39395400000001</v>
      </c>
      <c r="AW61" s="196">
        <f t="shared" si="90"/>
        <v>366.45369399999998</v>
      </c>
      <c r="AX61" s="196">
        <f t="shared" si="90"/>
        <v>410.42842899999999</v>
      </c>
      <c r="AY61" s="196">
        <f t="shared" si="90"/>
        <v>399.62278099999997</v>
      </c>
      <c r="AZ61" s="539">
        <f t="shared" si="90"/>
        <v>366.78436299999998</v>
      </c>
      <c r="BA61" s="539">
        <f t="shared" si="90"/>
        <v>410.370431</v>
      </c>
      <c r="BB61" s="539">
        <f t="shared" si="90"/>
        <v>457.04117300000001</v>
      </c>
      <c r="BC61" s="539">
        <f t="shared" si="90"/>
        <v>468.30460399999998</v>
      </c>
      <c r="BD61" s="539">
        <f t="shared" si="90"/>
        <v>450.52488599999998</v>
      </c>
      <c r="BE61" s="539">
        <f t="shared" si="90"/>
        <v>510.97784999999999</v>
      </c>
      <c r="BF61" s="539">
        <f t="shared" si="90"/>
        <v>610.65341799999999</v>
      </c>
      <c r="BG61" s="539">
        <f t="shared" si="90"/>
        <v>642.01473299999998</v>
      </c>
      <c r="BH61" s="539">
        <f t="shared" si="90"/>
        <v>656.66229699999997</v>
      </c>
      <c r="BI61" s="539">
        <f t="shared" si="90"/>
        <v>752.56545300000005</v>
      </c>
      <c r="BJ61" s="539">
        <f t="shared" si="90"/>
        <v>950.29933400000004</v>
      </c>
      <c r="BK61" s="539">
        <f t="shared" si="90"/>
        <v>841.89984900000002</v>
      </c>
      <c r="BL61" s="539">
        <f t="shared" si="90"/>
        <v>951.77993000000004</v>
      </c>
      <c r="BM61" s="539">
        <f t="shared" si="90"/>
        <v>1104.440783</v>
      </c>
      <c r="BN61" s="539">
        <f t="shared" si="90"/>
        <v>1373.210943</v>
      </c>
      <c r="BO61" s="539">
        <f t="shared" si="90"/>
        <v>1187.2177380000001</v>
      </c>
      <c r="BP61" s="539">
        <f t="shared" si="90"/>
        <v>1614.031154</v>
      </c>
      <c r="BQ61" s="539">
        <f t="shared" si="90"/>
        <v>1775.818174</v>
      </c>
      <c r="BR61" s="539">
        <f t="shared" si="90"/>
        <v>2071.6084310000001</v>
      </c>
      <c r="BS61" s="539">
        <f t="shared" si="90"/>
        <v>1847.5011039999999</v>
      </c>
      <c r="BT61" s="539">
        <f t="shared" si="90"/>
        <v>2069.9361450000001</v>
      </c>
      <c r="BU61" s="539">
        <f t="shared" si="90"/>
        <v>2311.1429870000002</v>
      </c>
      <c r="BV61" s="539">
        <f t="shared" si="90"/>
        <v>2820.3844600000002</v>
      </c>
      <c r="BW61" s="539">
        <f t="shared" si="90"/>
        <v>2315.9107469999999</v>
      </c>
      <c r="BX61" s="537">
        <f t="shared" ref="BX61:CE61" ca="1" si="91">BX65*BX69</f>
        <v>2466.9498976109999</v>
      </c>
      <c r="BY61" s="537">
        <f t="shared" ca="1" si="91"/>
        <v>2946.7073084250005</v>
      </c>
      <c r="BZ61" s="537">
        <f t="shared" ca="1" si="91"/>
        <v>3480.9185005319996</v>
      </c>
      <c r="CA61" s="537">
        <f t="shared" ca="1" si="91"/>
        <v>3083.9916364973992</v>
      </c>
      <c r="CB61" s="537">
        <f t="shared" ca="1" si="91"/>
        <v>3346.6642310990828</v>
      </c>
      <c r="CC61" s="537">
        <f t="shared" ca="1" si="91"/>
        <v>3787.1082327878112</v>
      </c>
      <c r="CD61" s="537">
        <f t="shared" ca="1" si="91"/>
        <v>4083.117401124035</v>
      </c>
      <c r="CE61" s="537">
        <f t="shared" ca="1" si="91"/>
        <v>3689.2393366996548</v>
      </c>
      <c r="CF61" s="195"/>
      <c r="CG61" s="5"/>
      <c r="CH61" s="5"/>
      <c r="CI61" s="199"/>
      <c r="CJ61"/>
      <c r="CK61"/>
      <c r="CL61"/>
      <c r="CM61"/>
      <c r="CN61"/>
      <c r="CO61"/>
      <c r="CP61" s="202"/>
      <c r="CQ61" s="202"/>
      <c r="CR61" s="202"/>
    </row>
    <row r="62" spans="1:96" outlineLevel="1">
      <c r="B62" s="12" t="s">
        <v>82</v>
      </c>
      <c r="C62" s="5"/>
      <c r="D62" s="5"/>
      <c r="E62" s="5"/>
      <c r="F62" s="5"/>
      <c r="G62" s="5"/>
      <c r="H62" s="126"/>
      <c r="I62" s="323">
        <f>(I61/H61-1)*1</f>
        <v>0.31317535181922995</v>
      </c>
      <c r="J62" s="323">
        <f>(J61/I61-1)*1</f>
        <v>0.41976683362497513</v>
      </c>
      <c r="K62" s="323">
        <f>(K61/J61-1)*1</f>
        <v>0.11710361860980645</v>
      </c>
      <c r="L62" s="323">
        <f>(L61/K61-1)*1</f>
        <v>0.24472789040753895</v>
      </c>
      <c r="M62" s="323">
        <f>(M61/L61-1)*1</f>
        <v>0.35863500487962896</v>
      </c>
      <c r="N62" s="560">
        <f>(N61/M61-1)</f>
        <v>0.16341787797419038</v>
      </c>
      <c r="O62" s="560">
        <f t="shared" ref="O62:AD62" si="92">(O61/N61-1)</f>
        <v>0.14500092715788471</v>
      </c>
      <c r="P62" s="560">
        <f t="shared" si="92"/>
        <v>0.30054046660287437</v>
      </c>
      <c r="Q62" s="560">
        <f t="shared" si="92"/>
        <v>0.44588069141205344</v>
      </c>
      <c r="R62" s="560">
        <f t="shared" si="92"/>
        <v>0.44205989723270678</v>
      </c>
      <c r="S62" s="560">
        <f t="shared" si="92"/>
        <v>0.58317390800762192</v>
      </c>
      <c r="T62" s="560">
        <f t="shared" si="92"/>
        <v>0.30215185464781014</v>
      </c>
      <c r="U62" s="41">
        <f t="shared" ca="1" si="92"/>
        <v>0.25860000000000016</v>
      </c>
      <c r="V62" s="41">
        <f t="shared" ca="1" si="92"/>
        <v>0.24439999999999995</v>
      </c>
      <c r="W62" s="41">
        <f t="shared" ca="1" si="92"/>
        <v>0.18320000000000003</v>
      </c>
      <c r="X62" s="41">
        <f t="shared" ca="1" si="92"/>
        <v>0.17300000000000004</v>
      </c>
      <c r="Y62" s="41">
        <f t="shared" ca="1" si="92"/>
        <v>0.16279999999999983</v>
      </c>
      <c r="Z62" s="41">
        <f t="shared" ca="1" si="92"/>
        <v>0.15259999999999985</v>
      </c>
      <c r="AA62" s="41">
        <f t="shared" ca="1" si="92"/>
        <v>0.14239999999999986</v>
      </c>
      <c r="AB62" s="41">
        <f t="shared" ca="1" si="92"/>
        <v>0.13219999999999987</v>
      </c>
      <c r="AC62" s="323">
        <f t="shared" ca="1" si="92"/>
        <v>0.12200000000000011</v>
      </c>
      <c r="AD62" s="323">
        <f t="shared" ca="1" si="92"/>
        <v>0.10160000000000013</v>
      </c>
      <c r="AE62" s="328"/>
      <c r="AF62" s="126"/>
      <c r="AG62" s="126"/>
      <c r="AH62" s="126"/>
      <c r="AI62" s="126"/>
      <c r="AJ62" s="323">
        <f t="shared" ref="AJ62:AZ62" si="93">(AJ61/AF61-1)</f>
        <v>0.28263863763274988</v>
      </c>
      <c r="AK62" s="323">
        <f t="shared" si="93"/>
        <v>0.14259123586990019</v>
      </c>
      <c r="AL62" s="323">
        <f t="shared" si="93"/>
        <v>5.9385940143063198E-2</v>
      </c>
      <c r="AM62" s="323">
        <f t="shared" si="93"/>
        <v>7.4584113787802941E-2</v>
      </c>
      <c r="AN62" s="323">
        <f t="shared" si="93"/>
        <v>8.0903077231143872E-2</v>
      </c>
      <c r="AO62" s="323">
        <f t="shared" si="93"/>
        <v>0.13987940389648368</v>
      </c>
      <c r="AP62" s="323">
        <f t="shared" si="93"/>
        <v>0.3864923576691266</v>
      </c>
      <c r="AQ62" s="323">
        <f t="shared" si="93"/>
        <v>0.3029443979825448</v>
      </c>
      <c r="AR62" s="323">
        <f t="shared" si="93"/>
        <v>0.36138279133126727</v>
      </c>
      <c r="AS62" s="323">
        <f t="shared" si="93"/>
        <v>0.41598936134258113</v>
      </c>
      <c r="AT62" s="323">
        <f t="shared" si="93"/>
        <v>0.35580402737897887</v>
      </c>
      <c r="AU62" s="323">
        <f t="shared" si="93"/>
        <v>0.31278648239320761</v>
      </c>
      <c r="AV62" s="323">
        <f t="shared" si="93"/>
        <v>0.23215088686502039</v>
      </c>
      <c r="AW62" s="323">
        <f t="shared" si="93"/>
        <v>0.15911166071720007</v>
      </c>
      <c r="AX62" s="323">
        <f t="shared" si="93"/>
        <v>0.1738077347564968</v>
      </c>
      <c r="AY62" s="323">
        <f t="shared" si="93"/>
        <v>0.10906103134370548</v>
      </c>
      <c r="AZ62" s="41">
        <f t="shared" si="93"/>
        <v>0.1816736707442439</v>
      </c>
      <c r="BA62" s="41">
        <f t="shared" ref="BA62:CA62" si="94">(BA61/AW61-1)</f>
        <v>0.11984252777105309</v>
      </c>
      <c r="BB62" s="41">
        <f t="shared" si="94"/>
        <v>0.11357094369308429</v>
      </c>
      <c r="BC62" s="41">
        <f t="shared" si="94"/>
        <v>0.17186663590132012</v>
      </c>
      <c r="BD62" s="41">
        <f t="shared" si="94"/>
        <v>0.22830995933160869</v>
      </c>
      <c r="BE62" s="41">
        <f t="shared" si="94"/>
        <v>0.24516244690154099</v>
      </c>
      <c r="BF62" s="41">
        <f t="shared" si="94"/>
        <v>0.33610154636987155</v>
      </c>
      <c r="BG62" s="41">
        <f t="shared" si="94"/>
        <v>0.37093406196792378</v>
      </c>
      <c r="BH62" s="41">
        <f t="shared" si="94"/>
        <v>0.45754944378366713</v>
      </c>
      <c r="BI62" s="41">
        <f t="shared" si="94"/>
        <v>0.47279466810547666</v>
      </c>
      <c r="BJ62" s="41">
        <f t="shared" si="94"/>
        <v>0.55620079408120193</v>
      </c>
      <c r="BK62" s="41">
        <f t="shared" si="94"/>
        <v>0.31134038788483687</v>
      </c>
      <c r="BL62" s="41">
        <f t="shared" si="94"/>
        <v>0.44942070581524507</v>
      </c>
      <c r="BM62" s="41">
        <f t="shared" si="94"/>
        <v>0.46756774257613976</v>
      </c>
      <c r="BN62" s="41">
        <f t="shared" si="94"/>
        <v>0.44502989097117474</v>
      </c>
      <c r="BO62" s="41">
        <f t="shared" si="94"/>
        <v>0.41016504446480795</v>
      </c>
      <c r="BP62" s="41">
        <f t="shared" si="94"/>
        <v>0.6958028879638174</v>
      </c>
      <c r="BQ62" s="41">
        <f t="shared" si="94"/>
        <v>0.60788898901064936</v>
      </c>
      <c r="BR62" s="41">
        <f t="shared" si="94"/>
        <v>0.50858718506439993</v>
      </c>
      <c r="BS62" s="41">
        <f t="shared" si="94"/>
        <v>0.55616029382472032</v>
      </c>
      <c r="BT62" s="41">
        <f t="shared" si="94"/>
        <v>0.28246356327766398</v>
      </c>
      <c r="BU62" s="41">
        <f t="shared" si="94"/>
        <v>0.30145249149815267</v>
      </c>
      <c r="BV62" s="41">
        <f t="shared" si="94"/>
        <v>0.36144669899733572</v>
      </c>
      <c r="BW62" s="323">
        <f t="shared" si="94"/>
        <v>0.2535368677105807</v>
      </c>
      <c r="BX62" s="323">
        <f t="shared" ca="1" si="94"/>
        <v>0.19179999999999997</v>
      </c>
      <c r="BY62" s="323">
        <f t="shared" ca="1" si="94"/>
        <v>0.27500000000000013</v>
      </c>
      <c r="BZ62" s="323">
        <f t="shared" ca="1" si="94"/>
        <v>0.23419999999999974</v>
      </c>
      <c r="CA62" s="323">
        <f t="shared" ca="1" si="94"/>
        <v>0.33165392513176983</v>
      </c>
      <c r="CB62" s="323">
        <f ca="1">(CB61/BX61-1)</f>
        <v>0.35660000000000025</v>
      </c>
      <c r="CC62" s="323">
        <f ca="1">(CC61/BY61-1)</f>
        <v>0.28520000000000012</v>
      </c>
      <c r="CD62" s="323">
        <f ca="1">(CD61/BZ61-1)</f>
        <v>0.17299999999999982</v>
      </c>
      <c r="CE62" s="323">
        <f ca="1">(CE61/CA61-1)</f>
        <v>0.19625465031729372</v>
      </c>
      <c r="CF62" s="62"/>
      <c r="CG62" s="5"/>
      <c r="CH62" s="5"/>
    </row>
    <row r="63" spans="1:96" outlineLevel="1">
      <c r="B63" s="12" t="s">
        <v>83</v>
      </c>
      <c r="C63" s="5"/>
      <c r="D63" s="5"/>
      <c r="E63" s="5"/>
      <c r="F63" s="5"/>
      <c r="G63" s="5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324"/>
      <c r="U63" s="6"/>
      <c r="V63" s="6"/>
      <c r="W63" s="6"/>
      <c r="X63" s="6"/>
      <c r="Y63" s="6"/>
      <c r="Z63" s="6"/>
      <c r="AA63" s="6"/>
      <c r="AB63" s="6"/>
      <c r="AC63" s="6"/>
      <c r="AD63" s="6"/>
      <c r="AE63" s="330"/>
      <c r="AF63" s="126"/>
      <c r="AG63" s="323">
        <f>(AG61/AF61-1)</f>
        <v>0.28441690298375799</v>
      </c>
      <c r="AH63" s="323">
        <f t="shared" ref="AH63:AM63" si="95">(AH61/AG61-1)</f>
        <v>2.4207189987135225E-2</v>
      </c>
      <c r="AI63" s="323">
        <f t="shared" si="95"/>
        <v>0.11650978375431098</v>
      </c>
      <c r="AJ63" s="323">
        <f t="shared" si="95"/>
        <v>-0.12673118264913763</v>
      </c>
      <c r="AK63" s="323">
        <f>(AK61/AJ61-1)</f>
        <v>0.14417533784959957</v>
      </c>
      <c r="AL63" s="323">
        <f t="shared" si="95"/>
        <v>-5.0377192820204808E-2</v>
      </c>
      <c r="AM63" s="323">
        <f t="shared" si="95"/>
        <v>0.1325274680811932</v>
      </c>
      <c r="AN63" s="323">
        <f>(AN61/AM61-1)</f>
        <v>-0.12159602974463524</v>
      </c>
      <c r="AO63" s="323">
        <f>(AO61/AN61-1)</f>
        <v>0.2066039310406742</v>
      </c>
      <c r="AP63" s="323">
        <f>(AP61/AO61-1)</f>
        <v>0.15507373878531605</v>
      </c>
      <c r="AQ63" s="323">
        <f t="shared" ref="AQ63:AY63" si="96">(AQ61/AP61-1)</f>
        <v>6.4283053516757116E-2</v>
      </c>
      <c r="AR63" s="323">
        <f t="shared" si="96"/>
        <v>-8.2198710248619355E-2</v>
      </c>
      <c r="AS63" s="323">
        <f t="shared" si="96"/>
        <v>0.25500214971645763</v>
      </c>
      <c r="AT63" s="323">
        <f t="shared" si="96"/>
        <v>0.10597838495054823</v>
      </c>
      <c r="AU63" s="323">
        <f t="shared" si="96"/>
        <v>3.0515013882918662E-2</v>
      </c>
      <c r="AV63" s="323">
        <f t="shared" si="96"/>
        <v>-0.13857303659049736</v>
      </c>
      <c r="AW63" s="323">
        <f t="shared" si="96"/>
        <v>0.18060835038043299</v>
      </c>
      <c r="AX63" s="323">
        <f t="shared" si="96"/>
        <v>0.12000079606238057</v>
      </c>
      <c r="AY63" s="323">
        <f t="shared" si="96"/>
        <v>-2.6327727897231035E-2</v>
      </c>
      <c r="AZ63" s="41">
        <f>(AZ61/AY61-1)</f>
        <v>-8.2173538550095793E-2</v>
      </c>
      <c r="BA63" s="41">
        <f t="shared" ref="BA63:CA63" si="97">(BA61/AZ61-1)</f>
        <v>0.11883295035671959</v>
      </c>
      <c r="BB63" s="41">
        <f t="shared" si="97"/>
        <v>0.113728325616131</v>
      </c>
      <c r="BC63" s="41">
        <f t="shared" si="97"/>
        <v>2.4644237030259752E-2</v>
      </c>
      <c r="BD63" s="41">
        <f t="shared" si="97"/>
        <v>-3.7966139662380938E-2</v>
      </c>
      <c r="BE63" s="41">
        <f t="shared" si="97"/>
        <v>0.13418340668533024</v>
      </c>
      <c r="BF63" s="41">
        <f t="shared" si="97"/>
        <v>0.19506827546438665</v>
      </c>
      <c r="BG63" s="41">
        <f t="shared" si="97"/>
        <v>5.1356979385645651E-2</v>
      </c>
      <c r="BH63" s="41">
        <f t="shared" si="97"/>
        <v>2.2814996677031019E-2</v>
      </c>
      <c r="BI63" s="41">
        <f t="shared" si="97"/>
        <v>0.14604638706704987</v>
      </c>
      <c r="BJ63" s="41">
        <f t="shared" si="97"/>
        <v>0.26274642320048147</v>
      </c>
      <c r="BK63" s="41">
        <f t="shared" si="97"/>
        <v>-0.11406877930107018</v>
      </c>
      <c r="BL63" s="41">
        <f t="shared" si="97"/>
        <v>0.13051443248328698</v>
      </c>
      <c r="BM63" s="41">
        <f t="shared" si="97"/>
        <v>0.16039511675771512</v>
      </c>
      <c r="BN63" s="41">
        <f t="shared" si="97"/>
        <v>0.2433540703467485</v>
      </c>
      <c r="BO63" s="41">
        <f t="shared" si="97"/>
        <v>-0.1354440160472854</v>
      </c>
      <c r="BP63" s="41">
        <f t="shared" si="97"/>
        <v>0.35950727683618888</v>
      </c>
      <c r="BQ63" s="41">
        <f t="shared" si="97"/>
        <v>0.10023785451665446</v>
      </c>
      <c r="BR63" s="41">
        <f t="shared" si="97"/>
        <v>0.16656562103637995</v>
      </c>
      <c r="BS63" s="41">
        <f t="shared" si="97"/>
        <v>-0.10818035090338951</v>
      </c>
      <c r="BT63" s="41">
        <f t="shared" si="97"/>
        <v>0.12039778515877964</v>
      </c>
      <c r="BU63" s="41">
        <f t="shared" si="97"/>
        <v>0.11652863909963762</v>
      </c>
      <c r="BV63" s="41">
        <f t="shared" si="97"/>
        <v>0.22034182907091582</v>
      </c>
      <c r="BW63" s="323">
        <f t="shared" si="97"/>
        <v>-0.17886700205403916</v>
      </c>
      <c r="BX63" s="323">
        <f t="shared" ca="1" si="97"/>
        <v>6.521803606060983E-2</v>
      </c>
      <c r="BY63" s="323">
        <f t="shared" ca="1" si="97"/>
        <v>0.19447391747947496</v>
      </c>
      <c r="BZ63" s="323">
        <f t="shared" ca="1" si="97"/>
        <v>0.18129089054064629</v>
      </c>
      <c r="CA63" s="323">
        <f t="shared" ca="1" si="97"/>
        <v>-0.11402934713178059</v>
      </c>
      <c r="CB63" s="323">
        <f ca="1">(CB61/CA61-1)</f>
        <v>8.5172927025188194E-2</v>
      </c>
      <c r="CC63" s="323">
        <f ca="1">(CC61/CB61-1)</f>
        <v>0.13160686919108144</v>
      </c>
      <c r="CD63" s="323">
        <f ca="1">(CD61/CC61-1)</f>
        <v>7.8162320731541834E-2</v>
      </c>
      <c r="CE63" s="323">
        <f ca="1">(CE61/CD61-1)</f>
        <v>-9.646503534675499E-2</v>
      </c>
      <c r="CF63" s="62"/>
      <c r="CG63" s="5"/>
      <c r="CH63" s="5"/>
    </row>
    <row r="64" spans="1:96" outlineLevel="1">
      <c r="B64" s="56"/>
      <c r="C64" s="6"/>
      <c r="D64" s="6"/>
      <c r="E64" s="6"/>
      <c r="F64" s="203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330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5"/>
      <c r="CG64" s="5"/>
      <c r="CH64" s="5"/>
    </row>
    <row r="65" spans="1:96" outlineLevel="1">
      <c r="A65" s="3" t="s">
        <v>126</v>
      </c>
      <c r="B65" s="56" t="s">
        <v>160</v>
      </c>
      <c r="C65" s="6"/>
      <c r="D65" s="6"/>
      <c r="E65" s="6"/>
      <c r="F65" s="6"/>
      <c r="G65" s="6"/>
      <c r="H65" s="203">
        <v>5.45</v>
      </c>
      <c r="I65" s="203">
        <v>6.84</v>
      </c>
      <c r="J65" s="203">
        <v>9.5950000000000006</v>
      </c>
      <c r="K65" s="126">
        <f>SUM(AJ65:AM65)</f>
        <v>10.798431082326001</v>
      </c>
      <c r="L65" s="126">
        <f>SUM(AN65:AQ65)</f>
        <v>14.2198887235401</v>
      </c>
      <c r="M65" s="126">
        <f>SUM(AR65:AU65)</f>
        <v>18.488787803433929</v>
      </c>
      <c r="N65" s="126">
        <f>SUM(AV65:AY65)</f>
        <v>21.284075616993391</v>
      </c>
      <c r="O65" s="126">
        <f>SUM(AZ65:BC65)</f>
        <v>27.676065487184495</v>
      </c>
      <c r="P65" s="126">
        <f>SUM(BD65:BG65)</f>
        <v>40.289082418051166</v>
      </c>
      <c r="Q65" s="126">
        <f>SUM(BH65:BK65)</f>
        <v>65.540617877339287</v>
      </c>
      <c r="R65" s="126">
        <f>SUM(BL65:BO65)</f>
        <v>101.51615296887189</v>
      </c>
      <c r="S65" s="207">
        <f>SUM(BP65:BS65)</f>
        <v>207</v>
      </c>
      <c r="T65" s="207">
        <f>SUM(BT65:BW65)</f>
        <v>266.77748621322382</v>
      </c>
      <c r="U65" s="534">
        <f t="shared" ref="U65:AD65" ca="1" si="98">+VLOOKUP($A65,INDIRECT($T$2),MATCH(U$4,Period_A_CTRP,FALSE),FALSE)</f>
        <v>330.80408290439755</v>
      </c>
      <c r="V65" s="534">
        <f t="shared" ca="1" si="98"/>
        <v>403.58098114336502</v>
      </c>
      <c r="W65" s="534">
        <f t="shared" ca="1" si="98"/>
        <v>468.15393812630339</v>
      </c>
      <c r="X65" s="534">
        <f t="shared" ca="1" si="98"/>
        <v>538.3770288452489</v>
      </c>
      <c r="Y65" s="534">
        <f t="shared" ca="1" si="98"/>
        <v>613.74981288358367</v>
      </c>
      <c r="Z65" s="534">
        <f t="shared" ca="1" si="98"/>
        <v>693.53728855844952</v>
      </c>
      <c r="AA65" s="534">
        <f t="shared" ca="1" si="98"/>
        <v>776.76176318546334</v>
      </c>
      <c r="AB65" s="534">
        <f t="shared" ca="1" si="98"/>
        <v>862.20555713586418</v>
      </c>
      <c r="AC65" s="534">
        <f t="shared" ca="1" si="98"/>
        <v>948.42611284945065</v>
      </c>
      <c r="AD65" s="534">
        <f t="shared" ca="1" si="98"/>
        <v>1024.3002018774068</v>
      </c>
      <c r="AE65" s="535"/>
      <c r="AF65" s="206">
        <v>1.92</v>
      </c>
      <c r="AG65" s="206">
        <v>2.41</v>
      </c>
      <c r="AH65" s="206">
        <v>2.52</v>
      </c>
      <c r="AI65" s="206">
        <v>2.7450000000000001</v>
      </c>
      <c r="AJ65" s="170">
        <f>AI65*(1+AJ67)</f>
        <v>2.38815</v>
      </c>
      <c r="AK65" s="170">
        <f>AJ65*(1+AK67)</f>
        <v>2.7224910000000002</v>
      </c>
      <c r="AL65" s="170">
        <f>AK65*(1+AL67)</f>
        <v>2.6408162700000002</v>
      </c>
      <c r="AM65" s="170">
        <f>AL65*(1+AM67)</f>
        <v>3.0469738123260002</v>
      </c>
      <c r="AN65" s="170">
        <f t="shared" ref="AN65:BB65" si="99">AJ65*(1+AN66)</f>
        <v>2.7941354999999999</v>
      </c>
      <c r="AO65" s="170">
        <f t="shared" si="99"/>
        <v>3.4303386600000003</v>
      </c>
      <c r="AP65" s="170">
        <f t="shared" si="99"/>
        <v>3.8819999169000003</v>
      </c>
      <c r="AQ65" s="170">
        <f t="shared" si="99"/>
        <v>4.1134146466401003</v>
      </c>
      <c r="AR65" s="170">
        <f t="shared" si="99"/>
        <v>3.6603175050000001</v>
      </c>
      <c r="AS65" s="170">
        <f t="shared" si="99"/>
        <v>4.5966538044000007</v>
      </c>
      <c r="AT65" s="170">
        <f t="shared" si="99"/>
        <v>5.0077798928010004</v>
      </c>
      <c r="AU65" s="170">
        <f t="shared" si="99"/>
        <v>5.2240366012329273</v>
      </c>
      <c r="AV65" s="170">
        <f t="shared" si="99"/>
        <v>4.3923810059999999</v>
      </c>
      <c r="AW65" s="170">
        <f t="shared" si="99"/>
        <v>5.2861518750600007</v>
      </c>
      <c r="AX65" s="170">
        <f t="shared" si="99"/>
        <v>5.8591024745771705</v>
      </c>
      <c r="AY65" s="170">
        <f t="shared" si="99"/>
        <v>5.7464402613562209</v>
      </c>
      <c r="AZ65" s="170">
        <f t="shared" si="99"/>
        <v>5.3147810172599996</v>
      </c>
      <c r="BA65" s="170">
        <f t="shared" si="99"/>
        <v>6.3433822500720005</v>
      </c>
      <c r="BB65" s="170">
        <f t="shared" si="99"/>
        <v>8.202743464408039</v>
      </c>
      <c r="BC65" s="170">
        <f t="shared" ref="BC65:BN65" si="100">AY65*(1+BC66)</f>
        <v>7.8151587554444593</v>
      </c>
      <c r="BD65" s="170">
        <f t="shared" si="100"/>
        <v>7.4938412343365988</v>
      </c>
      <c r="BE65" s="170">
        <f t="shared" si="100"/>
        <v>9.1979042626043999</v>
      </c>
      <c r="BF65" s="170">
        <f t="shared" si="100"/>
        <v>11.483840850171253</v>
      </c>
      <c r="BG65" s="170">
        <f t="shared" si="100"/>
        <v>12.113496070938913</v>
      </c>
      <c r="BH65" s="170">
        <f t="shared" si="100"/>
        <v>12.514714861342119</v>
      </c>
      <c r="BI65" s="170">
        <f t="shared" si="100"/>
        <v>15.084562990671216</v>
      </c>
      <c r="BJ65" s="170">
        <f t="shared" si="100"/>
        <v>19.407691036789416</v>
      </c>
      <c r="BK65" s="170">
        <f t="shared" si="100"/>
        <v>18.533648988536537</v>
      </c>
      <c r="BL65" s="170">
        <f t="shared" si="100"/>
        <v>20.023543778147392</v>
      </c>
      <c r="BM65" s="170">
        <f t="shared" si="100"/>
        <v>23.381072635540384</v>
      </c>
      <c r="BN65" s="170">
        <f t="shared" si="100"/>
        <v>29.111536555184124</v>
      </c>
      <c r="BO65" s="76">
        <v>29</v>
      </c>
      <c r="BP65" s="204">
        <v>50</v>
      </c>
      <c r="BQ65" s="204">
        <v>52</v>
      </c>
      <c r="BR65" s="204">
        <v>53</v>
      </c>
      <c r="BS65" s="204">
        <v>52</v>
      </c>
      <c r="BT65" s="204">
        <v>59</v>
      </c>
      <c r="BU65" s="607">
        <f>BU61/BU69</f>
        <v>65.102619352112683</v>
      </c>
      <c r="BV65" s="607">
        <f>BV61/BV69</f>
        <v>78.344012777777778</v>
      </c>
      <c r="BW65" s="607">
        <f>BW61/BW69</f>
        <v>64.330854083333335</v>
      </c>
      <c r="BX65" s="538">
        <f t="shared" ref="BX65:CE65" ca="1" si="101">+VLOOKUP($A65,INDIRECT($T$2),MATCH(BX$4,Period_A_CTRP,FALSE),FALSE)</f>
        <v>69.61999999999999</v>
      </c>
      <c r="BY65" s="538">
        <f t="shared" ca="1" si="101"/>
        <v>81.378274190140857</v>
      </c>
      <c r="BZ65" s="538">
        <f t="shared" ca="1" si="101"/>
        <v>94.796255461111102</v>
      </c>
      <c r="CA65" s="538">
        <f t="shared" ca="1" si="101"/>
        <v>85.009553253145612</v>
      </c>
      <c r="CB65" s="538">
        <f t="shared" ca="1" si="101"/>
        <v>92.594599999999986</v>
      </c>
      <c r="CC65" s="538">
        <f t="shared" ca="1" si="101"/>
        <v>102.53662547957748</v>
      </c>
      <c r="CD65" s="538">
        <f t="shared" ca="1" si="101"/>
        <v>109.01569378027776</v>
      </c>
      <c r="CE65" s="538">
        <f t="shared" ca="1" si="101"/>
        <v>99.434061883509798</v>
      </c>
      <c r="CF65" s="62"/>
      <c r="CG65" s="5"/>
      <c r="CH65" s="5"/>
    </row>
    <row r="66" spans="1:96" outlineLevel="1">
      <c r="A66" s="3" t="s">
        <v>494</v>
      </c>
      <c r="B66" s="56" t="s">
        <v>82</v>
      </c>
      <c r="C66" s="41"/>
      <c r="D66" s="41"/>
      <c r="E66" s="41"/>
      <c r="F66" s="41"/>
      <c r="G66" s="41"/>
      <c r="H66" s="41"/>
      <c r="I66" s="41">
        <f t="shared" ref="I66:N66" si="102">(I65/H65-1)</f>
        <v>0.25504587155963288</v>
      </c>
      <c r="J66" s="41">
        <f t="shared" si="102"/>
        <v>0.4027777777777779</v>
      </c>
      <c r="K66" s="41">
        <f t="shared" si="102"/>
        <v>0.12542272874684746</v>
      </c>
      <c r="L66" s="41">
        <f t="shared" si="102"/>
        <v>0.31684766195471337</v>
      </c>
      <c r="M66" s="41">
        <f t="shared" si="102"/>
        <v>0.30020622262865859</v>
      </c>
      <c r="N66" s="41">
        <f t="shared" si="102"/>
        <v>0.15118826844019995</v>
      </c>
      <c r="O66" s="41">
        <f t="shared" ref="O66:AD66" si="103">(O65/N65-1)</f>
        <v>0.30031794592421401</v>
      </c>
      <c r="P66" s="41">
        <f t="shared" si="103"/>
        <v>0.45573735676796878</v>
      </c>
      <c r="Q66" s="41">
        <f t="shared" si="103"/>
        <v>0.62675876301353517</v>
      </c>
      <c r="R66" s="41">
        <f t="shared" si="103"/>
        <v>0.54890442380115512</v>
      </c>
      <c r="S66" s="41">
        <f t="shared" si="103"/>
        <v>1.0390843619091124</v>
      </c>
      <c r="T66" s="323">
        <f t="shared" si="103"/>
        <v>0.2887801266339316</v>
      </c>
      <c r="U66" s="41">
        <f t="shared" ca="1" si="103"/>
        <v>0.24</v>
      </c>
      <c r="V66" s="41">
        <f t="shared" ca="1" si="103"/>
        <v>0.21999999999999997</v>
      </c>
      <c r="W66" s="41">
        <f t="shared" ca="1" si="103"/>
        <v>0.15999999999999992</v>
      </c>
      <c r="X66" s="41">
        <f t="shared" ca="1" si="103"/>
        <v>0.14999999999999991</v>
      </c>
      <c r="Y66" s="41">
        <f t="shared" ca="1" si="103"/>
        <v>0.1399999999999999</v>
      </c>
      <c r="Z66" s="41">
        <f t="shared" ca="1" si="103"/>
        <v>0.12999999999999989</v>
      </c>
      <c r="AA66" s="41">
        <f t="shared" ca="1" si="103"/>
        <v>0.11999999999999988</v>
      </c>
      <c r="AB66" s="41">
        <f t="shared" ca="1" si="103"/>
        <v>0.10999999999999988</v>
      </c>
      <c r="AC66" s="323">
        <f t="shared" ca="1" si="103"/>
        <v>0.10000000000000009</v>
      </c>
      <c r="AD66" s="323">
        <f t="shared" ca="1" si="103"/>
        <v>8.0000000000000071E-2</v>
      </c>
      <c r="AE66" s="328"/>
      <c r="AF66" s="205"/>
      <c r="AG66" s="126"/>
      <c r="AH66" s="126"/>
      <c r="AI66" s="323"/>
      <c r="AJ66" s="323">
        <f>(AJ65/AF65-1)</f>
        <v>0.24382812500000006</v>
      </c>
      <c r="AK66" s="323">
        <f>(AK65/AG65-1)</f>
        <v>0.12966431535269707</v>
      </c>
      <c r="AL66" s="323">
        <f>(AL65/AH65-1)</f>
        <v>4.7942964285714318E-2</v>
      </c>
      <c r="AM66" s="323">
        <f>(AM65/AI65-1)</f>
        <v>0.11000867479999998</v>
      </c>
      <c r="AN66" s="321">
        <v>0.17</v>
      </c>
      <c r="AO66" s="321">
        <v>0.26</v>
      </c>
      <c r="AP66" s="321">
        <v>0.47</v>
      </c>
      <c r="AQ66" s="321">
        <v>0.35</v>
      </c>
      <c r="AR66" s="321">
        <v>0.31</v>
      </c>
      <c r="AS66" s="321">
        <v>0.34</v>
      </c>
      <c r="AT66" s="321">
        <v>0.28999999999999998</v>
      </c>
      <c r="AU66" s="321">
        <v>0.27</v>
      </c>
      <c r="AV66" s="321">
        <v>0.2</v>
      </c>
      <c r="AW66" s="321">
        <v>0.15</v>
      </c>
      <c r="AX66" s="321">
        <v>0.17</v>
      </c>
      <c r="AY66" s="321">
        <v>0.1</v>
      </c>
      <c r="AZ66" s="318">
        <v>0.21</v>
      </c>
      <c r="BA66" s="318">
        <v>0.2</v>
      </c>
      <c r="BB66" s="318">
        <v>0.4</v>
      </c>
      <c r="BC66" s="318">
        <v>0.36</v>
      </c>
      <c r="BD66" s="318">
        <v>0.41</v>
      </c>
      <c r="BE66" s="318">
        <v>0.45</v>
      </c>
      <c r="BF66" s="318">
        <v>0.4</v>
      </c>
      <c r="BG66" s="318">
        <v>0.55000000000000004</v>
      </c>
      <c r="BH66" s="318">
        <v>0.67</v>
      </c>
      <c r="BI66" s="318">
        <v>0.64</v>
      </c>
      <c r="BJ66" s="318">
        <v>0.69</v>
      </c>
      <c r="BK66" s="318">
        <v>0.53</v>
      </c>
      <c r="BL66" s="318">
        <v>0.6</v>
      </c>
      <c r="BM66" s="318">
        <v>0.55000000000000004</v>
      </c>
      <c r="BN66" s="318">
        <v>0.5</v>
      </c>
      <c r="BO66" s="41">
        <f>(BO65/BK65-1)</f>
        <v>0.56472155148385128</v>
      </c>
      <c r="BP66" s="41">
        <f t="shared" ref="BP66:CA66" si="104">(BP65/BL65-1)</f>
        <v>1.4970604880923868</v>
      </c>
      <c r="BQ66" s="41">
        <f t="shared" si="104"/>
        <v>1.2240211478132714</v>
      </c>
      <c r="BR66" s="41">
        <f t="shared" si="104"/>
        <v>0.8205840801131421</v>
      </c>
      <c r="BS66" s="41">
        <f t="shared" si="104"/>
        <v>0.7931034482758621</v>
      </c>
      <c r="BT66" s="41">
        <f t="shared" si="104"/>
        <v>0.17999999999999994</v>
      </c>
      <c r="BU66" s="41">
        <f t="shared" si="104"/>
        <v>0.25197344907909014</v>
      </c>
      <c r="BV66" s="41">
        <f t="shared" si="104"/>
        <v>0.4781889203354297</v>
      </c>
      <c r="BW66" s="323">
        <f t="shared" si="104"/>
        <v>0.23713180929487176</v>
      </c>
      <c r="BX66" s="323">
        <f t="shared" ca="1" si="104"/>
        <v>0.17999999999999994</v>
      </c>
      <c r="BY66" s="323">
        <f t="shared" ca="1" si="104"/>
        <v>0.25</v>
      </c>
      <c r="BZ66" s="323">
        <f t="shared" ca="1" si="104"/>
        <v>0.20999999999999996</v>
      </c>
      <c r="CA66" s="323">
        <f t="shared" ca="1" si="104"/>
        <v>0.32144294467201329</v>
      </c>
      <c r="CB66" s="323">
        <f ca="1">(CB65/BX65-1)</f>
        <v>0.33000000000000007</v>
      </c>
      <c r="CC66" s="323">
        <f ca="1">(CC65/BY65-1)</f>
        <v>0.26</v>
      </c>
      <c r="CD66" s="323">
        <f ca="1">(CD65/BZ65-1)</f>
        <v>0.14999999999999991</v>
      </c>
      <c r="CE66" s="323">
        <f ca="1">(CE65/CA65-1)</f>
        <v>0.16968103087673203</v>
      </c>
      <c r="CF66" s="117"/>
      <c r="CG66" s="5"/>
      <c r="CH66" s="5"/>
    </row>
    <row r="67" spans="1:96" outlineLevel="1">
      <c r="B67" s="56" t="s">
        <v>83</v>
      </c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126"/>
      <c r="P67" s="126"/>
      <c r="Q67" s="126"/>
      <c r="R67" s="126"/>
      <c r="S67" s="126"/>
      <c r="T67" s="324"/>
      <c r="U67" s="6"/>
      <c r="V67" s="6"/>
      <c r="W67" s="6"/>
      <c r="X67" s="6"/>
      <c r="Y67" s="6"/>
      <c r="Z67" s="6"/>
      <c r="AA67" s="6"/>
      <c r="AB67" s="6"/>
      <c r="AC67" s="6"/>
      <c r="AD67" s="6"/>
      <c r="AE67" s="330"/>
      <c r="AF67" s="323">
        <f>(AF65/H65-1)</f>
        <v>-0.6477064220183486</v>
      </c>
      <c r="AG67" s="323">
        <f>(AG65/AF65-1)</f>
        <v>0.25520833333333348</v>
      </c>
      <c r="AH67" s="323">
        <f>(AH65/AG65-1)</f>
        <v>4.5643153526970792E-2</v>
      </c>
      <c r="AI67" s="323">
        <f>(AI65/AH65-1)</f>
        <v>8.9285714285714413E-2</v>
      </c>
      <c r="AJ67" s="321">
        <v>-0.13</v>
      </c>
      <c r="AK67" s="321">
        <v>0.14000000000000001</v>
      </c>
      <c r="AL67" s="321">
        <v>-0.03</v>
      </c>
      <c r="AM67" s="321">
        <v>0.15379999999999999</v>
      </c>
      <c r="AN67" s="323">
        <f t="shared" ref="AN67:AX67" si="105">(AN65/AM65-1)</f>
        <v>-8.2980139607103598E-2</v>
      </c>
      <c r="AO67" s="323">
        <f t="shared" si="105"/>
        <v>0.22769230769230786</v>
      </c>
      <c r="AP67" s="323">
        <f t="shared" si="105"/>
        <v>0.1316666666666666</v>
      </c>
      <c r="AQ67" s="323">
        <f t="shared" si="105"/>
        <v>5.9612244897959243E-2</v>
      </c>
      <c r="AR67" s="323">
        <f t="shared" si="105"/>
        <v>-0.11015109843355975</v>
      </c>
      <c r="AS67" s="323">
        <f t="shared" si="105"/>
        <v>0.25580739870816216</v>
      </c>
      <c r="AT67" s="323">
        <f t="shared" si="105"/>
        <v>8.9440298507462712E-2</v>
      </c>
      <c r="AU67" s="323">
        <f t="shared" si="105"/>
        <v>4.318414807783566E-2</v>
      </c>
      <c r="AV67" s="323">
        <f t="shared" si="105"/>
        <v>-0.15919788828367853</v>
      </c>
      <c r="AW67" s="323">
        <f t="shared" si="105"/>
        <v>0.20348209042865539</v>
      </c>
      <c r="AX67" s="323">
        <f t="shared" si="105"/>
        <v>0.10838708630759242</v>
      </c>
      <c r="AY67" s="126">
        <f>(AY65/AX65-1)*1</f>
        <v>-1.9228578730239754E-2</v>
      </c>
      <c r="AZ67" s="41">
        <f t="shared" ref="AZ67:BW67" si="106">(AZ65/AY65-1)</f>
        <v>-7.5117677112046644E-2</v>
      </c>
      <c r="BA67" s="41">
        <f t="shared" si="106"/>
        <v>0.19353595744990626</v>
      </c>
      <c r="BB67" s="41">
        <f t="shared" si="106"/>
        <v>0.29311826735885793</v>
      </c>
      <c r="BC67" s="41">
        <f t="shared" si="106"/>
        <v>-4.7250619337947386E-2</v>
      </c>
      <c r="BD67" s="41">
        <f t="shared" si="106"/>
        <v>-4.1114650535283515E-2</v>
      </c>
      <c r="BE67" s="41">
        <f t="shared" si="106"/>
        <v>0.22739513354777596</v>
      </c>
      <c r="BF67" s="41">
        <f t="shared" si="106"/>
        <v>0.24852798227751793</v>
      </c>
      <c r="BG67" s="41">
        <f t="shared" si="106"/>
        <v>5.482967144727291E-2</v>
      </c>
      <c r="BH67" s="41">
        <f t="shared" si="106"/>
        <v>3.3121634584565296E-2</v>
      </c>
      <c r="BI67" s="41">
        <f t="shared" si="106"/>
        <v>0.20534611917266643</v>
      </c>
      <c r="BJ67" s="41">
        <f t="shared" si="106"/>
        <v>0.28659285978597882</v>
      </c>
      <c r="BK67" s="41">
        <f t="shared" si="106"/>
        <v>-4.5035859577320925E-2</v>
      </c>
      <c r="BL67" s="41">
        <f t="shared" si="106"/>
        <v>8.0388637474055225E-2</v>
      </c>
      <c r="BM67" s="41">
        <f t="shared" si="106"/>
        <v>0.16767905294852037</v>
      </c>
      <c r="BN67" s="41">
        <f t="shared" si="106"/>
        <v>0.24508986430901158</v>
      </c>
      <c r="BO67" s="41">
        <f t="shared" si="106"/>
        <v>-3.8313523909222491E-3</v>
      </c>
      <c r="BP67" s="41">
        <f t="shared" si="106"/>
        <v>0.72413793103448265</v>
      </c>
      <c r="BQ67" s="41">
        <f t="shared" si="106"/>
        <v>4.0000000000000036E-2</v>
      </c>
      <c r="BR67" s="41">
        <f t="shared" si="106"/>
        <v>1.9230769230769162E-2</v>
      </c>
      <c r="BS67" s="41">
        <f t="shared" si="106"/>
        <v>-1.8867924528301883E-2</v>
      </c>
      <c r="BT67" s="41">
        <f t="shared" si="106"/>
        <v>0.13461538461538458</v>
      </c>
      <c r="BU67" s="41">
        <f t="shared" si="106"/>
        <v>0.10343422630699473</v>
      </c>
      <c r="BV67" s="41">
        <f t="shared" si="106"/>
        <v>0.20339263700048638</v>
      </c>
      <c r="BW67" s="323">
        <f t="shared" si="106"/>
        <v>-0.17886700205403905</v>
      </c>
      <c r="BX67" s="323">
        <f t="shared" ref="BX67:CE67" ca="1" si="107">(BX65/BW65-1)</f>
        <v>8.221787184443663E-2</v>
      </c>
      <c r="BY67" s="323">
        <f t="shared" ca="1" si="107"/>
        <v>0.1688921888845285</v>
      </c>
      <c r="BZ67" s="323">
        <f t="shared" ca="1" si="107"/>
        <v>0.16488407261647064</v>
      </c>
      <c r="CA67" s="323">
        <f t="shared" ca="1" si="107"/>
        <v>-0.10323933324539758</v>
      </c>
      <c r="CB67" s="323">
        <f t="shared" ca="1" si="107"/>
        <v>8.9225815882919113E-2</v>
      </c>
      <c r="CC67" s="323">
        <f t="shared" ca="1" si="107"/>
        <v>0.10737154736429</v>
      </c>
      <c r="CD67" s="323">
        <f t="shared" ca="1" si="107"/>
        <v>6.3187844054715114E-2</v>
      </c>
      <c r="CE67" s="323">
        <f t="shared" ca="1" si="107"/>
        <v>-8.7892225096322663E-2</v>
      </c>
      <c r="CF67" s="62"/>
      <c r="CG67" s="5"/>
      <c r="CH67" s="5"/>
    </row>
    <row r="68" spans="1:96" outlineLevel="1">
      <c r="B68" s="5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330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5"/>
      <c r="CG68" s="5"/>
      <c r="CH68" s="5"/>
    </row>
    <row r="69" spans="1:96" outlineLevel="1">
      <c r="A69" s="3" t="s">
        <v>151</v>
      </c>
      <c r="B69" s="56" t="s">
        <v>112</v>
      </c>
      <c r="C69" s="6"/>
      <c r="D69" s="6"/>
      <c r="E69" s="6"/>
      <c r="F69" s="6"/>
      <c r="G69" s="6"/>
      <c r="H69" s="6">
        <f t="shared" ref="H69:R69" si="108">H61/H65</f>
        <v>66.57922935779817</v>
      </c>
      <c r="I69" s="6">
        <f t="shared" si="108"/>
        <v>69.662954093567251</v>
      </c>
      <c r="J69" s="6">
        <f t="shared" si="108"/>
        <v>70.506642834809796</v>
      </c>
      <c r="K69" s="6">
        <f t="shared" si="108"/>
        <v>69.985458650277721</v>
      </c>
      <c r="L69" s="6">
        <f t="shared" si="108"/>
        <v>66.152566330759115</v>
      </c>
      <c r="M69" s="6">
        <f t="shared" si="108"/>
        <v>69.125336208500826</v>
      </c>
      <c r="N69" s="6">
        <f t="shared" si="108"/>
        <v>69.859686873732358</v>
      </c>
      <c r="O69" s="6">
        <f t="shared" si="108"/>
        <v>61.51526747139507</v>
      </c>
      <c r="P69" s="6">
        <f t="shared" si="108"/>
        <v>54.957093934905814</v>
      </c>
      <c r="Q69" s="6">
        <f t="shared" si="108"/>
        <v>48.846456391234234</v>
      </c>
      <c r="R69" s="6">
        <f t="shared" si="108"/>
        <v>45.476993158080099</v>
      </c>
      <c r="S69" s="407">
        <f>S61/S65</f>
        <v>35.308980014492754</v>
      </c>
      <c r="T69" s="407">
        <f>T61/T65</f>
        <v>35.675328057455232</v>
      </c>
      <c r="U69" s="534">
        <f t="shared" ref="U69:AD69" ca="1" si="109">+VLOOKUP($A69,INDIRECT($T$2),MATCH(U$4,Period_A_CTRP,FALSE),FALSE)</f>
        <v>36.210457978317059</v>
      </c>
      <c r="V69" s="534">
        <f t="shared" ca="1" si="109"/>
        <v>36.934667137883402</v>
      </c>
      <c r="W69" s="534">
        <f t="shared" ca="1" si="109"/>
        <v>37.673360480641072</v>
      </c>
      <c r="X69" s="534">
        <f t="shared" ca="1" si="109"/>
        <v>38.426827690253894</v>
      </c>
      <c r="Y69" s="534">
        <f t="shared" ca="1" si="109"/>
        <v>39.195364244058972</v>
      </c>
      <c r="Z69" s="534">
        <f t="shared" ca="1" si="109"/>
        <v>39.979271528940153</v>
      </c>
      <c r="AA69" s="534">
        <f t="shared" ca="1" si="109"/>
        <v>40.778856959518954</v>
      </c>
      <c r="AB69" s="534">
        <f t="shared" ca="1" si="109"/>
        <v>41.594434098709336</v>
      </c>
      <c r="AC69" s="534">
        <f t="shared" ca="1" si="109"/>
        <v>42.42632278068352</v>
      </c>
      <c r="AD69" s="534">
        <f t="shared" ca="1" si="109"/>
        <v>43.274849236297193</v>
      </c>
      <c r="AE69" s="535"/>
      <c r="AF69" s="6">
        <f t="shared" ref="AF69:BT69" si="110">AF61/AF65</f>
        <v>69.514723958333335</v>
      </c>
      <c r="AG69" s="6">
        <f t="shared" si="110"/>
        <v>71.1323244813278</v>
      </c>
      <c r="AH69" s="6">
        <f t="shared" si="110"/>
        <v>69.674092857142853</v>
      </c>
      <c r="AI69" s="6">
        <f t="shared" si="110"/>
        <v>71.415428779599267</v>
      </c>
      <c r="AJ69" s="6">
        <f t="shared" si="110"/>
        <v>71.683755208006204</v>
      </c>
      <c r="AK69" s="6">
        <f t="shared" si="110"/>
        <v>71.946302485481127</v>
      </c>
      <c r="AL69" s="6">
        <f t="shared" si="110"/>
        <v>70.434896631411618</v>
      </c>
      <c r="AM69" s="6">
        <f t="shared" si="110"/>
        <v>69.136293245391883</v>
      </c>
      <c r="AN69" s="6">
        <f t="shared" si="110"/>
        <v>66.224950078476866</v>
      </c>
      <c r="AO69" s="6">
        <f t="shared" si="110"/>
        <v>65.087387610878039</v>
      </c>
      <c r="AP69" s="6">
        <f t="shared" si="110"/>
        <v>66.433636661678307</v>
      </c>
      <c r="AQ69" s="6">
        <f t="shared" si="110"/>
        <v>66.726478504712446</v>
      </c>
      <c r="AR69" s="6">
        <f t="shared" si="110"/>
        <v>68.822524727947069</v>
      </c>
      <c r="AS69" s="6">
        <f t="shared" si="110"/>
        <v>68.778394339241956</v>
      </c>
      <c r="AT69" s="6">
        <f t="shared" si="110"/>
        <v>69.82247452661646</v>
      </c>
      <c r="AU69" s="6">
        <f t="shared" si="110"/>
        <v>68.974503148572779</v>
      </c>
      <c r="AV69" s="6">
        <f t="shared" si="110"/>
        <v>70.66644573319148</v>
      </c>
      <c r="AW69" s="6">
        <f t="shared" si="110"/>
        <v>69.323338160018437</v>
      </c>
      <c r="AX69" s="6">
        <f t="shared" si="110"/>
        <v>70.049709965111859</v>
      </c>
      <c r="AY69" s="6">
        <f t="shared" si="110"/>
        <v>69.542666907614347</v>
      </c>
      <c r="AZ69" s="123">
        <f t="shared" si="110"/>
        <v>69.012130849577929</v>
      </c>
      <c r="BA69" s="123">
        <f t="shared" si="110"/>
        <v>64.692685198868801</v>
      </c>
      <c r="BB69" s="123">
        <f t="shared" si="110"/>
        <v>55.718086879483188</v>
      </c>
      <c r="BC69" s="123">
        <f t="shared" si="110"/>
        <v>59.922596412229481</v>
      </c>
      <c r="BD69" s="123">
        <f t="shared" si="110"/>
        <v>60.119352934207612</v>
      </c>
      <c r="BE69" s="123">
        <f t="shared" si="110"/>
        <v>55.553725654382475</v>
      </c>
      <c r="BF69" s="123">
        <f t="shared" si="110"/>
        <v>53.17501574317739</v>
      </c>
      <c r="BG69" s="123">
        <f t="shared" si="110"/>
        <v>52.999953872956318</v>
      </c>
      <c r="BH69" s="123">
        <f t="shared" si="110"/>
        <v>52.471215227478012</v>
      </c>
      <c r="BI69" s="123">
        <f t="shared" si="110"/>
        <v>49.889774961688381</v>
      </c>
      <c r="BJ69" s="123">
        <f t="shared" si="110"/>
        <v>48.9650897779959</v>
      </c>
      <c r="BK69" s="123">
        <f t="shared" si="110"/>
        <v>45.425477169700002</v>
      </c>
      <c r="BL69" s="123">
        <f t="shared" si="110"/>
        <v>47.533041131246755</v>
      </c>
      <c r="BM69" s="123">
        <f t="shared" si="110"/>
        <v>47.236531882681703</v>
      </c>
      <c r="BN69" s="123">
        <f t="shared" si="110"/>
        <v>47.170678895527466</v>
      </c>
      <c r="BO69" s="123">
        <f t="shared" si="110"/>
        <v>40.938542689655172</v>
      </c>
      <c r="BP69" s="123">
        <f t="shared" si="110"/>
        <v>32.280623079999998</v>
      </c>
      <c r="BQ69" s="123">
        <f t="shared" si="110"/>
        <v>34.150349499999997</v>
      </c>
      <c r="BR69" s="123">
        <f t="shared" si="110"/>
        <v>39.086951528301888</v>
      </c>
      <c r="BS69" s="123">
        <f t="shared" si="110"/>
        <v>35.528867384615381</v>
      </c>
      <c r="BT69" s="123">
        <f t="shared" si="110"/>
        <v>35.083663474576277</v>
      </c>
      <c r="BU69" s="609">
        <v>35.5</v>
      </c>
      <c r="BV69" s="609">
        <v>36</v>
      </c>
      <c r="BW69" s="609">
        <v>36</v>
      </c>
      <c r="BX69" s="538">
        <f t="shared" ref="BX69:CE69" ca="1" si="111">+VLOOKUP($A69,INDIRECT($T$2),MATCH(BX$4,Period_A_CTRP,FALSE),FALSE)</f>
        <v>35.434500109322038</v>
      </c>
      <c r="BY69" s="538">
        <f t="shared" ca="1" si="111"/>
        <v>36.21</v>
      </c>
      <c r="BZ69" s="538">
        <f t="shared" ca="1" si="111"/>
        <v>36.72</v>
      </c>
      <c r="CA69" s="538">
        <f t="shared" ca="1" si="111"/>
        <v>36.278177198670107</v>
      </c>
      <c r="CB69" s="538">
        <f t="shared" ca="1" si="111"/>
        <v>36.143190111508481</v>
      </c>
      <c r="CC69" s="538">
        <f t="shared" ca="1" si="111"/>
        <v>36.934200000000004</v>
      </c>
      <c r="CD69" s="538">
        <f t="shared" ca="1" si="111"/>
        <v>37.4544</v>
      </c>
      <c r="CE69" s="538">
        <f t="shared" ca="1" si="111"/>
        <v>37.102369819928683</v>
      </c>
      <c r="CF69" s="62"/>
      <c r="CG69" s="5"/>
      <c r="CH69" s="5"/>
    </row>
    <row r="70" spans="1:96" outlineLevel="1">
      <c r="A70" s="3" t="s">
        <v>495</v>
      </c>
      <c r="B70" s="56" t="s">
        <v>82</v>
      </c>
      <c r="C70" s="6"/>
      <c r="D70" s="6"/>
      <c r="E70" s="6"/>
      <c r="F70" s="6"/>
      <c r="G70" s="6"/>
      <c r="H70" s="126"/>
      <c r="I70" s="126">
        <f>(I69/H69-1)*1</f>
        <v>4.6316618043099833E-2</v>
      </c>
      <c r="J70" s="126">
        <f>(J69/I69-1)*1</f>
        <v>1.2111010108893039E-2</v>
      </c>
      <c r="K70" s="126">
        <f>(K69/J69-1)*1</f>
        <v>-7.3919869614719191E-3</v>
      </c>
      <c r="L70" s="126">
        <f>(L69/K69-1)*1</f>
        <v>-5.4766981504998591E-2</v>
      </c>
      <c r="M70" s="126">
        <f>(M69/L69-1)*1</f>
        <v>4.4938088461723869E-2</v>
      </c>
      <c r="N70" s="41">
        <f>(N69/M69-1)</f>
        <v>1.062346609087772E-2</v>
      </c>
      <c r="O70" s="41">
        <f t="shared" ref="O70:AD70" si="112">(O69/N69-1)</f>
        <v>-0.11944541660227281</v>
      </c>
      <c r="P70" s="41">
        <f t="shared" si="112"/>
        <v>-0.10661050184881082</v>
      </c>
      <c r="Q70" s="41">
        <f t="shared" si="112"/>
        <v>-0.11118924066307712</v>
      </c>
      <c r="R70" s="41">
        <f t="shared" si="112"/>
        <v>-6.8980709801475082E-2</v>
      </c>
      <c r="S70" s="41">
        <f t="shared" si="112"/>
        <v>-0.22358587139309916</v>
      </c>
      <c r="T70" s="323">
        <f t="shared" si="112"/>
        <v>1.0375492093289251E-2</v>
      </c>
      <c r="U70" s="41">
        <f t="shared" ca="1" si="112"/>
        <v>1.4999999999999902E-2</v>
      </c>
      <c r="V70" s="41">
        <f t="shared" ca="1" si="112"/>
        <v>2.0000000000000018E-2</v>
      </c>
      <c r="W70" s="41">
        <f t="shared" ca="1" si="112"/>
        <v>2.0000000000000018E-2</v>
      </c>
      <c r="X70" s="41">
        <f t="shared" ca="1" si="112"/>
        <v>2.0000000000000018E-2</v>
      </c>
      <c r="Y70" s="41">
        <f t="shared" ca="1" si="112"/>
        <v>2.0000000000000018E-2</v>
      </c>
      <c r="Z70" s="41">
        <f t="shared" ca="1" si="112"/>
        <v>2.0000000000000018E-2</v>
      </c>
      <c r="AA70" s="41">
        <f t="shared" ca="1" si="112"/>
        <v>2.0000000000000018E-2</v>
      </c>
      <c r="AB70" s="41">
        <f t="shared" ca="1" si="112"/>
        <v>2.0000000000000018E-2</v>
      </c>
      <c r="AC70" s="323">
        <f t="shared" ca="1" si="112"/>
        <v>2.0000000000000018E-2</v>
      </c>
      <c r="AD70" s="323">
        <f t="shared" ca="1" si="112"/>
        <v>2.0000000000000018E-2</v>
      </c>
      <c r="AE70" s="323"/>
      <c r="AF70" s="126"/>
      <c r="AG70" s="126"/>
      <c r="AH70" s="126"/>
      <c r="AI70" s="323">
        <f>(AI69/H69-1)</f>
        <v>7.2638260737613258E-2</v>
      </c>
      <c r="AJ70" s="323">
        <f t="shared" ref="AJ70:CA70" si="113">(AJ69/AF69-1)</f>
        <v>3.1202472313246465E-2</v>
      </c>
      <c r="AK70" s="323">
        <f t="shared" si="113"/>
        <v>1.1443152042177385E-2</v>
      </c>
      <c r="AL70" s="323">
        <f t="shared" si="113"/>
        <v>1.0919464367174392E-2</v>
      </c>
      <c r="AM70" s="323">
        <f t="shared" si="113"/>
        <v>-3.1913769519485768E-2</v>
      </c>
      <c r="AN70" s="323">
        <f t="shared" si="113"/>
        <v>-7.6151216041757452E-2</v>
      </c>
      <c r="AO70" s="323">
        <f t="shared" si="113"/>
        <v>-9.5333806431362134E-2</v>
      </c>
      <c r="AP70" s="323">
        <f t="shared" si="113"/>
        <v>-5.6807919952975183E-2</v>
      </c>
      <c r="AQ70" s="323">
        <f t="shared" si="113"/>
        <v>-3.485600149441126E-2</v>
      </c>
      <c r="AR70" s="323">
        <f t="shared" si="113"/>
        <v>3.92235048330285E-2</v>
      </c>
      <c r="AS70" s="323">
        <f t="shared" si="113"/>
        <v>5.670847861386652E-2</v>
      </c>
      <c r="AT70" s="323">
        <f t="shared" si="113"/>
        <v>5.1010873937193058E-2</v>
      </c>
      <c r="AU70" s="323">
        <f t="shared" si="113"/>
        <v>3.3690143616698975E-2</v>
      </c>
      <c r="AV70" s="323">
        <f t="shared" si="113"/>
        <v>2.6792405720850399E-2</v>
      </c>
      <c r="AW70" s="323">
        <f t="shared" si="113"/>
        <v>7.9231832323476414E-3</v>
      </c>
      <c r="AX70" s="323">
        <f t="shared" si="113"/>
        <v>3.2544741508520048E-3</v>
      </c>
      <c r="AY70" s="323">
        <f t="shared" si="113"/>
        <v>8.2373012215504193E-3</v>
      </c>
      <c r="AZ70" s="323">
        <f t="shared" si="113"/>
        <v>-2.3410189467567011E-2</v>
      </c>
      <c r="BA70" s="323">
        <f t="shared" si="113"/>
        <v>-6.6797893524122354E-2</v>
      </c>
      <c r="BB70" s="323">
        <f t="shared" si="113"/>
        <v>-0.20459218307636839</v>
      </c>
      <c r="BC70" s="323">
        <f t="shared" si="113"/>
        <v>-0.13833335595491159</v>
      </c>
      <c r="BD70" s="323">
        <f t="shared" si="113"/>
        <v>-0.12885818487119938</v>
      </c>
      <c r="BE70" s="323">
        <f t="shared" si="113"/>
        <v>-0.14126727799893712</v>
      </c>
      <c r="BF70" s="323">
        <f t="shared" si="113"/>
        <v>-4.5641752592948781E-2</v>
      </c>
      <c r="BG70" s="323">
        <f t="shared" si="113"/>
        <v>-0.11552641163359767</v>
      </c>
      <c r="BH70" s="323">
        <f t="shared" si="113"/>
        <v>-0.12721590192594778</v>
      </c>
      <c r="BI70" s="323">
        <f t="shared" si="113"/>
        <v>-0.10195447066739227</v>
      </c>
      <c r="BJ70" s="323">
        <f t="shared" si="113"/>
        <v>-7.9171127762602378E-2</v>
      </c>
      <c r="BK70" s="323">
        <f t="shared" si="113"/>
        <v>-0.14291477916023732</v>
      </c>
      <c r="BL70" s="323">
        <f t="shared" si="113"/>
        <v>-9.4112058865471915E-2</v>
      </c>
      <c r="BM70" s="323">
        <f t="shared" si="113"/>
        <v>-5.3182101563780781E-2</v>
      </c>
      <c r="BN70" s="323">
        <f t="shared" si="113"/>
        <v>-3.6646739352550139E-2</v>
      </c>
      <c r="BO70" s="323">
        <f t="shared" si="113"/>
        <v>-9.8775725861559804E-2</v>
      </c>
      <c r="BP70" s="323">
        <f t="shared" si="113"/>
        <v>-0.32088033267495453</v>
      </c>
      <c r="BQ70" s="41">
        <f t="shared" si="113"/>
        <v>-0.27703520688570038</v>
      </c>
      <c r="BR70" s="41">
        <f t="shared" si="113"/>
        <v>-0.17137186821349826</v>
      </c>
      <c r="BS70" s="41">
        <f t="shared" si="113"/>
        <v>-0.1321413745977521</v>
      </c>
      <c r="BT70" s="41">
        <f t="shared" si="113"/>
        <v>8.6833528201410326E-2</v>
      </c>
      <c r="BU70" s="41">
        <f t="shared" si="113"/>
        <v>3.9520840042940097E-2</v>
      </c>
      <c r="BV70" s="41">
        <f t="shared" si="113"/>
        <v>-7.8976523049302139E-2</v>
      </c>
      <c r="BW70" s="323">
        <f t="shared" si="113"/>
        <v>1.3260558246464882E-2</v>
      </c>
      <c r="BX70" s="323">
        <f t="shared" ca="1" si="113"/>
        <v>1.0000000000000009E-2</v>
      </c>
      <c r="BY70" s="323">
        <f t="shared" ca="1" si="113"/>
        <v>2.0000000000000018E-2</v>
      </c>
      <c r="BZ70" s="323">
        <f t="shared" ca="1" si="113"/>
        <v>2.0000000000000018E-2</v>
      </c>
      <c r="CA70" s="323">
        <f t="shared" ca="1" si="113"/>
        <v>7.7271444075028839E-3</v>
      </c>
      <c r="CB70" s="323">
        <f ca="1">(CB69/BX69-1)</f>
        <v>2.0000000000000018E-2</v>
      </c>
      <c r="CC70" s="323">
        <f ca="1">(CC69/BY69-1)</f>
        <v>2.0000000000000018E-2</v>
      </c>
      <c r="CD70" s="323">
        <f ca="1">(CD69/BZ69-1)</f>
        <v>2.0000000000000018E-2</v>
      </c>
      <c r="CE70" s="323">
        <f ca="1">(CE69/CA69-1)</f>
        <v>2.271868888960582E-2</v>
      </c>
      <c r="CF70" s="62"/>
      <c r="CG70" s="5"/>
      <c r="CH70" s="5"/>
    </row>
    <row r="71" spans="1:96" outlineLevel="1">
      <c r="B71" s="56" t="s">
        <v>83</v>
      </c>
      <c r="C71" s="6"/>
      <c r="D71" s="6"/>
      <c r="E71" s="6"/>
      <c r="F71" s="6"/>
      <c r="G71" s="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323">
        <f>(AF69/H69-1)</f>
        <v>4.4090245994884647E-2</v>
      </c>
      <c r="AG71" s="323">
        <f>(AG69/I69-1)</f>
        <v>2.1092565006459285E-2</v>
      </c>
      <c r="AH71" s="323">
        <f>(AH69/AG69-1)</f>
        <v>-2.0500266718652349E-2</v>
      </c>
      <c r="AI71" s="323">
        <f t="shared" ref="AI71:AY71" si="114">(AI69/AH69-1)</f>
        <v>2.4992588364613377E-2</v>
      </c>
      <c r="AJ71" s="323">
        <f t="shared" si="114"/>
        <v>3.7572613228304963E-3</v>
      </c>
      <c r="AK71" s="323">
        <f>(AK69/AJ69-1)</f>
        <v>3.662577061052108E-3</v>
      </c>
      <c r="AL71" s="323">
        <f t="shared" si="114"/>
        <v>-2.1007415278561536E-2</v>
      </c>
      <c r="AM71" s="323">
        <f t="shared" si="114"/>
        <v>-1.8436931806904977E-2</v>
      </c>
      <c r="AN71" s="323">
        <f>(AN69/AM69-1)</f>
        <v>-4.2110200449733681E-2</v>
      </c>
      <c r="AO71" s="323">
        <f t="shared" si="114"/>
        <v>-1.7177249152333207E-2</v>
      </c>
      <c r="AP71" s="323">
        <f t="shared" si="114"/>
        <v>2.0683716157863907E-2</v>
      </c>
      <c r="AQ71" s="323">
        <f>(AQ69/AP69-1)</f>
        <v>4.4080357142795012E-3</v>
      </c>
      <c r="AR71" s="323">
        <f t="shared" si="114"/>
        <v>3.1412510748436873E-2</v>
      </c>
      <c r="AS71" s="323">
        <f t="shared" si="114"/>
        <v>-6.4122013656953136E-4</v>
      </c>
      <c r="AT71" s="323">
        <f>(AT69/AS69-1)</f>
        <v>1.518035129207429E-2</v>
      </c>
      <c r="AU71" s="323">
        <f t="shared" si="114"/>
        <v>-1.2144676678859767E-2</v>
      </c>
      <c r="AV71" s="323">
        <f t="shared" si="114"/>
        <v>2.4529971328306921E-2</v>
      </c>
      <c r="AW71" s="323">
        <f>(AW69/AV69-1)</f>
        <v>-1.9006298664631993E-2</v>
      </c>
      <c r="AX71" s="323">
        <f t="shared" si="114"/>
        <v>1.0478026944068075E-2</v>
      </c>
      <c r="AY71" s="323">
        <f t="shared" si="114"/>
        <v>-7.2383320038019727E-3</v>
      </c>
      <c r="AZ71" s="323">
        <f>(AZ69/AY69-1)</f>
        <v>-7.6289288522860543E-3</v>
      </c>
      <c r="BA71" s="41">
        <f t="shared" ref="BA71:CA71" si="115">(BA69/AZ69-1)</f>
        <v>-6.2589657753417183E-2</v>
      </c>
      <c r="BB71" s="41">
        <f t="shared" si="115"/>
        <v>-0.13872663179457179</v>
      </c>
      <c r="BC71" s="41">
        <f t="shared" si="115"/>
        <v>7.5460407351037428E-2</v>
      </c>
      <c r="BD71" s="41">
        <f t="shared" si="115"/>
        <v>3.2835112922104948E-3</v>
      </c>
      <c r="BE71" s="41">
        <f t="shared" si="115"/>
        <v>-7.5942721552934689E-2</v>
      </c>
      <c r="BF71" s="41">
        <f t="shared" si="115"/>
        <v>-4.2818188756660547E-2</v>
      </c>
      <c r="BG71" s="41">
        <f t="shared" si="115"/>
        <v>-3.2921827624194933E-3</v>
      </c>
      <c r="BH71" s="41">
        <f t="shared" si="115"/>
        <v>-9.9762095405916407E-3</v>
      </c>
      <c r="BI71" s="41">
        <f t="shared" si="115"/>
        <v>-4.9197264721206335E-2</v>
      </c>
      <c r="BJ71" s="41">
        <f t="shared" si="115"/>
        <v>-1.8534563132476922E-2</v>
      </c>
      <c r="BK71" s="41">
        <f t="shared" si="115"/>
        <v>-7.2288494197483177E-2</v>
      </c>
      <c r="BL71" s="41">
        <f t="shared" si="115"/>
        <v>4.6396077550783676E-2</v>
      </c>
      <c r="BM71" s="41">
        <f t="shared" si="115"/>
        <v>-6.2379608270032305E-3</v>
      </c>
      <c r="BN71" s="41">
        <f t="shared" si="115"/>
        <v>-1.3941113906879021E-3</v>
      </c>
      <c r="BO71" s="41">
        <f t="shared" si="115"/>
        <v>-0.1321188575571508</v>
      </c>
      <c r="BP71" s="41">
        <f t="shared" si="115"/>
        <v>-0.21148577943501046</v>
      </c>
      <c r="BQ71" s="41">
        <f t="shared" si="115"/>
        <v>5.7921013958321721E-2</v>
      </c>
      <c r="BR71" s="41">
        <f t="shared" si="115"/>
        <v>0.14455494894135401</v>
      </c>
      <c r="BS71" s="41">
        <f t="shared" si="115"/>
        <v>-9.1029973036147016E-2</v>
      </c>
      <c r="BT71" s="41">
        <f t="shared" si="115"/>
        <v>-1.2530765622770335E-2</v>
      </c>
      <c r="BU71" s="41">
        <f t="shared" si="115"/>
        <v>1.1866962688358518E-2</v>
      </c>
      <c r="BV71" s="41">
        <f t="shared" si="115"/>
        <v>1.4084507042253502E-2</v>
      </c>
      <c r="BW71" s="323">
        <f t="shared" si="115"/>
        <v>0</v>
      </c>
      <c r="BX71" s="323">
        <f t="shared" ca="1" si="115"/>
        <v>-1.5708330296610118E-2</v>
      </c>
      <c r="BY71" s="323">
        <f t="shared" ca="1" si="115"/>
        <v>2.1885447467451247E-2</v>
      </c>
      <c r="BZ71" s="323">
        <f t="shared" ca="1" si="115"/>
        <v>1.4084507042253502E-2</v>
      </c>
      <c r="CA71" s="323">
        <f t="shared" ca="1" si="115"/>
        <v>-1.2032211365193168E-2</v>
      </c>
      <c r="CB71" s="323">
        <f ca="1">(CB69/CA69-1)</f>
        <v>-3.7208894598644848E-3</v>
      </c>
      <c r="CC71" s="323">
        <f ca="1">(CC69/CB69-1)</f>
        <v>2.1885447467451247E-2</v>
      </c>
      <c r="CD71" s="323">
        <f ca="1">(CD69/CC69-1)</f>
        <v>1.4084507042253502E-2</v>
      </c>
      <c r="CE71" s="323">
        <f ca="1">(CE69/CD69-1)</f>
        <v>-9.3989005316148511E-3</v>
      </c>
      <c r="CF71" s="62"/>
      <c r="CG71" s="5"/>
      <c r="CH71" s="5"/>
    </row>
    <row r="72" spans="1:96" outlineLevel="1">
      <c r="B72" s="5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</row>
    <row r="73" spans="1:96" s="160" customFormat="1" outlineLevel="1">
      <c r="A73" s="3" t="s">
        <v>150</v>
      </c>
      <c r="B73" s="13" t="s">
        <v>605</v>
      </c>
      <c r="C73" s="6"/>
      <c r="D73" s="6"/>
      <c r="E73" s="6"/>
      <c r="F73" s="6"/>
      <c r="G73" s="6"/>
      <c r="H73" s="326">
        <v>0.14888764055092385</v>
      </c>
      <c r="I73" s="326">
        <v>0.14888764055092385</v>
      </c>
      <c r="J73" s="323">
        <f>J69/J77</f>
        <v>0.14888764055092385</v>
      </c>
      <c r="K73" s="323">
        <f>K69/K77</f>
        <v>0.14827362361722773</v>
      </c>
      <c r="L73" s="323">
        <f>L69/L77</f>
        <v>0.15007816265879645</v>
      </c>
      <c r="M73" s="323">
        <f>M69/M77</f>
        <v>0.1500561408531926</v>
      </c>
      <c r="N73" s="41">
        <f t="shared" ref="N73:T73" si="116">N69/N77</f>
        <v>0.14615703020152104</v>
      </c>
      <c r="O73" s="41">
        <f t="shared" si="116"/>
        <v>0.13969893030191308</v>
      </c>
      <c r="P73" s="41">
        <f t="shared" si="116"/>
        <v>0.13872546029860428</v>
      </c>
      <c r="Q73" s="41">
        <f t="shared" si="116"/>
        <v>0.1360827270204519</v>
      </c>
      <c r="R73" s="41">
        <f t="shared" si="116"/>
        <v>0.13240137468673177</v>
      </c>
      <c r="S73" s="41">
        <f t="shared" si="116"/>
        <v>0.13017431600674323</v>
      </c>
      <c r="T73" s="323">
        <f t="shared" si="116"/>
        <v>0.12009901450338224</v>
      </c>
      <c r="U73" s="42">
        <v>0.115</v>
      </c>
      <c r="V73" s="42">
        <v>0.11</v>
      </c>
      <c r="W73" s="42">
        <v>0.1</v>
      </c>
      <c r="X73" s="42">
        <f t="shared" ref="X73:AD73" si="117">W73</f>
        <v>0.1</v>
      </c>
      <c r="Y73" s="42">
        <f t="shared" si="117"/>
        <v>0.1</v>
      </c>
      <c r="Z73" s="42">
        <f t="shared" si="117"/>
        <v>0.1</v>
      </c>
      <c r="AA73" s="42">
        <f t="shared" si="117"/>
        <v>0.1</v>
      </c>
      <c r="AB73" s="42">
        <f t="shared" si="117"/>
        <v>0.1</v>
      </c>
      <c r="AC73" s="42">
        <f t="shared" si="117"/>
        <v>0.1</v>
      </c>
      <c r="AD73" s="42">
        <f t="shared" si="117"/>
        <v>0.1</v>
      </c>
      <c r="AE73" s="42"/>
      <c r="AF73" s="326">
        <v>0.14499999999999999</v>
      </c>
      <c r="AG73" s="326">
        <v>0.15</v>
      </c>
      <c r="AH73" s="326">
        <v>0.15</v>
      </c>
      <c r="AI73" s="326">
        <v>0.15</v>
      </c>
      <c r="AJ73" s="326">
        <v>0.15</v>
      </c>
      <c r="AK73" s="326">
        <v>0.15</v>
      </c>
      <c r="AL73" s="326">
        <v>0.15</v>
      </c>
      <c r="AM73" s="326">
        <v>0.15</v>
      </c>
      <c r="AN73" s="326">
        <v>0.15</v>
      </c>
      <c r="AO73" s="326">
        <v>0.15</v>
      </c>
      <c r="AP73" s="326">
        <v>0.15</v>
      </c>
      <c r="AQ73" s="326">
        <v>0.15</v>
      </c>
      <c r="AR73" s="326">
        <v>0.15</v>
      </c>
      <c r="AS73" s="326">
        <v>0.15</v>
      </c>
      <c r="AT73" s="326">
        <v>0.15</v>
      </c>
      <c r="AU73" s="326">
        <v>0.15</v>
      </c>
      <c r="AV73" s="326">
        <v>0.15</v>
      </c>
      <c r="AW73" s="326">
        <v>0.14499999999999999</v>
      </c>
      <c r="AX73" s="326">
        <v>0.14499999999999999</v>
      </c>
      <c r="AY73" s="326">
        <v>0.14499999999999999</v>
      </c>
      <c r="AZ73" s="318">
        <v>0.14299999999999999</v>
      </c>
      <c r="BA73" s="318">
        <v>0.14199999999999999</v>
      </c>
      <c r="BB73" s="318">
        <v>0.14099999999999999</v>
      </c>
      <c r="BC73" s="318">
        <v>0.13999999999999999</v>
      </c>
      <c r="BD73" s="318">
        <v>0.13999999999999999</v>
      </c>
      <c r="BE73" s="318">
        <v>0.13999999999999999</v>
      </c>
      <c r="BF73" s="318">
        <v>0.13999999999999999</v>
      </c>
      <c r="BG73" s="318">
        <v>0.13999999999999999</v>
      </c>
      <c r="BH73" s="318">
        <v>0.13999999999999999</v>
      </c>
      <c r="BI73" s="318">
        <v>0.13999999999999999</v>
      </c>
      <c r="BJ73" s="318">
        <v>0.13999999999999999</v>
      </c>
      <c r="BK73" s="318">
        <v>0.128</v>
      </c>
      <c r="BL73" s="318">
        <v>0.128</v>
      </c>
      <c r="BM73" s="42">
        <v>0.13500000000000001</v>
      </c>
      <c r="BN73" s="42">
        <f>BM73</f>
        <v>0.13500000000000001</v>
      </c>
      <c r="BO73" s="42">
        <f>BN73</f>
        <v>0.13500000000000001</v>
      </c>
      <c r="BP73" s="357">
        <v>0.13</v>
      </c>
      <c r="BQ73" s="357">
        <f>BP73</f>
        <v>0.13</v>
      </c>
      <c r="BR73" s="357">
        <f>BQ73</f>
        <v>0.13</v>
      </c>
      <c r="BS73" s="357">
        <f>BR73</f>
        <v>0.13</v>
      </c>
      <c r="BT73" s="357">
        <v>0.12</v>
      </c>
      <c r="BU73" s="357">
        <f t="shared" ref="BU73:CA73" si="118">BT73</f>
        <v>0.12</v>
      </c>
      <c r="BV73" s="357">
        <f t="shared" si="118"/>
        <v>0.12</v>
      </c>
      <c r="BW73" s="357">
        <f t="shared" si="118"/>
        <v>0.12</v>
      </c>
      <c r="BX73" s="357">
        <f>U73</f>
        <v>0.115</v>
      </c>
      <c r="BY73" s="357">
        <f t="shared" si="118"/>
        <v>0.115</v>
      </c>
      <c r="BZ73" s="357">
        <f t="shared" si="118"/>
        <v>0.115</v>
      </c>
      <c r="CA73" s="357">
        <f t="shared" si="118"/>
        <v>0.115</v>
      </c>
      <c r="CB73" s="357">
        <f>Y73</f>
        <v>0.1</v>
      </c>
      <c r="CC73" s="357">
        <f>CB73</f>
        <v>0.1</v>
      </c>
      <c r="CD73" s="357">
        <f>CC73</f>
        <v>0.1</v>
      </c>
      <c r="CE73" s="357">
        <f>CD73</f>
        <v>0.1</v>
      </c>
      <c r="CF73" s="650"/>
      <c r="CG73" s="5"/>
      <c r="CH73" s="5"/>
      <c r="CI73" s="161"/>
      <c r="CJ73"/>
      <c r="CK73"/>
      <c r="CL73"/>
      <c r="CM73"/>
      <c r="CN73"/>
      <c r="CO73"/>
      <c r="CP73" s="161"/>
      <c r="CQ73" s="161"/>
      <c r="CR73" s="161"/>
    </row>
    <row r="74" spans="1:96" outlineLevel="1">
      <c r="B74" s="12" t="s">
        <v>113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323">
        <f>O73-N73</f>
        <v>-6.4580998996079664E-3</v>
      </c>
      <c r="P74" s="323">
        <f t="shared" ref="P74:AD74" si="119">P73-O73</f>
        <v>-9.7347000330880173E-4</v>
      </c>
      <c r="Q74" s="323">
        <f t="shared" si="119"/>
        <v>-2.6427332781523705E-3</v>
      </c>
      <c r="R74" s="323">
        <f t="shared" si="119"/>
        <v>-3.6813523337201337E-3</v>
      </c>
      <c r="S74" s="323">
        <f t="shared" si="119"/>
        <v>-2.2270586799885417E-3</v>
      </c>
      <c r="T74" s="323">
        <f t="shared" si="119"/>
        <v>-1.0075301503360987E-2</v>
      </c>
      <c r="U74" s="323">
        <f t="shared" si="119"/>
        <v>-5.0990145033822376E-3</v>
      </c>
      <c r="V74" s="323">
        <f t="shared" si="119"/>
        <v>-5.0000000000000044E-3</v>
      </c>
      <c r="W74" s="323">
        <f t="shared" si="119"/>
        <v>-9.999999999999995E-3</v>
      </c>
      <c r="X74" s="323">
        <f t="shared" si="119"/>
        <v>0</v>
      </c>
      <c r="Y74" s="323">
        <f t="shared" si="119"/>
        <v>0</v>
      </c>
      <c r="Z74" s="323">
        <f t="shared" si="119"/>
        <v>0</v>
      </c>
      <c r="AA74" s="323">
        <f t="shared" si="119"/>
        <v>0</v>
      </c>
      <c r="AB74" s="323">
        <f t="shared" si="119"/>
        <v>0</v>
      </c>
      <c r="AC74" s="323">
        <f t="shared" si="119"/>
        <v>0</v>
      </c>
      <c r="AD74" s="323">
        <f t="shared" si="119"/>
        <v>0</v>
      </c>
      <c r="AE74" s="323"/>
      <c r="AF74" s="323"/>
      <c r="AG74" s="323"/>
      <c r="AH74" s="323"/>
      <c r="AI74" s="323"/>
      <c r="AJ74" s="323">
        <f t="shared" ref="AJ74:CA74" si="120">AJ73-AF73</f>
        <v>5.0000000000000044E-3</v>
      </c>
      <c r="AK74" s="323">
        <f t="shared" si="120"/>
        <v>0</v>
      </c>
      <c r="AL74" s="323">
        <f t="shared" si="120"/>
        <v>0</v>
      </c>
      <c r="AM74" s="323">
        <f t="shared" si="120"/>
        <v>0</v>
      </c>
      <c r="AN74" s="323">
        <f t="shared" si="120"/>
        <v>0</v>
      </c>
      <c r="AO74" s="323">
        <f t="shared" si="120"/>
        <v>0</v>
      </c>
      <c r="AP74" s="323">
        <f t="shared" si="120"/>
        <v>0</v>
      </c>
      <c r="AQ74" s="323">
        <f t="shared" si="120"/>
        <v>0</v>
      </c>
      <c r="AR74" s="323">
        <f t="shared" si="120"/>
        <v>0</v>
      </c>
      <c r="AS74" s="323">
        <f t="shared" si="120"/>
        <v>0</v>
      </c>
      <c r="AT74" s="323">
        <f t="shared" si="120"/>
        <v>0</v>
      </c>
      <c r="AU74" s="323">
        <f t="shared" si="120"/>
        <v>0</v>
      </c>
      <c r="AV74" s="323">
        <f t="shared" si="120"/>
        <v>0</v>
      </c>
      <c r="AW74" s="323">
        <f t="shared" si="120"/>
        <v>-5.0000000000000044E-3</v>
      </c>
      <c r="AX74" s="323">
        <f t="shared" si="120"/>
        <v>-5.0000000000000044E-3</v>
      </c>
      <c r="AY74" s="323">
        <f t="shared" si="120"/>
        <v>-5.0000000000000044E-3</v>
      </c>
      <c r="AZ74" s="323">
        <f t="shared" si="120"/>
        <v>-7.0000000000000062E-3</v>
      </c>
      <c r="BA74" s="323">
        <f t="shared" si="120"/>
        <v>-3.0000000000000027E-3</v>
      </c>
      <c r="BB74" s="323">
        <f t="shared" si="120"/>
        <v>-4.0000000000000036E-3</v>
      </c>
      <c r="BC74" s="323">
        <f t="shared" si="120"/>
        <v>-5.0000000000000044E-3</v>
      </c>
      <c r="BD74" s="323">
        <f t="shared" si="120"/>
        <v>-3.0000000000000027E-3</v>
      </c>
      <c r="BE74" s="323">
        <f t="shared" si="120"/>
        <v>-2.0000000000000018E-3</v>
      </c>
      <c r="BF74" s="323">
        <f t="shared" si="120"/>
        <v>-1.0000000000000009E-3</v>
      </c>
      <c r="BG74" s="323">
        <f t="shared" si="120"/>
        <v>0</v>
      </c>
      <c r="BH74" s="323">
        <f t="shared" si="120"/>
        <v>0</v>
      </c>
      <c r="BI74" s="323">
        <f t="shared" si="120"/>
        <v>0</v>
      </c>
      <c r="BJ74" s="323">
        <f t="shared" si="120"/>
        <v>0</v>
      </c>
      <c r="BK74" s="323">
        <f t="shared" si="120"/>
        <v>-1.1999999999999983E-2</v>
      </c>
      <c r="BL74" s="323">
        <f t="shared" si="120"/>
        <v>-1.1999999999999983E-2</v>
      </c>
      <c r="BM74" s="323">
        <f t="shared" si="120"/>
        <v>-4.9999999999999767E-3</v>
      </c>
      <c r="BN74" s="323">
        <f t="shared" si="120"/>
        <v>-4.9999999999999767E-3</v>
      </c>
      <c r="BO74" s="323">
        <f t="shared" si="120"/>
        <v>7.0000000000000062E-3</v>
      </c>
      <c r="BP74" s="323">
        <f t="shared" si="120"/>
        <v>2.0000000000000018E-3</v>
      </c>
      <c r="BQ74" s="323">
        <f t="shared" si="120"/>
        <v>-5.0000000000000044E-3</v>
      </c>
      <c r="BR74" s="323">
        <f t="shared" si="120"/>
        <v>-5.0000000000000044E-3</v>
      </c>
      <c r="BS74" s="323">
        <f t="shared" si="120"/>
        <v>-5.0000000000000044E-3</v>
      </c>
      <c r="BT74" s="323">
        <f t="shared" si="120"/>
        <v>-1.0000000000000009E-2</v>
      </c>
      <c r="BU74" s="323">
        <f t="shared" si="120"/>
        <v>-1.0000000000000009E-2</v>
      </c>
      <c r="BV74" s="323">
        <f t="shared" si="120"/>
        <v>-1.0000000000000009E-2</v>
      </c>
      <c r="BW74" s="323">
        <f t="shared" si="120"/>
        <v>-1.0000000000000009E-2</v>
      </c>
      <c r="BX74" s="323">
        <f t="shared" si="120"/>
        <v>-4.9999999999999906E-3</v>
      </c>
      <c r="BY74" s="323">
        <f t="shared" si="120"/>
        <v>-4.9999999999999906E-3</v>
      </c>
      <c r="BZ74" s="323">
        <f t="shared" si="120"/>
        <v>-4.9999999999999906E-3</v>
      </c>
      <c r="CA74" s="323">
        <f t="shared" si="120"/>
        <v>-4.9999999999999906E-3</v>
      </c>
      <c r="CB74" s="323">
        <f>CB73-BX73</f>
        <v>-1.4999999999999999E-2</v>
      </c>
      <c r="CC74" s="323">
        <f>CC73-BY73</f>
        <v>-1.4999999999999999E-2</v>
      </c>
      <c r="CD74" s="323">
        <f>CD73-BZ73</f>
        <v>-1.4999999999999999E-2</v>
      </c>
      <c r="CE74" s="323">
        <f>CE73-CA73</f>
        <v>-1.4999999999999999E-2</v>
      </c>
      <c r="CF74" s="5"/>
      <c r="CG74" s="5"/>
      <c r="CH74" s="5"/>
    </row>
    <row r="75" spans="1:96" outlineLevel="1">
      <c r="B75" s="12" t="s">
        <v>114</v>
      </c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323"/>
      <c r="AG75" s="323">
        <f t="shared" ref="AG75:CA75" si="121">AG73-AF73</f>
        <v>5.0000000000000044E-3</v>
      </c>
      <c r="AH75" s="323">
        <f t="shared" si="121"/>
        <v>0</v>
      </c>
      <c r="AI75" s="323">
        <f t="shared" si="121"/>
        <v>0</v>
      </c>
      <c r="AJ75" s="323">
        <f t="shared" si="121"/>
        <v>0</v>
      </c>
      <c r="AK75" s="323">
        <f t="shared" si="121"/>
        <v>0</v>
      </c>
      <c r="AL75" s="323">
        <f t="shared" si="121"/>
        <v>0</v>
      </c>
      <c r="AM75" s="323">
        <f t="shared" si="121"/>
        <v>0</v>
      </c>
      <c r="AN75" s="323">
        <f t="shared" si="121"/>
        <v>0</v>
      </c>
      <c r="AO75" s="323">
        <f t="shared" si="121"/>
        <v>0</v>
      </c>
      <c r="AP75" s="323">
        <f t="shared" si="121"/>
        <v>0</v>
      </c>
      <c r="AQ75" s="323">
        <f t="shared" si="121"/>
        <v>0</v>
      </c>
      <c r="AR75" s="323">
        <f t="shared" si="121"/>
        <v>0</v>
      </c>
      <c r="AS75" s="323">
        <f t="shared" si="121"/>
        <v>0</v>
      </c>
      <c r="AT75" s="323">
        <f t="shared" si="121"/>
        <v>0</v>
      </c>
      <c r="AU75" s="323">
        <f t="shared" si="121"/>
        <v>0</v>
      </c>
      <c r="AV75" s="323">
        <f t="shared" si="121"/>
        <v>0</v>
      </c>
      <c r="AW75" s="323">
        <f t="shared" si="121"/>
        <v>-5.0000000000000044E-3</v>
      </c>
      <c r="AX75" s="323">
        <f t="shared" si="121"/>
        <v>0</v>
      </c>
      <c r="AY75" s="323">
        <f t="shared" si="121"/>
        <v>0</v>
      </c>
      <c r="AZ75" s="323">
        <f t="shared" si="121"/>
        <v>-2.0000000000000018E-3</v>
      </c>
      <c r="BA75" s="323">
        <f t="shared" si="121"/>
        <v>-1.0000000000000009E-3</v>
      </c>
      <c r="BB75" s="323">
        <f t="shared" si="121"/>
        <v>-1.0000000000000009E-3</v>
      </c>
      <c r="BC75" s="323">
        <f t="shared" si="121"/>
        <v>-1.0000000000000009E-3</v>
      </c>
      <c r="BD75" s="323">
        <f t="shared" si="121"/>
        <v>0</v>
      </c>
      <c r="BE75" s="323">
        <f t="shared" si="121"/>
        <v>0</v>
      </c>
      <c r="BF75" s="323">
        <f t="shared" si="121"/>
        <v>0</v>
      </c>
      <c r="BG75" s="323">
        <f t="shared" si="121"/>
        <v>0</v>
      </c>
      <c r="BH75" s="323">
        <f t="shared" si="121"/>
        <v>0</v>
      </c>
      <c r="BI75" s="323">
        <f t="shared" si="121"/>
        <v>0</v>
      </c>
      <c r="BJ75" s="323">
        <f t="shared" si="121"/>
        <v>0</v>
      </c>
      <c r="BK75" s="323">
        <f t="shared" si="121"/>
        <v>-1.1999999999999983E-2</v>
      </c>
      <c r="BL75" s="323">
        <f t="shared" si="121"/>
        <v>0</v>
      </c>
      <c r="BM75" s="323">
        <f t="shared" si="121"/>
        <v>7.0000000000000062E-3</v>
      </c>
      <c r="BN75" s="323">
        <f t="shared" si="121"/>
        <v>0</v>
      </c>
      <c r="BO75" s="323">
        <f t="shared" si="121"/>
        <v>0</v>
      </c>
      <c r="BP75" s="323">
        <f t="shared" si="121"/>
        <v>-5.0000000000000044E-3</v>
      </c>
      <c r="BQ75" s="323">
        <f t="shared" si="121"/>
        <v>0</v>
      </c>
      <c r="BR75" s="323">
        <f t="shared" si="121"/>
        <v>0</v>
      </c>
      <c r="BS75" s="323">
        <f t="shared" si="121"/>
        <v>0</v>
      </c>
      <c r="BT75" s="323">
        <f t="shared" si="121"/>
        <v>-1.0000000000000009E-2</v>
      </c>
      <c r="BU75" s="323">
        <f t="shared" si="121"/>
        <v>0</v>
      </c>
      <c r="BV75" s="323">
        <f t="shared" si="121"/>
        <v>0</v>
      </c>
      <c r="BW75" s="323">
        <f t="shared" si="121"/>
        <v>0</v>
      </c>
      <c r="BX75" s="323">
        <f t="shared" si="121"/>
        <v>-4.9999999999999906E-3</v>
      </c>
      <c r="BY75" s="323">
        <f t="shared" si="121"/>
        <v>0</v>
      </c>
      <c r="BZ75" s="323">
        <f t="shared" si="121"/>
        <v>0</v>
      </c>
      <c r="CA75" s="323">
        <f t="shared" si="121"/>
        <v>0</v>
      </c>
      <c r="CB75" s="323">
        <f>CB73-CA73</f>
        <v>-1.4999999999999999E-2</v>
      </c>
      <c r="CC75" s="323">
        <f>CC73-CB73</f>
        <v>0</v>
      </c>
      <c r="CD75" s="323">
        <f>CD73-CC73</f>
        <v>0</v>
      </c>
      <c r="CE75" s="323">
        <f>CE73-CD73</f>
        <v>0</v>
      </c>
      <c r="CF75" s="5"/>
      <c r="CG75" s="5"/>
      <c r="CH75" s="5"/>
    </row>
    <row r="76" spans="1:96" outlineLevel="1">
      <c r="B76" s="12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5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5"/>
      <c r="CG76" s="5"/>
      <c r="CH76" s="5"/>
    </row>
    <row r="77" spans="1:96" outlineLevel="1">
      <c r="A77" s="3" t="s">
        <v>128</v>
      </c>
      <c r="B77" s="56" t="s">
        <v>87</v>
      </c>
      <c r="C77" s="5"/>
      <c r="D77" s="5"/>
      <c r="E77" s="5"/>
      <c r="F77" s="5"/>
      <c r="G77" s="5"/>
      <c r="H77" s="126">
        <f>H69/H73*100</f>
        <v>44717.767782092138</v>
      </c>
      <c r="I77" s="126">
        <f>I69/I73*100</f>
        <v>46788.943552195335</v>
      </c>
      <c r="J77" s="126">
        <f>AVERAGE(AF77:AI77)</f>
        <v>473.55604920540395</v>
      </c>
      <c r="K77" s="126">
        <f>AVERAGE(AJ77:AM77)</f>
        <v>472.00207928381803</v>
      </c>
      <c r="L77" s="126">
        <f>AVERAGE(AN77:AQ77)</f>
        <v>440.78742142624276</v>
      </c>
      <c r="M77" s="126">
        <f>AVERAGE(AR77:AU77)</f>
        <v>460.66316123729712</v>
      </c>
      <c r="N77" s="207">
        <f>AVERAGE(AV77:AY77)</f>
        <v>477.9769182324651</v>
      </c>
      <c r="O77" s="207">
        <f>AVERAGE(AZ77:BC77)</f>
        <v>440.3417215754634</v>
      </c>
      <c r="P77" s="207">
        <f>AVERAGE(BD77:BG77)</f>
        <v>396.15722893700678</v>
      </c>
      <c r="Q77" s="207">
        <f>AVERAGE(BH77:BK77)</f>
        <v>358.94677789557443</v>
      </c>
      <c r="R77" s="207">
        <f>AVERAGE(BL77:BO77)</f>
        <v>343.47825515921511</v>
      </c>
      <c r="S77" s="207">
        <f>AVERAGE(BP77:BS77)</f>
        <v>271.24382979407164</v>
      </c>
      <c r="T77" s="207">
        <f>AVERAGE(BT77:BW77)</f>
        <v>297.04929890536727</v>
      </c>
      <c r="U77" s="324">
        <f t="shared" ref="U77:AB77" ca="1" si="122">U69/U73</f>
        <v>314.87354763753962</v>
      </c>
      <c r="V77" s="324">
        <f t="shared" ca="1" si="122"/>
        <v>335.76970125348549</v>
      </c>
      <c r="W77" s="324">
        <f t="shared" ca="1" si="122"/>
        <v>376.73360480641071</v>
      </c>
      <c r="X77" s="324">
        <f t="shared" ca="1" si="122"/>
        <v>384.2682769025389</v>
      </c>
      <c r="Y77" s="324">
        <f t="shared" ca="1" si="122"/>
        <v>391.9536424405897</v>
      </c>
      <c r="Z77" s="324">
        <f t="shared" ca="1" si="122"/>
        <v>399.79271528940149</v>
      </c>
      <c r="AA77" s="324">
        <f t="shared" ca="1" si="122"/>
        <v>407.78856959518953</v>
      </c>
      <c r="AB77" s="324">
        <f t="shared" ca="1" si="122"/>
        <v>415.94434098709331</v>
      </c>
      <c r="AC77" s="324">
        <f ca="1">AC69/AC73</f>
        <v>424.26322780683518</v>
      </c>
      <c r="AD77" s="324">
        <f ca="1">AD69/AD73</f>
        <v>432.74849236297189</v>
      </c>
      <c r="AE77" s="324"/>
      <c r="AF77" s="126">
        <f t="shared" ref="AF77:BB77" si="123">AF69/AF73</f>
        <v>479.41188936781612</v>
      </c>
      <c r="AG77" s="324">
        <f t="shared" si="123"/>
        <v>474.21549654218535</v>
      </c>
      <c r="AH77" s="324">
        <f t="shared" si="123"/>
        <v>464.49395238095235</v>
      </c>
      <c r="AI77" s="324">
        <f t="shared" si="123"/>
        <v>476.10285853066182</v>
      </c>
      <c r="AJ77" s="324">
        <f t="shared" si="123"/>
        <v>477.89170138670806</v>
      </c>
      <c r="AK77" s="324">
        <f t="shared" si="123"/>
        <v>479.64201656987422</v>
      </c>
      <c r="AL77" s="324">
        <f t="shared" si="123"/>
        <v>469.56597754274412</v>
      </c>
      <c r="AM77" s="324">
        <f t="shared" si="123"/>
        <v>460.90862163594591</v>
      </c>
      <c r="AN77" s="324">
        <f t="shared" si="123"/>
        <v>441.49966718984581</v>
      </c>
      <c r="AO77" s="61">
        <f t="shared" si="123"/>
        <v>433.91591740585363</v>
      </c>
      <c r="AP77" s="324">
        <f t="shared" si="123"/>
        <v>442.89091107785538</v>
      </c>
      <c r="AQ77" s="324">
        <f t="shared" si="123"/>
        <v>444.84319003141633</v>
      </c>
      <c r="AR77" s="324">
        <f t="shared" si="123"/>
        <v>458.81683151964717</v>
      </c>
      <c r="AS77" s="324">
        <f t="shared" si="123"/>
        <v>458.52262892827974</v>
      </c>
      <c r="AT77" s="324">
        <f t="shared" si="123"/>
        <v>465.48316351077642</v>
      </c>
      <c r="AU77" s="324">
        <f t="shared" si="123"/>
        <v>459.8300209904852</v>
      </c>
      <c r="AV77" s="324">
        <f t="shared" si="123"/>
        <v>471.10963822127655</v>
      </c>
      <c r="AW77" s="324">
        <f t="shared" si="123"/>
        <v>478.09198731047201</v>
      </c>
      <c r="AX77" s="324">
        <f t="shared" si="123"/>
        <v>483.10144803525424</v>
      </c>
      <c r="AY77" s="324">
        <f t="shared" si="123"/>
        <v>479.60459936285758</v>
      </c>
      <c r="AZ77" s="324">
        <f t="shared" si="123"/>
        <v>482.60231363341211</v>
      </c>
      <c r="BA77" s="324">
        <f t="shared" si="123"/>
        <v>455.58229013287894</v>
      </c>
      <c r="BB77" s="324">
        <f t="shared" si="123"/>
        <v>395.16373673392337</v>
      </c>
      <c r="BC77" s="170">
        <f t="shared" ref="BC77:BV77" si="124">BC69/BC73</f>
        <v>428.01854580163922</v>
      </c>
      <c r="BD77" s="170">
        <f t="shared" si="124"/>
        <v>429.42394953005441</v>
      </c>
      <c r="BE77" s="170">
        <f t="shared" si="124"/>
        <v>396.81232610273202</v>
      </c>
      <c r="BF77" s="170">
        <f t="shared" si="124"/>
        <v>379.82154102269567</v>
      </c>
      <c r="BG77" s="170">
        <f t="shared" si="124"/>
        <v>378.57109909254518</v>
      </c>
      <c r="BH77" s="170">
        <f t="shared" si="124"/>
        <v>374.79439448198582</v>
      </c>
      <c r="BI77" s="170">
        <f t="shared" si="124"/>
        <v>356.35553544063134</v>
      </c>
      <c r="BJ77" s="170">
        <f t="shared" si="124"/>
        <v>349.75064127139933</v>
      </c>
      <c r="BK77" s="170">
        <f t="shared" si="124"/>
        <v>354.88654038828128</v>
      </c>
      <c r="BL77" s="170">
        <f t="shared" si="124"/>
        <v>371.35188383786527</v>
      </c>
      <c r="BM77" s="170">
        <f t="shared" si="124"/>
        <v>349.90023616801261</v>
      </c>
      <c r="BN77" s="170">
        <f t="shared" si="124"/>
        <v>349.4124362631664</v>
      </c>
      <c r="BO77" s="170">
        <f t="shared" si="124"/>
        <v>303.2484643678161</v>
      </c>
      <c r="BP77" s="170">
        <f t="shared" si="124"/>
        <v>248.3124852307692</v>
      </c>
      <c r="BQ77" s="170">
        <f t="shared" si="124"/>
        <v>262.69499615384615</v>
      </c>
      <c r="BR77" s="170">
        <f t="shared" si="124"/>
        <v>300.66885791001454</v>
      </c>
      <c r="BS77" s="170">
        <f t="shared" si="124"/>
        <v>273.29897988165675</v>
      </c>
      <c r="BT77" s="170">
        <f t="shared" si="124"/>
        <v>292.36386228813564</v>
      </c>
      <c r="BU77" s="170">
        <f t="shared" si="124"/>
        <v>295.83333333333337</v>
      </c>
      <c r="BV77" s="170">
        <f t="shared" si="124"/>
        <v>300</v>
      </c>
      <c r="BW77" s="170">
        <f>BW69/BW73</f>
        <v>300</v>
      </c>
      <c r="BX77" s="170">
        <f t="shared" ref="BX77:CE77" ca="1" si="125">BX69/BX73</f>
        <v>308.12608790714813</v>
      </c>
      <c r="BY77" s="170">
        <f t="shared" ca="1" si="125"/>
        <v>314.86956521739131</v>
      </c>
      <c r="BZ77" s="170">
        <f t="shared" ca="1" si="125"/>
        <v>319.30434782608694</v>
      </c>
      <c r="CA77" s="170">
        <f t="shared" ca="1" si="125"/>
        <v>315.46241042321833</v>
      </c>
      <c r="CB77" s="170">
        <f t="shared" ca="1" si="125"/>
        <v>361.43190111508477</v>
      </c>
      <c r="CC77" s="170">
        <f t="shared" ca="1" si="125"/>
        <v>369.34200000000004</v>
      </c>
      <c r="CD77" s="170">
        <f t="shared" ca="1" si="125"/>
        <v>374.54399999999998</v>
      </c>
      <c r="CE77" s="170">
        <f t="shared" ca="1" si="125"/>
        <v>371.0236981992868</v>
      </c>
      <c r="CF77" s="62"/>
      <c r="CG77" s="5"/>
      <c r="CH77" s="5"/>
    </row>
    <row r="78" spans="1:96" outlineLevel="1">
      <c r="A78" s="3" t="s">
        <v>496</v>
      </c>
      <c r="B78" s="12" t="s">
        <v>82</v>
      </c>
      <c r="C78" s="6"/>
      <c r="D78" s="6"/>
      <c r="E78" s="6"/>
      <c r="F78" s="6"/>
      <c r="G78" s="6"/>
      <c r="H78" s="6"/>
      <c r="I78" s="126"/>
      <c r="J78" s="126"/>
      <c r="K78" s="126">
        <f>(K77/J77-1)*1</f>
        <v>-3.2814910171528044E-3</v>
      </c>
      <c r="L78" s="126">
        <f>(L77/K77-1)*1</f>
        <v>-6.6132458367425317E-2</v>
      </c>
      <c r="M78" s="126">
        <f>(M77/L77-1)*1</f>
        <v>4.5091440555955487E-2</v>
      </c>
      <c r="N78" s="41">
        <f>(N77/M77-1)</f>
        <v>3.7584418403817876E-2</v>
      </c>
      <c r="O78" s="41">
        <f t="shared" ref="O78:AD78" si="126">(O77/N77-1)</f>
        <v>-7.8738523182614761E-2</v>
      </c>
      <c r="P78" s="41">
        <f t="shared" si="126"/>
        <v>-0.10034137233322438</v>
      </c>
      <c r="Q78" s="41">
        <f t="shared" si="126"/>
        <v>-9.3928491829563976E-2</v>
      </c>
      <c r="R78" s="41">
        <f t="shared" si="126"/>
        <v>-4.3094195822143466E-2</v>
      </c>
      <c r="S78" s="41">
        <f t="shared" si="126"/>
        <v>-0.21030276088848798</v>
      </c>
      <c r="T78" s="323">
        <f t="shared" si="126"/>
        <v>9.5137534117871514E-2</v>
      </c>
      <c r="U78" s="41">
        <f t="shared" ca="1" si="126"/>
        <v>6.0004345399417014E-2</v>
      </c>
      <c r="V78" s="41">
        <f t="shared" ca="1" si="126"/>
        <v>6.6363636363636624E-2</v>
      </c>
      <c r="W78" s="41">
        <f t="shared" ca="1" si="126"/>
        <v>0.12199999999999989</v>
      </c>
      <c r="X78" s="41">
        <f t="shared" ca="1" si="126"/>
        <v>2.0000000000000018E-2</v>
      </c>
      <c r="Y78" s="41">
        <f t="shared" ca="1" si="126"/>
        <v>2.0000000000000018E-2</v>
      </c>
      <c r="Z78" s="41">
        <f t="shared" ca="1" si="126"/>
        <v>2.0000000000000018E-2</v>
      </c>
      <c r="AA78" s="41">
        <f t="shared" ca="1" si="126"/>
        <v>2.0000000000000018E-2</v>
      </c>
      <c r="AB78" s="41">
        <f t="shared" ca="1" si="126"/>
        <v>2.0000000000000018E-2</v>
      </c>
      <c r="AC78" s="323">
        <f t="shared" ca="1" si="126"/>
        <v>2.0000000000000018E-2</v>
      </c>
      <c r="AD78" s="323">
        <f t="shared" ca="1" si="126"/>
        <v>2.0000000000000018E-2</v>
      </c>
      <c r="AE78" s="323"/>
      <c r="AF78" s="126"/>
      <c r="AG78" s="126"/>
      <c r="AH78" s="126"/>
      <c r="AI78" s="126"/>
      <c r="AJ78" s="323">
        <f t="shared" ref="AJ78:AZ78" si="127">(AJ77/AF77-1)</f>
        <v>-3.1709434305283724E-3</v>
      </c>
      <c r="AK78" s="323">
        <f t="shared" si="127"/>
        <v>1.1443152042177385E-2</v>
      </c>
      <c r="AL78" s="323">
        <f t="shared" si="127"/>
        <v>1.0919464367174392E-2</v>
      </c>
      <c r="AM78" s="323">
        <f t="shared" si="127"/>
        <v>-3.1913769519485879E-2</v>
      </c>
      <c r="AN78" s="323">
        <f t="shared" si="127"/>
        <v>-7.6151216041757452E-2</v>
      </c>
      <c r="AO78" s="323">
        <f t="shared" si="127"/>
        <v>-9.5333806431362134E-2</v>
      </c>
      <c r="AP78" s="323">
        <f t="shared" si="127"/>
        <v>-5.6807919952975183E-2</v>
      </c>
      <c r="AQ78" s="323">
        <f t="shared" si="127"/>
        <v>-3.485600149441126E-2</v>
      </c>
      <c r="AR78" s="323">
        <f t="shared" si="127"/>
        <v>3.92235048330285E-2</v>
      </c>
      <c r="AS78" s="323">
        <f t="shared" si="127"/>
        <v>5.670847861386652E-2</v>
      </c>
      <c r="AT78" s="323">
        <f t="shared" si="127"/>
        <v>5.1010873937193058E-2</v>
      </c>
      <c r="AU78" s="323">
        <f t="shared" si="127"/>
        <v>3.3690143616698753E-2</v>
      </c>
      <c r="AV78" s="323">
        <f t="shared" si="127"/>
        <v>2.6792405720850176E-2</v>
      </c>
      <c r="AW78" s="323">
        <f t="shared" si="127"/>
        <v>4.2679155067945951E-2</v>
      </c>
      <c r="AX78" s="323">
        <f t="shared" si="127"/>
        <v>3.784945601812284E-2</v>
      </c>
      <c r="AY78" s="323">
        <f t="shared" si="127"/>
        <v>4.300410471194871E-2</v>
      </c>
      <c r="AZ78" s="41">
        <f t="shared" si="127"/>
        <v>2.4394906152901852E-2</v>
      </c>
      <c r="BA78" s="41">
        <f t="shared" ref="BA78:CA78" si="128">(BA77/AW77-1)</f>
        <v>-4.7082356063364306E-2</v>
      </c>
      <c r="BB78" s="41">
        <f t="shared" si="128"/>
        <v>-0.1820274223125774</v>
      </c>
      <c r="BC78" s="41">
        <f t="shared" si="128"/>
        <v>-0.10755954723901551</v>
      </c>
      <c r="BD78" s="41">
        <f t="shared" si="128"/>
        <v>-0.11019086026129654</v>
      </c>
      <c r="BE78" s="41">
        <f t="shared" si="128"/>
        <v>-0.12899966768463622</v>
      </c>
      <c r="BF78" s="41">
        <f t="shared" si="128"/>
        <v>-3.8824907968612821E-2</v>
      </c>
      <c r="BG78" s="41">
        <f t="shared" si="128"/>
        <v>-0.11552641163359767</v>
      </c>
      <c r="BH78" s="41">
        <f t="shared" si="128"/>
        <v>-0.12721590192594789</v>
      </c>
      <c r="BI78" s="41">
        <f t="shared" si="128"/>
        <v>-0.10195447066739227</v>
      </c>
      <c r="BJ78" s="41">
        <f t="shared" si="128"/>
        <v>-7.9171127762602267E-2</v>
      </c>
      <c r="BK78" s="41">
        <f t="shared" si="128"/>
        <v>-6.2563039706509671E-2</v>
      </c>
      <c r="BL78" s="41">
        <f t="shared" si="128"/>
        <v>-9.1850643841099311E-3</v>
      </c>
      <c r="BM78" s="41">
        <f t="shared" si="128"/>
        <v>-1.8114771992069123E-2</v>
      </c>
      <c r="BN78" s="41">
        <f t="shared" si="128"/>
        <v>-9.6698895820035435E-4</v>
      </c>
      <c r="BO78" s="41">
        <f t="shared" si="128"/>
        <v>-0.14550587340947896</v>
      </c>
      <c r="BP78" s="41">
        <f t="shared" si="128"/>
        <v>-0.33132832755687835</v>
      </c>
      <c r="BQ78" s="41">
        <f t="shared" si="128"/>
        <v>-0.24922886868899641</v>
      </c>
      <c r="BR78" s="41">
        <f t="shared" si="128"/>
        <v>-0.13950155545247889</v>
      </c>
      <c r="BS78" s="41">
        <f t="shared" si="128"/>
        <v>-9.8762196697665838E-2</v>
      </c>
      <c r="BT78" s="41">
        <f t="shared" si="128"/>
        <v>0.17740298888486139</v>
      </c>
      <c r="BU78" s="41">
        <f t="shared" si="128"/>
        <v>0.12614757671318522</v>
      </c>
      <c r="BV78" s="41">
        <f t="shared" si="128"/>
        <v>-2.2245666367439743E-3</v>
      </c>
      <c r="BW78" s="323">
        <f t="shared" si="128"/>
        <v>9.7698938100337029E-2</v>
      </c>
      <c r="BX78" s="323">
        <f t="shared" ca="1" si="128"/>
        <v>5.3913043478260647E-2</v>
      </c>
      <c r="BY78" s="323">
        <f t="shared" ca="1" si="128"/>
        <v>6.4347826086956328E-2</v>
      </c>
      <c r="BZ78" s="323">
        <f t="shared" ca="1" si="128"/>
        <v>6.434782608695655E-2</v>
      </c>
      <c r="CA78" s="323">
        <f t="shared" ca="1" si="128"/>
        <v>5.1541368077394401E-2</v>
      </c>
      <c r="CB78" s="323">
        <f ca="1">(CB77/BX77-1)</f>
        <v>0.17300000000000004</v>
      </c>
      <c r="CC78" s="323">
        <f ca="1">(CC77/BY77-1)</f>
        <v>0.17300000000000004</v>
      </c>
      <c r="CD78" s="323">
        <f ca="1">(CD77/BZ77-1)</f>
        <v>0.17300000000000004</v>
      </c>
      <c r="CE78" s="323">
        <f ca="1">(CE77/CA77-1)</f>
        <v>0.17612649222304655</v>
      </c>
      <c r="CF78" s="62"/>
      <c r="CG78" s="5"/>
      <c r="CH78" s="5"/>
    </row>
    <row r="79" spans="1:96" outlineLevel="1">
      <c r="B79" s="12" t="s">
        <v>83</v>
      </c>
      <c r="C79" s="6"/>
      <c r="D79" s="6"/>
      <c r="E79" s="6"/>
      <c r="F79" s="6"/>
      <c r="G79" s="6"/>
      <c r="H79" s="6"/>
      <c r="I79" s="126"/>
      <c r="J79" s="126"/>
      <c r="K79" s="126"/>
      <c r="L79" s="126"/>
      <c r="M79" s="126"/>
      <c r="N79" s="126"/>
      <c r="O79" s="126"/>
      <c r="P79" s="126"/>
      <c r="Q79" s="12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126"/>
      <c r="AG79" s="323">
        <f>(AG77/AF77-1)</f>
        <v>-1.0839098780973222E-2</v>
      </c>
      <c r="AH79" s="323">
        <f t="shared" ref="AH79:AO79" si="129">(AH77/AG77-1)</f>
        <v>-2.050026671865246E-2</v>
      </c>
      <c r="AI79" s="323">
        <f t="shared" si="129"/>
        <v>2.4992588364613377E-2</v>
      </c>
      <c r="AJ79" s="323">
        <f>(AJ77/AI77-1)</f>
        <v>3.7572613228304963E-3</v>
      </c>
      <c r="AK79" s="323">
        <f t="shared" si="129"/>
        <v>3.662577061052108E-3</v>
      </c>
      <c r="AL79" s="323">
        <f t="shared" si="129"/>
        <v>-2.1007415278561647E-2</v>
      </c>
      <c r="AM79" s="323">
        <f>(AM77/AL77-1)</f>
        <v>-1.8436931806904866E-2</v>
      </c>
      <c r="AN79" s="323">
        <f t="shared" si="129"/>
        <v>-4.211020044973357E-2</v>
      </c>
      <c r="AO79" s="323">
        <f t="shared" si="129"/>
        <v>-1.7177249152333207E-2</v>
      </c>
      <c r="AP79" s="323">
        <f t="shared" ref="AP79:AZ79" si="130">(AP77/AO77-1)</f>
        <v>2.0683716157863685E-2</v>
      </c>
      <c r="AQ79" s="323">
        <f t="shared" si="130"/>
        <v>4.4080357142795012E-3</v>
      </c>
      <c r="AR79" s="323">
        <f t="shared" si="130"/>
        <v>3.1412510748436873E-2</v>
      </c>
      <c r="AS79" s="323">
        <f t="shared" si="130"/>
        <v>-6.4122013656953136E-4</v>
      </c>
      <c r="AT79" s="323">
        <f t="shared" si="130"/>
        <v>1.518035129207429E-2</v>
      </c>
      <c r="AU79" s="323">
        <f t="shared" si="130"/>
        <v>-1.2144676678859878E-2</v>
      </c>
      <c r="AV79" s="323">
        <f t="shared" si="130"/>
        <v>2.4529971328306921E-2</v>
      </c>
      <c r="AW79" s="323">
        <f t="shared" si="130"/>
        <v>1.4821070346932474E-2</v>
      </c>
      <c r="AX79" s="323">
        <f t="shared" si="130"/>
        <v>1.0478026944068075E-2</v>
      </c>
      <c r="AY79" s="323">
        <f t="shared" si="130"/>
        <v>-7.2383320038019727E-3</v>
      </c>
      <c r="AZ79" s="41">
        <f t="shared" si="130"/>
        <v>6.2503868281016395E-3</v>
      </c>
      <c r="BA79" s="41">
        <f t="shared" ref="BA79:CA79" si="131">(BA77/AZ77-1)</f>
        <v>-5.5988176469990436E-2</v>
      </c>
      <c r="BB79" s="41">
        <f t="shared" si="131"/>
        <v>-0.13261831003424951</v>
      </c>
      <c r="BC79" s="41">
        <f t="shared" si="131"/>
        <v>8.3142267403544912E-2</v>
      </c>
      <c r="BD79" s="41">
        <f t="shared" si="131"/>
        <v>3.2835112922104948E-3</v>
      </c>
      <c r="BE79" s="41">
        <f t="shared" si="131"/>
        <v>-7.5942721552934689E-2</v>
      </c>
      <c r="BF79" s="41">
        <f t="shared" si="131"/>
        <v>-4.2818188756660658E-2</v>
      </c>
      <c r="BG79" s="41">
        <f t="shared" si="131"/>
        <v>-3.2921827624193822E-3</v>
      </c>
      <c r="BH79" s="41">
        <f t="shared" si="131"/>
        <v>-9.9762095405917517E-3</v>
      </c>
      <c r="BI79" s="41">
        <f t="shared" si="131"/>
        <v>-4.9197264721206335E-2</v>
      </c>
      <c r="BJ79" s="41">
        <f t="shared" si="131"/>
        <v>-1.8534563132476922E-2</v>
      </c>
      <c r="BK79" s="41">
        <f t="shared" si="131"/>
        <v>1.4684459471502764E-2</v>
      </c>
      <c r="BL79" s="41">
        <f t="shared" si="131"/>
        <v>4.6396077550783676E-2</v>
      </c>
      <c r="BM79" s="41">
        <f t="shared" si="131"/>
        <v>-5.7766362858195697E-2</v>
      </c>
      <c r="BN79" s="41">
        <f t="shared" si="131"/>
        <v>-1.3941113906879021E-3</v>
      </c>
      <c r="BO79" s="41">
        <f t="shared" si="131"/>
        <v>-0.1321188575571508</v>
      </c>
      <c r="BP79" s="41">
        <f t="shared" si="131"/>
        <v>-0.18115830941328015</v>
      </c>
      <c r="BQ79" s="41">
        <f t="shared" si="131"/>
        <v>5.7921013958321721E-2</v>
      </c>
      <c r="BR79" s="41">
        <f t="shared" si="131"/>
        <v>0.14455494894135401</v>
      </c>
      <c r="BS79" s="41">
        <f t="shared" si="131"/>
        <v>-9.1029973036147127E-2</v>
      </c>
      <c r="BT79" s="41">
        <f t="shared" si="131"/>
        <v>6.975833724199898E-2</v>
      </c>
      <c r="BU79" s="41">
        <f t="shared" si="131"/>
        <v>1.186696268835874E-2</v>
      </c>
      <c r="BV79" s="41">
        <f t="shared" si="131"/>
        <v>1.408450704225328E-2</v>
      </c>
      <c r="BW79" s="323">
        <f t="shared" si="131"/>
        <v>0</v>
      </c>
      <c r="BX79" s="323">
        <f t="shared" ca="1" si="131"/>
        <v>2.7086959690493684E-2</v>
      </c>
      <c r="BY79" s="323">
        <f t="shared" ca="1" si="131"/>
        <v>2.1885447467451247E-2</v>
      </c>
      <c r="BZ79" s="323">
        <f t="shared" ca="1" si="131"/>
        <v>1.4084507042253502E-2</v>
      </c>
      <c r="CA79" s="323">
        <f t="shared" ca="1" si="131"/>
        <v>-1.2032211365193057E-2</v>
      </c>
      <c r="CB79" s="323">
        <f ca="1">(CB77/CA77-1)</f>
        <v>0.14572097712115584</v>
      </c>
      <c r="CC79" s="323">
        <f ca="1">(CC77/CB77-1)</f>
        <v>2.1885447467451469E-2</v>
      </c>
      <c r="CD79" s="323">
        <f ca="1">(CD77/CC77-1)</f>
        <v>1.408450704225328E-2</v>
      </c>
      <c r="CE79" s="323">
        <f ca="1">(CE77/CD77-1)</f>
        <v>-9.3989005316149621E-3</v>
      </c>
      <c r="CF79" s="5"/>
      <c r="CG79" s="5"/>
      <c r="CH79" s="5"/>
    </row>
    <row r="80" spans="1:96" outlineLevel="1">
      <c r="B80" s="12"/>
      <c r="C80" s="6"/>
      <c r="D80" s="6"/>
      <c r="E80" s="6"/>
      <c r="F80" s="6"/>
      <c r="G80" s="6"/>
      <c r="H80" s="6"/>
      <c r="I80" s="126"/>
      <c r="J80" s="126"/>
      <c r="K80" s="126"/>
      <c r="L80" s="126"/>
      <c r="M80" s="126"/>
      <c r="N80" s="126"/>
      <c r="O80" s="126"/>
      <c r="P80" s="126"/>
      <c r="Q80" s="12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126"/>
      <c r="AG80" s="126"/>
      <c r="AH80" s="126"/>
      <c r="AI80" s="126"/>
      <c r="AJ80" s="126"/>
      <c r="AK80" s="126"/>
      <c r="AL80" s="126"/>
      <c r="AM80" s="126"/>
      <c r="AN80" s="126"/>
      <c r="AO80" s="126"/>
      <c r="AP80" s="126"/>
      <c r="AQ80" s="126"/>
      <c r="AR80" s="126"/>
      <c r="AS80" s="126"/>
      <c r="AT80" s="126"/>
      <c r="AU80" s="126"/>
      <c r="AV80" s="126"/>
      <c r="AW80" s="126"/>
      <c r="AX80" s="126"/>
      <c r="AY80" s="126"/>
      <c r="AZ80" s="170"/>
      <c r="BA80" s="170"/>
      <c r="BB80" s="170"/>
      <c r="BC80" s="170"/>
      <c r="BD80" s="170"/>
      <c r="BE80" s="170"/>
      <c r="BF80" s="170"/>
      <c r="BG80" s="170"/>
      <c r="BH80" s="170"/>
      <c r="BI80" s="170"/>
      <c r="BJ80" s="170"/>
      <c r="BK80" s="170"/>
      <c r="BL80" s="170"/>
      <c r="BM80" s="170"/>
      <c r="BN80" s="170"/>
      <c r="BO80" s="170"/>
      <c r="BP80" s="170"/>
      <c r="BQ80" s="170"/>
      <c r="BR80" s="170"/>
      <c r="BS80" s="170"/>
      <c r="BT80" s="170"/>
      <c r="BU80" s="170"/>
      <c r="BV80" s="170"/>
      <c r="BW80" s="170"/>
      <c r="BX80" s="170"/>
      <c r="BY80" s="170"/>
      <c r="BZ80" s="170"/>
      <c r="CA80" s="170"/>
      <c r="CB80" s="170"/>
      <c r="CC80" s="170"/>
      <c r="CD80" s="170"/>
      <c r="CE80" s="170"/>
      <c r="CF80" s="5"/>
      <c r="CG80" s="5"/>
      <c r="CH80" s="5"/>
    </row>
    <row r="81" spans="1:86" outlineLevel="1">
      <c r="A81" s="3" t="s">
        <v>727</v>
      </c>
      <c r="B81" s="170" t="s">
        <v>162</v>
      </c>
      <c r="C81" s="6"/>
      <c r="D81" s="6"/>
      <c r="E81" s="6"/>
      <c r="F81" s="6"/>
      <c r="G81" s="6"/>
      <c r="H81" s="6"/>
      <c r="I81" s="126"/>
      <c r="J81" s="126"/>
      <c r="K81" s="126"/>
      <c r="L81" s="126"/>
      <c r="M81" s="126"/>
      <c r="N81" s="126">
        <f t="shared" ref="N81:AB81" si="132">N77*N65</f>
        <v>10173.296870837254</v>
      </c>
      <c r="O81" s="126">
        <f t="shared" si="132"/>
        <v>12186.926323062087</v>
      </c>
      <c r="P81" s="126">
        <f t="shared" si="132"/>
        <v>15960.81124714983</v>
      </c>
      <c r="Q81" s="126">
        <f t="shared" si="132"/>
        <v>23525.593608356019</v>
      </c>
      <c r="R81" s="126">
        <f t="shared" si="132"/>
        <v>34868.591092224095</v>
      </c>
      <c r="S81" s="126">
        <f t="shared" si="132"/>
        <v>56147.472767372834</v>
      </c>
      <c r="T81" s="126">
        <f t="shared" si="132"/>
        <v>79246.065243374425</v>
      </c>
      <c r="U81" s="126">
        <f t="shared" ca="1" si="132"/>
        <v>104161.45515709043</v>
      </c>
      <c r="V81" s="126">
        <f t="shared" ca="1" si="132"/>
        <v>135510.26547009623</v>
      </c>
      <c r="W81" s="126">
        <f t="shared" ca="1" si="132"/>
        <v>176369.32071463965</v>
      </c>
      <c r="X81" s="126">
        <f t="shared" ca="1" si="132"/>
        <v>206881.21319827228</v>
      </c>
      <c r="Y81" s="126">
        <f t="shared" ca="1" si="132"/>
        <v>240561.474706951</v>
      </c>
      <c r="Z81" s="126">
        <f t="shared" ca="1" si="132"/>
        <v>277271.15574723168</v>
      </c>
      <c r="AA81" s="126">
        <f t="shared" ca="1" si="132"/>
        <v>316754.56832563743</v>
      </c>
      <c r="AB81" s="126">
        <f t="shared" ca="1" si="132"/>
        <v>358629.52225828666</v>
      </c>
      <c r="AC81" s="324">
        <f ca="1">AC77*AC65</f>
        <v>402382.32397379767</v>
      </c>
      <c r="AD81" s="324">
        <f ca="1">AD77*AD65</f>
        <v>443264.36808953556</v>
      </c>
      <c r="AE81" s="324"/>
      <c r="AF81" s="170">
        <f t="shared" ref="AF81:BV81" si="133">AF77*AF65</f>
        <v>920.47082758620695</v>
      </c>
      <c r="AG81" s="170">
        <f t="shared" si="133"/>
        <v>1142.8593466666669</v>
      </c>
      <c r="AH81" s="170">
        <f t="shared" si="133"/>
        <v>1170.52476</v>
      </c>
      <c r="AI81" s="170">
        <f t="shared" si="133"/>
        <v>1306.9023466666667</v>
      </c>
      <c r="AJ81" s="170">
        <f t="shared" si="133"/>
        <v>1141.2770666666668</v>
      </c>
      <c r="AK81" s="170">
        <f t="shared" si="133"/>
        <v>1305.8210733333335</v>
      </c>
      <c r="AL81" s="170">
        <f t="shared" si="133"/>
        <v>1240.0374733333333</v>
      </c>
      <c r="AM81" s="170">
        <f t="shared" si="133"/>
        <v>1404.3765000000001</v>
      </c>
      <c r="AN81" s="170">
        <f t="shared" si="133"/>
        <v>1233.6098933333333</v>
      </c>
      <c r="AO81" s="170">
        <f t="shared" si="133"/>
        <v>1488.4785466666667</v>
      </c>
      <c r="AP81" s="170">
        <f t="shared" si="133"/>
        <v>1719.3024800000001</v>
      </c>
      <c r="AQ81" s="170">
        <f t="shared" si="133"/>
        <v>1829.8244933333333</v>
      </c>
      <c r="AR81" s="170">
        <f t="shared" si="133"/>
        <v>1679.4152800000004</v>
      </c>
      <c r="AS81" s="170">
        <f t="shared" si="133"/>
        <v>2107.6697866666668</v>
      </c>
      <c r="AT81" s="170">
        <f t="shared" si="133"/>
        <v>2331.0372266666664</v>
      </c>
      <c r="AU81" s="170">
        <f t="shared" si="133"/>
        <v>2402.1688599999998</v>
      </c>
      <c r="AV81" s="170">
        <f t="shared" si="133"/>
        <v>2069.2930266666667</v>
      </c>
      <c r="AW81" s="170">
        <f t="shared" si="133"/>
        <v>2527.2668551724137</v>
      </c>
      <c r="AX81" s="170">
        <f t="shared" si="133"/>
        <v>2830.5408896551726</v>
      </c>
      <c r="AY81" s="170">
        <f t="shared" si="133"/>
        <v>2756.019179310345</v>
      </c>
      <c r="AZ81" s="126">
        <f t="shared" si="133"/>
        <v>2564.9256153846154</v>
      </c>
      <c r="BA81" s="126">
        <f t="shared" si="133"/>
        <v>2889.9326126760566</v>
      </c>
      <c r="BB81" s="126">
        <f t="shared" si="133"/>
        <v>3241.4267588652488</v>
      </c>
      <c r="BC81" s="126">
        <f t="shared" si="133"/>
        <v>3345.0328857142858</v>
      </c>
      <c r="BD81" s="126">
        <f t="shared" si="133"/>
        <v>3218.0349000000001</v>
      </c>
      <c r="BE81" s="126">
        <f t="shared" si="133"/>
        <v>3649.8417857142858</v>
      </c>
      <c r="BF81" s="126">
        <f t="shared" si="133"/>
        <v>4361.8101285714292</v>
      </c>
      <c r="BG81" s="126">
        <f t="shared" si="133"/>
        <v>4585.8195214285715</v>
      </c>
      <c r="BH81" s="126">
        <f t="shared" si="133"/>
        <v>4690.4449785714287</v>
      </c>
      <c r="BI81" s="126">
        <f t="shared" si="133"/>
        <v>5375.4675214285726</v>
      </c>
      <c r="BJ81" s="126">
        <f t="shared" si="133"/>
        <v>6787.8523857142873</v>
      </c>
      <c r="BK81" s="126">
        <f t="shared" si="133"/>
        <v>6577.3425703125004</v>
      </c>
      <c r="BL81" s="126">
        <f t="shared" si="133"/>
        <v>7435.7807031250004</v>
      </c>
      <c r="BM81" s="126">
        <f t="shared" si="133"/>
        <v>8181.0428370370373</v>
      </c>
      <c r="BN81" s="126">
        <f t="shared" si="133"/>
        <v>10171.932911111111</v>
      </c>
      <c r="BO81" s="126">
        <f t="shared" si="133"/>
        <v>8794.2054666666663</v>
      </c>
      <c r="BP81" s="126">
        <f t="shared" si="133"/>
        <v>12415.62426153846</v>
      </c>
      <c r="BQ81" s="126">
        <f t="shared" si="133"/>
        <v>13660.139799999999</v>
      </c>
      <c r="BR81" s="126">
        <f t="shared" si="133"/>
        <v>15935.449469230771</v>
      </c>
      <c r="BS81" s="126">
        <f t="shared" si="133"/>
        <v>14211.546953846151</v>
      </c>
      <c r="BT81" s="126">
        <f t="shared" si="133"/>
        <v>17249.467875000002</v>
      </c>
      <c r="BU81" s="126">
        <f t="shared" si="133"/>
        <v>19259.524891666671</v>
      </c>
      <c r="BV81" s="126">
        <f t="shared" si="133"/>
        <v>23503.203833333333</v>
      </c>
      <c r="BW81" s="324">
        <f>BW77*BW65</f>
        <v>19299.256225000001</v>
      </c>
      <c r="BX81" s="324">
        <f t="shared" ref="BX81:CE81" ca="1" si="134">BX77*BX65</f>
        <v>21451.738240095649</v>
      </c>
      <c r="BY81" s="324">
        <f t="shared" ca="1" si="134"/>
        <v>25623.541812391308</v>
      </c>
      <c r="BZ81" s="324">
        <f t="shared" ca="1" si="134"/>
        <v>30268.856526365213</v>
      </c>
      <c r="CA81" s="324">
        <f t="shared" ca="1" si="134"/>
        <v>26817.318578238257</v>
      </c>
      <c r="CB81" s="324">
        <f t="shared" ca="1" si="134"/>
        <v>33466.642310990821</v>
      </c>
      <c r="CC81" s="324">
        <f t="shared" ca="1" si="134"/>
        <v>37871.08232787811</v>
      </c>
      <c r="CD81" s="324">
        <f t="shared" ca="1" si="134"/>
        <v>40831.17401124035</v>
      </c>
      <c r="CE81" s="324">
        <f t="shared" ca="1" si="134"/>
        <v>36892.393366996548</v>
      </c>
      <c r="CF81" s="5"/>
      <c r="CG81" s="5"/>
      <c r="CH81" s="5"/>
    </row>
    <row r="82" spans="1:86" outlineLevel="1">
      <c r="B82" s="12" t="s">
        <v>82</v>
      </c>
      <c r="C82" s="6"/>
      <c r="D82" s="6"/>
      <c r="E82" s="6"/>
      <c r="F82" s="6"/>
      <c r="G82" s="6"/>
      <c r="H82" s="6"/>
      <c r="I82" s="126"/>
      <c r="J82" s="126"/>
      <c r="K82" s="126"/>
      <c r="L82" s="126"/>
      <c r="M82" s="126"/>
      <c r="N82" s="126"/>
      <c r="O82" s="41">
        <f>O81/N81-1</f>
        <v>0.1979328311942905</v>
      </c>
      <c r="P82" s="41">
        <f t="shared" ref="P82:AD82" si="135">P81/O81-1</f>
        <v>0.30966667263313008</v>
      </c>
      <c r="Q82" s="41">
        <f t="shared" si="135"/>
        <v>0.47395976583314692</v>
      </c>
      <c r="R82" s="41">
        <f t="shared" si="135"/>
        <v>0.48215563325208399</v>
      </c>
      <c r="S82" s="41">
        <f t="shared" si="135"/>
        <v>0.61025929091508546</v>
      </c>
      <c r="T82" s="41">
        <f t="shared" si="135"/>
        <v>0.41139148990200192</v>
      </c>
      <c r="U82" s="41">
        <f t="shared" ca="1" si="135"/>
        <v>0.31440538829527709</v>
      </c>
      <c r="V82" s="41">
        <f t="shared" ca="1" si="135"/>
        <v>0.30096363636363654</v>
      </c>
      <c r="W82" s="41">
        <f t="shared" ca="1" si="135"/>
        <v>0.30152000000000001</v>
      </c>
      <c r="X82" s="41">
        <f t="shared" ca="1" si="135"/>
        <v>0.17299999999999982</v>
      </c>
      <c r="Y82" s="41">
        <f t="shared" ca="1" si="135"/>
        <v>0.16280000000000006</v>
      </c>
      <c r="Z82" s="41">
        <f t="shared" ca="1" si="135"/>
        <v>0.15259999999999985</v>
      </c>
      <c r="AA82" s="41">
        <f t="shared" ca="1" si="135"/>
        <v>0.14239999999999986</v>
      </c>
      <c r="AB82" s="41">
        <f t="shared" ca="1" si="135"/>
        <v>0.13219999999999987</v>
      </c>
      <c r="AC82" s="323">
        <f t="shared" ca="1" si="135"/>
        <v>0.12200000000000011</v>
      </c>
      <c r="AD82" s="323">
        <f t="shared" ca="1" si="135"/>
        <v>0.10160000000000013</v>
      </c>
      <c r="AE82" s="323"/>
      <c r="AF82" s="126"/>
      <c r="AG82" s="126"/>
      <c r="AH82" s="126"/>
      <c r="AI82" s="126"/>
      <c r="AJ82" s="323">
        <f t="shared" ref="AJ82:AY82" si="136">AJ81/AF81-1</f>
        <v>0.23988401637832468</v>
      </c>
      <c r="AK82" s="323">
        <f t="shared" si="136"/>
        <v>0.14259123586990019</v>
      </c>
      <c r="AL82" s="323">
        <f t="shared" si="136"/>
        <v>5.9385940143063198E-2</v>
      </c>
      <c r="AM82" s="323">
        <f t="shared" si="136"/>
        <v>7.4584113787802941E-2</v>
      </c>
      <c r="AN82" s="323">
        <f t="shared" si="136"/>
        <v>8.090307723114365E-2</v>
      </c>
      <c r="AO82" s="323">
        <f t="shared" si="136"/>
        <v>0.13987940389648368</v>
      </c>
      <c r="AP82" s="323">
        <f t="shared" si="136"/>
        <v>0.3864923576691266</v>
      </c>
      <c r="AQ82" s="323">
        <f t="shared" si="136"/>
        <v>0.3029443979825448</v>
      </c>
      <c r="AR82" s="323">
        <f t="shared" si="136"/>
        <v>0.36138279133126749</v>
      </c>
      <c r="AS82" s="323">
        <f t="shared" si="136"/>
        <v>0.41598936134258113</v>
      </c>
      <c r="AT82" s="323">
        <f t="shared" si="136"/>
        <v>0.35580402737897887</v>
      </c>
      <c r="AU82" s="323">
        <f t="shared" si="136"/>
        <v>0.31278648239320739</v>
      </c>
      <c r="AV82" s="323">
        <f t="shared" si="136"/>
        <v>0.23215088686502017</v>
      </c>
      <c r="AW82" s="323">
        <f t="shared" si="136"/>
        <v>0.1990810283281379</v>
      </c>
      <c r="AX82" s="323">
        <f t="shared" si="136"/>
        <v>0.21428386354120388</v>
      </c>
      <c r="AY82" s="323">
        <f t="shared" si="136"/>
        <v>0.1473045151831438</v>
      </c>
      <c r="AZ82" s="41">
        <f>AZ81/AV81-1</f>
        <v>0.23951783644501101</v>
      </c>
      <c r="BA82" s="41">
        <f>BA81/AW81-1</f>
        <v>0.14350117272396279</v>
      </c>
      <c r="BB82" s="41">
        <f>BB81/AX81-1</f>
        <v>0.1451616087623917</v>
      </c>
      <c r="BC82" s="41">
        <f>BC81/AY81-1</f>
        <v>0.21371901575493868</v>
      </c>
      <c r="BD82" s="41">
        <f>BD81/AZ81-1</f>
        <v>0.25463088703157166</v>
      </c>
      <c r="BE82" s="41">
        <f t="shared" ref="BE82:CA82" si="137">BE81/BA81-1</f>
        <v>0.26295048185727721</v>
      </c>
      <c r="BF82" s="41">
        <f t="shared" si="137"/>
        <v>0.34564512884394216</v>
      </c>
      <c r="BG82" s="41">
        <f t="shared" si="137"/>
        <v>0.37093406196792378</v>
      </c>
      <c r="BH82" s="41">
        <f t="shared" si="137"/>
        <v>0.45754944378366713</v>
      </c>
      <c r="BI82" s="41">
        <f t="shared" si="137"/>
        <v>0.47279466810547688</v>
      </c>
      <c r="BJ82" s="41">
        <f t="shared" si="137"/>
        <v>0.55620079408120193</v>
      </c>
      <c r="BK82" s="41">
        <f t="shared" si="137"/>
        <v>0.43427854924904041</v>
      </c>
      <c r="BL82" s="41">
        <f t="shared" si="137"/>
        <v>0.58530389698542429</v>
      </c>
      <c r="BM82" s="41">
        <f t="shared" si="137"/>
        <v>0.52192210341229273</v>
      </c>
      <c r="BN82" s="41">
        <f t="shared" si="137"/>
        <v>0.49854951656269941</v>
      </c>
      <c r="BO82" s="41">
        <f t="shared" si="137"/>
        <v>0.33704537549255842</v>
      </c>
      <c r="BP82" s="41">
        <f t="shared" si="137"/>
        <v>0.66971361276437369</v>
      </c>
      <c r="BQ82" s="41">
        <f t="shared" si="137"/>
        <v>0.66973087320336644</v>
      </c>
      <c r="BR82" s="41">
        <f t="shared" si="137"/>
        <v>0.56660976910533845</v>
      </c>
      <c r="BS82" s="41">
        <f t="shared" si="137"/>
        <v>0.61601261281797881</v>
      </c>
      <c r="BT82" s="41">
        <f t="shared" si="137"/>
        <v>0.38933552688413631</v>
      </c>
      <c r="BU82" s="41">
        <f t="shared" si="137"/>
        <v>0.40990686578966584</v>
      </c>
      <c r="BV82" s="41">
        <f t="shared" si="137"/>
        <v>0.47490059058044687</v>
      </c>
      <c r="BW82" s="323">
        <f t="shared" si="137"/>
        <v>0.3579982733531295</v>
      </c>
      <c r="BX82" s="323">
        <f t="shared" ca="1" si="137"/>
        <v>0.24361739130434756</v>
      </c>
      <c r="BY82" s="323">
        <f t="shared" ca="1" si="137"/>
        <v>0.33043478260869552</v>
      </c>
      <c r="BZ82" s="323">
        <f t="shared" ca="1" si="137"/>
        <v>0.28786086956521717</v>
      </c>
      <c r="CA82" s="323">
        <f t="shared" ca="1" si="137"/>
        <v>0.38955192187662946</v>
      </c>
      <c r="CB82" s="323">
        <f ca="1">CB81/BX81-1</f>
        <v>0.56008999999999998</v>
      </c>
      <c r="CC82" s="323">
        <f ca="1">CC81/BY81-1</f>
        <v>0.47798000000000029</v>
      </c>
      <c r="CD82" s="323">
        <f ca="1">CD81/BZ81-1</f>
        <v>0.34894999999999987</v>
      </c>
      <c r="CE82" s="323">
        <f ca="1">CE81/CA81-1</f>
        <v>0.37569284786488777</v>
      </c>
      <c r="CF82" s="5"/>
      <c r="CG82" s="5"/>
      <c r="CH82" s="5"/>
    </row>
    <row r="83" spans="1:86" outlineLevel="1">
      <c r="B83" s="12" t="s">
        <v>83</v>
      </c>
      <c r="C83" s="6"/>
      <c r="D83" s="6"/>
      <c r="E83" s="6"/>
      <c r="F83" s="6"/>
      <c r="G83" s="6"/>
      <c r="H83" s="6"/>
      <c r="I83" s="126"/>
      <c r="J83" s="126"/>
      <c r="K83" s="126"/>
      <c r="L83" s="126"/>
      <c r="M83" s="126"/>
      <c r="N83" s="126"/>
      <c r="O83" s="126"/>
      <c r="P83" s="126"/>
      <c r="Q83" s="12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126"/>
      <c r="AG83" s="323">
        <f>AG81/AF81-1</f>
        <v>0.24160300621763264</v>
      </c>
      <c r="AH83" s="323">
        <f t="shared" ref="AH83:CA83" si="138">AH81/AG81-1</f>
        <v>2.4207189987135225E-2</v>
      </c>
      <c r="AI83" s="323">
        <f t="shared" si="138"/>
        <v>0.11650978375431098</v>
      </c>
      <c r="AJ83" s="323">
        <f t="shared" si="138"/>
        <v>-0.12673118264913763</v>
      </c>
      <c r="AK83" s="323">
        <f t="shared" si="138"/>
        <v>0.14417533784959957</v>
      </c>
      <c r="AL83" s="323">
        <f t="shared" si="138"/>
        <v>-5.0377192820204808E-2</v>
      </c>
      <c r="AM83" s="323">
        <f t="shared" si="138"/>
        <v>0.1325274680811932</v>
      </c>
      <c r="AN83" s="323">
        <f t="shared" si="138"/>
        <v>-0.12159602974463524</v>
      </c>
      <c r="AO83" s="323">
        <f t="shared" si="138"/>
        <v>0.2066039310406742</v>
      </c>
      <c r="AP83" s="323">
        <f t="shared" si="138"/>
        <v>0.15507373878531583</v>
      </c>
      <c r="AQ83" s="323">
        <f t="shared" si="138"/>
        <v>6.4283053516757116E-2</v>
      </c>
      <c r="AR83" s="323">
        <f t="shared" si="138"/>
        <v>-8.2198710248619133E-2</v>
      </c>
      <c r="AS83" s="323">
        <f t="shared" si="138"/>
        <v>0.2550021497164574</v>
      </c>
      <c r="AT83" s="323">
        <f t="shared" si="138"/>
        <v>0.10597838495054801</v>
      </c>
      <c r="AU83" s="323">
        <f t="shared" si="138"/>
        <v>3.0515013882918662E-2</v>
      </c>
      <c r="AV83" s="323">
        <f t="shared" si="138"/>
        <v>-0.13857303659049724</v>
      </c>
      <c r="AW83" s="323">
        <f t="shared" si="138"/>
        <v>0.22131898315217202</v>
      </c>
      <c r="AX83" s="323">
        <f t="shared" si="138"/>
        <v>0.12000079606238057</v>
      </c>
      <c r="AY83" s="323">
        <f t="shared" si="138"/>
        <v>-2.6327727897231035E-2</v>
      </c>
      <c r="AZ83" s="323">
        <f t="shared" si="138"/>
        <v>-6.9336804823523779E-2</v>
      </c>
      <c r="BA83" s="323">
        <f t="shared" si="138"/>
        <v>0.12671205564092181</v>
      </c>
      <c r="BB83" s="323">
        <f t="shared" si="138"/>
        <v>0.12162710806730925</v>
      </c>
      <c r="BC83" s="323">
        <f t="shared" si="138"/>
        <v>3.1963124437618617E-2</v>
      </c>
      <c r="BD83" s="323">
        <f t="shared" si="138"/>
        <v>-3.7966139662380938E-2</v>
      </c>
      <c r="BE83" s="323">
        <f t="shared" si="138"/>
        <v>0.13418340668533024</v>
      </c>
      <c r="BF83" s="323">
        <f t="shared" si="138"/>
        <v>0.19506827546438665</v>
      </c>
      <c r="BG83" s="323">
        <f t="shared" si="138"/>
        <v>5.1356979385645429E-2</v>
      </c>
      <c r="BH83" s="323">
        <f t="shared" si="138"/>
        <v>2.2814996677031019E-2</v>
      </c>
      <c r="BI83" s="323">
        <f t="shared" si="138"/>
        <v>0.14604638706705009</v>
      </c>
      <c r="BJ83" s="323">
        <f t="shared" si="138"/>
        <v>0.26274642320048147</v>
      </c>
      <c r="BK83" s="323">
        <f t="shared" si="138"/>
        <v>-3.1012727360545722E-2</v>
      </c>
      <c r="BL83" s="323">
        <f t="shared" si="138"/>
        <v>0.13051443248328698</v>
      </c>
      <c r="BM83" s="323">
        <f t="shared" si="138"/>
        <v>0.10022648107398169</v>
      </c>
      <c r="BN83" s="323">
        <f t="shared" si="138"/>
        <v>0.2433540703467485</v>
      </c>
      <c r="BO83" s="323">
        <f t="shared" si="138"/>
        <v>-0.13544401604728551</v>
      </c>
      <c r="BP83" s="323">
        <f t="shared" si="138"/>
        <v>0.41179601825296519</v>
      </c>
      <c r="BQ83" s="323">
        <f t="shared" si="138"/>
        <v>0.10023785451665468</v>
      </c>
      <c r="BR83" s="323">
        <f t="shared" si="138"/>
        <v>0.16656562103637995</v>
      </c>
      <c r="BS83" s="323">
        <f t="shared" si="138"/>
        <v>-0.10818035090338973</v>
      </c>
      <c r="BT83" s="323">
        <f t="shared" si="138"/>
        <v>0.21376426725534481</v>
      </c>
      <c r="BU83" s="323">
        <f t="shared" si="138"/>
        <v>0.11652863909963762</v>
      </c>
      <c r="BV83" s="323">
        <f t="shared" si="138"/>
        <v>0.2203418290709156</v>
      </c>
      <c r="BW83" s="323">
        <f t="shared" si="138"/>
        <v>-0.17886700205403905</v>
      </c>
      <c r="BX83" s="323">
        <f t="shared" ca="1" si="138"/>
        <v>0.11153186371541879</v>
      </c>
      <c r="BY83" s="323">
        <f t="shared" ca="1" si="138"/>
        <v>0.19447391747947496</v>
      </c>
      <c r="BZ83" s="323">
        <f t="shared" ca="1" si="138"/>
        <v>0.18129089054064629</v>
      </c>
      <c r="CA83" s="323">
        <f t="shared" ca="1" si="138"/>
        <v>-0.11402934713178037</v>
      </c>
      <c r="CB83" s="323">
        <f ca="1">CB81/CA81-1</f>
        <v>0.24794886607896593</v>
      </c>
      <c r="CC83" s="323">
        <f ca="1">CC81/CB81-1</f>
        <v>0.13160686919108167</v>
      </c>
      <c r="CD83" s="323">
        <f ca="1">CD81/CC81-1</f>
        <v>7.8162320731542057E-2</v>
      </c>
      <c r="CE83" s="323">
        <f ca="1">CE81/CD81-1</f>
        <v>-9.6465035346754879E-2</v>
      </c>
      <c r="CF83" s="5"/>
      <c r="CG83" s="5"/>
      <c r="CH83" s="5"/>
    </row>
    <row r="84" spans="1:86" outlineLevel="1" collapsed="1">
      <c r="C84" s="6"/>
      <c r="D84" s="6"/>
      <c r="E84" s="6"/>
      <c r="F84" s="6"/>
      <c r="G84" s="6"/>
      <c r="H84" s="6"/>
      <c r="I84" s="126"/>
      <c r="J84" s="126"/>
      <c r="K84" s="126"/>
      <c r="L84" s="126"/>
      <c r="M84" s="126"/>
      <c r="N84" s="126"/>
      <c r="O84" s="126"/>
      <c r="P84" s="126"/>
      <c r="Q84" s="12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126"/>
      <c r="AG84" s="126"/>
      <c r="AH84" s="126"/>
      <c r="AI84" s="126"/>
      <c r="AJ84" s="126"/>
      <c r="AK84" s="126"/>
      <c r="AL84" s="126"/>
      <c r="AM84" s="126"/>
      <c r="AN84" s="126"/>
      <c r="AO84" s="126"/>
      <c r="AP84" s="126"/>
      <c r="AQ84" s="126"/>
      <c r="AR84" s="126"/>
      <c r="AS84" s="126"/>
      <c r="AT84" s="126"/>
      <c r="AU84" s="126"/>
      <c r="AV84" s="126"/>
      <c r="AW84" s="126"/>
      <c r="AX84" s="126"/>
      <c r="AY84" s="126"/>
      <c r="AZ84" s="126"/>
      <c r="BA84" s="126"/>
      <c r="BB84" s="126"/>
      <c r="BC84" s="126"/>
      <c r="BD84" s="126"/>
      <c r="BE84" s="126"/>
      <c r="BF84" s="126"/>
      <c r="BG84" s="126"/>
      <c r="BH84" s="126"/>
      <c r="BI84" s="126"/>
      <c r="BJ84" s="126"/>
      <c r="BK84" s="126"/>
      <c r="BL84" s="126"/>
      <c r="BM84" s="126"/>
      <c r="BN84" s="126"/>
      <c r="BO84" s="126"/>
      <c r="BP84" s="126"/>
      <c r="BQ84" s="126"/>
      <c r="BR84" s="126"/>
      <c r="BS84" s="126"/>
      <c r="BT84" s="126"/>
      <c r="BU84" s="126"/>
      <c r="BV84" s="126"/>
      <c r="BW84" s="126"/>
      <c r="BX84" s="324"/>
      <c r="BY84" s="324"/>
      <c r="BZ84" s="324"/>
      <c r="CA84" s="324"/>
      <c r="CB84" s="324"/>
      <c r="CC84" s="324"/>
      <c r="CD84" s="324"/>
      <c r="CE84" s="324"/>
      <c r="CF84" s="5"/>
      <c r="CG84" s="5"/>
      <c r="CH84" s="5"/>
    </row>
    <row r="85" spans="1:86" hidden="1" outlineLevel="2">
      <c r="B85" s="363" t="s">
        <v>649</v>
      </c>
      <c r="C85" s="365"/>
      <c r="D85" s="365"/>
      <c r="E85" s="365"/>
      <c r="F85" s="365"/>
      <c r="G85" s="365"/>
      <c r="H85" s="365"/>
      <c r="I85" s="364"/>
      <c r="J85" s="364"/>
      <c r="K85" s="364"/>
      <c r="L85" s="364"/>
      <c r="M85" s="364"/>
      <c r="N85" s="364"/>
      <c r="O85" s="364"/>
      <c r="P85" s="364"/>
      <c r="Q85" s="364"/>
      <c r="R85" s="365"/>
      <c r="S85" s="365"/>
      <c r="T85" s="365"/>
      <c r="U85" s="365"/>
      <c r="V85" s="365"/>
      <c r="W85" s="365"/>
      <c r="X85" s="365"/>
      <c r="Y85" s="365"/>
      <c r="Z85" s="365"/>
      <c r="AA85" s="365"/>
      <c r="AB85" s="365"/>
      <c r="AC85" s="365"/>
      <c r="AD85" s="365"/>
      <c r="AE85" s="365"/>
      <c r="AF85" s="364"/>
      <c r="AG85" s="364"/>
      <c r="AH85" s="364"/>
      <c r="AI85" s="364"/>
      <c r="AJ85" s="364"/>
      <c r="AK85" s="364"/>
      <c r="AL85" s="364"/>
      <c r="AM85" s="364"/>
      <c r="AN85" s="364"/>
      <c r="AO85" s="364"/>
      <c r="AP85" s="364"/>
      <c r="AQ85" s="364"/>
      <c r="AR85" s="364"/>
      <c r="AS85" s="364"/>
      <c r="AT85" s="364"/>
      <c r="AU85" s="364"/>
      <c r="AV85" s="364"/>
      <c r="AW85" s="364"/>
      <c r="AX85" s="364"/>
      <c r="AY85" s="364"/>
      <c r="AZ85" s="364"/>
      <c r="BA85" s="364"/>
      <c r="BB85" s="364"/>
      <c r="BC85" s="364"/>
      <c r="BD85" s="364"/>
      <c r="BE85" s="364"/>
      <c r="BF85" s="364"/>
      <c r="BG85" s="364"/>
      <c r="BH85" s="364"/>
      <c r="BI85" s="364"/>
      <c r="BJ85" s="364"/>
      <c r="BK85" s="364"/>
      <c r="BL85" s="364"/>
      <c r="BM85" s="364"/>
      <c r="BN85" s="364"/>
      <c r="BO85" s="364"/>
      <c r="BP85" s="364"/>
      <c r="BQ85" s="364"/>
      <c r="BR85" s="364"/>
      <c r="BS85" s="364"/>
      <c r="BT85" s="364"/>
      <c r="BU85" s="364"/>
      <c r="BV85" s="364"/>
      <c r="BW85" s="364"/>
      <c r="BX85" s="364"/>
      <c r="BY85" s="364"/>
      <c r="BZ85" s="364"/>
      <c r="CA85" s="364"/>
      <c r="CB85" s="364"/>
      <c r="CC85" s="364"/>
      <c r="CD85" s="364"/>
      <c r="CE85" s="364"/>
      <c r="CF85" s="5"/>
      <c r="CG85" s="5"/>
      <c r="CH85" s="5"/>
    </row>
    <row r="86" spans="1:86" hidden="1" outlineLevel="2">
      <c r="A86" s="158" t="s">
        <v>54</v>
      </c>
      <c r="B86" s="13" t="s">
        <v>706</v>
      </c>
      <c r="C86" s="324"/>
      <c r="D86" s="324"/>
      <c r="E86" s="324"/>
      <c r="F86" s="324"/>
      <c r="G86" s="324"/>
      <c r="H86" s="324"/>
      <c r="I86" s="324"/>
      <c r="J86" s="324"/>
      <c r="K86" s="324"/>
      <c r="L86" s="324"/>
      <c r="M86" s="324"/>
      <c r="N86" s="324" t="e">
        <f t="shared" ref="N86:R87" si="139">VLOOKUP($A86,QUNR,MATCH(N$4,Period_QUNR,FALSE),FALSE)</f>
        <v>#NAME?</v>
      </c>
      <c r="O86" s="324" t="e">
        <f t="shared" si="139"/>
        <v>#NAME?</v>
      </c>
      <c r="P86" s="324" t="e">
        <f t="shared" si="139"/>
        <v>#NAME?</v>
      </c>
      <c r="Q86" s="324" t="e">
        <f t="shared" si="139"/>
        <v>#NAME?</v>
      </c>
      <c r="R86" s="324" t="e">
        <f t="shared" si="139"/>
        <v>#NAME?</v>
      </c>
      <c r="S86" s="324"/>
      <c r="T86" s="324"/>
      <c r="U86" s="324"/>
      <c r="V86" s="324"/>
      <c r="W86" s="324"/>
      <c r="X86" s="324"/>
      <c r="Y86" s="324"/>
      <c r="Z86" s="324"/>
      <c r="AA86" s="324"/>
      <c r="AB86" s="324"/>
      <c r="AC86" s="324"/>
      <c r="AD86" s="324"/>
      <c r="AE86" s="324"/>
      <c r="AF86" s="210"/>
      <c r="AG86" s="210"/>
      <c r="AH86" s="210"/>
      <c r="AI86" s="210"/>
      <c r="AJ86" s="210"/>
      <c r="AK86" s="210"/>
      <c r="AL86" s="210"/>
      <c r="AM86" s="210"/>
      <c r="AN86" s="210"/>
      <c r="AO86" s="210"/>
      <c r="AP86" s="210"/>
      <c r="AQ86" s="210"/>
      <c r="AR86" s="210"/>
      <c r="AS86" s="210"/>
      <c r="AT86" s="210"/>
      <c r="AU86" s="210"/>
      <c r="AV86" s="210"/>
      <c r="AW86" s="210"/>
      <c r="AX86" s="210"/>
      <c r="AY86" s="210"/>
      <c r="AZ86" s="210"/>
      <c r="BA86" s="210"/>
      <c r="BB86" s="210"/>
      <c r="BC86" s="210"/>
      <c r="BD86" s="210" t="e">
        <f t="shared" ref="BD86:BQ87" si="140">VLOOKUP($A86,QUNR,MATCH(BD$4,Period_QUNR,FALSE),FALSE)</f>
        <v>#NAME?</v>
      </c>
      <c r="BE86" s="210" t="e">
        <f t="shared" si="140"/>
        <v>#NAME?</v>
      </c>
      <c r="BF86" s="210" t="e">
        <f t="shared" si="140"/>
        <v>#NAME?</v>
      </c>
      <c r="BG86" s="210" t="e">
        <f t="shared" si="140"/>
        <v>#NAME?</v>
      </c>
      <c r="BH86" s="210" t="e">
        <f t="shared" si="140"/>
        <v>#NAME?</v>
      </c>
      <c r="BI86" s="210" t="e">
        <f t="shared" si="140"/>
        <v>#NAME?</v>
      </c>
      <c r="BJ86" s="210" t="e">
        <f t="shared" si="140"/>
        <v>#NAME?</v>
      </c>
      <c r="BK86" s="210" t="e">
        <f t="shared" si="140"/>
        <v>#NAME?</v>
      </c>
      <c r="BL86" s="210" t="e">
        <f t="shared" si="140"/>
        <v>#NAME?</v>
      </c>
      <c r="BM86" s="210" t="e">
        <f t="shared" si="140"/>
        <v>#NAME?</v>
      </c>
      <c r="BN86" s="210" t="e">
        <f t="shared" si="140"/>
        <v>#NAME?</v>
      </c>
      <c r="BO86" s="210" t="e">
        <f t="shared" si="140"/>
        <v>#NAME?</v>
      </c>
      <c r="BP86" s="210" t="e">
        <f t="shared" si="140"/>
        <v>#NAME?</v>
      </c>
      <c r="BQ86" s="210" t="e">
        <f t="shared" si="140"/>
        <v>#NAME?</v>
      </c>
      <c r="BR86" s="324"/>
      <c r="BS86" s="324"/>
      <c r="BT86" s="324"/>
      <c r="BU86" s="324"/>
      <c r="BV86" s="324"/>
      <c r="BW86" s="324"/>
      <c r="BX86" s="324"/>
      <c r="BY86" s="324"/>
      <c r="BZ86" s="324"/>
      <c r="CA86" s="324"/>
      <c r="CB86" s="324"/>
      <c r="CC86" s="324"/>
      <c r="CD86" s="324"/>
      <c r="CE86" s="324"/>
      <c r="CF86" s="5"/>
      <c r="CG86" s="5"/>
      <c r="CH86" s="5"/>
    </row>
    <row r="87" spans="1:86" hidden="1" outlineLevel="2">
      <c r="A87" s="158" t="s">
        <v>126</v>
      </c>
      <c r="B87" s="13" t="s">
        <v>707</v>
      </c>
      <c r="C87" s="324"/>
      <c r="D87" s="324"/>
      <c r="E87" s="324"/>
      <c r="F87" s="324"/>
      <c r="G87" s="324"/>
      <c r="H87" s="324"/>
      <c r="I87" s="324"/>
      <c r="J87" s="324"/>
      <c r="K87" s="324"/>
      <c r="L87" s="324"/>
      <c r="M87" s="324"/>
      <c r="N87" s="324" t="e">
        <f t="shared" si="139"/>
        <v>#NAME?</v>
      </c>
      <c r="O87" s="324" t="e">
        <f t="shared" si="139"/>
        <v>#NAME?</v>
      </c>
      <c r="P87" s="324" t="e">
        <f t="shared" si="139"/>
        <v>#NAME?</v>
      </c>
      <c r="Q87" s="324" t="e">
        <f t="shared" si="139"/>
        <v>#NAME?</v>
      </c>
      <c r="R87" s="324" t="e">
        <f t="shared" si="139"/>
        <v>#NAME?</v>
      </c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4"/>
      <c r="AD87" s="324"/>
      <c r="AE87" s="324"/>
      <c r="AF87" s="324"/>
      <c r="AG87" s="324"/>
      <c r="AH87" s="324"/>
      <c r="AI87" s="324"/>
      <c r="AJ87" s="324"/>
      <c r="AK87" s="324"/>
      <c r="AL87" s="324"/>
      <c r="AM87" s="324"/>
      <c r="AN87" s="324"/>
      <c r="AO87" s="324"/>
      <c r="AP87" s="324"/>
      <c r="AQ87" s="324"/>
      <c r="AR87" s="324"/>
      <c r="AS87" s="324"/>
      <c r="AT87" s="324"/>
      <c r="AU87" s="324"/>
      <c r="AV87" s="324"/>
      <c r="AW87" s="324"/>
      <c r="AX87" s="324"/>
      <c r="AY87" s="324"/>
      <c r="AZ87" s="324"/>
      <c r="BA87" s="324"/>
      <c r="BB87" s="324"/>
      <c r="BC87" s="324"/>
      <c r="BD87" s="324" t="e">
        <f t="shared" si="140"/>
        <v>#NAME?</v>
      </c>
      <c r="BE87" s="324" t="e">
        <f t="shared" si="140"/>
        <v>#NAME?</v>
      </c>
      <c r="BF87" s="324" t="e">
        <f t="shared" si="140"/>
        <v>#NAME?</v>
      </c>
      <c r="BG87" s="324" t="e">
        <f t="shared" si="140"/>
        <v>#NAME?</v>
      </c>
      <c r="BH87" s="324" t="e">
        <f t="shared" si="140"/>
        <v>#NAME?</v>
      </c>
      <c r="BI87" s="324" t="e">
        <f t="shared" si="140"/>
        <v>#NAME?</v>
      </c>
      <c r="BJ87" s="324" t="e">
        <f t="shared" si="140"/>
        <v>#NAME?</v>
      </c>
      <c r="BK87" s="324" t="e">
        <f t="shared" si="140"/>
        <v>#NAME?</v>
      </c>
      <c r="BL87" s="324" t="e">
        <f t="shared" si="140"/>
        <v>#NAME?</v>
      </c>
      <c r="BM87" s="324" t="e">
        <f t="shared" si="140"/>
        <v>#NAME?</v>
      </c>
      <c r="BN87" s="324" t="e">
        <f t="shared" si="140"/>
        <v>#NAME?</v>
      </c>
      <c r="BO87" s="324" t="e">
        <f t="shared" si="140"/>
        <v>#NAME?</v>
      </c>
      <c r="BP87" s="324" t="e">
        <f t="shared" si="140"/>
        <v>#NAME?</v>
      </c>
      <c r="BQ87" s="324" t="e">
        <f t="shared" si="140"/>
        <v>#NAME?</v>
      </c>
      <c r="BR87" s="324"/>
      <c r="BS87" s="324"/>
      <c r="BT87" s="324"/>
      <c r="BU87" s="324"/>
      <c r="BV87" s="324"/>
      <c r="BW87" s="324"/>
      <c r="BX87" s="324"/>
      <c r="BY87" s="324"/>
      <c r="BZ87" s="324"/>
      <c r="CA87" s="324"/>
      <c r="CB87" s="324"/>
      <c r="CC87" s="324"/>
      <c r="CD87" s="324"/>
      <c r="CE87" s="324"/>
      <c r="CF87" s="5"/>
      <c r="CG87" s="5"/>
      <c r="CH87" s="5"/>
    </row>
    <row r="88" spans="1:86" hidden="1" outlineLevel="2">
      <c r="A88" s="158" t="s">
        <v>150</v>
      </c>
      <c r="B88" s="13" t="s">
        <v>704</v>
      </c>
      <c r="C88" s="323"/>
      <c r="D88" s="323"/>
      <c r="E88" s="323"/>
      <c r="F88" s="323"/>
      <c r="G88" s="323"/>
      <c r="H88" s="323"/>
      <c r="I88" s="323"/>
      <c r="J88" s="323"/>
      <c r="K88" s="323"/>
      <c r="L88" s="323"/>
      <c r="M88" s="323"/>
      <c r="N88" s="323" t="e">
        <f>VLOOKUP($A88,QUNR,MATCH(N$4,Period_QUNR,FALSE),FALSE)/100</f>
        <v>#NAME?</v>
      </c>
      <c r="O88" s="323" t="e">
        <f>VLOOKUP($A88,QUNR,MATCH(O$4,Period_QUNR,FALSE),FALSE)/100</f>
        <v>#NAME?</v>
      </c>
      <c r="P88" s="323" t="e">
        <f>VLOOKUP($A88,QUNR,MATCH(P$4,Period_QUNR,FALSE),FALSE)/100</f>
        <v>#NAME?</v>
      </c>
      <c r="Q88" s="323" t="e">
        <f>VLOOKUP($A88,QUNR,MATCH(Q$4,Period_QUNR,FALSE),FALSE)/100</f>
        <v>#NAME?</v>
      </c>
      <c r="R88" s="323" t="e">
        <f>VLOOKUP($A88,QUNR,MATCH(R$4,Period_QUNR,FALSE),FALSE)/100</f>
        <v>#NAME?</v>
      </c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  <c r="AE88" s="324"/>
      <c r="AF88" s="324"/>
      <c r="AG88" s="324"/>
      <c r="AH88" s="324"/>
      <c r="AI88" s="324"/>
      <c r="AJ88" s="324"/>
      <c r="AK88" s="324"/>
      <c r="AL88" s="324"/>
      <c r="AM88" s="324"/>
      <c r="AN88" s="324"/>
      <c r="AO88" s="324"/>
      <c r="AP88" s="324"/>
      <c r="AQ88" s="324"/>
      <c r="AR88" s="324"/>
      <c r="AS88" s="324"/>
      <c r="AT88" s="324"/>
      <c r="AU88" s="324"/>
      <c r="AV88" s="324"/>
      <c r="AW88" s="324"/>
      <c r="AX88" s="324"/>
      <c r="AY88" s="324"/>
      <c r="AZ88" s="324"/>
      <c r="BA88" s="324"/>
      <c r="BB88" s="324"/>
      <c r="BC88" s="324"/>
      <c r="BD88" s="323" t="e">
        <f t="shared" ref="BD88:BQ88" si="141">VLOOKUP($A88,QUNR,MATCH(BD$4,Period_QUNR,FALSE),FALSE)/100</f>
        <v>#NAME?</v>
      </c>
      <c r="BE88" s="323" t="e">
        <f t="shared" si="141"/>
        <v>#NAME?</v>
      </c>
      <c r="BF88" s="323" t="e">
        <f t="shared" si="141"/>
        <v>#NAME?</v>
      </c>
      <c r="BG88" s="323" t="e">
        <f t="shared" si="141"/>
        <v>#NAME?</v>
      </c>
      <c r="BH88" s="323" t="e">
        <f t="shared" si="141"/>
        <v>#NAME?</v>
      </c>
      <c r="BI88" s="323" t="e">
        <f t="shared" si="141"/>
        <v>#NAME?</v>
      </c>
      <c r="BJ88" s="323" t="e">
        <f t="shared" si="141"/>
        <v>#NAME?</v>
      </c>
      <c r="BK88" s="323" t="e">
        <f t="shared" si="141"/>
        <v>#NAME?</v>
      </c>
      <c r="BL88" s="157" t="e">
        <f t="shared" si="141"/>
        <v>#NAME?</v>
      </c>
      <c r="BM88" s="157" t="e">
        <f t="shared" si="141"/>
        <v>#NAME?</v>
      </c>
      <c r="BN88" s="157" t="e">
        <f t="shared" si="141"/>
        <v>#NAME?</v>
      </c>
      <c r="BO88" s="157" t="e">
        <f t="shared" si="141"/>
        <v>#NAME?</v>
      </c>
      <c r="BP88" s="157" t="e">
        <f t="shared" si="141"/>
        <v>#NAME?</v>
      </c>
      <c r="BQ88" s="157" t="e">
        <f t="shared" si="141"/>
        <v>#NAME?</v>
      </c>
      <c r="BR88" s="323"/>
      <c r="BS88" s="323"/>
      <c r="BT88" s="323"/>
      <c r="BU88" s="323"/>
      <c r="BV88" s="323"/>
      <c r="BW88" s="323"/>
      <c r="BX88" s="323"/>
      <c r="BY88" s="323"/>
      <c r="BZ88" s="323"/>
      <c r="CA88" s="323"/>
      <c r="CB88" s="323"/>
      <c r="CC88" s="323"/>
      <c r="CD88" s="323"/>
      <c r="CE88" s="323"/>
      <c r="CF88" s="5"/>
      <c r="CG88" s="5"/>
      <c r="CH88" s="5"/>
    </row>
    <row r="89" spans="1:86" hidden="1" outlineLevel="2">
      <c r="A89" s="158"/>
      <c r="B89" s="116" t="s">
        <v>121</v>
      </c>
      <c r="C89" s="355"/>
      <c r="D89" s="355"/>
      <c r="E89" s="355"/>
      <c r="F89" s="355"/>
      <c r="G89" s="355"/>
      <c r="H89" s="355"/>
      <c r="I89" s="355"/>
      <c r="J89" s="355"/>
      <c r="K89" s="355"/>
      <c r="L89" s="355"/>
      <c r="M89" s="355"/>
      <c r="N89" s="355"/>
      <c r="O89" s="355" t="e">
        <f>O86/O88</f>
        <v>#NAME?</v>
      </c>
      <c r="P89" s="355" t="e">
        <f>P86/P88</f>
        <v>#NAME?</v>
      </c>
      <c r="Q89" s="355" t="e">
        <f>Q86/Q88</f>
        <v>#NAME?</v>
      </c>
      <c r="R89" s="355" t="e">
        <f>R86/R88</f>
        <v>#NAME?</v>
      </c>
      <c r="S89" s="324"/>
      <c r="T89" s="324"/>
      <c r="U89" s="324"/>
      <c r="V89" s="324"/>
      <c r="W89" s="324"/>
      <c r="X89" s="324"/>
      <c r="Y89" s="324"/>
      <c r="Z89" s="324"/>
      <c r="AA89" s="324"/>
      <c r="AB89" s="324"/>
      <c r="AC89" s="324"/>
      <c r="AD89" s="324"/>
      <c r="AE89" s="324"/>
      <c r="AF89" s="220"/>
      <c r="AG89" s="220"/>
      <c r="AH89" s="220"/>
      <c r="AI89" s="220"/>
      <c r="AJ89" s="220"/>
      <c r="AK89" s="220"/>
      <c r="AL89" s="220"/>
      <c r="AM89" s="220"/>
      <c r="AN89" s="220"/>
      <c r="AO89" s="220"/>
      <c r="AP89" s="220"/>
      <c r="AQ89" s="220"/>
      <c r="AR89" s="220"/>
      <c r="AS89" s="220"/>
      <c r="AT89" s="220"/>
      <c r="AU89" s="220"/>
      <c r="AV89" s="220"/>
      <c r="AW89" s="220"/>
      <c r="AX89" s="220"/>
      <c r="AY89" s="220"/>
      <c r="AZ89" s="220"/>
      <c r="BA89" s="220"/>
      <c r="BB89" s="220"/>
      <c r="BC89" s="220"/>
      <c r="BD89" s="355" t="e">
        <f t="shared" ref="BD89:BL89" si="142">BD86/BD88</f>
        <v>#NAME?</v>
      </c>
      <c r="BE89" s="355" t="e">
        <f t="shared" si="142"/>
        <v>#NAME?</v>
      </c>
      <c r="BF89" s="355" t="e">
        <f t="shared" si="142"/>
        <v>#NAME?</v>
      </c>
      <c r="BG89" s="355" t="e">
        <f t="shared" si="142"/>
        <v>#NAME?</v>
      </c>
      <c r="BH89" s="355" t="e">
        <f t="shared" si="142"/>
        <v>#NAME?</v>
      </c>
      <c r="BI89" s="355" t="e">
        <f t="shared" si="142"/>
        <v>#NAME?</v>
      </c>
      <c r="BJ89" s="355" t="e">
        <f t="shared" si="142"/>
        <v>#NAME?</v>
      </c>
      <c r="BK89" s="355" t="e">
        <f t="shared" si="142"/>
        <v>#NAME?</v>
      </c>
      <c r="BL89" s="355" t="e">
        <f t="shared" si="142"/>
        <v>#NAME?</v>
      </c>
      <c r="BM89" s="355" t="e">
        <f>BM92/BM88+BM93</f>
        <v>#NAME?</v>
      </c>
      <c r="BN89" s="355" t="e">
        <f>BN92/BN88+BN93</f>
        <v>#NAME?</v>
      </c>
      <c r="BO89" s="355" t="e">
        <f>BO92/BO88+BO93</f>
        <v>#NAME?</v>
      </c>
      <c r="BP89" s="355" t="e">
        <f>BP92/BP88+BP93</f>
        <v>#NAME?</v>
      </c>
      <c r="BQ89" s="355" t="e">
        <f>BQ92/BQ88+BQ93</f>
        <v>#NAME?</v>
      </c>
      <c r="BR89" s="355"/>
      <c r="BS89" s="355"/>
      <c r="BT89" s="355"/>
      <c r="BU89" s="355"/>
      <c r="BV89" s="355"/>
      <c r="BW89" s="355"/>
      <c r="BX89" s="355"/>
      <c r="BY89" s="355"/>
      <c r="BZ89" s="355"/>
      <c r="CA89" s="355"/>
      <c r="CB89" s="355"/>
      <c r="CC89" s="355"/>
      <c r="CD89" s="355"/>
      <c r="CE89" s="355"/>
      <c r="CF89" s="461"/>
      <c r="CG89" s="5"/>
      <c r="CH89" s="5"/>
    </row>
    <row r="90" spans="1:86" hidden="1" outlineLevel="2">
      <c r="A90" s="158"/>
      <c r="B90" s="116" t="s">
        <v>721</v>
      </c>
      <c r="C90" s="355"/>
      <c r="D90" s="355"/>
      <c r="E90" s="355"/>
      <c r="F90" s="355"/>
      <c r="G90" s="355"/>
      <c r="H90" s="355"/>
      <c r="I90" s="355"/>
      <c r="J90" s="355"/>
      <c r="K90" s="355"/>
      <c r="L90" s="355"/>
      <c r="M90" s="355"/>
      <c r="N90" s="355"/>
      <c r="O90" s="355" t="e">
        <f>O89-O93</f>
        <v>#NAME?</v>
      </c>
      <c r="P90" s="355" t="e">
        <f>P89-P93</f>
        <v>#NAME?</v>
      </c>
      <c r="Q90" s="355" t="e">
        <f>Q89-Q93</f>
        <v>#NAME?</v>
      </c>
      <c r="R90" s="355" t="e">
        <f>R89-R93</f>
        <v>#NAME?</v>
      </c>
      <c r="S90" s="324"/>
      <c r="T90" s="324"/>
      <c r="U90" s="324"/>
      <c r="V90" s="324"/>
      <c r="W90" s="324"/>
      <c r="X90" s="324"/>
      <c r="Y90" s="324"/>
      <c r="Z90" s="324"/>
      <c r="AA90" s="324"/>
      <c r="AB90" s="324"/>
      <c r="AC90" s="324"/>
      <c r="AD90" s="324"/>
      <c r="AE90" s="324"/>
      <c r="AF90" s="220"/>
      <c r="AG90" s="220"/>
      <c r="AH90" s="220"/>
      <c r="AI90" s="220"/>
      <c r="AJ90" s="220"/>
      <c r="AK90" s="220"/>
      <c r="AL90" s="220"/>
      <c r="AM90" s="220"/>
      <c r="AN90" s="220"/>
      <c r="AO90" s="220"/>
      <c r="AP90" s="220"/>
      <c r="AQ90" s="220"/>
      <c r="AR90" s="220"/>
      <c r="AS90" s="220"/>
      <c r="AT90" s="220"/>
      <c r="AU90" s="220"/>
      <c r="AV90" s="220"/>
      <c r="AW90" s="220"/>
      <c r="AX90" s="220"/>
      <c r="AY90" s="220"/>
      <c r="AZ90" s="220"/>
      <c r="BA90" s="220"/>
      <c r="BB90" s="220"/>
      <c r="BC90" s="220"/>
      <c r="BD90" s="355" t="e">
        <f>BD89</f>
        <v>#NAME?</v>
      </c>
      <c r="BE90" s="355" t="e">
        <f t="shared" ref="BE90:BK90" si="143">BE89</f>
        <v>#NAME?</v>
      </c>
      <c r="BF90" s="355" t="e">
        <f t="shared" si="143"/>
        <v>#NAME?</v>
      </c>
      <c r="BG90" s="355" t="e">
        <f t="shared" si="143"/>
        <v>#NAME?</v>
      </c>
      <c r="BH90" s="355" t="e">
        <f t="shared" si="143"/>
        <v>#NAME?</v>
      </c>
      <c r="BI90" s="355" t="e">
        <f t="shared" si="143"/>
        <v>#NAME?</v>
      </c>
      <c r="BJ90" s="355" t="e">
        <f t="shared" si="143"/>
        <v>#NAME?</v>
      </c>
      <c r="BK90" s="355" t="e">
        <f t="shared" si="143"/>
        <v>#NAME?</v>
      </c>
      <c r="BL90" s="355" t="e">
        <f t="shared" ref="BL90:BQ90" si="144">BL89-BL93</f>
        <v>#NAME?</v>
      </c>
      <c r="BM90" s="355" t="e">
        <f t="shared" si="144"/>
        <v>#NAME?</v>
      </c>
      <c r="BN90" s="355" t="e">
        <f t="shared" si="144"/>
        <v>#NAME?</v>
      </c>
      <c r="BO90" s="355" t="e">
        <f t="shared" si="144"/>
        <v>#NAME?</v>
      </c>
      <c r="BP90" s="355" t="e">
        <f t="shared" si="144"/>
        <v>#NAME?</v>
      </c>
      <c r="BQ90" s="355" t="e">
        <f t="shared" si="144"/>
        <v>#NAME?</v>
      </c>
      <c r="BR90" s="355"/>
      <c r="BS90" s="355"/>
      <c r="BT90" s="355"/>
      <c r="BU90" s="355"/>
      <c r="BV90" s="355"/>
      <c r="BW90" s="355"/>
      <c r="BX90" s="355"/>
      <c r="BY90" s="355"/>
      <c r="BZ90" s="355"/>
      <c r="CA90" s="355"/>
      <c r="CB90" s="355"/>
      <c r="CC90" s="355"/>
      <c r="CD90" s="355"/>
      <c r="CE90" s="355"/>
      <c r="CF90" s="461"/>
      <c r="CG90" s="5"/>
      <c r="CH90" s="5"/>
    </row>
    <row r="91" spans="1:86" hidden="1" outlineLevel="2">
      <c r="A91" s="158"/>
      <c r="C91" s="323"/>
      <c r="D91" s="323"/>
      <c r="E91" s="323"/>
      <c r="F91" s="323"/>
      <c r="G91" s="323"/>
      <c r="H91" s="323"/>
      <c r="I91" s="323"/>
      <c r="J91" s="323"/>
      <c r="K91" s="323"/>
      <c r="L91" s="323"/>
      <c r="M91" s="323"/>
      <c r="N91" s="323"/>
      <c r="O91" s="323"/>
      <c r="P91" s="323"/>
      <c r="Q91" s="323"/>
      <c r="R91" s="323"/>
      <c r="S91" s="324"/>
      <c r="T91" s="324"/>
      <c r="U91" s="324"/>
      <c r="V91" s="324"/>
      <c r="W91" s="324"/>
      <c r="X91" s="324"/>
      <c r="Y91" s="324"/>
      <c r="Z91" s="324"/>
      <c r="AA91" s="324"/>
      <c r="AB91" s="324"/>
      <c r="AC91" s="324"/>
      <c r="AD91" s="324"/>
      <c r="AE91" s="324"/>
      <c r="AF91" s="324"/>
      <c r="AG91" s="324"/>
      <c r="AH91" s="324"/>
      <c r="AI91" s="324"/>
      <c r="AJ91" s="324"/>
      <c r="AK91" s="324"/>
      <c r="AL91" s="324"/>
      <c r="AM91" s="324"/>
      <c r="AN91" s="324"/>
      <c r="AO91" s="324"/>
      <c r="AP91" s="324"/>
      <c r="AQ91" s="324"/>
      <c r="AR91" s="324"/>
      <c r="AS91" s="324"/>
      <c r="AT91" s="324"/>
      <c r="AU91" s="324"/>
      <c r="AV91" s="324"/>
      <c r="AW91" s="324"/>
      <c r="AX91" s="324"/>
      <c r="AY91" s="324"/>
      <c r="AZ91" s="324"/>
      <c r="BA91" s="324"/>
      <c r="BB91" s="324"/>
      <c r="BC91" s="324"/>
      <c r="BD91" s="323"/>
      <c r="BE91" s="323"/>
      <c r="BF91" s="323"/>
      <c r="BG91" s="323"/>
      <c r="BH91" s="323"/>
      <c r="BI91" s="323"/>
      <c r="BJ91" s="323"/>
      <c r="BK91" s="323"/>
      <c r="BL91" s="323"/>
      <c r="BM91" s="323"/>
      <c r="BN91" s="323"/>
      <c r="BO91" s="323"/>
      <c r="BP91" s="323"/>
      <c r="BQ91" s="323"/>
      <c r="BR91" s="323"/>
      <c r="BS91" s="323"/>
      <c r="BT91" s="323"/>
      <c r="BU91" s="323"/>
      <c r="BV91" s="323"/>
      <c r="BW91" s="323"/>
      <c r="BX91" s="323"/>
      <c r="BY91" s="323"/>
      <c r="BZ91" s="323"/>
      <c r="CA91" s="323"/>
      <c r="CB91" s="323"/>
      <c r="CC91" s="323"/>
      <c r="CD91" s="323"/>
      <c r="CE91" s="323"/>
      <c r="CF91" s="5"/>
      <c r="CG91" s="5"/>
      <c r="CH91" s="5"/>
    </row>
    <row r="92" spans="1:86" hidden="1" outlineLevel="2">
      <c r="A92" s="158" t="s">
        <v>568</v>
      </c>
      <c r="B92" s="12" t="s">
        <v>567</v>
      </c>
      <c r="C92" s="6"/>
      <c r="D92" s="6"/>
      <c r="E92" s="6"/>
      <c r="F92" s="6"/>
      <c r="G92" s="6"/>
      <c r="H92" s="6"/>
      <c r="I92" s="324"/>
      <c r="J92" s="324"/>
      <c r="K92" s="324"/>
      <c r="L92" s="324"/>
      <c r="M92" s="324"/>
      <c r="N92" s="324" t="e">
        <f>VLOOKUP($A92,QUNR,MATCH(N$4,Period_QUNR,FALSE),FALSE)</f>
        <v>#NAME?</v>
      </c>
      <c r="O92" s="324" t="e">
        <f>VLOOKUP($A92,QUNR,MATCH(O$4,Period_QUNR,FALSE),FALSE)</f>
        <v>#NAME?</v>
      </c>
      <c r="P92" s="324" t="e">
        <f>VLOOKUP($A92,QUNR,MATCH(P$4,Period_QUNR,FALSE),FALSE)</f>
        <v>#NAME?</v>
      </c>
      <c r="Q92" s="324" t="e">
        <f>VLOOKUP($A92,QUNR,MATCH(Q$4,Period_QUNR,FALSE),FALSE)</f>
        <v>#NAME?</v>
      </c>
      <c r="R92" s="324" t="e">
        <f>VLOOKUP($A92,QUNR,MATCH(R$4,Period_QUNR,FALSE),FALSE)</f>
        <v>#NAME?</v>
      </c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210"/>
      <c r="AG92" s="210"/>
      <c r="AH92" s="210"/>
      <c r="AI92" s="210"/>
      <c r="AJ92" s="210"/>
      <c r="AK92" s="210"/>
      <c r="AL92" s="210"/>
      <c r="AM92" s="210"/>
      <c r="AN92" s="210"/>
      <c r="AO92" s="210"/>
      <c r="AP92" s="210"/>
      <c r="AQ92" s="210"/>
      <c r="AR92" s="210"/>
      <c r="AS92" s="210"/>
      <c r="AT92" s="210"/>
      <c r="AU92" s="210"/>
      <c r="AV92" s="210"/>
      <c r="AW92" s="210"/>
      <c r="AX92" s="210"/>
      <c r="AY92" s="210"/>
      <c r="AZ92" s="210"/>
      <c r="BA92" s="210"/>
      <c r="BB92" s="210"/>
      <c r="BC92" s="210"/>
      <c r="BD92" s="210" t="e">
        <f t="shared" ref="BD92:BP92" si="145">VLOOKUP($A92,QUNR,MATCH(BD$4,Period_QUNR,FALSE),FALSE)</f>
        <v>#NAME?</v>
      </c>
      <c r="BE92" s="210" t="e">
        <f t="shared" si="145"/>
        <v>#NAME?</v>
      </c>
      <c r="BF92" s="210" t="e">
        <f t="shared" si="145"/>
        <v>#NAME?</v>
      </c>
      <c r="BG92" s="210" t="e">
        <f t="shared" si="145"/>
        <v>#NAME?</v>
      </c>
      <c r="BH92" s="210" t="e">
        <f t="shared" si="145"/>
        <v>#NAME?</v>
      </c>
      <c r="BI92" s="210" t="e">
        <f t="shared" si="145"/>
        <v>#NAME?</v>
      </c>
      <c r="BJ92" s="210" t="e">
        <f t="shared" si="145"/>
        <v>#NAME?</v>
      </c>
      <c r="BK92" s="210" t="e">
        <f t="shared" si="145"/>
        <v>#NAME?</v>
      </c>
      <c r="BL92" s="210" t="e">
        <f t="shared" si="145"/>
        <v>#NAME?</v>
      </c>
      <c r="BM92" s="210" t="e">
        <f t="shared" si="145"/>
        <v>#NAME?</v>
      </c>
      <c r="BN92" s="210" t="e">
        <f t="shared" si="145"/>
        <v>#NAME?</v>
      </c>
      <c r="BO92" s="210" t="e">
        <f t="shared" si="145"/>
        <v>#NAME?</v>
      </c>
      <c r="BP92" s="210" t="e">
        <f t="shared" si="145"/>
        <v>#NAME?</v>
      </c>
      <c r="BQ92" s="210" t="e">
        <f>BQ86</f>
        <v>#NAME?</v>
      </c>
      <c r="BR92" s="324"/>
      <c r="BS92" s="324"/>
      <c r="BT92" s="324"/>
      <c r="BU92" s="324"/>
      <c r="BV92" s="324"/>
      <c r="BW92" s="324"/>
      <c r="BX92" s="324"/>
      <c r="BY92" s="324"/>
      <c r="BZ92" s="324"/>
      <c r="CA92" s="324"/>
      <c r="CB92" s="324"/>
      <c r="CC92" s="324"/>
      <c r="CD92" s="324"/>
      <c r="CE92" s="324"/>
      <c r="CF92" s="5"/>
      <c r="CG92" s="5"/>
      <c r="CH92" s="5"/>
    </row>
    <row r="93" spans="1:86" hidden="1" outlineLevel="2">
      <c r="A93" s="158" t="s">
        <v>570</v>
      </c>
      <c r="B93" s="12" t="s">
        <v>569</v>
      </c>
      <c r="C93" s="6"/>
      <c r="D93" s="6"/>
      <c r="E93" s="6"/>
      <c r="F93" s="6"/>
      <c r="G93" s="6"/>
      <c r="H93" s="6"/>
      <c r="I93" s="324"/>
      <c r="J93" s="324"/>
      <c r="K93" s="324"/>
      <c r="L93" s="324"/>
      <c r="M93" s="324"/>
      <c r="N93" s="324"/>
      <c r="O93" s="324"/>
      <c r="P93" s="324"/>
      <c r="Q93" s="324"/>
      <c r="R93" s="324" t="e">
        <f>VLOOKUP($A93,QUNR,MATCH(R$4,Period_QUNR,FALSE),FALSE)</f>
        <v>#NAME?</v>
      </c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210"/>
      <c r="AG93" s="210"/>
      <c r="AH93" s="210"/>
      <c r="AI93" s="210"/>
      <c r="AJ93" s="210"/>
      <c r="AK93" s="210"/>
      <c r="AL93" s="210"/>
      <c r="AM93" s="210"/>
      <c r="AN93" s="210"/>
      <c r="AO93" s="210"/>
      <c r="AP93" s="210"/>
      <c r="AQ93" s="210"/>
      <c r="AR93" s="210"/>
      <c r="AS93" s="210"/>
      <c r="AT93" s="210"/>
      <c r="AU93" s="210"/>
      <c r="AV93" s="210"/>
      <c r="AW93" s="210"/>
      <c r="AX93" s="210"/>
      <c r="AY93" s="210"/>
      <c r="AZ93" s="210"/>
      <c r="BA93" s="210"/>
      <c r="BB93" s="210"/>
      <c r="BC93" s="210"/>
      <c r="BD93" s="210">
        <v>0</v>
      </c>
      <c r="BE93" s="210">
        <v>0</v>
      </c>
      <c r="BF93" s="210">
        <v>0</v>
      </c>
      <c r="BG93" s="210">
        <v>0</v>
      </c>
      <c r="BH93" s="210">
        <v>0</v>
      </c>
      <c r="BI93" s="210">
        <v>0</v>
      </c>
      <c r="BJ93" s="210">
        <v>0</v>
      </c>
      <c r="BK93" s="210">
        <v>0</v>
      </c>
      <c r="BL93" s="210">
        <v>0</v>
      </c>
      <c r="BM93" s="210" t="e">
        <f t="shared" ref="BM93:BQ94" si="146">VLOOKUP($A93,QUNR,MATCH(BM$4,Period_QUNR,FALSE),FALSE)</f>
        <v>#NAME?</v>
      </c>
      <c r="BN93" s="210" t="e">
        <f t="shared" si="146"/>
        <v>#NAME?</v>
      </c>
      <c r="BO93" s="210" t="e">
        <f t="shared" si="146"/>
        <v>#NAME?</v>
      </c>
      <c r="BP93" s="210" t="e">
        <f t="shared" si="146"/>
        <v>#NAME?</v>
      </c>
      <c r="BQ93" s="210" t="e">
        <f t="shared" si="146"/>
        <v>#NAME?</v>
      </c>
      <c r="BR93" s="324"/>
      <c r="BS93" s="324"/>
      <c r="BT93" s="324"/>
      <c r="BU93" s="324"/>
      <c r="BV93" s="324"/>
      <c r="BW93" s="324"/>
      <c r="BX93" s="324"/>
      <c r="BY93" s="324"/>
      <c r="BZ93" s="324"/>
      <c r="CA93" s="324"/>
      <c r="CB93" s="324"/>
      <c r="CC93" s="324"/>
      <c r="CD93" s="324"/>
      <c r="CE93" s="324"/>
      <c r="CF93" s="5"/>
      <c r="CG93" s="5"/>
      <c r="CH93" s="5"/>
    </row>
    <row r="94" spans="1:86" hidden="1" outlineLevel="2">
      <c r="A94" s="158" t="s">
        <v>571</v>
      </c>
      <c r="B94" s="115" t="s">
        <v>708</v>
      </c>
      <c r="C94" s="84"/>
      <c r="D94" s="84"/>
      <c r="E94" s="84"/>
      <c r="F94" s="84"/>
      <c r="G94" s="84"/>
      <c r="H94" s="84"/>
      <c r="I94" s="220"/>
      <c r="J94" s="220"/>
      <c r="K94" s="220"/>
      <c r="L94" s="220"/>
      <c r="M94" s="220"/>
      <c r="N94" s="220" t="e">
        <f>VLOOKUP($A94,QUNR,MATCH(N$4,Period_QUNR,FALSE),FALSE)</f>
        <v>#NAME?</v>
      </c>
      <c r="O94" s="220" t="e">
        <f>VLOOKUP($A94,QUNR,MATCH(O$4,Period_QUNR,FALSE),FALSE)</f>
        <v>#NAME?</v>
      </c>
      <c r="P94" s="220" t="e">
        <f>VLOOKUP($A94,QUNR,MATCH(P$4,Period_QUNR,FALSE),FALSE)</f>
        <v>#NAME?</v>
      </c>
      <c r="Q94" s="220" t="e">
        <f>VLOOKUP($A94,QUNR,MATCH(Q$4,Period_QUNR,FALSE),FALSE)</f>
        <v>#NAME?</v>
      </c>
      <c r="R94" s="220" t="e">
        <f>VLOOKUP($A94,QUNR,MATCH(R$4,Period_QUNR,FALSE),FALSE)</f>
        <v>#NAME?</v>
      </c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220"/>
      <c r="AG94" s="220"/>
      <c r="AH94" s="220"/>
      <c r="AI94" s="220"/>
      <c r="AJ94" s="220"/>
      <c r="AK94" s="220"/>
      <c r="AL94" s="220"/>
      <c r="AM94" s="220"/>
      <c r="AN94" s="220"/>
      <c r="AO94" s="220"/>
      <c r="AP94" s="220"/>
      <c r="AQ94" s="220"/>
      <c r="AR94" s="220"/>
      <c r="AS94" s="220"/>
      <c r="AT94" s="220"/>
      <c r="AU94" s="220"/>
      <c r="AV94" s="220"/>
      <c r="AW94" s="220"/>
      <c r="AX94" s="220"/>
      <c r="AY94" s="220"/>
      <c r="AZ94" s="220"/>
      <c r="BA94" s="220"/>
      <c r="BB94" s="220"/>
      <c r="BC94" s="220"/>
      <c r="BD94" s="220" t="e">
        <f t="shared" ref="BD94:BL94" si="147">VLOOKUP($A94,QUNR,MATCH(BD$4,Period_QUNR,FALSE),FALSE)</f>
        <v>#NAME?</v>
      </c>
      <c r="BE94" s="220" t="e">
        <f t="shared" si="147"/>
        <v>#NAME?</v>
      </c>
      <c r="BF94" s="220" t="e">
        <f t="shared" si="147"/>
        <v>#NAME?</v>
      </c>
      <c r="BG94" s="220" t="e">
        <f t="shared" si="147"/>
        <v>#NAME?</v>
      </c>
      <c r="BH94" s="220" t="e">
        <f t="shared" si="147"/>
        <v>#NAME?</v>
      </c>
      <c r="BI94" s="220" t="e">
        <f t="shared" si="147"/>
        <v>#NAME?</v>
      </c>
      <c r="BJ94" s="220" t="e">
        <f t="shared" si="147"/>
        <v>#NAME?</v>
      </c>
      <c r="BK94" s="220" t="e">
        <f t="shared" si="147"/>
        <v>#NAME?</v>
      </c>
      <c r="BL94" s="220" t="e">
        <f t="shared" si="147"/>
        <v>#NAME?</v>
      </c>
      <c r="BM94" s="220" t="e">
        <f t="shared" si="146"/>
        <v>#NAME?</v>
      </c>
      <c r="BN94" s="220" t="e">
        <f t="shared" si="146"/>
        <v>#NAME?</v>
      </c>
      <c r="BO94" s="220" t="e">
        <f t="shared" si="146"/>
        <v>#NAME?</v>
      </c>
      <c r="BP94" s="220" t="e">
        <f t="shared" si="146"/>
        <v>#NAME?</v>
      </c>
      <c r="BQ94" s="220" t="e">
        <f t="shared" si="146"/>
        <v>#NAME?</v>
      </c>
      <c r="BR94" s="220"/>
      <c r="BS94" s="220"/>
      <c r="BT94" s="220"/>
      <c r="BU94" s="220"/>
      <c r="BV94" s="220"/>
      <c r="BW94" s="220"/>
      <c r="BX94" s="220"/>
      <c r="BY94" s="220"/>
      <c r="BZ94" s="220"/>
      <c r="CA94" s="220"/>
      <c r="CB94" s="220"/>
      <c r="CC94" s="220"/>
      <c r="CD94" s="220"/>
      <c r="CE94" s="220"/>
      <c r="CF94" s="22"/>
      <c r="CG94" s="22"/>
      <c r="CH94" s="22"/>
    </row>
    <row r="95" spans="1:86" hidden="1" outlineLevel="2">
      <c r="B95" s="12" t="s">
        <v>709</v>
      </c>
      <c r="C95" s="6"/>
      <c r="D95" s="6"/>
      <c r="E95" s="6"/>
      <c r="F95" s="6"/>
      <c r="G95" s="6"/>
      <c r="H95" s="6"/>
      <c r="I95" s="324"/>
      <c r="J95" s="324"/>
      <c r="K95" s="324"/>
      <c r="L95" s="324"/>
      <c r="M95" s="324"/>
      <c r="N95" s="324"/>
      <c r="O95" s="324"/>
      <c r="P95" s="324"/>
      <c r="Q95" s="324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324"/>
      <c r="AG95" s="324"/>
      <c r="AH95" s="324"/>
      <c r="AI95" s="324"/>
      <c r="AJ95" s="324"/>
      <c r="AK95" s="324"/>
      <c r="AL95" s="324"/>
      <c r="AM95" s="324"/>
      <c r="AN95" s="324"/>
      <c r="AO95" s="324"/>
      <c r="AP95" s="324"/>
      <c r="AQ95" s="324"/>
      <c r="AR95" s="324"/>
      <c r="AS95" s="324"/>
      <c r="AT95" s="324"/>
      <c r="AU95" s="324"/>
      <c r="AV95" s="324"/>
      <c r="AW95" s="324"/>
      <c r="AX95" s="324"/>
      <c r="AY95" s="324"/>
      <c r="AZ95" s="324"/>
      <c r="BA95" s="324"/>
      <c r="BB95" s="324"/>
      <c r="BC95" s="324"/>
      <c r="BD95" s="157" t="e">
        <f>BD94/BD89</f>
        <v>#NAME?</v>
      </c>
      <c r="BE95" s="157" t="e">
        <f t="shared" ref="BE95:BQ95" si="148">BE94/BE89</f>
        <v>#NAME?</v>
      </c>
      <c r="BF95" s="157" t="e">
        <f t="shared" si="148"/>
        <v>#NAME?</v>
      </c>
      <c r="BG95" s="157" t="e">
        <f t="shared" si="148"/>
        <v>#NAME?</v>
      </c>
      <c r="BH95" s="157" t="e">
        <f t="shared" si="148"/>
        <v>#NAME?</v>
      </c>
      <c r="BI95" s="157" t="e">
        <f t="shared" si="148"/>
        <v>#NAME?</v>
      </c>
      <c r="BJ95" s="157" t="e">
        <f t="shared" si="148"/>
        <v>#NAME?</v>
      </c>
      <c r="BK95" s="157" t="e">
        <f t="shared" si="148"/>
        <v>#NAME?</v>
      </c>
      <c r="BL95" s="157" t="e">
        <f t="shared" si="148"/>
        <v>#NAME?</v>
      </c>
      <c r="BM95" s="157" t="e">
        <f t="shared" si="148"/>
        <v>#NAME?</v>
      </c>
      <c r="BN95" s="157" t="e">
        <f t="shared" si="148"/>
        <v>#NAME?</v>
      </c>
      <c r="BO95" s="157" t="e">
        <f t="shared" si="148"/>
        <v>#NAME?</v>
      </c>
      <c r="BP95" s="157" t="e">
        <f t="shared" si="148"/>
        <v>#NAME?</v>
      </c>
      <c r="BQ95" s="157" t="e">
        <f t="shared" si="148"/>
        <v>#NAME?</v>
      </c>
      <c r="BR95" s="324"/>
      <c r="BS95" s="324"/>
      <c r="BT95" s="324"/>
      <c r="BU95" s="324"/>
      <c r="BV95" s="324"/>
      <c r="BW95" s="324"/>
      <c r="BX95" s="324"/>
      <c r="BY95" s="324"/>
      <c r="BZ95" s="324"/>
      <c r="CA95" s="324"/>
      <c r="CB95" s="324"/>
      <c r="CC95" s="324"/>
      <c r="CD95" s="324"/>
      <c r="CE95" s="324"/>
      <c r="CF95" s="5"/>
      <c r="CG95" s="5"/>
      <c r="CH95" s="5"/>
    </row>
    <row r="96" spans="1:86" hidden="1" outlineLevel="2">
      <c r="B96" s="12"/>
      <c r="C96" s="6"/>
      <c r="D96" s="6"/>
      <c r="E96" s="6"/>
      <c r="F96" s="6"/>
      <c r="G96" s="6"/>
      <c r="H96" s="6"/>
      <c r="I96" s="324"/>
      <c r="J96" s="324"/>
      <c r="K96" s="324"/>
      <c r="L96" s="324"/>
      <c r="M96" s="324"/>
      <c r="N96" s="324"/>
      <c r="O96" s="324"/>
      <c r="P96" s="324"/>
      <c r="Q96" s="324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324"/>
      <c r="AG96" s="324"/>
      <c r="AH96" s="324"/>
      <c r="AI96" s="324"/>
      <c r="AJ96" s="324"/>
      <c r="AK96" s="324"/>
      <c r="AL96" s="324"/>
      <c r="AM96" s="324"/>
      <c r="AN96" s="324"/>
      <c r="AO96" s="324"/>
      <c r="AP96" s="324"/>
      <c r="AQ96" s="324"/>
      <c r="AR96" s="324"/>
      <c r="AS96" s="324"/>
      <c r="AT96" s="324"/>
      <c r="AU96" s="324"/>
      <c r="AV96" s="324"/>
      <c r="AW96" s="324"/>
      <c r="AX96" s="324"/>
      <c r="AY96" s="324"/>
      <c r="AZ96" s="324"/>
      <c r="BA96" s="324"/>
      <c r="BB96" s="324"/>
      <c r="BC96" s="324"/>
      <c r="BD96" s="324"/>
      <c r="BE96" s="324"/>
      <c r="BF96" s="324"/>
      <c r="BG96" s="324"/>
      <c r="BH96" s="324"/>
      <c r="BI96" s="324"/>
      <c r="BJ96" s="324"/>
      <c r="BK96" s="324"/>
      <c r="BL96" s="324"/>
      <c r="BM96" s="324"/>
      <c r="BN96" s="324"/>
      <c r="BO96" s="324"/>
      <c r="BP96" s="324"/>
      <c r="BQ96" s="324"/>
      <c r="BR96" s="324"/>
      <c r="BS96" s="324"/>
      <c r="BT96" s="324"/>
      <c r="BU96" s="324"/>
      <c r="BV96" s="324"/>
      <c r="BW96" s="324"/>
      <c r="BX96" s="324"/>
      <c r="BY96" s="324"/>
      <c r="BZ96" s="324"/>
      <c r="CA96" s="324"/>
      <c r="CB96" s="324"/>
      <c r="CC96" s="324"/>
      <c r="CD96" s="324"/>
      <c r="CE96" s="324"/>
      <c r="CF96" s="5"/>
      <c r="CG96" s="5"/>
      <c r="CH96" s="5"/>
    </row>
    <row r="97" spans="2:86" hidden="1" outlineLevel="2">
      <c r="B97" s="13" t="s">
        <v>705</v>
      </c>
      <c r="C97" s="6"/>
      <c r="D97" s="6"/>
      <c r="E97" s="6"/>
      <c r="F97" s="6"/>
      <c r="G97" s="6"/>
      <c r="H97" s="6"/>
      <c r="I97" s="324"/>
      <c r="J97" s="324"/>
      <c r="K97" s="324"/>
      <c r="L97" s="324"/>
      <c r="M97" s="324"/>
      <c r="N97" s="324"/>
      <c r="O97" s="324"/>
      <c r="P97" s="324"/>
      <c r="Q97" s="324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324"/>
      <c r="AG97" s="324"/>
      <c r="AH97" s="324"/>
      <c r="AI97" s="324"/>
      <c r="AJ97" s="324"/>
      <c r="AK97" s="324"/>
      <c r="AL97" s="324"/>
      <c r="AM97" s="324"/>
      <c r="AN97" s="324"/>
      <c r="AO97" s="324"/>
      <c r="AP97" s="324"/>
      <c r="AQ97" s="324"/>
      <c r="AR97" s="324"/>
      <c r="AS97" s="324"/>
      <c r="AT97" s="324"/>
      <c r="AU97" s="324"/>
      <c r="AV97" s="324"/>
      <c r="AW97" s="324"/>
      <c r="AX97" s="324"/>
      <c r="AY97" s="324"/>
      <c r="AZ97" s="324"/>
      <c r="BA97" s="324"/>
      <c r="BB97" s="324"/>
      <c r="BC97" s="324"/>
      <c r="BD97" s="324"/>
      <c r="BE97" s="324"/>
      <c r="BF97" s="324"/>
      <c r="BG97" s="324"/>
      <c r="BH97" s="324"/>
      <c r="BI97" s="324"/>
      <c r="BJ97" s="324"/>
      <c r="BK97" s="324"/>
      <c r="BL97" s="324"/>
      <c r="BM97" s="324"/>
      <c r="BN97" s="324"/>
      <c r="BO97" s="324"/>
      <c r="BP97" s="324"/>
      <c r="BQ97" s="324"/>
      <c r="BR97" s="324"/>
      <c r="BS97" s="324"/>
      <c r="BT97" s="324"/>
      <c r="BU97" s="324"/>
      <c r="BV97" s="324"/>
      <c r="BW97" s="324"/>
      <c r="BX97" s="324"/>
      <c r="BY97" s="324"/>
      <c r="BZ97" s="324"/>
      <c r="CA97" s="324"/>
      <c r="CB97" s="324"/>
      <c r="CC97" s="324"/>
      <c r="CD97" s="324"/>
      <c r="CE97" s="324"/>
      <c r="CF97" s="5"/>
      <c r="CG97" s="5"/>
      <c r="CH97" s="5"/>
    </row>
    <row r="98" spans="2:86" hidden="1" outlineLevel="2">
      <c r="B98" s="13" t="s">
        <v>702</v>
      </c>
      <c r="C98" s="6"/>
      <c r="D98" s="6"/>
      <c r="E98" s="6"/>
      <c r="F98" s="6"/>
      <c r="G98" s="6"/>
      <c r="H98" s="6"/>
      <c r="I98" s="324"/>
      <c r="J98" s="324"/>
      <c r="K98" s="324"/>
      <c r="L98" s="324"/>
      <c r="M98" s="324"/>
      <c r="N98" s="324"/>
      <c r="O98" s="324"/>
      <c r="P98" s="324"/>
      <c r="Q98" s="324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324"/>
      <c r="AG98" s="324"/>
      <c r="AH98" s="324"/>
      <c r="AI98" s="324"/>
      <c r="AJ98" s="324"/>
      <c r="AK98" s="324"/>
      <c r="AL98" s="324"/>
      <c r="AM98" s="324"/>
      <c r="AN98" s="324"/>
      <c r="AO98" s="324"/>
      <c r="AP98" s="324"/>
      <c r="AQ98" s="324"/>
      <c r="AR98" s="324"/>
      <c r="AS98" s="324"/>
      <c r="AT98" s="324"/>
      <c r="AU98" s="324"/>
      <c r="AV98" s="324"/>
      <c r="AW98" s="324"/>
      <c r="AX98" s="324"/>
      <c r="AY98" s="324"/>
      <c r="AZ98" s="324"/>
      <c r="BA98" s="324"/>
      <c r="BB98" s="324"/>
      <c r="BC98" s="324"/>
      <c r="BD98" s="324"/>
      <c r="BE98" s="324"/>
      <c r="BF98" s="324"/>
      <c r="BG98" s="324"/>
      <c r="BH98" s="324"/>
      <c r="BI98" s="324"/>
      <c r="BJ98" s="324"/>
      <c r="BK98" s="324"/>
      <c r="BL98" s="324"/>
      <c r="BM98" s="324"/>
      <c r="BN98" s="324"/>
      <c r="BO98" s="324"/>
      <c r="BP98" s="324"/>
      <c r="BQ98" s="324"/>
      <c r="BR98" s="324"/>
      <c r="BS98" s="324"/>
      <c r="BT98" s="324"/>
      <c r="BU98" s="324"/>
      <c r="BV98" s="324"/>
      <c r="BW98" s="324"/>
      <c r="BX98" s="324"/>
      <c r="BY98" s="324"/>
      <c r="BZ98" s="324"/>
      <c r="CA98" s="324"/>
      <c r="CB98" s="324"/>
      <c r="CC98" s="324"/>
      <c r="CD98" s="324"/>
      <c r="CE98" s="324"/>
      <c r="CF98" s="5"/>
      <c r="CG98" s="5"/>
      <c r="CH98" s="5"/>
    </row>
    <row r="99" spans="2:86" hidden="1" outlineLevel="2">
      <c r="B99" s="13" t="s">
        <v>703</v>
      </c>
      <c r="C99" s="6"/>
      <c r="D99" s="6"/>
      <c r="E99" s="6"/>
      <c r="F99" s="6"/>
      <c r="G99" s="6"/>
      <c r="H99" s="6"/>
      <c r="I99" s="324"/>
      <c r="J99" s="324"/>
      <c r="K99" s="324"/>
      <c r="L99" s="324"/>
      <c r="M99" s="324"/>
      <c r="N99" s="324"/>
      <c r="O99" s="324"/>
      <c r="P99" s="324"/>
      <c r="Q99" s="324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324"/>
      <c r="AG99" s="324"/>
      <c r="AH99" s="324"/>
      <c r="AI99" s="324"/>
      <c r="AJ99" s="324"/>
      <c r="AK99" s="324"/>
      <c r="AL99" s="324"/>
      <c r="AM99" s="324"/>
      <c r="AN99" s="324"/>
      <c r="AO99" s="324"/>
      <c r="AP99" s="324"/>
      <c r="AQ99" s="324"/>
      <c r="AR99" s="324"/>
      <c r="AS99" s="324"/>
      <c r="AT99" s="324"/>
      <c r="AU99" s="324"/>
      <c r="AV99" s="324"/>
      <c r="AW99" s="324"/>
      <c r="AX99" s="324"/>
      <c r="AY99" s="324"/>
      <c r="AZ99" s="324"/>
      <c r="BA99" s="324"/>
      <c r="BB99" s="324"/>
      <c r="BC99" s="324"/>
      <c r="BD99" s="324"/>
      <c r="BE99" s="324"/>
      <c r="BF99" s="324"/>
      <c r="BG99" s="324"/>
      <c r="BH99" s="324"/>
      <c r="BI99" s="324"/>
      <c r="BJ99" s="324"/>
      <c r="BK99" s="324"/>
      <c r="BL99" s="324"/>
      <c r="BM99" s="324"/>
      <c r="BN99" s="324"/>
      <c r="BO99" s="324"/>
      <c r="BP99" s="324"/>
      <c r="BQ99" s="324"/>
      <c r="BR99" s="324"/>
      <c r="BS99" s="324"/>
      <c r="BT99" s="324"/>
      <c r="BU99" s="324"/>
      <c r="BV99" s="324"/>
      <c r="BW99" s="324"/>
      <c r="BX99" s="324"/>
      <c r="BY99" s="324"/>
      <c r="BZ99" s="324"/>
      <c r="CA99" s="324"/>
      <c r="CB99" s="324"/>
      <c r="CC99" s="324"/>
      <c r="CD99" s="324"/>
      <c r="CE99" s="324"/>
      <c r="CF99" s="5"/>
      <c r="CG99" s="5"/>
      <c r="CH99" s="5"/>
    </row>
    <row r="100" spans="2:86" hidden="1" outlineLevel="2">
      <c r="C100" s="6"/>
      <c r="D100" s="6"/>
      <c r="E100" s="6"/>
      <c r="F100" s="6"/>
      <c r="G100" s="6"/>
      <c r="H100" s="6"/>
      <c r="I100" s="324"/>
      <c r="J100" s="324"/>
      <c r="K100" s="324"/>
      <c r="L100" s="324"/>
      <c r="M100" s="324"/>
      <c r="N100" s="324"/>
      <c r="O100" s="324"/>
      <c r="P100" s="324"/>
      <c r="Q100" s="324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324"/>
      <c r="AG100" s="324"/>
      <c r="AH100" s="324"/>
      <c r="AI100" s="324"/>
      <c r="AJ100" s="324"/>
      <c r="AK100" s="324"/>
      <c r="AL100" s="324"/>
      <c r="AM100" s="324"/>
      <c r="AN100" s="324"/>
      <c r="AO100" s="324"/>
      <c r="AP100" s="324"/>
      <c r="AQ100" s="324"/>
      <c r="AR100" s="324"/>
      <c r="AS100" s="324"/>
      <c r="AT100" s="324"/>
      <c r="AU100" s="324"/>
      <c r="AV100" s="324"/>
      <c r="AW100" s="324"/>
      <c r="AX100" s="324"/>
      <c r="AY100" s="324"/>
      <c r="AZ100" s="324"/>
      <c r="BA100" s="324"/>
      <c r="BB100" s="324"/>
      <c r="BC100" s="324"/>
      <c r="BD100" s="324"/>
      <c r="BE100" s="324"/>
      <c r="BF100" s="324"/>
      <c r="BG100" s="324"/>
      <c r="BH100" s="324"/>
      <c r="BI100" s="324"/>
      <c r="BJ100" s="324"/>
      <c r="BK100" s="324"/>
      <c r="BL100" s="324"/>
      <c r="BM100" s="324"/>
      <c r="BN100" s="324"/>
      <c r="BO100" s="324"/>
      <c r="BP100" s="324"/>
      <c r="BQ100" s="324"/>
      <c r="BR100" s="324"/>
      <c r="BS100" s="324"/>
      <c r="BT100" s="324"/>
      <c r="BU100" s="324"/>
      <c r="BV100" s="324"/>
      <c r="BW100" s="324"/>
      <c r="BX100" s="324"/>
      <c r="BY100" s="324"/>
      <c r="BZ100" s="324"/>
      <c r="CA100" s="324"/>
      <c r="CB100" s="324"/>
      <c r="CC100" s="324"/>
      <c r="CD100" s="324"/>
      <c r="CE100" s="324"/>
      <c r="CF100" s="5"/>
      <c r="CG100" s="5"/>
      <c r="CH100" s="5"/>
    </row>
    <row r="101" spans="2:86" hidden="1" outlineLevel="2">
      <c r="B101" s="363" t="s">
        <v>714</v>
      </c>
      <c r="C101" s="365"/>
      <c r="D101" s="365"/>
      <c r="E101" s="365"/>
      <c r="F101" s="365"/>
      <c r="G101" s="365"/>
      <c r="H101" s="365"/>
      <c r="I101" s="364"/>
      <c r="J101" s="364"/>
      <c r="K101" s="364"/>
      <c r="L101" s="364"/>
      <c r="M101" s="364"/>
      <c r="N101" s="364"/>
      <c r="O101" s="364"/>
      <c r="P101" s="364"/>
      <c r="Q101" s="364"/>
      <c r="R101" s="365"/>
      <c r="S101" s="365"/>
      <c r="T101" s="365"/>
      <c r="U101" s="365"/>
      <c r="V101" s="365"/>
      <c r="W101" s="365"/>
      <c r="X101" s="365"/>
      <c r="Y101" s="365"/>
      <c r="Z101" s="365"/>
      <c r="AA101" s="365"/>
      <c r="AB101" s="365"/>
      <c r="AC101" s="365"/>
      <c r="AD101" s="365"/>
      <c r="AE101" s="365"/>
      <c r="AF101" s="364"/>
      <c r="AG101" s="364"/>
      <c r="AH101" s="364"/>
      <c r="AI101" s="364"/>
      <c r="AJ101" s="364"/>
      <c r="AK101" s="364"/>
      <c r="AL101" s="364"/>
      <c r="AM101" s="364"/>
      <c r="AN101" s="364"/>
      <c r="AO101" s="364"/>
      <c r="AP101" s="364"/>
      <c r="AQ101" s="364"/>
      <c r="AR101" s="364"/>
      <c r="AS101" s="364"/>
      <c r="AT101" s="364"/>
      <c r="AU101" s="364"/>
      <c r="AV101" s="364"/>
      <c r="AW101" s="364"/>
      <c r="AX101" s="364"/>
      <c r="AY101" s="364"/>
      <c r="AZ101" s="364"/>
      <c r="BA101" s="364"/>
      <c r="BB101" s="364"/>
      <c r="BC101" s="364"/>
      <c r="BD101" s="364"/>
      <c r="BE101" s="364"/>
      <c r="BF101" s="364"/>
      <c r="BG101" s="364"/>
      <c r="BH101" s="364"/>
      <c r="BI101" s="364"/>
      <c r="BJ101" s="364"/>
      <c r="BK101" s="364"/>
      <c r="BL101" s="364"/>
      <c r="BM101" s="364"/>
      <c r="BN101" s="364"/>
      <c r="BO101" s="364"/>
      <c r="BP101" s="364"/>
      <c r="BQ101" s="364"/>
      <c r="BR101" s="364"/>
      <c r="BS101" s="364"/>
      <c r="BT101" s="364"/>
      <c r="BU101" s="364"/>
      <c r="BV101" s="364"/>
      <c r="BW101" s="364"/>
      <c r="BX101" s="364"/>
      <c r="BY101" s="364"/>
      <c r="BZ101" s="364"/>
      <c r="CA101" s="364"/>
      <c r="CB101" s="364"/>
      <c r="CC101" s="364"/>
      <c r="CD101" s="364"/>
      <c r="CE101" s="364"/>
      <c r="CF101" s="5"/>
      <c r="CG101" s="5"/>
      <c r="CH101" s="5"/>
    </row>
    <row r="102" spans="2:86" hidden="1" outlineLevel="2">
      <c r="B102" s="324" t="s">
        <v>702</v>
      </c>
      <c r="C102" s="324">
        <f t="shared" ref="C102:M102" si="149">Rev_Hotel-C86</f>
        <v>5.3389899999999999</v>
      </c>
      <c r="D102" s="324">
        <f t="shared" si="149"/>
        <v>43.379536000000002</v>
      </c>
      <c r="E102" s="324">
        <f t="shared" si="149"/>
        <v>96.762837000000005</v>
      </c>
      <c r="F102" s="324">
        <f t="shared" si="149"/>
        <v>153.38868599999998</v>
      </c>
      <c r="G102" s="324">
        <f t="shared" si="149"/>
        <v>276.04294399999998</v>
      </c>
      <c r="H102" s="324">
        <f t="shared" si="149"/>
        <v>362.85680000000002</v>
      </c>
      <c r="I102" s="324">
        <f t="shared" si="149"/>
        <v>476.49460599999998</v>
      </c>
      <c r="J102" s="324">
        <f t="shared" si="149"/>
        <v>676.51123800000005</v>
      </c>
      <c r="K102" s="324">
        <f t="shared" si="149"/>
        <v>755.73315200000002</v>
      </c>
      <c r="L102" s="324">
        <f t="shared" si="149"/>
        <v>940.68213200000002</v>
      </c>
      <c r="M102" s="324">
        <f t="shared" si="149"/>
        <v>1278.0436729999999</v>
      </c>
      <c r="N102" s="324" t="e">
        <f>N61-N86</f>
        <v>#NAME?</v>
      </c>
      <c r="O102" s="324" t="e">
        <f>O61-O86</f>
        <v>#NAME?</v>
      </c>
      <c r="P102" s="324" t="e">
        <f>P61-P86</f>
        <v>#NAME?</v>
      </c>
      <c r="Q102" s="324" t="e">
        <f>Q61-Q86</f>
        <v>#NAME?</v>
      </c>
      <c r="R102" s="324" t="e">
        <f>R61-R86</f>
        <v>#NAME?</v>
      </c>
      <c r="S102" s="324"/>
      <c r="T102" s="324"/>
      <c r="U102" s="324"/>
      <c r="V102" s="324"/>
      <c r="W102" s="324"/>
      <c r="X102" s="324"/>
      <c r="Y102" s="324"/>
      <c r="Z102" s="324"/>
      <c r="AA102" s="324"/>
      <c r="AB102" s="324"/>
      <c r="AC102" s="324"/>
      <c r="AD102" s="324"/>
      <c r="AE102" s="324"/>
      <c r="AF102" s="324">
        <f>AF61-AF86</f>
        <v>133.46826999999999</v>
      </c>
      <c r="AG102" s="324">
        <f t="shared" ref="AG102:BQ102" si="150">AG61-AG86</f>
        <v>171.42890199999999</v>
      </c>
      <c r="AH102" s="324">
        <f t="shared" si="150"/>
        <v>175.57871399999999</v>
      </c>
      <c r="AI102" s="324">
        <f t="shared" si="150"/>
        <v>196.03535199999999</v>
      </c>
      <c r="AJ102" s="324">
        <f t="shared" si="150"/>
        <v>171.19156000000001</v>
      </c>
      <c r="AK102" s="324">
        <f t="shared" si="150"/>
        <v>195.87316100000001</v>
      </c>
      <c r="AL102" s="324">
        <f t="shared" si="150"/>
        <v>186.00562099999999</v>
      </c>
      <c r="AM102" s="324">
        <f t="shared" si="150"/>
        <v>210.656475</v>
      </c>
      <c r="AN102" s="324">
        <f t="shared" si="150"/>
        <v>185.041484</v>
      </c>
      <c r="AO102" s="324">
        <f t="shared" si="150"/>
        <v>223.271782</v>
      </c>
      <c r="AP102" s="324">
        <f t="shared" si="150"/>
        <v>257.89537200000001</v>
      </c>
      <c r="AQ102" s="324">
        <f t="shared" si="150"/>
        <v>274.47367400000002</v>
      </c>
      <c r="AR102" s="324">
        <f t="shared" si="150"/>
        <v>251.91229200000001</v>
      </c>
      <c r="AS102" s="324">
        <f t="shared" si="150"/>
        <v>316.15046799999999</v>
      </c>
      <c r="AT102" s="324">
        <f t="shared" si="150"/>
        <v>349.65558399999998</v>
      </c>
      <c r="AU102" s="324">
        <f t="shared" si="150"/>
        <v>360.32532900000001</v>
      </c>
      <c r="AV102" s="324">
        <f t="shared" si="150"/>
        <v>310.39395400000001</v>
      </c>
      <c r="AW102" s="324">
        <f t="shared" si="150"/>
        <v>366.45369399999998</v>
      </c>
      <c r="AX102" s="324">
        <f t="shared" si="150"/>
        <v>410.42842899999999</v>
      </c>
      <c r="AY102" s="324">
        <f t="shared" si="150"/>
        <v>399.62278099999997</v>
      </c>
      <c r="AZ102" s="324">
        <f t="shared" si="150"/>
        <v>366.78436299999998</v>
      </c>
      <c r="BA102" s="324">
        <f t="shared" si="150"/>
        <v>410.370431</v>
      </c>
      <c r="BB102" s="324">
        <f t="shared" si="150"/>
        <v>457.04117300000001</v>
      </c>
      <c r="BC102" s="324">
        <f t="shared" si="150"/>
        <v>468.30460399999998</v>
      </c>
      <c r="BD102" s="324" t="e">
        <f t="shared" si="150"/>
        <v>#NAME?</v>
      </c>
      <c r="BE102" s="324" t="e">
        <f t="shared" si="150"/>
        <v>#NAME?</v>
      </c>
      <c r="BF102" s="324" t="e">
        <f t="shared" si="150"/>
        <v>#NAME?</v>
      </c>
      <c r="BG102" s="324" t="e">
        <f t="shared" si="150"/>
        <v>#NAME?</v>
      </c>
      <c r="BH102" s="324" t="e">
        <f t="shared" si="150"/>
        <v>#NAME?</v>
      </c>
      <c r="BI102" s="324" t="e">
        <f t="shared" si="150"/>
        <v>#NAME?</v>
      </c>
      <c r="BJ102" s="324" t="e">
        <f t="shared" si="150"/>
        <v>#NAME?</v>
      </c>
      <c r="BK102" s="324" t="e">
        <f t="shared" si="150"/>
        <v>#NAME?</v>
      </c>
      <c r="BL102" s="324" t="e">
        <f t="shared" si="150"/>
        <v>#NAME?</v>
      </c>
      <c r="BM102" s="324" t="e">
        <f t="shared" si="150"/>
        <v>#NAME?</v>
      </c>
      <c r="BN102" s="324" t="e">
        <f t="shared" si="150"/>
        <v>#NAME?</v>
      </c>
      <c r="BO102" s="324" t="e">
        <f t="shared" si="150"/>
        <v>#NAME?</v>
      </c>
      <c r="BP102" s="324" t="e">
        <f t="shared" si="150"/>
        <v>#NAME?</v>
      </c>
      <c r="BQ102" s="324" t="e">
        <f t="shared" si="150"/>
        <v>#NAME?</v>
      </c>
      <c r="BR102" s="324"/>
      <c r="BS102" s="324"/>
      <c r="BT102" s="324"/>
      <c r="BU102" s="324"/>
      <c r="BV102" s="324"/>
      <c r="BW102" s="324"/>
      <c r="BX102" s="324"/>
      <c r="BY102" s="324"/>
      <c r="BZ102" s="324"/>
      <c r="CA102" s="324"/>
      <c r="CB102" s="324"/>
      <c r="CC102" s="324"/>
      <c r="CD102" s="324"/>
      <c r="CE102" s="324"/>
      <c r="CF102" s="62"/>
      <c r="CG102" s="5"/>
      <c r="CH102" s="5"/>
    </row>
    <row r="103" spans="2:86" hidden="1" outlineLevel="2">
      <c r="B103" s="170" t="s">
        <v>160</v>
      </c>
      <c r="C103" s="170"/>
      <c r="D103" s="170"/>
      <c r="E103" s="170"/>
      <c r="F103" s="170"/>
      <c r="G103" s="170"/>
      <c r="H103" s="170">
        <f t="shared" ref="H103:P103" si="151">H65-H87</f>
        <v>5.45</v>
      </c>
      <c r="I103" s="170">
        <f t="shared" si="151"/>
        <v>6.84</v>
      </c>
      <c r="J103" s="170">
        <f t="shared" si="151"/>
        <v>9.5950000000000006</v>
      </c>
      <c r="K103" s="170">
        <f t="shared" si="151"/>
        <v>10.798431082326001</v>
      </c>
      <c r="L103" s="170">
        <f t="shared" si="151"/>
        <v>14.2198887235401</v>
      </c>
      <c r="M103" s="170">
        <f t="shared" si="151"/>
        <v>18.488787803433929</v>
      </c>
      <c r="N103" s="170" t="e">
        <f t="shared" si="151"/>
        <v>#NAME?</v>
      </c>
      <c r="O103" s="170" t="e">
        <f t="shared" si="151"/>
        <v>#NAME?</v>
      </c>
      <c r="P103" s="170" t="e">
        <f t="shared" si="151"/>
        <v>#NAME?</v>
      </c>
      <c r="Q103" s="170" t="e">
        <f>Q65-Q87</f>
        <v>#NAME?</v>
      </c>
      <c r="R103" s="170" t="e">
        <f>R65-R87</f>
        <v>#NAME?</v>
      </c>
      <c r="S103" s="170"/>
      <c r="T103" s="170"/>
      <c r="U103" s="170"/>
      <c r="V103" s="170"/>
      <c r="W103" s="170"/>
      <c r="X103" s="170"/>
      <c r="Y103" s="170"/>
      <c r="Z103" s="170"/>
      <c r="AA103" s="170"/>
      <c r="AB103" s="170"/>
      <c r="AC103" s="170"/>
      <c r="AD103" s="170"/>
      <c r="AE103" s="170"/>
      <c r="AF103" s="170">
        <f>AF65-AF87</f>
        <v>1.92</v>
      </c>
      <c r="AG103" s="170">
        <f t="shared" ref="AG103:BQ103" si="152">AG65-AG87</f>
        <v>2.41</v>
      </c>
      <c r="AH103" s="170">
        <f t="shared" si="152"/>
        <v>2.52</v>
      </c>
      <c r="AI103" s="170">
        <f t="shared" si="152"/>
        <v>2.7450000000000001</v>
      </c>
      <c r="AJ103" s="170">
        <f t="shared" si="152"/>
        <v>2.38815</v>
      </c>
      <c r="AK103" s="170">
        <f t="shared" si="152"/>
        <v>2.7224910000000002</v>
      </c>
      <c r="AL103" s="170">
        <f t="shared" si="152"/>
        <v>2.6408162700000002</v>
      </c>
      <c r="AM103" s="170">
        <f t="shared" si="152"/>
        <v>3.0469738123260002</v>
      </c>
      <c r="AN103" s="170">
        <f t="shared" si="152"/>
        <v>2.7941354999999999</v>
      </c>
      <c r="AO103" s="170">
        <f t="shared" si="152"/>
        <v>3.4303386600000003</v>
      </c>
      <c r="AP103" s="170">
        <f t="shared" si="152"/>
        <v>3.8819999169000003</v>
      </c>
      <c r="AQ103" s="170">
        <f t="shared" si="152"/>
        <v>4.1134146466401003</v>
      </c>
      <c r="AR103" s="170">
        <f t="shared" si="152"/>
        <v>3.6603175050000001</v>
      </c>
      <c r="AS103" s="170">
        <f t="shared" si="152"/>
        <v>4.5966538044000007</v>
      </c>
      <c r="AT103" s="170">
        <f t="shared" si="152"/>
        <v>5.0077798928010004</v>
      </c>
      <c r="AU103" s="170">
        <f t="shared" si="152"/>
        <v>5.2240366012329273</v>
      </c>
      <c r="AV103" s="170">
        <f t="shared" si="152"/>
        <v>4.3923810059999999</v>
      </c>
      <c r="AW103" s="170">
        <f t="shared" si="152"/>
        <v>5.2861518750600007</v>
      </c>
      <c r="AX103" s="170">
        <f t="shared" si="152"/>
        <v>5.8591024745771705</v>
      </c>
      <c r="AY103" s="170">
        <f t="shared" si="152"/>
        <v>5.7464402613562209</v>
      </c>
      <c r="AZ103" s="170">
        <f t="shared" si="152"/>
        <v>5.3147810172599996</v>
      </c>
      <c r="BA103" s="170">
        <f t="shared" si="152"/>
        <v>6.3433822500720005</v>
      </c>
      <c r="BB103" s="170">
        <f t="shared" si="152"/>
        <v>8.202743464408039</v>
      </c>
      <c r="BC103" s="170">
        <f t="shared" si="152"/>
        <v>7.8151587554444593</v>
      </c>
      <c r="BD103" s="170" t="e">
        <f t="shared" si="152"/>
        <v>#NAME?</v>
      </c>
      <c r="BE103" s="170" t="e">
        <f t="shared" si="152"/>
        <v>#NAME?</v>
      </c>
      <c r="BF103" s="170" t="e">
        <f t="shared" si="152"/>
        <v>#NAME?</v>
      </c>
      <c r="BG103" s="170" t="e">
        <f t="shared" si="152"/>
        <v>#NAME?</v>
      </c>
      <c r="BH103" s="170" t="e">
        <f t="shared" si="152"/>
        <v>#NAME?</v>
      </c>
      <c r="BI103" s="170" t="e">
        <f t="shared" si="152"/>
        <v>#NAME?</v>
      </c>
      <c r="BJ103" s="170" t="e">
        <f t="shared" si="152"/>
        <v>#NAME?</v>
      </c>
      <c r="BK103" s="170" t="e">
        <f t="shared" si="152"/>
        <v>#NAME?</v>
      </c>
      <c r="BL103" s="170" t="e">
        <f t="shared" si="152"/>
        <v>#NAME?</v>
      </c>
      <c r="BM103" s="170" t="e">
        <f t="shared" si="152"/>
        <v>#NAME?</v>
      </c>
      <c r="BN103" s="170" t="e">
        <f t="shared" si="152"/>
        <v>#NAME?</v>
      </c>
      <c r="BO103" s="170" t="e">
        <f t="shared" si="152"/>
        <v>#NAME?</v>
      </c>
      <c r="BP103" s="170" t="e">
        <f t="shared" si="152"/>
        <v>#NAME?</v>
      </c>
      <c r="BQ103" s="170" t="e">
        <f t="shared" si="152"/>
        <v>#NAME?</v>
      </c>
      <c r="BR103" s="170"/>
      <c r="BS103" s="170"/>
      <c r="BT103" s="170"/>
      <c r="BU103" s="170"/>
      <c r="BV103" s="170"/>
      <c r="BW103" s="170"/>
      <c r="BX103" s="170"/>
      <c r="BY103" s="170"/>
      <c r="BZ103" s="170"/>
      <c r="CA103" s="170"/>
      <c r="CB103" s="170"/>
      <c r="CC103" s="170"/>
      <c r="CD103" s="170"/>
      <c r="CE103" s="170"/>
      <c r="CF103" s="62"/>
      <c r="CG103" s="5"/>
      <c r="CH103" s="5"/>
    </row>
    <row r="104" spans="2:86" hidden="1" outlineLevel="2">
      <c r="B104" s="13" t="s">
        <v>704</v>
      </c>
      <c r="C104" s="323"/>
      <c r="D104" s="323"/>
      <c r="E104" s="323"/>
      <c r="F104" s="323"/>
      <c r="G104" s="323"/>
      <c r="H104" s="323">
        <f>H73</f>
        <v>0.14888764055092385</v>
      </c>
      <c r="I104" s="323">
        <f t="shared" ref="I104:R104" si="153">I73</f>
        <v>0.14888764055092385</v>
      </c>
      <c r="J104" s="323">
        <f t="shared" si="153"/>
        <v>0.14888764055092385</v>
      </c>
      <c r="K104" s="323">
        <f t="shared" si="153"/>
        <v>0.14827362361722773</v>
      </c>
      <c r="L104" s="323">
        <f t="shared" si="153"/>
        <v>0.15007816265879645</v>
      </c>
      <c r="M104" s="323">
        <f t="shared" si="153"/>
        <v>0.1500561408531926</v>
      </c>
      <c r="N104" s="323">
        <f t="shared" si="153"/>
        <v>0.14615703020152104</v>
      </c>
      <c r="O104" s="323">
        <f t="shared" si="153"/>
        <v>0.13969893030191308</v>
      </c>
      <c r="P104" s="323">
        <f t="shared" si="153"/>
        <v>0.13872546029860428</v>
      </c>
      <c r="Q104" s="323">
        <f t="shared" si="153"/>
        <v>0.1360827270204519</v>
      </c>
      <c r="R104" s="323">
        <f t="shared" si="153"/>
        <v>0.13240137468673177</v>
      </c>
      <c r="S104" s="323"/>
      <c r="T104" s="323"/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4"/>
      <c r="AG104" s="324"/>
      <c r="AH104" s="324"/>
      <c r="AI104" s="324"/>
      <c r="AJ104" s="324"/>
      <c r="AK104" s="324"/>
      <c r="AL104" s="324"/>
      <c r="AM104" s="324"/>
      <c r="AN104" s="324"/>
      <c r="AO104" s="324"/>
      <c r="AP104" s="324"/>
      <c r="AQ104" s="324"/>
      <c r="AR104" s="324"/>
      <c r="AS104" s="324"/>
      <c r="AT104" s="324"/>
      <c r="AU104" s="324"/>
      <c r="AV104" s="324"/>
      <c r="AW104" s="324"/>
      <c r="AX104" s="324"/>
      <c r="AY104" s="324"/>
      <c r="AZ104" s="323">
        <f>AZ73</f>
        <v>0.14299999999999999</v>
      </c>
      <c r="BA104" s="323">
        <f t="shared" ref="BA104:BQ104" si="154">BA73</f>
        <v>0.14199999999999999</v>
      </c>
      <c r="BB104" s="323">
        <f t="shared" si="154"/>
        <v>0.14099999999999999</v>
      </c>
      <c r="BC104" s="323">
        <f t="shared" si="154"/>
        <v>0.13999999999999999</v>
      </c>
      <c r="BD104" s="323">
        <f t="shared" si="154"/>
        <v>0.13999999999999999</v>
      </c>
      <c r="BE104" s="323">
        <f t="shared" si="154"/>
        <v>0.13999999999999999</v>
      </c>
      <c r="BF104" s="323">
        <f t="shared" si="154"/>
        <v>0.13999999999999999</v>
      </c>
      <c r="BG104" s="323">
        <f t="shared" si="154"/>
        <v>0.13999999999999999</v>
      </c>
      <c r="BH104" s="323">
        <f t="shared" si="154"/>
        <v>0.13999999999999999</v>
      </c>
      <c r="BI104" s="323">
        <f t="shared" si="154"/>
        <v>0.13999999999999999</v>
      </c>
      <c r="BJ104" s="323">
        <f t="shared" si="154"/>
        <v>0.13999999999999999</v>
      </c>
      <c r="BK104" s="323">
        <f t="shared" si="154"/>
        <v>0.128</v>
      </c>
      <c r="BL104" s="323">
        <f t="shared" si="154"/>
        <v>0.128</v>
      </c>
      <c r="BM104" s="323">
        <f t="shared" si="154"/>
        <v>0.13500000000000001</v>
      </c>
      <c r="BN104" s="323">
        <f t="shared" si="154"/>
        <v>0.13500000000000001</v>
      </c>
      <c r="BO104" s="323">
        <f t="shared" si="154"/>
        <v>0.13500000000000001</v>
      </c>
      <c r="BP104" s="323">
        <f t="shared" si="154"/>
        <v>0.13</v>
      </c>
      <c r="BQ104" s="323">
        <f t="shared" si="154"/>
        <v>0.13</v>
      </c>
      <c r="BR104" s="323"/>
      <c r="BS104" s="323"/>
      <c r="BT104" s="323"/>
      <c r="BU104" s="323"/>
      <c r="BV104" s="323"/>
      <c r="BW104" s="323"/>
      <c r="BX104" s="323"/>
      <c r="BY104" s="323"/>
      <c r="BZ104" s="323"/>
      <c r="CA104" s="323"/>
      <c r="CB104" s="323"/>
      <c r="CC104" s="323"/>
      <c r="CD104" s="323"/>
      <c r="CE104" s="323"/>
      <c r="CF104" s="62"/>
      <c r="CG104" s="5"/>
      <c r="CH104" s="5"/>
    </row>
    <row r="105" spans="2:86" hidden="1" outlineLevel="2">
      <c r="B105" s="13" t="s">
        <v>121</v>
      </c>
      <c r="C105" s="355"/>
      <c r="D105" s="355"/>
      <c r="E105" s="355"/>
      <c r="F105" s="355"/>
      <c r="G105" s="355"/>
      <c r="H105" s="355">
        <f t="shared" ref="H105:R105" si="155">H102/H104</f>
        <v>2437.1183441240214</v>
      </c>
      <c r="I105" s="355">
        <f t="shared" si="155"/>
        <v>3200.3637389701607</v>
      </c>
      <c r="J105" s="355">
        <f t="shared" si="155"/>
        <v>4543.7702921258515</v>
      </c>
      <c r="K105" s="355">
        <f t="shared" si="155"/>
        <v>5096.8819238608821</v>
      </c>
      <c r="L105" s="355">
        <f t="shared" si="155"/>
        <v>6267.9480834173464</v>
      </c>
      <c r="M105" s="355">
        <f t="shared" si="155"/>
        <v>8517.1034369754561</v>
      </c>
      <c r="N105" s="355" t="e">
        <f t="shared" si="155"/>
        <v>#NAME?</v>
      </c>
      <c r="O105" s="355" t="e">
        <f t="shared" si="155"/>
        <v>#NAME?</v>
      </c>
      <c r="P105" s="355" t="e">
        <f t="shared" si="155"/>
        <v>#NAME?</v>
      </c>
      <c r="Q105" s="355" t="e">
        <f t="shared" si="155"/>
        <v>#NAME?</v>
      </c>
      <c r="R105" s="355" t="e">
        <f t="shared" si="155"/>
        <v>#NAME?</v>
      </c>
      <c r="S105" s="355"/>
      <c r="T105" s="355"/>
      <c r="U105" s="355"/>
      <c r="V105" s="355"/>
      <c r="W105" s="355"/>
      <c r="X105" s="355"/>
      <c r="Y105" s="355"/>
      <c r="Z105" s="355"/>
      <c r="AA105" s="355"/>
      <c r="AB105" s="355"/>
      <c r="AC105" s="355"/>
      <c r="AD105" s="355"/>
      <c r="AE105" s="355"/>
      <c r="AF105" s="324"/>
      <c r="AG105" s="324"/>
      <c r="AH105" s="324"/>
      <c r="AI105" s="324"/>
      <c r="AJ105" s="324"/>
      <c r="AK105" s="324"/>
      <c r="AL105" s="324"/>
      <c r="AM105" s="324"/>
      <c r="AN105" s="324"/>
      <c r="AO105" s="324"/>
      <c r="AP105" s="324"/>
      <c r="AQ105" s="324"/>
      <c r="AR105" s="324"/>
      <c r="AS105" s="324"/>
      <c r="AT105" s="324"/>
      <c r="AU105" s="324"/>
      <c r="AV105" s="324"/>
      <c r="AW105" s="324"/>
      <c r="AX105" s="324"/>
      <c r="AY105" s="324"/>
      <c r="AZ105" s="355">
        <f>AZ102/AZ104</f>
        <v>2564.9256153846154</v>
      </c>
      <c r="BA105" s="355">
        <f t="shared" ref="BA105:BQ105" si="156">BA102/BA104</f>
        <v>2889.9326126760566</v>
      </c>
      <c r="BB105" s="355">
        <f t="shared" si="156"/>
        <v>3241.4267588652488</v>
      </c>
      <c r="BC105" s="355">
        <f t="shared" si="156"/>
        <v>3345.0328857142858</v>
      </c>
      <c r="BD105" s="355" t="e">
        <f t="shared" si="156"/>
        <v>#NAME?</v>
      </c>
      <c r="BE105" s="355" t="e">
        <f t="shared" si="156"/>
        <v>#NAME?</v>
      </c>
      <c r="BF105" s="355" t="e">
        <f t="shared" si="156"/>
        <v>#NAME?</v>
      </c>
      <c r="BG105" s="355" t="e">
        <f t="shared" si="156"/>
        <v>#NAME?</v>
      </c>
      <c r="BH105" s="355" t="e">
        <f t="shared" si="156"/>
        <v>#NAME?</v>
      </c>
      <c r="BI105" s="355" t="e">
        <f t="shared" si="156"/>
        <v>#NAME?</v>
      </c>
      <c r="BJ105" s="355" t="e">
        <f t="shared" si="156"/>
        <v>#NAME?</v>
      </c>
      <c r="BK105" s="355" t="e">
        <f t="shared" si="156"/>
        <v>#NAME?</v>
      </c>
      <c r="BL105" s="355" t="e">
        <f t="shared" si="156"/>
        <v>#NAME?</v>
      </c>
      <c r="BM105" s="355" t="e">
        <f t="shared" si="156"/>
        <v>#NAME?</v>
      </c>
      <c r="BN105" s="355" t="e">
        <f t="shared" si="156"/>
        <v>#NAME?</v>
      </c>
      <c r="BO105" s="355" t="e">
        <f t="shared" si="156"/>
        <v>#NAME?</v>
      </c>
      <c r="BP105" s="355" t="e">
        <f t="shared" si="156"/>
        <v>#NAME?</v>
      </c>
      <c r="BQ105" s="355" t="e">
        <f t="shared" si="156"/>
        <v>#NAME?</v>
      </c>
      <c r="BR105" s="355"/>
      <c r="BS105" s="355"/>
      <c r="BT105" s="355"/>
      <c r="BU105" s="355"/>
      <c r="BV105" s="355"/>
      <c r="BW105" s="355"/>
      <c r="BX105" s="355"/>
      <c r="BY105" s="355"/>
      <c r="BZ105" s="355"/>
      <c r="CA105" s="355"/>
      <c r="CB105" s="355"/>
      <c r="CC105" s="355"/>
      <c r="CD105" s="355"/>
      <c r="CE105" s="355"/>
      <c r="CF105" s="461"/>
      <c r="CG105" s="5"/>
      <c r="CH105" s="5"/>
    </row>
    <row r="106" spans="2:86" hidden="1" outlineLevel="2">
      <c r="B106" s="12"/>
      <c r="C106" s="6"/>
      <c r="D106" s="6"/>
      <c r="E106" s="6"/>
      <c r="F106" s="6"/>
      <c r="G106" s="6"/>
      <c r="H106" s="6"/>
      <c r="I106" s="324"/>
      <c r="J106" s="324"/>
      <c r="K106" s="324"/>
      <c r="L106" s="324"/>
      <c r="M106" s="324"/>
      <c r="N106" s="324"/>
      <c r="O106" s="324"/>
      <c r="P106" s="324"/>
      <c r="Q106" s="324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324"/>
      <c r="AG106" s="324"/>
      <c r="AH106" s="324"/>
      <c r="AI106" s="324"/>
      <c r="AJ106" s="324"/>
      <c r="AK106" s="324"/>
      <c r="AL106" s="324"/>
      <c r="AM106" s="324"/>
      <c r="AN106" s="324"/>
      <c r="AO106" s="324"/>
      <c r="AP106" s="324"/>
      <c r="AQ106" s="324"/>
      <c r="AR106" s="324"/>
      <c r="AS106" s="324"/>
      <c r="AT106" s="324"/>
      <c r="AU106" s="324"/>
      <c r="AV106" s="324"/>
      <c r="AW106" s="324"/>
      <c r="AX106" s="324"/>
      <c r="AY106" s="324"/>
      <c r="AZ106" s="324"/>
      <c r="BA106" s="324"/>
      <c r="BB106" s="324"/>
      <c r="BC106" s="324"/>
      <c r="BD106" s="324"/>
      <c r="BE106" s="324"/>
      <c r="BF106" s="324"/>
      <c r="BG106" s="324"/>
      <c r="BH106" s="324"/>
      <c r="BI106" s="324"/>
      <c r="BJ106" s="324"/>
      <c r="BK106" s="324"/>
      <c r="BL106" s="324"/>
      <c r="BM106" s="324"/>
      <c r="BN106" s="324"/>
      <c r="BO106" s="324"/>
      <c r="BP106" s="324"/>
      <c r="BQ106" s="324"/>
      <c r="BR106" s="324"/>
      <c r="BS106" s="324"/>
      <c r="BT106" s="324"/>
      <c r="BU106" s="324"/>
      <c r="BV106" s="324"/>
      <c r="BW106" s="324"/>
      <c r="BX106" s="324"/>
      <c r="BY106" s="324"/>
      <c r="BZ106" s="324"/>
      <c r="CA106" s="324"/>
      <c r="CB106" s="324"/>
      <c r="CC106" s="324"/>
      <c r="CD106" s="324"/>
      <c r="CE106" s="324"/>
      <c r="CF106" s="62"/>
      <c r="CG106" s="5"/>
      <c r="CH106" s="5"/>
    </row>
    <row r="107" spans="2:86" hidden="1" outlineLevel="2">
      <c r="B107" s="13" t="s">
        <v>705</v>
      </c>
      <c r="C107" s="6"/>
      <c r="D107" s="6"/>
      <c r="E107" s="6"/>
      <c r="F107" s="6"/>
      <c r="G107" s="6"/>
      <c r="H107" s="6"/>
      <c r="I107" s="324"/>
      <c r="J107" s="324"/>
      <c r="K107" s="324"/>
      <c r="L107" s="324"/>
      <c r="M107" s="324"/>
      <c r="N107" s="324"/>
      <c r="O107" s="324"/>
      <c r="P107" s="324"/>
      <c r="Q107" s="324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324"/>
      <c r="AG107" s="324"/>
      <c r="AH107" s="324"/>
      <c r="AI107" s="324"/>
      <c r="AJ107" s="324"/>
      <c r="AK107" s="324"/>
      <c r="AL107" s="324"/>
      <c r="AM107" s="324"/>
      <c r="AN107" s="324"/>
      <c r="AO107" s="324"/>
      <c r="AP107" s="324"/>
      <c r="AQ107" s="324"/>
      <c r="AR107" s="324"/>
      <c r="AS107" s="324"/>
      <c r="AT107" s="324"/>
      <c r="AU107" s="324"/>
      <c r="AV107" s="324"/>
      <c r="AW107" s="324"/>
      <c r="AX107" s="324"/>
      <c r="AY107" s="324"/>
      <c r="AZ107" s="324"/>
      <c r="BA107" s="324"/>
      <c r="BB107" s="324"/>
      <c r="BC107" s="324"/>
      <c r="BD107" s="324"/>
      <c r="BE107" s="324"/>
      <c r="BF107" s="324"/>
      <c r="BG107" s="324"/>
      <c r="BH107" s="324"/>
      <c r="BI107" s="324"/>
      <c r="BJ107" s="324"/>
      <c r="BK107" s="324"/>
      <c r="BL107" s="324"/>
      <c r="BM107" s="324"/>
      <c r="BN107" s="324"/>
      <c r="BO107" s="324"/>
      <c r="BP107" s="324"/>
      <c r="BQ107" s="324"/>
      <c r="BR107" s="324"/>
      <c r="BS107" s="324"/>
      <c r="BT107" s="324"/>
      <c r="BU107" s="324"/>
      <c r="BV107" s="324"/>
      <c r="BW107" s="324"/>
      <c r="BX107" s="324"/>
      <c r="BY107" s="324"/>
      <c r="BZ107" s="324"/>
      <c r="CA107" s="324"/>
      <c r="CB107" s="324"/>
      <c r="CC107" s="324"/>
      <c r="CD107" s="324"/>
      <c r="CE107" s="324"/>
      <c r="CF107" s="62"/>
      <c r="CG107" s="5"/>
      <c r="CH107" s="5"/>
    </row>
    <row r="108" spans="2:86" hidden="1" outlineLevel="2">
      <c r="B108" s="13" t="s">
        <v>702</v>
      </c>
      <c r="C108" s="6"/>
      <c r="D108" s="6"/>
      <c r="E108" s="6"/>
      <c r="F108" s="6"/>
      <c r="G108" s="6"/>
      <c r="H108" s="6"/>
      <c r="I108" s="324"/>
      <c r="J108" s="324"/>
      <c r="K108" s="324"/>
      <c r="L108" s="324"/>
      <c r="M108" s="324"/>
      <c r="N108" s="324"/>
      <c r="O108" s="324"/>
      <c r="P108" s="324"/>
      <c r="Q108" s="324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324"/>
      <c r="AG108" s="324"/>
      <c r="AH108" s="324"/>
      <c r="AI108" s="324"/>
      <c r="AJ108" s="324"/>
      <c r="AK108" s="324"/>
      <c r="AL108" s="324"/>
      <c r="AM108" s="324"/>
      <c r="AN108" s="324"/>
      <c r="AO108" s="324"/>
      <c r="AP108" s="324"/>
      <c r="AQ108" s="324"/>
      <c r="AR108" s="324"/>
      <c r="AS108" s="324"/>
      <c r="AT108" s="324"/>
      <c r="AU108" s="324"/>
      <c r="AV108" s="324"/>
      <c r="AW108" s="324"/>
      <c r="AX108" s="324"/>
      <c r="AY108" s="324"/>
      <c r="AZ108" s="324"/>
      <c r="BA108" s="324"/>
      <c r="BB108" s="324"/>
      <c r="BC108" s="324"/>
      <c r="BD108" s="324"/>
      <c r="BE108" s="324"/>
      <c r="BF108" s="324"/>
      <c r="BG108" s="324"/>
      <c r="BH108" s="324"/>
      <c r="BI108" s="324"/>
      <c r="BJ108" s="324"/>
      <c r="BK108" s="324"/>
      <c r="BL108" s="324"/>
      <c r="BM108" s="324"/>
      <c r="BN108" s="324"/>
      <c r="BO108" s="324"/>
      <c r="BP108" s="324"/>
      <c r="BQ108" s="324"/>
      <c r="BR108" s="324"/>
      <c r="BS108" s="324"/>
      <c r="BT108" s="324"/>
      <c r="BU108" s="324"/>
      <c r="BV108" s="324"/>
      <c r="BW108" s="324"/>
      <c r="BX108" s="324"/>
      <c r="BY108" s="324"/>
      <c r="BZ108" s="324"/>
      <c r="CA108" s="324"/>
      <c r="CB108" s="324"/>
      <c r="CC108" s="324"/>
      <c r="CD108" s="324"/>
      <c r="CE108" s="324"/>
      <c r="CF108" s="62"/>
      <c r="CG108" s="5"/>
      <c r="CH108" s="5"/>
    </row>
    <row r="109" spans="2:86" hidden="1" outlineLevel="2">
      <c r="B109" s="13" t="s">
        <v>703</v>
      </c>
      <c r="C109" s="6"/>
      <c r="D109" s="6"/>
      <c r="E109" s="6"/>
      <c r="F109" s="6"/>
      <c r="G109" s="6"/>
      <c r="H109" s="6"/>
      <c r="I109" s="324"/>
      <c r="J109" s="324"/>
      <c r="K109" s="324"/>
      <c r="L109" s="324"/>
      <c r="M109" s="324"/>
      <c r="N109" s="324"/>
      <c r="O109" s="324"/>
      <c r="P109" s="324"/>
      <c r="Q109" s="324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324"/>
      <c r="AG109" s="324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62"/>
      <c r="CG109" s="5"/>
      <c r="CH109" s="5"/>
    </row>
    <row r="110" spans="2:86" hidden="1" outlineLevel="2">
      <c r="C110" s="6"/>
      <c r="D110" s="6"/>
      <c r="E110" s="6"/>
      <c r="F110" s="6"/>
      <c r="G110" s="6"/>
      <c r="H110" s="6"/>
      <c r="I110" s="324"/>
      <c r="J110" s="324"/>
      <c r="K110" s="324"/>
      <c r="L110" s="324"/>
      <c r="M110" s="324"/>
      <c r="N110" s="324"/>
      <c r="O110" s="324"/>
      <c r="P110" s="324"/>
      <c r="Q110" s="324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324"/>
      <c r="AG110" s="324"/>
      <c r="AH110" s="324"/>
      <c r="AI110" s="324"/>
      <c r="AJ110" s="324"/>
      <c r="AK110" s="324"/>
      <c r="AL110" s="324"/>
      <c r="AM110" s="324"/>
      <c r="AN110" s="324"/>
      <c r="AO110" s="324"/>
      <c r="AP110" s="324"/>
      <c r="AQ110" s="324"/>
      <c r="AR110" s="324"/>
      <c r="AS110" s="324"/>
      <c r="AT110" s="324"/>
      <c r="AU110" s="324"/>
      <c r="AV110" s="324"/>
      <c r="AW110" s="324"/>
      <c r="AX110" s="324"/>
      <c r="AY110" s="324"/>
      <c r="AZ110" s="324"/>
      <c r="BA110" s="324"/>
      <c r="BB110" s="324"/>
      <c r="BC110" s="324"/>
      <c r="BD110" s="324"/>
      <c r="BE110" s="324"/>
      <c r="BF110" s="324"/>
      <c r="BG110" s="324"/>
      <c r="BH110" s="324"/>
      <c r="BI110" s="324"/>
      <c r="BJ110" s="324"/>
      <c r="BK110" s="324"/>
      <c r="BL110" s="324"/>
      <c r="BM110" s="324"/>
      <c r="BN110" s="324"/>
      <c r="BO110" s="324"/>
      <c r="BP110" s="324"/>
      <c r="BQ110" s="324"/>
      <c r="BR110" s="324"/>
      <c r="BS110" s="324"/>
      <c r="BT110" s="324"/>
      <c r="BU110" s="324"/>
      <c r="BV110" s="324"/>
      <c r="BW110" s="324"/>
      <c r="BX110" s="324"/>
      <c r="BY110" s="324"/>
      <c r="BZ110" s="324"/>
      <c r="CA110" s="324"/>
      <c r="CB110" s="324"/>
      <c r="CC110" s="324"/>
      <c r="CD110" s="324"/>
      <c r="CE110" s="324"/>
      <c r="CF110" s="62"/>
      <c r="CG110" s="5"/>
      <c r="CH110" s="5"/>
    </row>
    <row r="111" spans="2:86" hidden="1" outlineLevel="2">
      <c r="B111" s="363" t="s">
        <v>713</v>
      </c>
      <c r="C111" s="367"/>
      <c r="D111" s="367"/>
      <c r="E111" s="367"/>
      <c r="F111" s="367"/>
      <c r="G111" s="367"/>
      <c r="H111" s="367"/>
      <c r="I111" s="366"/>
      <c r="J111" s="366"/>
      <c r="K111" s="366"/>
      <c r="L111" s="366"/>
      <c r="M111" s="366"/>
      <c r="N111" s="366"/>
      <c r="O111" s="366"/>
      <c r="P111" s="366"/>
      <c r="Q111" s="366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AY111" s="366"/>
      <c r="AZ111" s="366"/>
      <c r="BA111" s="366"/>
      <c r="BB111" s="366"/>
      <c r="BC111" s="366"/>
      <c r="BD111" s="366"/>
      <c r="BE111" s="366"/>
      <c r="BF111" s="366"/>
      <c r="BG111" s="366"/>
      <c r="BH111" s="366"/>
      <c r="BI111" s="366"/>
      <c r="BJ111" s="366"/>
      <c r="BK111" s="366"/>
      <c r="BL111" s="366"/>
      <c r="BM111" s="366"/>
      <c r="BN111" s="366"/>
      <c r="BO111" s="366"/>
      <c r="BP111" s="366"/>
      <c r="BQ111" s="366"/>
      <c r="BR111" s="366"/>
      <c r="BS111" s="366"/>
      <c r="BT111" s="366"/>
      <c r="BU111" s="366"/>
      <c r="BV111" s="366"/>
      <c r="BW111" s="366"/>
      <c r="BX111" s="366"/>
      <c r="BY111" s="366"/>
      <c r="BZ111" s="366"/>
      <c r="CA111" s="366"/>
      <c r="CB111" s="366"/>
      <c r="CC111" s="366"/>
      <c r="CD111" s="366"/>
      <c r="CE111" s="366"/>
      <c r="CF111" s="62"/>
      <c r="CG111" s="22"/>
      <c r="CH111" s="22"/>
    </row>
    <row r="112" spans="2:86" hidden="1" outlineLevel="2">
      <c r="B112" s="13" t="s">
        <v>711</v>
      </c>
      <c r="C112" s="324">
        <f t="shared" ref="C112:R112" si="157">C102+C86</f>
        <v>5.3389899999999999</v>
      </c>
      <c r="D112" s="324">
        <f t="shared" si="157"/>
        <v>43.379536000000002</v>
      </c>
      <c r="E112" s="324">
        <f t="shared" si="157"/>
        <v>96.762837000000005</v>
      </c>
      <c r="F112" s="324">
        <f t="shared" si="157"/>
        <v>153.38868599999998</v>
      </c>
      <c r="G112" s="324">
        <f t="shared" si="157"/>
        <v>276.04294399999998</v>
      </c>
      <c r="H112" s="324">
        <f t="shared" si="157"/>
        <v>362.85680000000002</v>
      </c>
      <c r="I112" s="324">
        <f t="shared" si="157"/>
        <v>476.49460599999998</v>
      </c>
      <c r="J112" s="324">
        <f t="shared" si="157"/>
        <v>676.51123800000005</v>
      </c>
      <c r="K112" s="324">
        <f t="shared" si="157"/>
        <v>755.73315200000002</v>
      </c>
      <c r="L112" s="324">
        <f t="shared" si="157"/>
        <v>940.68213200000002</v>
      </c>
      <c r="M112" s="324">
        <f t="shared" si="157"/>
        <v>1278.0436729999999</v>
      </c>
      <c r="N112" s="324" t="e">
        <f t="shared" si="157"/>
        <v>#NAME?</v>
      </c>
      <c r="O112" s="324" t="e">
        <f t="shared" si="157"/>
        <v>#NAME?</v>
      </c>
      <c r="P112" s="324" t="e">
        <f t="shared" si="157"/>
        <v>#NAME?</v>
      </c>
      <c r="Q112" s="324" t="e">
        <f t="shared" si="157"/>
        <v>#NAME?</v>
      </c>
      <c r="R112" s="324" t="e">
        <f t="shared" si="157"/>
        <v>#NAME?</v>
      </c>
      <c r="S112" s="324">
        <f t="shared" ref="S112:AB112" si="158">Rev_Hotel+S86</f>
        <v>7308.9588629999998</v>
      </c>
      <c r="T112" s="324">
        <f t="shared" si="158"/>
        <v>9517.374339</v>
      </c>
      <c r="U112" s="324">
        <f ca="1">Rev_Hotel+U86</f>
        <v>11978.567343065401</v>
      </c>
      <c r="V112" s="324">
        <f t="shared" ca="1" si="158"/>
        <v>14906.129201710584</v>
      </c>
      <c r="W112" s="324">
        <f t="shared" ca="1" si="158"/>
        <v>17636.932071463965</v>
      </c>
      <c r="X112" s="324">
        <f t="shared" ca="1" si="158"/>
        <v>20688.121319827231</v>
      </c>
      <c r="Y112" s="324">
        <f t="shared" ca="1" si="158"/>
        <v>24056.147470695101</v>
      </c>
      <c r="Z112" s="324">
        <f t="shared" ca="1" si="158"/>
        <v>27727.115574723171</v>
      </c>
      <c r="AA112" s="324">
        <f t="shared" ca="1" si="158"/>
        <v>31675.456832563745</v>
      </c>
      <c r="AB112" s="324">
        <f t="shared" ca="1" si="158"/>
        <v>35862.952225828667</v>
      </c>
      <c r="AC112" s="324">
        <f ca="1">Rev_Hotel+AC86</f>
        <v>40238.232397379768</v>
      </c>
      <c r="AD112" s="324">
        <f ca="1">Rev_Hotel+AD86</f>
        <v>44326.436808953556</v>
      </c>
      <c r="AE112" s="324"/>
      <c r="AF112" s="324"/>
      <c r="AG112" s="324"/>
      <c r="AH112" s="324"/>
      <c r="AI112" s="324"/>
      <c r="AJ112" s="324"/>
      <c r="AK112" s="324"/>
      <c r="AL112" s="324"/>
      <c r="AM112" s="324"/>
      <c r="AN112" s="324"/>
      <c r="AO112" s="324"/>
      <c r="AP112" s="324"/>
      <c r="AQ112" s="324"/>
      <c r="AR112" s="324"/>
      <c r="AS112" s="324"/>
      <c r="AT112" s="324"/>
      <c r="AU112" s="324"/>
      <c r="AV112" s="324"/>
      <c r="AW112" s="324"/>
      <c r="AX112" s="324"/>
      <c r="AY112" s="324"/>
      <c r="AZ112" s="324"/>
      <c r="BA112" s="324"/>
      <c r="BB112" s="324"/>
      <c r="BC112" s="324"/>
      <c r="BD112" s="324" t="e">
        <f t="shared" ref="BD112:BQ112" si="159">BD102+BD86</f>
        <v>#NAME?</v>
      </c>
      <c r="BE112" s="324" t="e">
        <f t="shared" si="159"/>
        <v>#NAME?</v>
      </c>
      <c r="BF112" s="324" t="e">
        <f t="shared" si="159"/>
        <v>#NAME?</v>
      </c>
      <c r="BG112" s="324" t="e">
        <f t="shared" si="159"/>
        <v>#NAME?</v>
      </c>
      <c r="BH112" s="324" t="e">
        <f t="shared" si="159"/>
        <v>#NAME?</v>
      </c>
      <c r="BI112" s="324" t="e">
        <f t="shared" si="159"/>
        <v>#NAME?</v>
      </c>
      <c r="BJ112" s="324" t="e">
        <f t="shared" si="159"/>
        <v>#NAME?</v>
      </c>
      <c r="BK112" s="324" t="e">
        <f t="shared" si="159"/>
        <v>#NAME?</v>
      </c>
      <c r="BL112" s="324" t="e">
        <f t="shared" si="159"/>
        <v>#NAME?</v>
      </c>
      <c r="BM112" s="324" t="e">
        <f t="shared" si="159"/>
        <v>#NAME?</v>
      </c>
      <c r="BN112" s="324" t="e">
        <f t="shared" si="159"/>
        <v>#NAME?</v>
      </c>
      <c r="BO112" s="324" t="e">
        <f t="shared" si="159"/>
        <v>#NAME?</v>
      </c>
      <c r="BP112" s="324" t="e">
        <f t="shared" si="159"/>
        <v>#NAME?</v>
      </c>
      <c r="BQ112" s="324" t="e">
        <f t="shared" si="159"/>
        <v>#NAME?</v>
      </c>
      <c r="BR112" s="324">
        <f t="shared" ref="BR112:BW112" si="160">Rev_Hotel+BR86</f>
        <v>2071.6084310000001</v>
      </c>
      <c r="BS112" s="324">
        <f t="shared" si="160"/>
        <v>1847.5011039999999</v>
      </c>
      <c r="BT112" s="324">
        <f t="shared" si="160"/>
        <v>2069.9361450000001</v>
      </c>
      <c r="BU112" s="324">
        <f t="shared" si="160"/>
        <v>2311.1429870000002</v>
      </c>
      <c r="BV112" s="324">
        <f t="shared" si="160"/>
        <v>2820.3844600000002</v>
      </c>
      <c r="BW112" s="324">
        <f t="shared" si="160"/>
        <v>2315.9107469999999</v>
      </c>
      <c r="BX112" s="324">
        <f t="shared" ref="BX112:CE112" ca="1" si="161">Rev_Hotel+BX86</f>
        <v>2466.9498976109999</v>
      </c>
      <c r="BY112" s="324">
        <f t="shared" ca="1" si="161"/>
        <v>2946.7073084250005</v>
      </c>
      <c r="BZ112" s="324">
        <f t="shared" ca="1" si="161"/>
        <v>3480.9185005319996</v>
      </c>
      <c r="CA112" s="324">
        <f t="shared" ca="1" si="161"/>
        <v>3083.9916364973992</v>
      </c>
      <c r="CB112" s="324">
        <f t="shared" ca="1" si="161"/>
        <v>3346.6642310990828</v>
      </c>
      <c r="CC112" s="324">
        <f t="shared" ca="1" si="161"/>
        <v>3787.1082327878112</v>
      </c>
      <c r="CD112" s="324">
        <f t="shared" ca="1" si="161"/>
        <v>4083.117401124035</v>
      </c>
      <c r="CE112" s="324">
        <f t="shared" ca="1" si="161"/>
        <v>3689.2393366996548</v>
      </c>
      <c r="CF112" s="62"/>
      <c r="CG112" s="5"/>
      <c r="CH112" s="5"/>
    </row>
    <row r="113" spans="1:93" hidden="1" outlineLevel="2">
      <c r="B113" s="13" t="s">
        <v>712</v>
      </c>
      <c r="C113" s="324"/>
      <c r="D113" s="324"/>
      <c r="E113" s="324"/>
      <c r="F113" s="324"/>
      <c r="G113" s="324"/>
      <c r="H113" s="324"/>
      <c r="I113" s="324"/>
      <c r="J113" s="324"/>
      <c r="K113" s="324"/>
      <c r="L113" s="324"/>
      <c r="M113" s="324"/>
      <c r="N113" s="324" t="e">
        <f>N102+N94</f>
        <v>#NAME?</v>
      </c>
      <c r="O113" s="324" t="e">
        <f>O102+O94</f>
        <v>#NAME?</v>
      </c>
      <c r="P113" s="324" t="e">
        <f>P102+P94</f>
        <v>#NAME?</v>
      </c>
      <c r="Q113" s="324" t="e">
        <f>Q102+Q94</f>
        <v>#NAME?</v>
      </c>
      <c r="R113" s="324" t="e">
        <f>R102+R94</f>
        <v>#NAME?</v>
      </c>
      <c r="S113" s="324">
        <f t="shared" ref="S113:AB113" si="162">Rev_Hotel+S94</f>
        <v>7308.9588629999998</v>
      </c>
      <c r="T113" s="324">
        <f t="shared" si="162"/>
        <v>9517.374339</v>
      </c>
      <c r="U113" s="324">
        <f t="shared" ca="1" si="162"/>
        <v>11978.567343065401</v>
      </c>
      <c r="V113" s="324">
        <f t="shared" ca="1" si="162"/>
        <v>14906.129201710584</v>
      </c>
      <c r="W113" s="324">
        <f t="shared" ca="1" si="162"/>
        <v>17636.932071463965</v>
      </c>
      <c r="X113" s="324">
        <f t="shared" ca="1" si="162"/>
        <v>20688.121319827231</v>
      </c>
      <c r="Y113" s="324">
        <f t="shared" ca="1" si="162"/>
        <v>24056.147470695101</v>
      </c>
      <c r="Z113" s="324">
        <f t="shared" ca="1" si="162"/>
        <v>27727.115574723171</v>
      </c>
      <c r="AA113" s="324">
        <f t="shared" ca="1" si="162"/>
        <v>31675.456832563745</v>
      </c>
      <c r="AB113" s="324">
        <f t="shared" ca="1" si="162"/>
        <v>35862.952225828667</v>
      </c>
      <c r="AC113" s="324">
        <f ca="1">Rev_Hotel+AC94</f>
        <v>40238.232397379768</v>
      </c>
      <c r="AD113" s="324">
        <f ca="1">Rev_Hotel+AD94</f>
        <v>44326.436808953556</v>
      </c>
      <c r="AE113" s="324"/>
      <c r="AF113" s="324"/>
      <c r="AG113" s="324"/>
      <c r="AH113" s="324"/>
      <c r="AI113" s="324"/>
      <c r="AJ113" s="324"/>
      <c r="AK113" s="324"/>
      <c r="AL113" s="324"/>
      <c r="AM113" s="324"/>
      <c r="AN113" s="324"/>
      <c r="AO113" s="324"/>
      <c r="AP113" s="324"/>
      <c r="AQ113" s="324"/>
      <c r="AR113" s="324"/>
      <c r="AS113" s="324"/>
      <c r="AT113" s="324"/>
      <c r="AU113" s="324"/>
      <c r="AV113" s="324"/>
      <c r="AW113" s="324"/>
      <c r="AX113" s="324"/>
      <c r="AY113" s="324"/>
      <c r="AZ113" s="324"/>
      <c r="BA113" s="324"/>
      <c r="BB113" s="324"/>
      <c r="BC113" s="324"/>
      <c r="BD113" s="324" t="e">
        <f>BD102+BD94</f>
        <v>#NAME?</v>
      </c>
      <c r="BE113" s="324" t="e">
        <f t="shared" ref="BE113:BQ113" si="163">BE102+BE94</f>
        <v>#NAME?</v>
      </c>
      <c r="BF113" s="324" t="e">
        <f t="shared" si="163"/>
        <v>#NAME?</v>
      </c>
      <c r="BG113" s="324" t="e">
        <f t="shared" si="163"/>
        <v>#NAME?</v>
      </c>
      <c r="BH113" s="324" t="e">
        <f t="shared" si="163"/>
        <v>#NAME?</v>
      </c>
      <c r="BI113" s="324" t="e">
        <f t="shared" si="163"/>
        <v>#NAME?</v>
      </c>
      <c r="BJ113" s="324" t="e">
        <f t="shared" si="163"/>
        <v>#NAME?</v>
      </c>
      <c r="BK113" s="324" t="e">
        <f t="shared" si="163"/>
        <v>#NAME?</v>
      </c>
      <c r="BL113" s="324" t="e">
        <f t="shared" si="163"/>
        <v>#NAME?</v>
      </c>
      <c r="BM113" s="324" t="e">
        <f t="shared" si="163"/>
        <v>#NAME?</v>
      </c>
      <c r="BN113" s="324" t="e">
        <f t="shared" si="163"/>
        <v>#NAME?</v>
      </c>
      <c r="BO113" s="324" t="e">
        <f t="shared" si="163"/>
        <v>#NAME?</v>
      </c>
      <c r="BP113" s="324" t="e">
        <f t="shared" si="163"/>
        <v>#NAME?</v>
      </c>
      <c r="BQ113" s="324" t="e">
        <f t="shared" si="163"/>
        <v>#NAME?</v>
      </c>
      <c r="BR113" s="324">
        <f t="shared" ref="BR113:BW113" si="164">Rev_Hotel+BR94</f>
        <v>2071.6084310000001</v>
      </c>
      <c r="BS113" s="324">
        <f t="shared" si="164"/>
        <v>1847.5011039999999</v>
      </c>
      <c r="BT113" s="324">
        <f t="shared" si="164"/>
        <v>2069.9361450000001</v>
      </c>
      <c r="BU113" s="324">
        <f t="shared" si="164"/>
        <v>2311.1429870000002</v>
      </c>
      <c r="BV113" s="324">
        <f t="shared" si="164"/>
        <v>2820.3844600000002</v>
      </c>
      <c r="BW113" s="324">
        <f t="shared" si="164"/>
        <v>2315.9107469999999</v>
      </c>
      <c r="BX113" s="324">
        <f t="shared" ref="BX113:CE113" ca="1" si="165">Rev_Hotel+BX94</f>
        <v>2466.9498976109999</v>
      </c>
      <c r="BY113" s="324">
        <f t="shared" ca="1" si="165"/>
        <v>2946.7073084250005</v>
      </c>
      <c r="BZ113" s="324">
        <f t="shared" ca="1" si="165"/>
        <v>3480.9185005319996</v>
      </c>
      <c r="CA113" s="324">
        <f t="shared" ca="1" si="165"/>
        <v>3083.9916364973992</v>
      </c>
      <c r="CB113" s="324">
        <f t="shared" ca="1" si="165"/>
        <v>3346.6642310990828</v>
      </c>
      <c r="CC113" s="324">
        <f t="shared" ca="1" si="165"/>
        <v>3787.1082327878112</v>
      </c>
      <c r="CD113" s="324">
        <f t="shared" ca="1" si="165"/>
        <v>4083.117401124035</v>
      </c>
      <c r="CE113" s="324">
        <f t="shared" ca="1" si="165"/>
        <v>3689.2393366996548</v>
      </c>
      <c r="CF113" s="62"/>
      <c r="CG113" s="5"/>
      <c r="CH113" s="5"/>
    </row>
    <row r="114" spans="1:93" hidden="1" outlineLevel="2">
      <c r="B114" s="13" t="s">
        <v>703</v>
      </c>
      <c r="C114" s="324"/>
      <c r="D114" s="324"/>
      <c r="E114" s="324"/>
      <c r="F114" s="324"/>
      <c r="G114" s="324"/>
      <c r="H114" s="324">
        <f t="shared" ref="H114:R114" si="166">H103+H87</f>
        <v>5.45</v>
      </c>
      <c r="I114" s="324">
        <f t="shared" si="166"/>
        <v>6.84</v>
      </c>
      <c r="J114" s="324">
        <f t="shared" si="166"/>
        <v>9.5950000000000006</v>
      </c>
      <c r="K114" s="324">
        <f t="shared" si="166"/>
        <v>10.798431082326001</v>
      </c>
      <c r="L114" s="324">
        <f t="shared" si="166"/>
        <v>14.2198887235401</v>
      </c>
      <c r="M114" s="324">
        <f t="shared" si="166"/>
        <v>18.488787803433929</v>
      </c>
      <c r="N114" s="324" t="e">
        <f t="shared" si="166"/>
        <v>#NAME?</v>
      </c>
      <c r="O114" s="324" t="e">
        <f t="shared" si="166"/>
        <v>#NAME?</v>
      </c>
      <c r="P114" s="324" t="e">
        <f t="shared" si="166"/>
        <v>#NAME?</v>
      </c>
      <c r="Q114" s="324" t="e">
        <f t="shared" si="166"/>
        <v>#NAME?</v>
      </c>
      <c r="R114" s="324" t="e">
        <f t="shared" si="166"/>
        <v>#NAME?</v>
      </c>
      <c r="S114" s="324">
        <f>Volume_hotel</f>
        <v>207</v>
      </c>
      <c r="T114" s="324">
        <f t="shared" ref="T114:AD114" si="167">Volume_hotel</f>
        <v>266.77748621322382</v>
      </c>
      <c r="U114" s="324">
        <f t="shared" ca="1" si="167"/>
        <v>330.80408290439755</v>
      </c>
      <c r="V114" s="324">
        <f t="shared" ca="1" si="167"/>
        <v>403.58098114336502</v>
      </c>
      <c r="W114" s="324">
        <f t="shared" ca="1" si="167"/>
        <v>468.15393812630339</v>
      </c>
      <c r="X114" s="324">
        <f t="shared" ca="1" si="167"/>
        <v>538.3770288452489</v>
      </c>
      <c r="Y114" s="324">
        <f t="shared" ca="1" si="167"/>
        <v>613.74981288358367</v>
      </c>
      <c r="Z114" s="324">
        <f t="shared" ca="1" si="167"/>
        <v>693.53728855844952</v>
      </c>
      <c r="AA114" s="324">
        <f t="shared" ca="1" si="167"/>
        <v>776.76176318546334</v>
      </c>
      <c r="AB114" s="324">
        <f t="shared" ca="1" si="167"/>
        <v>862.20555713586418</v>
      </c>
      <c r="AC114" s="324">
        <f t="shared" ca="1" si="167"/>
        <v>948.42611284945065</v>
      </c>
      <c r="AD114" s="324">
        <f t="shared" ca="1" si="167"/>
        <v>1024.3002018774068</v>
      </c>
      <c r="AE114" s="324"/>
      <c r="AF114" s="324"/>
      <c r="AG114" s="324"/>
      <c r="AH114" s="324"/>
      <c r="AI114" s="324"/>
      <c r="AJ114" s="324"/>
      <c r="AK114" s="324"/>
      <c r="AL114" s="324"/>
      <c r="AM114" s="324"/>
      <c r="AN114" s="324"/>
      <c r="AO114" s="324"/>
      <c r="AP114" s="324"/>
      <c r="AQ114" s="324"/>
      <c r="AR114" s="324"/>
      <c r="AS114" s="324"/>
      <c r="AT114" s="324"/>
      <c r="AU114" s="324"/>
      <c r="AV114" s="324"/>
      <c r="AW114" s="324"/>
      <c r="AX114" s="324"/>
      <c r="AY114" s="324"/>
      <c r="AZ114" s="324"/>
      <c r="BA114" s="324"/>
      <c r="BB114" s="324"/>
      <c r="BC114" s="324"/>
      <c r="BD114" s="324" t="e">
        <f t="shared" ref="BD114:BQ114" si="168">BD103+BD87</f>
        <v>#NAME?</v>
      </c>
      <c r="BE114" s="324" t="e">
        <f t="shared" si="168"/>
        <v>#NAME?</v>
      </c>
      <c r="BF114" s="324" t="e">
        <f t="shared" si="168"/>
        <v>#NAME?</v>
      </c>
      <c r="BG114" s="324" t="e">
        <f t="shared" si="168"/>
        <v>#NAME?</v>
      </c>
      <c r="BH114" s="324" t="e">
        <f t="shared" si="168"/>
        <v>#NAME?</v>
      </c>
      <c r="BI114" s="324" t="e">
        <f t="shared" si="168"/>
        <v>#NAME?</v>
      </c>
      <c r="BJ114" s="324" t="e">
        <f t="shared" si="168"/>
        <v>#NAME?</v>
      </c>
      <c r="BK114" s="324" t="e">
        <f t="shared" si="168"/>
        <v>#NAME?</v>
      </c>
      <c r="BL114" s="324" t="e">
        <f t="shared" si="168"/>
        <v>#NAME?</v>
      </c>
      <c r="BM114" s="324" t="e">
        <f t="shared" si="168"/>
        <v>#NAME?</v>
      </c>
      <c r="BN114" s="324" t="e">
        <f t="shared" si="168"/>
        <v>#NAME?</v>
      </c>
      <c r="BO114" s="324" t="e">
        <f t="shared" si="168"/>
        <v>#NAME?</v>
      </c>
      <c r="BP114" s="324" t="e">
        <f t="shared" si="168"/>
        <v>#NAME?</v>
      </c>
      <c r="BQ114" s="324" t="e">
        <f t="shared" si="168"/>
        <v>#NAME?</v>
      </c>
      <c r="BR114" s="324">
        <f t="shared" ref="BR114:CE114" si="169">Volume_hotel</f>
        <v>53</v>
      </c>
      <c r="BS114" s="324">
        <f t="shared" si="169"/>
        <v>52</v>
      </c>
      <c r="BT114" s="324">
        <f t="shared" si="169"/>
        <v>59</v>
      </c>
      <c r="BU114" s="324">
        <f t="shared" si="169"/>
        <v>65.102619352112683</v>
      </c>
      <c r="BV114" s="324">
        <f t="shared" si="169"/>
        <v>78.344012777777778</v>
      </c>
      <c r="BW114" s="324">
        <f t="shared" si="169"/>
        <v>64.330854083333335</v>
      </c>
      <c r="BX114" s="324">
        <f t="shared" ca="1" si="169"/>
        <v>69.61999999999999</v>
      </c>
      <c r="BY114" s="324">
        <f t="shared" ca="1" si="169"/>
        <v>81.378274190140857</v>
      </c>
      <c r="BZ114" s="324">
        <f t="shared" ca="1" si="169"/>
        <v>94.796255461111102</v>
      </c>
      <c r="CA114" s="324">
        <f t="shared" ca="1" si="169"/>
        <v>85.009553253145612</v>
      </c>
      <c r="CB114" s="324">
        <f t="shared" ca="1" si="169"/>
        <v>92.594599999999986</v>
      </c>
      <c r="CC114" s="324">
        <f t="shared" ca="1" si="169"/>
        <v>102.53662547957748</v>
      </c>
      <c r="CD114" s="324">
        <f t="shared" ca="1" si="169"/>
        <v>109.01569378027776</v>
      </c>
      <c r="CE114" s="324">
        <f t="shared" ca="1" si="169"/>
        <v>99.434061883509798</v>
      </c>
      <c r="CF114" s="62"/>
      <c r="CG114" s="5"/>
      <c r="CH114" s="5"/>
    </row>
    <row r="115" spans="1:93" hidden="1" outlineLevel="2">
      <c r="B115" s="13" t="s">
        <v>704</v>
      </c>
      <c r="C115" s="323"/>
      <c r="D115" s="323"/>
      <c r="E115" s="323"/>
      <c r="F115" s="323"/>
      <c r="G115" s="323"/>
      <c r="H115" s="323">
        <f t="shared" ref="H115:AB115" si="170">H112/H116</f>
        <v>0.14888764055092385</v>
      </c>
      <c r="I115" s="323">
        <f t="shared" si="170"/>
        <v>0.14888764055092385</v>
      </c>
      <c r="J115" s="323">
        <f t="shared" si="170"/>
        <v>0.14888764055092385</v>
      </c>
      <c r="K115" s="323">
        <f t="shared" si="170"/>
        <v>0.14827362361722773</v>
      </c>
      <c r="L115" s="323">
        <f t="shared" si="170"/>
        <v>0.15007816265879645</v>
      </c>
      <c r="M115" s="323">
        <f t="shared" si="170"/>
        <v>0.1500561408531926</v>
      </c>
      <c r="N115" s="323" t="e">
        <f t="shared" si="170"/>
        <v>#NAME?</v>
      </c>
      <c r="O115" s="323" t="e">
        <f t="shared" si="170"/>
        <v>#NAME?</v>
      </c>
      <c r="P115" s="323" t="e">
        <f t="shared" si="170"/>
        <v>#NAME?</v>
      </c>
      <c r="Q115" s="323" t="e">
        <f t="shared" si="170"/>
        <v>#NAME?</v>
      </c>
      <c r="R115" s="323" t="e">
        <f t="shared" si="170"/>
        <v>#NAME?</v>
      </c>
      <c r="S115" s="323">
        <f t="shared" si="170"/>
        <v>0.1301743160067432</v>
      </c>
      <c r="T115" s="323">
        <f t="shared" si="170"/>
        <v>0.12009901450338223</v>
      </c>
      <c r="U115" s="323">
        <f t="shared" ca="1" si="170"/>
        <v>0.115</v>
      </c>
      <c r="V115" s="323">
        <f t="shared" ca="1" si="170"/>
        <v>0.10999999999999999</v>
      </c>
      <c r="W115" s="323">
        <f t="shared" ca="1" si="170"/>
        <v>0.1</v>
      </c>
      <c r="X115" s="323">
        <f t="shared" ca="1" si="170"/>
        <v>0.10000000000000002</v>
      </c>
      <c r="Y115" s="323">
        <f t="shared" ca="1" si="170"/>
        <v>0.1</v>
      </c>
      <c r="Z115" s="323">
        <f t="shared" ca="1" si="170"/>
        <v>0.10000000000000002</v>
      </c>
      <c r="AA115" s="323">
        <f t="shared" ca="1" si="170"/>
        <v>0.1</v>
      </c>
      <c r="AB115" s="323">
        <f t="shared" ca="1" si="170"/>
        <v>0.1</v>
      </c>
      <c r="AC115" s="323">
        <f ca="1">AC112/AC116</f>
        <v>0.1</v>
      </c>
      <c r="AD115" s="323">
        <f ca="1">AD112/AD116</f>
        <v>0.1</v>
      </c>
      <c r="AE115" s="323"/>
      <c r="AF115" s="324"/>
      <c r="AG115" s="324"/>
      <c r="AH115" s="324"/>
      <c r="AI115" s="324"/>
      <c r="AJ115" s="324"/>
      <c r="AK115" s="324"/>
      <c r="AL115" s="324"/>
      <c r="AM115" s="324"/>
      <c r="AN115" s="324"/>
      <c r="AO115" s="324"/>
      <c r="AP115" s="324"/>
      <c r="AQ115" s="324"/>
      <c r="AR115" s="324"/>
      <c r="AS115" s="324"/>
      <c r="AT115" s="324"/>
      <c r="AU115" s="324"/>
      <c r="AV115" s="324"/>
      <c r="AW115" s="324"/>
      <c r="AX115" s="324"/>
      <c r="AY115" s="324"/>
      <c r="AZ115" s="323"/>
      <c r="BA115" s="323"/>
      <c r="BB115" s="323"/>
      <c r="BC115" s="323"/>
      <c r="BD115" s="323" t="e">
        <f t="shared" ref="BD115:BW115" si="171">BD112/BD116</f>
        <v>#NAME?</v>
      </c>
      <c r="BE115" s="323" t="e">
        <f t="shared" si="171"/>
        <v>#NAME?</v>
      </c>
      <c r="BF115" s="323" t="e">
        <f t="shared" si="171"/>
        <v>#NAME?</v>
      </c>
      <c r="BG115" s="323" t="e">
        <f t="shared" si="171"/>
        <v>#NAME?</v>
      </c>
      <c r="BH115" s="323" t="e">
        <f t="shared" si="171"/>
        <v>#NAME?</v>
      </c>
      <c r="BI115" s="323" t="e">
        <f t="shared" si="171"/>
        <v>#NAME?</v>
      </c>
      <c r="BJ115" s="323" t="e">
        <f t="shared" si="171"/>
        <v>#NAME?</v>
      </c>
      <c r="BK115" s="323" t="e">
        <f t="shared" si="171"/>
        <v>#NAME?</v>
      </c>
      <c r="BL115" s="323" t="e">
        <f t="shared" si="171"/>
        <v>#NAME?</v>
      </c>
      <c r="BM115" s="323" t="e">
        <f t="shared" si="171"/>
        <v>#NAME?</v>
      </c>
      <c r="BN115" s="323" t="e">
        <f t="shared" si="171"/>
        <v>#NAME?</v>
      </c>
      <c r="BO115" s="323" t="e">
        <f t="shared" si="171"/>
        <v>#NAME?</v>
      </c>
      <c r="BP115" s="323" t="e">
        <f t="shared" si="171"/>
        <v>#NAME?</v>
      </c>
      <c r="BQ115" s="323" t="e">
        <f t="shared" si="171"/>
        <v>#NAME?</v>
      </c>
      <c r="BR115" s="323">
        <f t="shared" si="171"/>
        <v>0.13</v>
      </c>
      <c r="BS115" s="323">
        <f t="shared" si="171"/>
        <v>0.13000000000000003</v>
      </c>
      <c r="BT115" s="323">
        <f t="shared" si="171"/>
        <v>0.12</v>
      </c>
      <c r="BU115" s="323">
        <f t="shared" si="171"/>
        <v>0.11999999999999998</v>
      </c>
      <c r="BV115" s="323">
        <f t="shared" si="171"/>
        <v>0.12000000000000001</v>
      </c>
      <c r="BW115" s="323">
        <f t="shared" si="171"/>
        <v>0.12</v>
      </c>
      <c r="BX115" s="323">
        <f t="shared" ref="BX115:CE115" ca="1" si="172">BX112/BX116</f>
        <v>0.11500000000000002</v>
      </c>
      <c r="BY115" s="323">
        <f t="shared" ca="1" si="172"/>
        <v>0.115</v>
      </c>
      <c r="BZ115" s="323">
        <f t="shared" ca="1" si="172"/>
        <v>0.115</v>
      </c>
      <c r="CA115" s="323">
        <f t="shared" ca="1" si="172"/>
        <v>0.11499999999999999</v>
      </c>
      <c r="CB115" s="323">
        <f t="shared" ca="1" si="172"/>
        <v>0.10000000000000002</v>
      </c>
      <c r="CC115" s="323">
        <f t="shared" ca="1" si="172"/>
        <v>0.1</v>
      </c>
      <c r="CD115" s="323">
        <f t="shared" ca="1" si="172"/>
        <v>0.1</v>
      </c>
      <c r="CE115" s="323">
        <f t="shared" ca="1" si="172"/>
        <v>0.1</v>
      </c>
      <c r="CF115" s="117"/>
      <c r="CG115" s="5"/>
      <c r="CH115" s="5"/>
    </row>
    <row r="116" spans="1:93" hidden="1" outlineLevel="2">
      <c r="B116" s="13" t="s">
        <v>121</v>
      </c>
      <c r="C116" s="324"/>
      <c r="D116" s="324"/>
      <c r="E116" s="324"/>
      <c r="F116" s="324"/>
      <c r="G116" s="324"/>
      <c r="H116" s="324">
        <f t="shared" ref="H116:R116" si="173">H105+H89</f>
        <v>2437.1183441240214</v>
      </c>
      <c r="I116" s="324">
        <f t="shared" si="173"/>
        <v>3200.3637389701607</v>
      </c>
      <c r="J116" s="324">
        <f t="shared" si="173"/>
        <v>4543.7702921258515</v>
      </c>
      <c r="K116" s="324">
        <f t="shared" si="173"/>
        <v>5096.8819238608821</v>
      </c>
      <c r="L116" s="324">
        <f t="shared" si="173"/>
        <v>6267.9480834173464</v>
      </c>
      <c r="M116" s="324">
        <f t="shared" si="173"/>
        <v>8517.1034369754561</v>
      </c>
      <c r="N116" s="324" t="e">
        <f t="shared" si="173"/>
        <v>#NAME?</v>
      </c>
      <c r="O116" s="324" t="e">
        <f t="shared" si="173"/>
        <v>#NAME?</v>
      </c>
      <c r="P116" s="324" t="e">
        <f t="shared" si="173"/>
        <v>#NAME?</v>
      </c>
      <c r="Q116" s="324" t="e">
        <f t="shared" si="173"/>
        <v>#NAME?</v>
      </c>
      <c r="R116" s="324" t="e">
        <f t="shared" si="173"/>
        <v>#NAME?</v>
      </c>
      <c r="S116" s="324">
        <f t="shared" ref="S116:AB116" si="174">S81</f>
        <v>56147.472767372834</v>
      </c>
      <c r="T116" s="324">
        <f t="shared" si="174"/>
        <v>79246.065243374425</v>
      </c>
      <c r="U116" s="324">
        <f t="shared" ca="1" si="174"/>
        <v>104161.45515709043</v>
      </c>
      <c r="V116" s="324">
        <f t="shared" ca="1" si="174"/>
        <v>135510.26547009623</v>
      </c>
      <c r="W116" s="324">
        <f t="shared" ca="1" si="174"/>
        <v>176369.32071463965</v>
      </c>
      <c r="X116" s="324">
        <f t="shared" ca="1" si="174"/>
        <v>206881.21319827228</v>
      </c>
      <c r="Y116" s="324">
        <f t="shared" ca="1" si="174"/>
        <v>240561.474706951</v>
      </c>
      <c r="Z116" s="324">
        <f t="shared" ca="1" si="174"/>
        <v>277271.15574723168</v>
      </c>
      <c r="AA116" s="324">
        <f t="shared" ca="1" si="174"/>
        <v>316754.56832563743</v>
      </c>
      <c r="AB116" s="324">
        <f t="shared" ca="1" si="174"/>
        <v>358629.52225828666</v>
      </c>
      <c r="AC116" s="324">
        <f ca="1">AC81</f>
        <v>402382.32397379767</v>
      </c>
      <c r="AD116" s="324">
        <f ca="1">AD81</f>
        <v>443264.36808953556</v>
      </c>
      <c r="AE116" s="324"/>
      <c r="AF116" s="324"/>
      <c r="AG116" s="324"/>
      <c r="AH116" s="324"/>
      <c r="AI116" s="324"/>
      <c r="AJ116" s="324"/>
      <c r="AK116" s="324"/>
      <c r="AL116" s="324"/>
      <c r="AM116" s="324"/>
      <c r="AN116" s="324"/>
      <c r="AO116" s="324"/>
      <c r="AP116" s="324"/>
      <c r="AQ116" s="324"/>
      <c r="AR116" s="324"/>
      <c r="AS116" s="324"/>
      <c r="AT116" s="324"/>
      <c r="AU116" s="324"/>
      <c r="AV116" s="324"/>
      <c r="AW116" s="324"/>
      <c r="AX116" s="324"/>
      <c r="AY116" s="324"/>
      <c r="AZ116" s="324"/>
      <c r="BA116" s="324"/>
      <c r="BB116" s="324"/>
      <c r="BC116" s="324"/>
      <c r="BD116" s="324" t="e">
        <f t="shared" ref="BD116:BQ116" si="175">BD105+BD89</f>
        <v>#NAME?</v>
      </c>
      <c r="BE116" s="324" t="e">
        <f t="shared" si="175"/>
        <v>#NAME?</v>
      </c>
      <c r="BF116" s="324" t="e">
        <f t="shared" si="175"/>
        <v>#NAME?</v>
      </c>
      <c r="BG116" s="324" t="e">
        <f t="shared" si="175"/>
        <v>#NAME?</v>
      </c>
      <c r="BH116" s="324" t="e">
        <f t="shared" si="175"/>
        <v>#NAME?</v>
      </c>
      <c r="BI116" s="324" t="e">
        <f t="shared" si="175"/>
        <v>#NAME?</v>
      </c>
      <c r="BJ116" s="324" t="e">
        <f t="shared" si="175"/>
        <v>#NAME?</v>
      </c>
      <c r="BK116" s="324" t="e">
        <f t="shared" si="175"/>
        <v>#NAME?</v>
      </c>
      <c r="BL116" s="324" t="e">
        <f t="shared" si="175"/>
        <v>#NAME?</v>
      </c>
      <c r="BM116" s="324" t="e">
        <f t="shared" si="175"/>
        <v>#NAME?</v>
      </c>
      <c r="BN116" s="324" t="e">
        <f t="shared" si="175"/>
        <v>#NAME?</v>
      </c>
      <c r="BO116" s="324" t="e">
        <f t="shared" si="175"/>
        <v>#NAME?</v>
      </c>
      <c r="BP116" s="324" t="e">
        <f t="shared" si="175"/>
        <v>#NAME?</v>
      </c>
      <c r="BQ116" s="324" t="e">
        <f t="shared" si="175"/>
        <v>#NAME?</v>
      </c>
      <c r="BR116" s="324">
        <f t="shared" ref="BR116:BW116" si="176">BR81</f>
        <v>15935.449469230771</v>
      </c>
      <c r="BS116" s="324">
        <f t="shared" si="176"/>
        <v>14211.546953846151</v>
      </c>
      <c r="BT116" s="324">
        <f t="shared" si="176"/>
        <v>17249.467875000002</v>
      </c>
      <c r="BU116" s="324">
        <f t="shared" si="176"/>
        <v>19259.524891666671</v>
      </c>
      <c r="BV116" s="324">
        <f t="shared" si="176"/>
        <v>23503.203833333333</v>
      </c>
      <c r="BW116" s="324">
        <f t="shared" si="176"/>
        <v>19299.256225000001</v>
      </c>
      <c r="BX116" s="324">
        <f t="shared" ref="BX116:CE116" ca="1" si="177">BX81</f>
        <v>21451.738240095649</v>
      </c>
      <c r="BY116" s="324">
        <f t="shared" ca="1" si="177"/>
        <v>25623.541812391308</v>
      </c>
      <c r="BZ116" s="324">
        <f t="shared" ca="1" si="177"/>
        <v>30268.856526365213</v>
      </c>
      <c r="CA116" s="324">
        <f t="shared" ca="1" si="177"/>
        <v>26817.318578238257</v>
      </c>
      <c r="CB116" s="324">
        <f t="shared" ca="1" si="177"/>
        <v>33466.642310990821</v>
      </c>
      <c r="CC116" s="324">
        <f t="shared" ca="1" si="177"/>
        <v>37871.08232787811</v>
      </c>
      <c r="CD116" s="324">
        <f t="shared" ca="1" si="177"/>
        <v>40831.17401124035</v>
      </c>
      <c r="CE116" s="324">
        <f t="shared" ca="1" si="177"/>
        <v>36892.393366996548</v>
      </c>
      <c r="CF116" s="117"/>
      <c r="CG116" s="5"/>
      <c r="CH116" s="5"/>
    </row>
    <row r="117" spans="1:93" hidden="1" outlineLevel="2">
      <c r="B117" s="13" t="s">
        <v>720</v>
      </c>
      <c r="C117" s="324"/>
      <c r="D117" s="324"/>
      <c r="E117" s="324"/>
      <c r="F117" s="324"/>
      <c r="G117" s="324"/>
      <c r="H117" s="324"/>
      <c r="I117" s="324"/>
      <c r="J117" s="324"/>
      <c r="K117" s="324"/>
      <c r="L117" s="324"/>
      <c r="M117" s="324"/>
      <c r="N117" s="324" t="e">
        <f>N105+N90</f>
        <v>#NAME?</v>
      </c>
      <c r="O117" s="324" t="e">
        <f>O105+O90</f>
        <v>#NAME?</v>
      </c>
      <c r="P117" s="324" t="e">
        <f>P105+P90</f>
        <v>#NAME?</v>
      </c>
      <c r="Q117" s="324" t="e">
        <f>Q105+Q90</f>
        <v>#NAME?</v>
      </c>
      <c r="R117" s="324" t="e">
        <f>R105+R90</f>
        <v>#NAME?</v>
      </c>
      <c r="S117" s="324">
        <f>S116</f>
        <v>56147.472767372834</v>
      </c>
      <c r="T117" s="324">
        <f t="shared" ref="T117:AB117" si="178">T116</f>
        <v>79246.065243374425</v>
      </c>
      <c r="U117" s="324">
        <f t="shared" ca="1" si="178"/>
        <v>104161.45515709043</v>
      </c>
      <c r="V117" s="324">
        <f t="shared" ca="1" si="178"/>
        <v>135510.26547009623</v>
      </c>
      <c r="W117" s="324">
        <f t="shared" ca="1" si="178"/>
        <v>176369.32071463965</v>
      </c>
      <c r="X117" s="324">
        <f t="shared" ca="1" si="178"/>
        <v>206881.21319827228</v>
      </c>
      <c r="Y117" s="324">
        <f t="shared" ca="1" si="178"/>
        <v>240561.474706951</v>
      </c>
      <c r="Z117" s="324">
        <f t="shared" ca="1" si="178"/>
        <v>277271.15574723168</v>
      </c>
      <c r="AA117" s="324">
        <f t="shared" ca="1" si="178"/>
        <v>316754.56832563743</v>
      </c>
      <c r="AB117" s="324">
        <f t="shared" ca="1" si="178"/>
        <v>358629.52225828666</v>
      </c>
      <c r="AC117" s="324">
        <f ca="1">AC116</f>
        <v>402382.32397379767</v>
      </c>
      <c r="AD117" s="324">
        <f ca="1">AD116</f>
        <v>443264.36808953556</v>
      </c>
      <c r="AE117" s="324"/>
      <c r="AF117" s="324"/>
      <c r="AG117" s="324"/>
      <c r="AH117" s="324"/>
      <c r="AI117" s="324"/>
      <c r="AJ117" s="324"/>
      <c r="AK117" s="324"/>
      <c r="AL117" s="324"/>
      <c r="AM117" s="324"/>
      <c r="AN117" s="324"/>
      <c r="AO117" s="324"/>
      <c r="AP117" s="324"/>
      <c r="AQ117" s="324"/>
      <c r="AR117" s="324"/>
      <c r="AS117" s="324"/>
      <c r="AT117" s="324"/>
      <c r="AU117" s="324"/>
      <c r="AV117" s="324"/>
      <c r="AW117" s="324"/>
      <c r="AX117" s="324"/>
      <c r="AY117" s="324"/>
      <c r="AZ117" s="324"/>
      <c r="BA117" s="324"/>
      <c r="BB117" s="324"/>
      <c r="BC117" s="324"/>
      <c r="BD117" s="324" t="e">
        <f>BD105+BD90</f>
        <v>#NAME?</v>
      </c>
      <c r="BE117" s="324" t="e">
        <f>BE105+BE90</f>
        <v>#NAME?</v>
      </c>
      <c r="BF117" s="324" t="e">
        <f t="shared" ref="BF117:BQ117" si="179">BF105+BF90</f>
        <v>#NAME?</v>
      </c>
      <c r="BG117" s="324" t="e">
        <f t="shared" si="179"/>
        <v>#NAME?</v>
      </c>
      <c r="BH117" s="324" t="e">
        <f t="shared" si="179"/>
        <v>#NAME?</v>
      </c>
      <c r="BI117" s="324" t="e">
        <f t="shared" si="179"/>
        <v>#NAME?</v>
      </c>
      <c r="BJ117" s="324" t="e">
        <f t="shared" si="179"/>
        <v>#NAME?</v>
      </c>
      <c r="BK117" s="324" t="e">
        <f t="shared" si="179"/>
        <v>#NAME?</v>
      </c>
      <c r="BL117" s="324" t="e">
        <f t="shared" si="179"/>
        <v>#NAME?</v>
      </c>
      <c r="BM117" s="324" t="e">
        <f t="shared" si="179"/>
        <v>#NAME?</v>
      </c>
      <c r="BN117" s="324" t="e">
        <f t="shared" si="179"/>
        <v>#NAME?</v>
      </c>
      <c r="BO117" s="324" t="e">
        <f t="shared" si="179"/>
        <v>#NAME?</v>
      </c>
      <c r="BP117" s="324" t="e">
        <f t="shared" si="179"/>
        <v>#NAME?</v>
      </c>
      <c r="BQ117" s="324" t="e">
        <f t="shared" si="179"/>
        <v>#NAME?</v>
      </c>
      <c r="BR117" s="324">
        <f t="shared" ref="BR117:BW117" si="180">BR116</f>
        <v>15935.449469230771</v>
      </c>
      <c r="BS117" s="324">
        <f t="shared" si="180"/>
        <v>14211.546953846151</v>
      </c>
      <c r="BT117" s="324">
        <f t="shared" si="180"/>
        <v>17249.467875000002</v>
      </c>
      <c r="BU117" s="324">
        <f t="shared" si="180"/>
        <v>19259.524891666671</v>
      </c>
      <c r="BV117" s="324">
        <f t="shared" si="180"/>
        <v>23503.203833333333</v>
      </c>
      <c r="BW117" s="324">
        <f t="shared" si="180"/>
        <v>19299.256225000001</v>
      </c>
      <c r="BX117" s="324">
        <f t="shared" ref="BX117:CE117" ca="1" si="181">BX116</f>
        <v>21451.738240095649</v>
      </c>
      <c r="BY117" s="324">
        <f t="shared" ca="1" si="181"/>
        <v>25623.541812391308</v>
      </c>
      <c r="BZ117" s="324">
        <f t="shared" ca="1" si="181"/>
        <v>30268.856526365213</v>
      </c>
      <c r="CA117" s="324">
        <f t="shared" ca="1" si="181"/>
        <v>26817.318578238257</v>
      </c>
      <c r="CB117" s="324">
        <f t="shared" ca="1" si="181"/>
        <v>33466.642310990821</v>
      </c>
      <c r="CC117" s="324">
        <f t="shared" ca="1" si="181"/>
        <v>37871.08232787811</v>
      </c>
      <c r="CD117" s="324">
        <f t="shared" ca="1" si="181"/>
        <v>40831.17401124035</v>
      </c>
      <c r="CE117" s="324">
        <f t="shared" ca="1" si="181"/>
        <v>36892.393366996548</v>
      </c>
      <c r="CF117" s="62"/>
      <c r="CG117" s="5"/>
      <c r="CH117" s="5"/>
    </row>
    <row r="118" spans="1:93" hidden="1" outlineLevel="2">
      <c r="C118" s="6"/>
      <c r="D118" s="6"/>
      <c r="E118" s="6"/>
      <c r="F118" s="6"/>
      <c r="G118" s="6"/>
      <c r="H118" s="6"/>
      <c r="I118" s="324"/>
      <c r="J118" s="324"/>
      <c r="K118" s="324"/>
      <c r="L118" s="324"/>
      <c r="M118" s="324"/>
      <c r="N118" s="324"/>
      <c r="O118" s="324"/>
      <c r="P118" s="324"/>
      <c r="Q118" s="324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324"/>
      <c r="AG118" s="324"/>
      <c r="AH118" s="324"/>
      <c r="AI118" s="324"/>
      <c r="AJ118" s="324"/>
      <c r="AK118" s="324"/>
      <c r="AL118" s="324"/>
      <c r="AM118" s="324"/>
      <c r="AN118" s="324"/>
      <c r="AO118" s="324"/>
      <c r="AP118" s="324"/>
      <c r="AQ118" s="324"/>
      <c r="AR118" s="324"/>
      <c r="AS118" s="324"/>
      <c r="AT118" s="324"/>
      <c r="AU118" s="324"/>
      <c r="AV118" s="324"/>
      <c r="AW118" s="324"/>
      <c r="AX118" s="324"/>
      <c r="AY118" s="324"/>
      <c r="AZ118" s="324"/>
      <c r="BA118" s="324"/>
      <c r="BB118" s="324"/>
      <c r="BC118" s="324"/>
      <c r="BD118" s="324"/>
      <c r="BE118" s="324"/>
      <c r="BF118" s="324"/>
      <c r="BG118" s="324"/>
      <c r="BH118" s="324"/>
      <c r="BI118" s="324"/>
      <c r="BJ118" s="324"/>
      <c r="BK118" s="324"/>
      <c r="BL118" s="324"/>
      <c r="BM118" s="324"/>
      <c r="BN118" s="324"/>
      <c r="BO118" s="324"/>
      <c r="BP118" s="324"/>
      <c r="BQ118" s="324"/>
      <c r="BR118" s="324"/>
      <c r="BS118" s="324"/>
      <c r="BT118" s="324"/>
      <c r="BU118" s="324"/>
      <c r="BV118" s="324"/>
      <c r="BW118" s="324"/>
      <c r="BX118" s="324"/>
      <c r="BY118" s="324"/>
      <c r="BZ118" s="324"/>
      <c r="CA118" s="324"/>
      <c r="CB118" s="324"/>
      <c r="CC118" s="324"/>
      <c r="CD118" s="324"/>
      <c r="CE118" s="324"/>
      <c r="CF118" s="117"/>
      <c r="CG118" s="5"/>
      <c r="CH118" s="5"/>
    </row>
    <row r="119" spans="1:93" hidden="1" outlineLevel="2">
      <c r="B119" s="363" t="s">
        <v>82</v>
      </c>
      <c r="C119" s="365"/>
      <c r="D119" s="365"/>
      <c r="E119" s="365"/>
      <c r="F119" s="365"/>
      <c r="G119" s="365"/>
      <c r="H119" s="365"/>
      <c r="I119" s="364"/>
      <c r="J119" s="364"/>
      <c r="K119" s="364"/>
      <c r="L119" s="364"/>
      <c r="M119" s="364"/>
      <c r="N119" s="364"/>
      <c r="O119" s="364"/>
      <c r="P119" s="364"/>
      <c r="Q119" s="364"/>
      <c r="R119" s="365"/>
      <c r="S119" s="365"/>
      <c r="T119" s="365"/>
      <c r="U119" s="365"/>
      <c r="V119" s="365"/>
      <c r="W119" s="365"/>
      <c r="X119" s="365"/>
      <c r="Y119" s="365"/>
      <c r="Z119" s="365"/>
      <c r="AA119" s="365"/>
      <c r="AB119" s="365"/>
      <c r="AC119" s="365"/>
      <c r="AD119" s="365"/>
      <c r="AE119" s="365"/>
      <c r="AF119" s="364"/>
      <c r="AG119" s="364"/>
      <c r="AH119" s="364"/>
      <c r="AI119" s="364"/>
      <c r="AJ119" s="364"/>
      <c r="AK119" s="364"/>
      <c r="AL119" s="364"/>
      <c r="AM119" s="364"/>
      <c r="AN119" s="364"/>
      <c r="AO119" s="364"/>
      <c r="AP119" s="364"/>
      <c r="AQ119" s="364"/>
      <c r="AR119" s="364"/>
      <c r="AS119" s="364"/>
      <c r="AT119" s="364"/>
      <c r="AU119" s="364"/>
      <c r="AV119" s="364"/>
      <c r="AW119" s="364"/>
      <c r="AX119" s="364"/>
      <c r="AY119" s="364"/>
      <c r="AZ119" s="364"/>
      <c r="BA119" s="364"/>
      <c r="BB119" s="364"/>
      <c r="BC119" s="364"/>
      <c r="BD119" s="364"/>
      <c r="BE119" s="364"/>
      <c r="BF119" s="364"/>
      <c r="BG119" s="364"/>
      <c r="BH119" s="364"/>
      <c r="BI119" s="364"/>
      <c r="BJ119" s="364"/>
      <c r="BK119" s="364"/>
      <c r="BL119" s="364"/>
      <c r="BM119" s="364"/>
      <c r="BN119" s="364"/>
      <c r="BO119" s="364"/>
      <c r="BP119" s="364"/>
      <c r="BQ119" s="364"/>
      <c r="BR119" s="364"/>
      <c r="BS119" s="364"/>
      <c r="BT119" s="364"/>
      <c r="BU119" s="364"/>
      <c r="BV119" s="364"/>
      <c r="BW119" s="364"/>
      <c r="BX119" s="364"/>
      <c r="BY119" s="364"/>
      <c r="BZ119" s="364"/>
      <c r="CA119" s="364"/>
      <c r="CB119" s="364"/>
      <c r="CC119" s="364"/>
      <c r="CD119" s="364"/>
      <c r="CE119" s="364"/>
      <c r="CF119" s="117"/>
      <c r="CG119" s="5"/>
      <c r="CH119" s="5"/>
    </row>
    <row r="120" spans="1:93" hidden="1" outlineLevel="2">
      <c r="B120" s="13" t="s">
        <v>715</v>
      </c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 t="e">
        <f t="shared" ref="O120:AD120" si="182">O112/N112-1</f>
        <v>#NAME?</v>
      </c>
      <c r="P120" s="323" t="e">
        <f t="shared" si="182"/>
        <v>#NAME?</v>
      </c>
      <c r="Q120" s="323" t="e">
        <f t="shared" si="182"/>
        <v>#NAME?</v>
      </c>
      <c r="R120" s="323" t="e">
        <f t="shared" si="182"/>
        <v>#NAME?</v>
      </c>
      <c r="S120" s="323" t="e">
        <f t="shared" si="182"/>
        <v>#NAME?</v>
      </c>
      <c r="T120" s="323">
        <f t="shared" si="182"/>
        <v>0.30215185464781014</v>
      </c>
      <c r="U120" s="323">
        <f t="shared" ca="1" si="182"/>
        <v>0.25860000000000016</v>
      </c>
      <c r="V120" s="323">
        <f t="shared" ca="1" si="182"/>
        <v>0.24439999999999995</v>
      </c>
      <c r="W120" s="323">
        <f t="shared" ca="1" si="182"/>
        <v>0.18320000000000003</v>
      </c>
      <c r="X120" s="323">
        <f t="shared" ca="1" si="182"/>
        <v>0.17300000000000004</v>
      </c>
      <c r="Y120" s="323">
        <f t="shared" ca="1" si="182"/>
        <v>0.16279999999999983</v>
      </c>
      <c r="Z120" s="323">
        <f t="shared" ca="1" si="182"/>
        <v>0.15259999999999985</v>
      </c>
      <c r="AA120" s="323">
        <f t="shared" ca="1" si="182"/>
        <v>0.14239999999999986</v>
      </c>
      <c r="AB120" s="323">
        <f t="shared" ca="1" si="182"/>
        <v>0.13219999999999987</v>
      </c>
      <c r="AC120" s="323">
        <f t="shared" ca="1" si="182"/>
        <v>0.12200000000000011</v>
      </c>
      <c r="AD120" s="323">
        <f t="shared" ca="1" si="182"/>
        <v>0.10160000000000013</v>
      </c>
      <c r="AE120" s="323"/>
      <c r="AF120" s="324"/>
      <c r="AG120" s="324"/>
      <c r="AH120" s="324"/>
      <c r="AI120" s="324"/>
      <c r="AJ120" s="324"/>
      <c r="AK120" s="324"/>
      <c r="AL120" s="324"/>
      <c r="AM120" s="324"/>
      <c r="AN120" s="324"/>
      <c r="AO120" s="324"/>
      <c r="AP120" s="324"/>
      <c r="AQ120" s="324"/>
      <c r="AR120" s="324"/>
      <c r="AS120" s="324"/>
      <c r="AT120" s="324"/>
      <c r="AU120" s="324"/>
      <c r="AV120" s="324"/>
      <c r="AW120" s="324"/>
      <c r="AX120" s="324"/>
      <c r="AY120" s="324"/>
      <c r="AZ120" s="324"/>
      <c r="BA120" s="324"/>
      <c r="BB120" s="324"/>
      <c r="BC120" s="324"/>
      <c r="BD120" s="324"/>
      <c r="BE120" s="324"/>
      <c r="BF120" s="324"/>
      <c r="BG120" s="324"/>
      <c r="BH120" s="323" t="e">
        <f t="shared" ref="BH120:CA122" si="183">BH112/BD112-1</f>
        <v>#NAME?</v>
      </c>
      <c r="BI120" s="323" t="e">
        <f t="shared" si="183"/>
        <v>#NAME?</v>
      </c>
      <c r="BJ120" s="323" t="e">
        <f t="shared" si="183"/>
        <v>#NAME?</v>
      </c>
      <c r="BK120" s="323" t="e">
        <f t="shared" si="183"/>
        <v>#NAME?</v>
      </c>
      <c r="BL120" s="323" t="e">
        <f t="shared" si="183"/>
        <v>#NAME?</v>
      </c>
      <c r="BM120" s="323" t="e">
        <f t="shared" si="183"/>
        <v>#NAME?</v>
      </c>
      <c r="BN120" s="323" t="e">
        <f t="shared" si="183"/>
        <v>#NAME?</v>
      </c>
      <c r="BO120" s="323" t="e">
        <f t="shared" si="183"/>
        <v>#NAME?</v>
      </c>
      <c r="BP120" s="323" t="e">
        <f t="shared" si="183"/>
        <v>#NAME?</v>
      </c>
      <c r="BQ120" s="323" t="e">
        <f t="shared" si="183"/>
        <v>#NAME?</v>
      </c>
      <c r="BR120" s="323" t="e">
        <f t="shared" si="183"/>
        <v>#NAME?</v>
      </c>
      <c r="BS120" s="323" t="e">
        <f t="shared" si="183"/>
        <v>#NAME?</v>
      </c>
      <c r="BT120" s="323" t="e">
        <f t="shared" si="183"/>
        <v>#NAME?</v>
      </c>
      <c r="BU120" s="323" t="e">
        <f t="shared" si="183"/>
        <v>#NAME?</v>
      </c>
      <c r="BV120" s="323">
        <f t="shared" si="183"/>
        <v>0.36144669899733572</v>
      </c>
      <c r="BW120" s="323">
        <f t="shared" si="183"/>
        <v>0.2535368677105807</v>
      </c>
      <c r="BX120" s="323">
        <f t="shared" ca="1" si="183"/>
        <v>0.19179999999999997</v>
      </c>
      <c r="BY120" s="323">
        <f t="shared" ca="1" si="183"/>
        <v>0.27500000000000013</v>
      </c>
      <c r="BZ120" s="323">
        <f t="shared" ca="1" si="183"/>
        <v>0.23419999999999974</v>
      </c>
      <c r="CA120" s="323">
        <f t="shared" ca="1" si="183"/>
        <v>0.33165392513176983</v>
      </c>
      <c r="CB120" s="323">
        <f t="shared" ref="CB120:CE122" ca="1" si="184">CB112/BX112-1</f>
        <v>0.35660000000000025</v>
      </c>
      <c r="CC120" s="323">
        <f t="shared" ca="1" si="184"/>
        <v>0.28520000000000012</v>
      </c>
      <c r="CD120" s="323">
        <f t="shared" ca="1" si="184"/>
        <v>0.17299999999999982</v>
      </c>
      <c r="CE120" s="323">
        <f t="shared" ca="1" si="184"/>
        <v>0.19625465031729372</v>
      </c>
      <c r="CF120" s="117"/>
      <c r="CG120" s="5"/>
      <c r="CH120" s="5"/>
    </row>
    <row r="121" spans="1:93" hidden="1" outlineLevel="2">
      <c r="B121" s="13" t="s">
        <v>716</v>
      </c>
      <c r="C121" s="323"/>
      <c r="D121" s="323"/>
      <c r="E121" s="323"/>
      <c r="F121" s="323"/>
      <c r="G121" s="323"/>
      <c r="H121" s="323"/>
      <c r="I121" s="323"/>
      <c r="J121" s="323"/>
      <c r="K121" s="323"/>
      <c r="L121" s="323"/>
      <c r="M121" s="323"/>
      <c r="N121" s="323"/>
      <c r="O121" s="323" t="e">
        <f t="shared" ref="O121:AD121" si="185">O113/N113-1</f>
        <v>#NAME?</v>
      </c>
      <c r="P121" s="323" t="e">
        <f t="shared" si="185"/>
        <v>#NAME?</v>
      </c>
      <c r="Q121" s="323" t="e">
        <f t="shared" si="185"/>
        <v>#NAME?</v>
      </c>
      <c r="R121" s="323" t="e">
        <f t="shared" si="185"/>
        <v>#NAME?</v>
      </c>
      <c r="S121" s="323" t="e">
        <f t="shared" si="185"/>
        <v>#NAME?</v>
      </c>
      <c r="T121" s="323">
        <f t="shared" si="185"/>
        <v>0.30215185464781014</v>
      </c>
      <c r="U121" s="323">
        <f t="shared" ca="1" si="185"/>
        <v>0.25860000000000016</v>
      </c>
      <c r="V121" s="323">
        <f t="shared" ca="1" si="185"/>
        <v>0.24439999999999995</v>
      </c>
      <c r="W121" s="323">
        <f t="shared" ca="1" si="185"/>
        <v>0.18320000000000003</v>
      </c>
      <c r="X121" s="323">
        <f t="shared" ca="1" si="185"/>
        <v>0.17300000000000004</v>
      </c>
      <c r="Y121" s="323">
        <f t="shared" ca="1" si="185"/>
        <v>0.16279999999999983</v>
      </c>
      <c r="Z121" s="323">
        <f t="shared" ca="1" si="185"/>
        <v>0.15259999999999985</v>
      </c>
      <c r="AA121" s="323">
        <f t="shared" ca="1" si="185"/>
        <v>0.14239999999999986</v>
      </c>
      <c r="AB121" s="323">
        <f t="shared" ca="1" si="185"/>
        <v>0.13219999999999987</v>
      </c>
      <c r="AC121" s="323">
        <f t="shared" ca="1" si="185"/>
        <v>0.12200000000000011</v>
      </c>
      <c r="AD121" s="323">
        <f t="shared" ca="1" si="185"/>
        <v>0.10160000000000013</v>
      </c>
      <c r="AE121" s="323"/>
      <c r="AF121" s="324"/>
      <c r="AG121" s="324"/>
      <c r="AH121" s="324"/>
      <c r="AI121" s="324"/>
      <c r="AJ121" s="324"/>
      <c r="AK121" s="324"/>
      <c r="AL121" s="324"/>
      <c r="AM121" s="324"/>
      <c r="AN121" s="324"/>
      <c r="AO121" s="324"/>
      <c r="AP121" s="324"/>
      <c r="AQ121" s="324"/>
      <c r="AR121" s="324"/>
      <c r="AS121" s="324"/>
      <c r="AT121" s="324"/>
      <c r="AU121" s="324"/>
      <c r="AV121" s="324"/>
      <c r="AW121" s="324"/>
      <c r="AX121" s="324"/>
      <c r="AY121" s="324"/>
      <c r="AZ121" s="324"/>
      <c r="BA121" s="324"/>
      <c r="BB121" s="324"/>
      <c r="BC121" s="324"/>
      <c r="BD121" s="324"/>
      <c r="BE121" s="324"/>
      <c r="BF121" s="324"/>
      <c r="BG121" s="324"/>
      <c r="BH121" s="323" t="e">
        <f t="shared" si="183"/>
        <v>#NAME?</v>
      </c>
      <c r="BI121" s="323" t="e">
        <f t="shared" si="183"/>
        <v>#NAME?</v>
      </c>
      <c r="BJ121" s="323" t="e">
        <f t="shared" si="183"/>
        <v>#NAME?</v>
      </c>
      <c r="BK121" s="323" t="e">
        <f t="shared" si="183"/>
        <v>#NAME?</v>
      </c>
      <c r="BL121" s="323" t="e">
        <f t="shared" si="183"/>
        <v>#NAME?</v>
      </c>
      <c r="BM121" s="323" t="e">
        <f t="shared" si="183"/>
        <v>#NAME?</v>
      </c>
      <c r="BN121" s="323" t="e">
        <f t="shared" si="183"/>
        <v>#NAME?</v>
      </c>
      <c r="BO121" s="323" t="e">
        <f t="shared" si="183"/>
        <v>#NAME?</v>
      </c>
      <c r="BP121" s="323" t="e">
        <f t="shared" si="183"/>
        <v>#NAME?</v>
      </c>
      <c r="BQ121" s="323" t="e">
        <f t="shared" si="183"/>
        <v>#NAME?</v>
      </c>
      <c r="BR121" s="323" t="e">
        <f t="shared" si="183"/>
        <v>#NAME?</v>
      </c>
      <c r="BS121" s="323" t="e">
        <f t="shared" si="183"/>
        <v>#NAME?</v>
      </c>
      <c r="BT121" s="323" t="e">
        <f t="shared" si="183"/>
        <v>#NAME?</v>
      </c>
      <c r="BU121" s="323" t="e">
        <f t="shared" si="183"/>
        <v>#NAME?</v>
      </c>
      <c r="BV121" s="323">
        <f t="shared" si="183"/>
        <v>0.36144669899733572</v>
      </c>
      <c r="BW121" s="323">
        <f t="shared" si="183"/>
        <v>0.2535368677105807</v>
      </c>
      <c r="BX121" s="323">
        <f t="shared" ca="1" si="183"/>
        <v>0.19179999999999997</v>
      </c>
      <c r="BY121" s="323">
        <f t="shared" ca="1" si="183"/>
        <v>0.27500000000000013</v>
      </c>
      <c r="BZ121" s="323">
        <f t="shared" ca="1" si="183"/>
        <v>0.23419999999999974</v>
      </c>
      <c r="CA121" s="323">
        <f t="shared" ca="1" si="183"/>
        <v>0.33165392513176983</v>
      </c>
      <c r="CB121" s="323">
        <f t="shared" ca="1" si="184"/>
        <v>0.35660000000000025</v>
      </c>
      <c r="CC121" s="323">
        <f t="shared" ca="1" si="184"/>
        <v>0.28520000000000012</v>
      </c>
      <c r="CD121" s="323">
        <f t="shared" ca="1" si="184"/>
        <v>0.17299999999999982</v>
      </c>
      <c r="CE121" s="323">
        <f t="shared" ca="1" si="184"/>
        <v>0.19625465031729372</v>
      </c>
      <c r="CF121" s="117"/>
      <c r="CG121" s="5"/>
      <c r="CH121" s="5"/>
    </row>
    <row r="122" spans="1:93" hidden="1" outlineLevel="2">
      <c r="B122" s="13" t="s">
        <v>710</v>
      </c>
      <c r="C122" s="323"/>
      <c r="D122" s="323"/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 t="e">
        <f>O114/N114-1</f>
        <v>#NAME?</v>
      </c>
      <c r="P122" s="323" t="e">
        <f t="shared" ref="P122:AD122" si="186">P114/O114-1</f>
        <v>#NAME?</v>
      </c>
      <c r="Q122" s="323" t="e">
        <f t="shared" si="186"/>
        <v>#NAME?</v>
      </c>
      <c r="R122" s="323" t="e">
        <f t="shared" si="186"/>
        <v>#NAME?</v>
      </c>
      <c r="S122" s="323" t="e">
        <f t="shared" si="186"/>
        <v>#NAME?</v>
      </c>
      <c r="T122" s="323">
        <f t="shared" si="186"/>
        <v>0.2887801266339316</v>
      </c>
      <c r="U122" s="323">
        <f t="shared" ca="1" si="186"/>
        <v>0.24</v>
      </c>
      <c r="V122" s="323">
        <f t="shared" ca="1" si="186"/>
        <v>0.21999999999999997</v>
      </c>
      <c r="W122" s="323">
        <f t="shared" ca="1" si="186"/>
        <v>0.15999999999999992</v>
      </c>
      <c r="X122" s="323">
        <f t="shared" ca="1" si="186"/>
        <v>0.14999999999999991</v>
      </c>
      <c r="Y122" s="323">
        <f t="shared" ca="1" si="186"/>
        <v>0.1399999999999999</v>
      </c>
      <c r="Z122" s="323">
        <f t="shared" ca="1" si="186"/>
        <v>0.12999999999999989</v>
      </c>
      <c r="AA122" s="323">
        <f t="shared" ca="1" si="186"/>
        <v>0.11999999999999988</v>
      </c>
      <c r="AB122" s="323">
        <f t="shared" ca="1" si="186"/>
        <v>0.10999999999999988</v>
      </c>
      <c r="AC122" s="323">
        <f t="shared" ca="1" si="186"/>
        <v>0.10000000000000009</v>
      </c>
      <c r="AD122" s="323">
        <f t="shared" ca="1" si="186"/>
        <v>8.0000000000000071E-2</v>
      </c>
      <c r="AE122" s="323"/>
      <c r="AF122" s="324"/>
      <c r="AG122" s="324"/>
      <c r="AH122" s="324"/>
      <c r="AI122" s="324"/>
      <c r="AJ122" s="324"/>
      <c r="AK122" s="324"/>
      <c r="AL122" s="324"/>
      <c r="AM122" s="324"/>
      <c r="AN122" s="324"/>
      <c r="AO122" s="324"/>
      <c r="AP122" s="324"/>
      <c r="AQ122" s="324"/>
      <c r="AR122" s="324"/>
      <c r="AS122" s="324"/>
      <c r="AT122" s="324"/>
      <c r="AU122" s="324"/>
      <c r="AV122" s="324"/>
      <c r="AW122" s="324"/>
      <c r="AX122" s="324"/>
      <c r="AY122" s="324"/>
      <c r="AZ122" s="324"/>
      <c r="BA122" s="324"/>
      <c r="BB122" s="324"/>
      <c r="BC122" s="324"/>
      <c r="BD122" s="324"/>
      <c r="BE122" s="324"/>
      <c r="BF122" s="324"/>
      <c r="BG122" s="324"/>
      <c r="BH122" s="323" t="e">
        <f t="shared" si="183"/>
        <v>#NAME?</v>
      </c>
      <c r="BI122" s="323" t="e">
        <f t="shared" si="183"/>
        <v>#NAME?</v>
      </c>
      <c r="BJ122" s="323" t="e">
        <f t="shared" si="183"/>
        <v>#NAME?</v>
      </c>
      <c r="BK122" s="323" t="e">
        <f t="shared" si="183"/>
        <v>#NAME?</v>
      </c>
      <c r="BL122" s="323" t="e">
        <f t="shared" si="183"/>
        <v>#NAME?</v>
      </c>
      <c r="BM122" s="323" t="e">
        <f t="shared" si="183"/>
        <v>#NAME?</v>
      </c>
      <c r="BN122" s="323" t="e">
        <f t="shared" si="183"/>
        <v>#NAME?</v>
      </c>
      <c r="BO122" s="323" t="e">
        <f t="shared" si="183"/>
        <v>#NAME?</v>
      </c>
      <c r="BP122" s="323" t="e">
        <f t="shared" si="183"/>
        <v>#NAME?</v>
      </c>
      <c r="BQ122" s="323" t="e">
        <f t="shared" si="183"/>
        <v>#NAME?</v>
      </c>
      <c r="BR122" s="323" t="e">
        <f t="shared" si="183"/>
        <v>#NAME?</v>
      </c>
      <c r="BS122" s="323" t="e">
        <f t="shared" si="183"/>
        <v>#NAME?</v>
      </c>
      <c r="BT122" s="323" t="e">
        <f t="shared" si="183"/>
        <v>#NAME?</v>
      </c>
      <c r="BU122" s="323" t="e">
        <f t="shared" si="183"/>
        <v>#NAME?</v>
      </c>
      <c r="BV122" s="323">
        <f t="shared" si="183"/>
        <v>0.4781889203354297</v>
      </c>
      <c r="BW122" s="323">
        <f t="shared" si="183"/>
        <v>0.23713180929487176</v>
      </c>
      <c r="BX122" s="323">
        <f t="shared" ca="1" si="183"/>
        <v>0.17999999999999994</v>
      </c>
      <c r="BY122" s="323">
        <f t="shared" ca="1" si="183"/>
        <v>0.25</v>
      </c>
      <c r="BZ122" s="323">
        <f t="shared" ca="1" si="183"/>
        <v>0.20999999999999996</v>
      </c>
      <c r="CA122" s="323">
        <f t="shared" ca="1" si="183"/>
        <v>0.32144294467201329</v>
      </c>
      <c r="CB122" s="323">
        <f t="shared" ca="1" si="184"/>
        <v>0.33000000000000007</v>
      </c>
      <c r="CC122" s="323">
        <f t="shared" ca="1" si="184"/>
        <v>0.26</v>
      </c>
      <c r="CD122" s="323">
        <f t="shared" ca="1" si="184"/>
        <v>0.14999999999999991</v>
      </c>
      <c r="CE122" s="323">
        <f t="shared" ca="1" si="184"/>
        <v>0.16968103087673203</v>
      </c>
      <c r="CF122" s="117"/>
      <c r="CG122" s="5"/>
      <c r="CH122" s="5"/>
    </row>
    <row r="123" spans="1:93" hidden="1" outlineLevel="2">
      <c r="B123" s="13" t="s">
        <v>121</v>
      </c>
      <c r="C123" s="323"/>
      <c r="D123" s="323"/>
      <c r="E123" s="323"/>
      <c r="F123" s="323"/>
      <c r="G123" s="323"/>
      <c r="H123" s="323"/>
      <c r="I123" s="323"/>
      <c r="J123" s="323"/>
      <c r="K123" s="323"/>
      <c r="L123" s="323"/>
      <c r="M123" s="323"/>
      <c r="N123" s="323"/>
      <c r="O123" s="323" t="e">
        <f>O116/N116-1</f>
        <v>#NAME?</v>
      </c>
      <c r="P123" s="323" t="e">
        <f t="shared" ref="P123:AD123" si="187">P116/O116-1</f>
        <v>#NAME?</v>
      </c>
      <c r="Q123" s="323" t="e">
        <f t="shared" si="187"/>
        <v>#NAME?</v>
      </c>
      <c r="R123" s="323" t="e">
        <f t="shared" si="187"/>
        <v>#NAME?</v>
      </c>
      <c r="S123" s="323" t="e">
        <f t="shared" si="187"/>
        <v>#NAME?</v>
      </c>
      <c r="T123" s="323">
        <f t="shared" si="187"/>
        <v>0.41139148990200192</v>
      </c>
      <c r="U123" s="323">
        <f t="shared" ca="1" si="187"/>
        <v>0.31440538829527709</v>
      </c>
      <c r="V123" s="323">
        <f t="shared" ca="1" si="187"/>
        <v>0.30096363636363654</v>
      </c>
      <c r="W123" s="323">
        <f t="shared" ca="1" si="187"/>
        <v>0.30152000000000001</v>
      </c>
      <c r="X123" s="323">
        <f t="shared" ca="1" si="187"/>
        <v>0.17299999999999982</v>
      </c>
      <c r="Y123" s="323">
        <f t="shared" ca="1" si="187"/>
        <v>0.16280000000000006</v>
      </c>
      <c r="Z123" s="323">
        <f t="shared" ca="1" si="187"/>
        <v>0.15259999999999985</v>
      </c>
      <c r="AA123" s="323">
        <f t="shared" ca="1" si="187"/>
        <v>0.14239999999999986</v>
      </c>
      <c r="AB123" s="323">
        <f t="shared" ca="1" si="187"/>
        <v>0.13219999999999987</v>
      </c>
      <c r="AC123" s="323">
        <f t="shared" ca="1" si="187"/>
        <v>0.12200000000000011</v>
      </c>
      <c r="AD123" s="323">
        <f t="shared" ca="1" si="187"/>
        <v>0.10160000000000013</v>
      </c>
      <c r="AE123" s="323"/>
      <c r="AF123" s="324"/>
      <c r="AG123" s="324"/>
      <c r="AH123" s="324"/>
      <c r="AI123" s="324"/>
      <c r="AJ123" s="324"/>
      <c r="AK123" s="324"/>
      <c r="AL123" s="324"/>
      <c r="AM123" s="324"/>
      <c r="AN123" s="324"/>
      <c r="AO123" s="324"/>
      <c r="AP123" s="324"/>
      <c r="AQ123" s="324"/>
      <c r="AR123" s="324"/>
      <c r="AS123" s="324"/>
      <c r="AT123" s="324"/>
      <c r="AU123" s="324"/>
      <c r="AV123" s="324"/>
      <c r="AW123" s="324"/>
      <c r="AX123" s="324"/>
      <c r="AY123" s="324"/>
      <c r="AZ123" s="324"/>
      <c r="BA123" s="324"/>
      <c r="BB123" s="324"/>
      <c r="BC123" s="324"/>
      <c r="BD123" s="324"/>
      <c r="BE123" s="324"/>
      <c r="BF123" s="324"/>
      <c r="BG123" s="324"/>
      <c r="BH123" s="323" t="e">
        <f t="shared" ref="BH123:CA123" si="188">BH116/BD116-1</f>
        <v>#NAME?</v>
      </c>
      <c r="BI123" s="323" t="e">
        <f t="shared" si="188"/>
        <v>#NAME?</v>
      </c>
      <c r="BJ123" s="323" t="e">
        <f t="shared" si="188"/>
        <v>#NAME?</v>
      </c>
      <c r="BK123" s="323" t="e">
        <f t="shared" si="188"/>
        <v>#NAME?</v>
      </c>
      <c r="BL123" s="323" t="e">
        <f t="shared" si="188"/>
        <v>#NAME?</v>
      </c>
      <c r="BM123" s="323" t="e">
        <f t="shared" si="188"/>
        <v>#NAME?</v>
      </c>
      <c r="BN123" s="323" t="e">
        <f t="shared" si="188"/>
        <v>#NAME?</v>
      </c>
      <c r="BO123" s="323" t="e">
        <f t="shared" si="188"/>
        <v>#NAME?</v>
      </c>
      <c r="BP123" s="323" t="e">
        <f t="shared" si="188"/>
        <v>#NAME?</v>
      </c>
      <c r="BQ123" s="323" t="e">
        <f t="shared" si="188"/>
        <v>#NAME?</v>
      </c>
      <c r="BR123" s="323" t="e">
        <f t="shared" si="188"/>
        <v>#NAME?</v>
      </c>
      <c r="BS123" s="323" t="e">
        <f t="shared" si="188"/>
        <v>#NAME?</v>
      </c>
      <c r="BT123" s="323" t="e">
        <f t="shared" si="188"/>
        <v>#NAME?</v>
      </c>
      <c r="BU123" s="323" t="e">
        <f t="shared" si="188"/>
        <v>#NAME?</v>
      </c>
      <c r="BV123" s="323">
        <f t="shared" si="188"/>
        <v>0.47490059058044687</v>
      </c>
      <c r="BW123" s="323">
        <f t="shared" si="188"/>
        <v>0.3579982733531295</v>
      </c>
      <c r="BX123" s="323">
        <f t="shared" ca="1" si="188"/>
        <v>0.24361739130434756</v>
      </c>
      <c r="BY123" s="323">
        <f t="shared" ca="1" si="188"/>
        <v>0.33043478260869552</v>
      </c>
      <c r="BZ123" s="323">
        <f t="shared" ca="1" si="188"/>
        <v>0.28786086956521717</v>
      </c>
      <c r="CA123" s="323">
        <f t="shared" ca="1" si="188"/>
        <v>0.38955192187662946</v>
      </c>
      <c r="CB123" s="323">
        <f ca="1">CB116/BX116-1</f>
        <v>0.56008999999999998</v>
      </c>
      <c r="CC123" s="323">
        <f ca="1">CC116/BY116-1</f>
        <v>0.47798000000000029</v>
      </c>
      <c r="CD123" s="323">
        <f ca="1">CD116/BZ116-1</f>
        <v>0.34894999999999987</v>
      </c>
      <c r="CE123" s="323">
        <f ca="1">CE116/CA116-1</f>
        <v>0.37569284786488777</v>
      </c>
      <c r="CF123" s="117"/>
      <c r="CG123" s="5"/>
      <c r="CH123" s="5"/>
    </row>
    <row r="124" spans="1:93" hidden="1" outlineLevel="2">
      <c r="B124" s="13" t="s">
        <v>717</v>
      </c>
      <c r="C124" s="6"/>
      <c r="D124" s="6"/>
      <c r="E124" s="6"/>
      <c r="F124" s="6"/>
      <c r="G124" s="6"/>
      <c r="H124" s="6"/>
      <c r="I124" s="324"/>
      <c r="J124" s="324"/>
      <c r="K124" s="324"/>
      <c r="L124" s="324"/>
      <c r="M124" s="324"/>
      <c r="N124" s="324"/>
      <c r="O124" s="323" t="e">
        <f>O86/N86-1</f>
        <v>#NAME?</v>
      </c>
      <c r="P124" s="323" t="e">
        <f>P86/O86-1</f>
        <v>#NAME?</v>
      </c>
      <c r="Q124" s="323" t="e">
        <f>Q86/P86-1</f>
        <v>#NAME?</v>
      </c>
      <c r="R124" s="323" t="e">
        <f>R86/Q86-1</f>
        <v>#NAME?</v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324"/>
      <c r="AG124" s="324"/>
      <c r="AH124" s="324"/>
      <c r="AI124" s="324"/>
      <c r="AJ124" s="324"/>
      <c r="AK124" s="324"/>
      <c r="AL124" s="324"/>
      <c r="AM124" s="324"/>
      <c r="AN124" s="324"/>
      <c r="AO124" s="324"/>
      <c r="AP124" s="324"/>
      <c r="AQ124" s="324"/>
      <c r="AR124" s="324"/>
      <c r="AS124" s="324"/>
      <c r="AT124" s="324"/>
      <c r="AU124" s="324"/>
      <c r="AV124" s="324"/>
      <c r="AW124" s="324"/>
      <c r="AX124" s="324"/>
      <c r="AY124" s="324"/>
      <c r="AZ124" s="324"/>
      <c r="BA124" s="324"/>
      <c r="BB124" s="324"/>
      <c r="BC124" s="324"/>
      <c r="BD124" s="324"/>
      <c r="BE124" s="324"/>
      <c r="BF124" s="324"/>
      <c r="BG124" s="324"/>
      <c r="BH124" s="323" t="e">
        <f t="shared" ref="BH124:BQ124" si="189">BH86/BD86-1</f>
        <v>#NAME?</v>
      </c>
      <c r="BI124" s="323" t="e">
        <f t="shared" si="189"/>
        <v>#NAME?</v>
      </c>
      <c r="BJ124" s="323" t="e">
        <f t="shared" si="189"/>
        <v>#NAME?</v>
      </c>
      <c r="BK124" s="323" t="e">
        <f t="shared" si="189"/>
        <v>#NAME?</v>
      </c>
      <c r="BL124" s="323" t="e">
        <f t="shared" si="189"/>
        <v>#NAME?</v>
      </c>
      <c r="BM124" s="323" t="e">
        <f t="shared" si="189"/>
        <v>#NAME?</v>
      </c>
      <c r="BN124" s="323" t="e">
        <f t="shared" si="189"/>
        <v>#NAME?</v>
      </c>
      <c r="BO124" s="323" t="e">
        <f t="shared" si="189"/>
        <v>#NAME?</v>
      </c>
      <c r="BP124" s="323" t="e">
        <f t="shared" si="189"/>
        <v>#NAME?</v>
      </c>
      <c r="BQ124" s="323" t="e">
        <f t="shared" si="189"/>
        <v>#NAME?</v>
      </c>
      <c r="BR124" s="323"/>
      <c r="BS124" s="323"/>
      <c r="BT124" s="323"/>
      <c r="BU124" s="323"/>
      <c r="BV124" s="323"/>
      <c r="BW124" s="323"/>
      <c r="BX124" s="323"/>
      <c r="BY124" s="323"/>
      <c r="BZ124" s="323"/>
      <c r="CA124" s="323"/>
      <c r="CB124" s="323"/>
      <c r="CC124" s="323"/>
      <c r="CD124" s="323"/>
      <c r="CE124" s="323"/>
      <c r="CF124" s="5"/>
      <c r="CG124" s="5"/>
      <c r="CH124" s="5"/>
    </row>
    <row r="125" spans="1:93" hidden="1" outlineLevel="2">
      <c r="B125" s="13" t="s">
        <v>719</v>
      </c>
      <c r="C125" s="6"/>
      <c r="D125" s="6"/>
      <c r="E125" s="6"/>
      <c r="F125" s="6"/>
      <c r="G125" s="6"/>
      <c r="H125" s="6"/>
      <c r="I125" s="324"/>
      <c r="J125" s="324"/>
      <c r="K125" s="324"/>
      <c r="L125" s="324"/>
      <c r="M125" s="324"/>
      <c r="N125" s="324"/>
      <c r="O125" s="323" t="e">
        <f>O94/N94-1</f>
        <v>#NAME?</v>
      </c>
      <c r="P125" s="323" t="e">
        <f>P94/O94-1</f>
        <v>#NAME?</v>
      </c>
      <c r="Q125" s="323" t="e">
        <f>Q94/P94-1</f>
        <v>#NAME?</v>
      </c>
      <c r="R125" s="323" t="e">
        <f>R94/Q94-1</f>
        <v>#NAME?</v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324"/>
      <c r="AG125" s="324"/>
      <c r="AH125" s="324"/>
      <c r="AI125" s="324"/>
      <c r="AJ125" s="324"/>
      <c r="AK125" s="324"/>
      <c r="AL125" s="324"/>
      <c r="AM125" s="324"/>
      <c r="AN125" s="324"/>
      <c r="AO125" s="324"/>
      <c r="AP125" s="324"/>
      <c r="AQ125" s="324"/>
      <c r="AR125" s="324"/>
      <c r="AS125" s="324"/>
      <c r="AT125" s="324"/>
      <c r="AU125" s="324"/>
      <c r="AV125" s="324"/>
      <c r="AW125" s="324"/>
      <c r="AX125" s="324"/>
      <c r="AY125" s="324"/>
      <c r="AZ125" s="324"/>
      <c r="BA125" s="324"/>
      <c r="BB125" s="324"/>
      <c r="BC125" s="324"/>
      <c r="BD125" s="324"/>
      <c r="BE125" s="324"/>
      <c r="BF125" s="324"/>
      <c r="BG125" s="324"/>
      <c r="BH125" s="323" t="e">
        <f t="shared" ref="BH125:BQ125" si="190">BH94/BD94-1</f>
        <v>#NAME?</v>
      </c>
      <c r="BI125" s="323" t="e">
        <f t="shared" si="190"/>
        <v>#NAME?</v>
      </c>
      <c r="BJ125" s="323" t="e">
        <f t="shared" si="190"/>
        <v>#NAME?</v>
      </c>
      <c r="BK125" s="323" t="e">
        <f t="shared" si="190"/>
        <v>#NAME?</v>
      </c>
      <c r="BL125" s="323" t="e">
        <f t="shared" si="190"/>
        <v>#NAME?</v>
      </c>
      <c r="BM125" s="323" t="e">
        <f t="shared" si="190"/>
        <v>#NAME?</v>
      </c>
      <c r="BN125" s="323" t="e">
        <f t="shared" si="190"/>
        <v>#NAME?</v>
      </c>
      <c r="BO125" s="323" t="e">
        <f t="shared" si="190"/>
        <v>#NAME?</v>
      </c>
      <c r="BP125" s="323" t="e">
        <f t="shared" si="190"/>
        <v>#NAME?</v>
      </c>
      <c r="BQ125" s="323" t="e">
        <f t="shared" si="190"/>
        <v>#NAME?</v>
      </c>
      <c r="BR125" s="323"/>
      <c r="BS125" s="323"/>
      <c r="BT125" s="323"/>
      <c r="BU125" s="323"/>
      <c r="BV125" s="323"/>
      <c r="BW125" s="323"/>
      <c r="BX125" s="323"/>
      <c r="BY125" s="323"/>
      <c r="BZ125" s="323"/>
      <c r="CA125" s="323"/>
      <c r="CB125" s="323"/>
      <c r="CC125" s="323"/>
      <c r="CD125" s="323"/>
      <c r="CE125" s="323"/>
      <c r="CF125" s="5"/>
      <c r="CG125" s="5"/>
      <c r="CH125" s="5"/>
    </row>
    <row r="126" spans="1:93" hidden="1" outlineLevel="2">
      <c r="B126" s="13" t="s">
        <v>718</v>
      </c>
      <c r="C126" s="6"/>
      <c r="D126" s="6"/>
      <c r="E126" s="6"/>
      <c r="F126" s="6"/>
      <c r="G126" s="6"/>
      <c r="H126" s="6"/>
      <c r="I126" s="324"/>
      <c r="J126" s="324"/>
      <c r="K126" s="324"/>
      <c r="L126" s="324"/>
      <c r="M126" s="324"/>
      <c r="N126" s="324"/>
      <c r="O126" s="323" t="e">
        <f>O102/N102-1</f>
        <v>#NAME?</v>
      </c>
      <c r="P126" s="323" t="e">
        <f>P102/O102-1</f>
        <v>#NAME?</v>
      </c>
      <c r="Q126" s="323" t="e">
        <f>Q102/P102-1</f>
        <v>#NAME?</v>
      </c>
      <c r="R126" s="323" t="e">
        <f>R102/Q102-1</f>
        <v>#NAME?</v>
      </c>
      <c r="S126" s="323"/>
      <c r="T126" s="323"/>
      <c r="U126" s="323"/>
      <c r="V126" s="323"/>
      <c r="W126" s="323"/>
      <c r="X126" s="323"/>
      <c r="Y126" s="323"/>
      <c r="Z126" s="323"/>
      <c r="AA126" s="323"/>
      <c r="AB126" s="323"/>
      <c r="AC126" s="323"/>
      <c r="AD126" s="323"/>
      <c r="AE126" s="323"/>
      <c r="AF126" s="324"/>
      <c r="AG126" s="324"/>
      <c r="AH126" s="324"/>
      <c r="AI126" s="324"/>
      <c r="AJ126" s="324"/>
      <c r="AK126" s="324"/>
      <c r="AL126" s="324"/>
      <c r="AM126" s="324"/>
      <c r="AN126" s="324"/>
      <c r="AO126" s="324"/>
      <c r="AP126" s="324"/>
      <c r="AQ126" s="324"/>
      <c r="AR126" s="324"/>
      <c r="AS126" s="324"/>
      <c r="AT126" s="324"/>
      <c r="AU126" s="324"/>
      <c r="AV126" s="324"/>
      <c r="AW126" s="324"/>
      <c r="AX126" s="324"/>
      <c r="AY126" s="324"/>
      <c r="AZ126" s="323">
        <f t="shared" ref="AZ126:BQ126" si="191">AZ102/AV102-1</f>
        <v>0.1816736707442439</v>
      </c>
      <c r="BA126" s="323">
        <f t="shared" si="191"/>
        <v>0.11984252777105309</v>
      </c>
      <c r="BB126" s="323">
        <f t="shared" si="191"/>
        <v>0.11357094369308429</v>
      </c>
      <c r="BC126" s="323">
        <f t="shared" si="191"/>
        <v>0.17186663590132012</v>
      </c>
      <c r="BD126" s="323" t="e">
        <f t="shared" si="191"/>
        <v>#NAME?</v>
      </c>
      <c r="BE126" s="323" t="e">
        <f t="shared" si="191"/>
        <v>#NAME?</v>
      </c>
      <c r="BF126" s="323" t="e">
        <f t="shared" si="191"/>
        <v>#NAME?</v>
      </c>
      <c r="BG126" s="323" t="e">
        <f t="shared" si="191"/>
        <v>#NAME?</v>
      </c>
      <c r="BH126" s="323" t="e">
        <f t="shared" si="191"/>
        <v>#NAME?</v>
      </c>
      <c r="BI126" s="323" t="e">
        <f t="shared" si="191"/>
        <v>#NAME?</v>
      </c>
      <c r="BJ126" s="323" t="e">
        <f t="shared" si="191"/>
        <v>#NAME?</v>
      </c>
      <c r="BK126" s="323" t="e">
        <f t="shared" si="191"/>
        <v>#NAME?</v>
      </c>
      <c r="BL126" s="323" t="e">
        <f t="shared" si="191"/>
        <v>#NAME?</v>
      </c>
      <c r="BM126" s="323" t="e">
        <f t="shared" si="191"/>
        <v>#NAME?</v>
      </c>
      <c r="BN126" s="323" t="e">
        <f t="shared" si="191"/>
        <v>#NAME?</v>
      </c>
      <c r="BO126" s="323" t="e">
        <f t="shared" si="191"/>
        <v>#NAME?</v>
      </c>
      <c r="BP126" s="323" t="e">
        <f t="shared" si="191"/>
        <v>#NAME?</v>
      </c>
      <c r="BQ126" s="323" t="e">
        <f t="shared" si="191"/>
        <v>#NAME?</v>
      </c>
      <c r="BR126" s="323"/>
      <c r="BS126" s="323"/>
      <c r="BT126" s="323"/>
      <c r="BU126" s="323"/>
      <c r="BV126" s="323"/>
      <c r="BW126" s="323"/>
      <c r="BX126" s="323"/>
      <c r="BY126" s="323"/>
      <c r="BZ126" s="323"/>
      <c r="CA126" s="323"/>
      <c r="CB126" s="323"/>
      <c r="CC126" s="323"/>
      <c r="CD126" s="323"/>
      <c r="CE126" s="323"/>
      <c r="CF126" s="5"/>
      <c r="CG126" s="5"/>
      <c r="CH126" s="5"/>
    </row>
    <row r="127" spans="1:93" outlineLevel="1">
      <c r="C127" s="6"/>
      <c r="D127" s="6"/>
      <c r="E127" s="6"/>
      <c r="F127" s="6"/>
      <c r="G127" s="6"/>
      <c r="H127" s="6"/>
      <c r="I127" s="324"/>
      <c r="J127" s="324"/>
      <c r="K127" s="324"/>
      <c r="L127" s="324"/>
      <c r="M127" s="324"/>
      <c r="N127" s="324"/>
      <c r="O127" s="324"/>
      <c r="P127" s="324"/>
      <c r="Q127" s="324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324"/>
      <c r="AG127" s="324"/>
      <c r="AH127" s="324"/>
      <c r="AI127" s="324"/>
      <c r="AJ127" s="324"/>
      <c r="AK127" s="324"/>
      <c r="AL127" s="324"/>
      <c r="AM127" s="324"/>
      <c r="AN127" s="324"/>
      <c r="AO127" s="324"/>
      <c r="AP127" s="324"/>
      <c r="AQ127" s="324"/>
      <c r="AR127" s="324"/>
      <c r="AS127" s="324"/>
      <c r="AT127" s="324"/>
      <c r="AU127" s="324"/>
      <c r="AV127" s="324"/>
      <c r="AW127" s="324"/>
      <c r="AX127" s="324"/>
      <c r="AY127" s="324"/>
      <c r="AZ127" s="324"/>
      <c r="BA127" s="324"/>
      <c r="BB127" s="324"/>
      <c r="BC127" s="324"/>
      <c r="BD127" s="324"/>
      <c r="BE127" s="324"/>
      <c r="BF127" s="324"/>
      <c r="BG127" s="324"/>
      <c r="BH127" s="324"/>
      <c r="BI127" s="324"/>
      <c r="BJ127" s="324"/>
      <c r="BK127" s="324"/>
      <c r="BL127" s="324"/>
      <c r="BM127" s="324"/>
      <c r="BN127" s="324"/>
      <c r="BO127" s="324"/>
      <c r="BP127" s="324"/>
      <c r="BQ127" s="324"/>
      <c r="BR127" s="324"/>
      <c r="BS127" s="324"/>
      <c r="BT127" s="324"/>
      <c r="BU127" s="324"/>
      <c r="BV127" s="324"/>
      <c r="BW127" s="324"/>
      <c r="BX127" s="324"/>
      <c r="BY127" s="324"/>
      <c r="BZ127" s="324"/>
      <c r="CA127" s="324"/>
      <c r="CB127" s="324"/>
      <c r="CC127" s="324"/>
      <c r="CD127" s="324"/>
      <c r="CE127" s="324"/>
      <c r="CF127" s="5"/>
      <c r="CG127" s="5"/>
      <c r="CH127" s="5"/>
    </row>
    <row r="128" spans="1:93" s="115" customFormat="1" outlineLevel="1">
      <c r="A128" s="3" t="s">
        <v>115</v>
      </c>
      <c r="B128" s="189" t="s">
        <v>116</v>
      </c>
      <c r="C128" s="196">
        <f t="shared" ref="C128:R128" si="192">Rev_Ticket</f>
        <v>0.84576600000000002</v>
      </c>
      <c r="D128" s="196">
        <f t="shared" si="192"/>
        <v>1.831855</v>
      </c>
      <c r="E128" s="196">
        <f t="shared" si="192"/>
        <v>5.6002409999999996</v>
      </c>
      <c r="F128" s="196">
        <f t="shared" si="192"/>
        <v>20.322986</v>
      </c>
      <c r="G128" s="196">
        <f t="shared" si="192"/>
        <v>63.005651</v>
      </c>
      <c r="H128" s="196">
        <f t="shared" si="192"/>
        <v>162.64500000000001</v>
      </c>
      <c r="I128" s="196">
        <f t="shared" si="192"/>
        <v>292.70119899999997</v>
      </c>
      <c r="J128" s="196">
        <f t="shared" si="192"/>
        <v>503.45338299999997</v>
      </c>
      <c r="K128" s="196">
        <f t="shared" si="192"/>
        <v>645.48944300000005</v>
      </c>
      <c r="L128" s="196">
        <f t="shared" si="192"/>
        <v>868.37918400000001</v>
      </c>
      <c r="M128" s="196">
        <f t="shared" si="192"/>
        <v>1206.9214790000001</v>
      </c>
      <c r="N128" s="539">
        <f t="shared" si="192"/>
        <v>1437.118164</v>
      </c>
      <c r="O128" s="539">
        <f t="shared" si="192"/>
        <v>1690.285903</v>
      </c>
      <c r="P128" s="539">
        <f t="shared" si="192"/>
        <v>2161.784259</v>
      </c>
      <c r="Q128" s="539">
        <f t="shared" si="192"/>
        <v>2950.0724840000003</v>
      </c>
      <c r="R128" s="539">
        <f t="shared" si="192"/>
        <v>4453.885749</v>
      </c>
      <c r="S128" s="559">
        <f>Rev_Ticket</f>
        <v>8826.5165710000001</v>
      </c>
      <c r="T128" s="559">
        <f>Rev_Ticket</f>
        <v>12221.029997</v>
      </c>
      <c r="U128" s="540">
        <f ca="1">U132*U136</f>
        <v>13487.128704689199</v>
      </c>
      <c r="V128" s="540">
        <f ca="1">V132*V136</f>
        <v>17418.626722106103</v>
      </c>
      <c r="W128" s="540">
        <f t="shared" ref="W128:AD128" ca="1" si="193">W132*W136</f>
        <v>22313.260831017913</v>
      </c>
      <c r="X128" s="540">
        <f t="shared" ca="1" si="193"/>
        <v>28114.708647082571</v>
      </c>
      <c r="Y128" s="540">
        <f t="shared" ca="1" si="193"/>
        <v>35129.32845452967</v>
      </c>
      <c r="Z128" s="540">
        <f t="shared" ca="1" si="193"/>
        <v>41659.870614226726</v>
      </c>
      <c r="AA128" s="540">
        <f t="shared" ca="1" si="193"/>
        <v>48985.758861738483</v>
      </c>
      <c r="AB128" s="540">
        <f t="shared" ca="1" si="193"/>
        <v>57107.597681014711</v>
      </c>
      <c r="AC128" s="540">
        <f t="shared" ca="1" si="193"/>
        <v>66002.106019832732</v>
      </c>
      <c r="AD128" s="540">
        <f t="shared" ca="1" si="193"/>
        <v>75618.612866922354</v>
      </c>
      <c r="AE128" s="541"/>
      <c r="AF128" s="196">
        <f t="shared" ref="AF128:BW128" si="194">Rev_Ticket</f>
        <v>94.616770000000002</v>
      </c>
      <c r="AG128" s="196">
        <f t="shared" si="194"/>
        <v>116.940167</v>
      </c>
      <c r="AH128" s="196">
        <f t="shared" si="194"/>
        <v>137.659009</v>
      </c>
      <c r="AI128" s="196">
        <f t="shared" si="194"/>
        <v>154.237437</v>
      </c>
      <c r="AJ128" s="196">
        <f t="shared" si="194"/>
        <v>158.54146399999999</v>
      </c>
      <c r="AK128" s="196">
        <f t="shared" si="194"/>
        <v>168.818839</v>
      </c>
      <c r="AL128" s="196">
        <f t="shared" si="194"/>
        <v>166.42080000000001</v>
      </c>
      <c r="AM128" s="196">
        <f t="shared" si="194"/>
        <v>165.617198</v>
      </c>
      <c r="AN128" s="196">
        <f t="shared" si="194"/>
        <v>184.08881500000001</v>
      </c>
      <c r="AO128" s="196">
        <f t="shared" si="194"/>
        <v>216.24225999999999</v>
      </c>
      <c r="AP128" s="196">
        <f t="shared" si="194"/>
        <v>231.99316899999999</v>
      </c>
      <c r="AQ128" s="196">
        <f t="shared" si="194"/>
        <v>236.05493999999999</v>
      </c>
      <c r="AR128" s="196">
        <f t="shared" si="194"/>
        <v>264.723073</v>
      </c>
      <c r="AS128" s="196">
        <f t="shared" si="194"/>
        <v>307.23369200000002</v>
      </c>
      <c r="AT128" s="196">
        <f t="shared" si="194"/>
        <v>315.23610200000002</v>
      </c>
      <c r="AU128" s="196">
        <f t="shared" si="194"/>
        <v>319.728612</v>
      </c>
      <c r="AV128" s="196">
        <f t="shared" si="194"/>
        <v>326.47492299999999</v>
      </c>
      <c r="AW128" s="196">
        <f t="shared" si="194"/>
        <v>347.33914099999998</v>
      </c>
      <c r="AX128" s="196">
        <f t="shared" si="194"/>
        <v>385.06822299999999</v>
      </c>
      <c r="AY128" s="196">
        <f t="shared" si="194"/>
        <v>378.23587700000002</v>
      </c>
      <c r="AZ128" s="196">
        <f t="shared" si="194"/>
        <v>360.46341999999999</v>
      </c>
      <c r="BA128" s="196">
        <f t="shared" si="194"/>
        <v>404.26826599999998</v>
      </c>
      <c r="BB128" s="196">
        <f t="shared" si="194"/>
        <v>478.36794200000003</v>
      </c>
      <c r="BC128" s="196">
        <f t="shared" si="194"/>
        <v>447.18631499999998</v>
      </c>
      <c r="BD128" s="196">
        <f t="shared" si="194"/>
        <v>456.50252399999999</v>
      </c>
      <c r="BE128" s="196">
        <f t="shared" si="194"/>
        <v>522.01377100000002</v>
      </c>
      <c r="BF128" s="196">
        <f t="shared" si="194"/>
        <v>604.27234399999998</v>
      </c>
      <c r="BG128" s="196">
        <f t="shared" si="194"/>
        <v>578.99562000000003</v>
      </c>
      <c r="BH128" s="539">
        <f t="shared" si="194"/>
        <v>651.065201</v>
      </c>
      <c r="BI128" s="539">
        <f t="shared" si="194"/>
        <v>725.513462</v>
      </c>
      <c r="BJ128" s="539">
        <f t="shared" si="194"/>
        <v>799.79692699999998</v>
      </c>
      <c r="BK128" s="539">
        <f t="shared" si="194"/>
        <v>773.69689400000004</v>
      </c>
      <c r="BL128" s="539">
        <f t="shared" si="194"/>
        <v>947.90779099999997</v>
      </c>
      <c r="BM128" s="539">
        <f t="shared" si="194"/>
        <v>1052.5506640000001</v>
      </c>
      <c r="BN128" s="539">
        <f t="shared" si="194"/>
        <v>1208.9885750000001</v>
      </c>
      <c r="BO128" s="539">
        <f t="shared" si="194"/>
        <v>1244.438719</v>
      </c>
      <c r="BP128" s="539">
        <f t="shared" si="194"/>
        <v>1949.0031260000001</v>
      </c>
      <c r="BQ128" s="539">
        <f t="shared" si="194"/>
        <v>2003.4267950000001</v>
      </c>
      <c r="BR128" s="539">
        <f t="shared" si="194"/>
        <v>2427.736429</v>
      </c>
      <c r="BS128" s="539">
        <f t="shared" si="194"/>
        <v>2446.3502210000001</v>
      </c>
      <c r="BT128" s="539">
        <f t="shared" si="194"/>
        <v>2875.3753459999998</v>
      </c>
      <c r="BU128" s="539">
        <f t="shared" si="194"/>
        <v>2992.3303559999999</v>
      </c>
      <c r="BV128" s="539">
        <f t="shared" si="194"/>
        <v>3428.1946090000001</v>
      </c>
      <c r="BW128" s="539">
        <f t="shared" si="194"/>
        <v>2925.1296860000002</v>
      </c>
      <c r="BX128" s="543">
        <f t="shared" ref="BX128:CE128" ca="1" si="195">BX132*BX136</f>
        <v>2876.3817273710997</v>
      </c>
      <c r="BY128" s="543">
        <f t="shared" ca="1" si="195"/>
        <v>3077.6117711459997</v>
      </c>
      <c r="BZ128" s="543">
        <f t="shared" ca="1" si="195"/>
        <v>3887.5726866059999</v>
      </c>
      <c r="CA128" s="543">
        <f t="shared" ca="1" si="195"/>
        <v>3645.5625195660996</v>
      </c>
      <c r="CB128" s="543">
        <f t="shared" ca="1" si="195"/>
        <v>4038.4399452290245</v>
      </c>
      <c r="CC128" s="543">
        <f t="shared" ca="1" si="195"/>
        <v>4200.9400676142905</v>
      </c>
      <c r="CD128" s="543">
        <f t="shared" ca="1" si="195"/>
        <v>4805.0398406450158</v>
      </c>
      <c r="CE128" s="543">
        <f t="shared" ca="1" si="195"/>
        <v>4374.2068686177736</v>
      </c>
      <c r="CF128" s="195"/>
      <c r="CG128" s="5"/>
      <c r="CH128" s="5"/>
      <c r="CI128" s="198"/>
      <c r="CJ128"/>
      <c r="CK128"/>
      <c r="CL128"/>
      <c r="CM128"/>
      <c r="CN128"/>
      <c r="CO128"/>
    </row>
    <row r="129" spans="1:86" outlineLevel="1">
      <c r="B129" s="12" t="s">
        <v>82</v>
      </c>
      <c r="C129" s="5"/>
      <c r="D129" s="5"/>
      <c r="E129" s="5"/>
      <c r="F129" s="5"/>
      <c r="G129" s="5"/>
      <c r="H129" s="126"/>
      <c r="I129" s="323">
        <f>(I128/H128-1)*1</f>
        <v>0.79963232192812539</v>
      </c>
      <c r="J129" s="323">
        <f>(J128/I128-1)*1</f>
        <v>0.72002501089857174</v>
      </c>
      <c r="K129" s="323">
        <f>(K128/J128-1)*1</f>
        <v>0.28212355859767868</v>
      </c>
      <c r="L129" s="323">
        <f>(L128/K128-1)*1</f>
        <v>0.34530346455255656</v>
      </c>
      <c r="M129" s="323">
        <f>(M128/L128-1)*1</f>
        <v>0.38985537797046055</v>
      </c>
      <c r="N129" s="41">
        <f>(N128/M128-1)</f>
        <v>0.190730456790553</v>
      </c>
      <c r="O129" s="41">
        <f t="shared" ref="O129:AD129" si="196">(O128/N128-1)</f>
        <v>0.17616348143241467</v>
      </c>
      <c r="P129" s="41">
        <f t="shared" si="196"/>
        <v>0.27894591983708938</v>
      </c>
      <c r="Q129" s="41">
        <f t="shared" si="196"/>
        <v>0.3646470371491406</v>
      </c>
      <c r="R129" s="41">
        <f t="shared" si="196"/>
        <v>0.50975468337001018</v>
      </c>
      <c r="S129" s="41">
        <f t="shared" si="196"/>
        <v>0.98175639619443689</v>
      </c>
      <c r="T129" s="323">
        <f t="shared" si="196"/>
        <v>0.38458132363936848</v>
      </c>
      <c r="U129" s="41">
        <f t="shared" ca="1" si="196"/>
        <v>0.10359999999999991</v>
      </c>
      <c r="V129" s="41">
        <f t="shared" ca="1" si="196"/>
        <v>0.29150000000000009</v>
      </c>
      <c r="W129" s="41">
        <f t="shared" ca="1" si="196"/>
        <v>0.28099999999999969</v>
      </c>
      <c r="X129" s="41">
        <f t="shared" ca="1" si="196"/>
        <v>0.26</v>
      </c>
      <c r="Y129" s="41">
        <f t="shared" ca="1" si="196"/>
        <v>0.24949999999999983</v>
      </c>
      <c r="Z129" s="41">
        <f t="shared" ca="1" si="196"/>
        <v>0.18589999999999973</v>
      </c>
      <c r="AA129" s="41">
        <f t="shared" ca="1" si="196"/>
        <v>0.17584999999999962</v>
      </c>
      <c r="AB129" s="41">
        <f t="shared" ca="1" si="196"/>
        <v>0.16579999999999973</v>
      </c>
      <c r="AC129" s="323">
        <f t="shared" ca="1" si="196"/>
        <v>0.15574999999999961</v>
      </c>
      <c r="AD129" s="323">
        <f t="shared" ca="1" si="196"/>
        <v>0.14569999999999994</v>
      </c>
      <c r="AE129" s="328"/>
      <c r="AF129" s="126"/>
      <c r="AG129" s="126"/>
      <c r="AH129" s="126"/>
      <c r="AI129" s="126"/>
      <c r="AJ129" s="323">
        <f t="shared" ref="AJ129:BA129" si="197">(AJ128/AF128-1)</f>
        <v>0.67561695458426652</v>
      </c>
      <c r="AK129" s="323">
        <f t="shared" si="197"/>
        <v>0.44363432455163165</v>
      </c>
      <c r="AL129" s="323">
        <f t="shared" si="197"/>
        <v>0.20893504325605039</v>
      </c>
      <c r="AM129" s="323">
        <f t="shared" si="197"/>
        <v>7.3780796811347527E-2</v>
      </c>
      <c r="AN129" s="323">
        <f t="shared" si="197"/>
        <v>0.16113987063977175</v>
      </c>
      <c r="AO129" s="323">
        <f t="shared" si="197"/>
        <v>0.28091308577237628</v>
      </c>
      <c r="AP129" s="323">
        <f t="shared" si="197"/>
        <v>0.39401546561487488</v>
      </c>
      <c r="AQ129" s="323">
        <f t="shared" si="197"/>
        <v>0.42530451457100482</v>
      </c>
      <c r="AR129" s="323">
        <f t="shared" si="197"/>
        <v>0.43801823592595768</v>
      </c>
      <c r="AS129" s="323">
        <f t="shared" si="197"/>
        <v>0.42078468843231676</v>
      </c>
      <c r="AT129" s="323">
        <f t="shared" si="197"/>
        <v>0.35881631066473352</v>
      </c>
      <c r="AU129" s="323">
        <f t="shared" si="197"/>
        <v>0.35446693892531966</v>
      </c>
      <c r="AV129" s="323">
        <f t="shared" si="197"/>
        <v>0.2332696175674871</v>
      </c>
      <c r="AW129" s="323">
        <f t="shared" si="197"/>
        <v>0.13053727518920666</v>
      </c>
      <c r="AX129" s="323">
        <f t="shared" si="197"/>
        <v>0.22152323467062773</v>
      </c>
      <c r="AY129" s="323">
        <f t="shared" si="197"/>
        <v>0.18299039499161251</v>
      </c>
      <c r="AZ129" s="323">
        <f t="shared" si="197"/>
        <v>0.1041075274256209</v>
      </c>
      <c r="BA129" s="323">
        <f t="shared" si="197"/>
        <v>0.16390069036302468</v>
      </c>
      <c r="BB129" s="41">
        <f t="shared" ref="BB129:CA129" si="198">(BB128/AX128-1)</f>
        <v>0.24229399734186852</v>
      </c>
      <c r="BC129" s="41">
        <f t="shared" si="198"/>
        <v>0.18229481176371842</v>
      </c>
      <c r="BD129" s="41">
        <f t="shared" si="198"/>
        <v>0.26643231648859134</v>
      </c>
      <c r="BE129" s="41">
        <f t="shared" si="198"/>
        <v>0.29125586869586262</v>
      </c>
      <c r="BF129" s="41">
        <f t="shared" si="198"/>
        <v>0.26319573480114178</v>
      </c>
      <c r="BG129" s="41">
        <f t="shared" si="198"/>
        <v>0.29475254626251268</v>
      </c>
      <c r="BH129" s="41">
        <f t="shared" si="198"/>
        <v>0.42620285052356022</v>
      </c>
      <c r="BI129" s="41">
        <f t="shared" si="198"/>
        <v>0.38983586699286521</v>
      </c>
      <c r="BJ129" s="41">
        <f t="shared" si="198"/>
        <v>0.32357029895778244</v>
      </c>
      <c r="BK129" s="41">
        <f t="shared" si="198"/>
        <v>0.33627417423295869</v>
      </c>
      <c r="BL129" s="41">
        <f t="shared" si="198"/>
        <v>0.45593373681171445</v>
      </c>
      <c r="BM129" s="41">
        <f t="shared" si="198"/>
        <v>0.4507665524199469</v>
      </c>
      <c r="BN129" s="41">
        <f t="shared" si="198"/>
        <v>0.51161943011566491</v>
      </c>
      <c r="BO129" s="41">
        <f t="shared" si="198"/>
        <v>0.60843184023432295</v>
      </c>
      <c r="BP129" s="41">
        <f t="shared" si="198"/>
        <v>1.0561104619088422</v>
      </c>
      <c r="BQ129" s="41">
        <f t="shared" si="198"/>
        <v>0.90340176822120166</v>
      </c>
      <c r="BR129" s="41">
        <f t="shared" si="198"/>
        <v>1.0080722673495899</v>
      </c>
      <c r="BS129" s="41">
        <f t="shared" si="198"/>
        <v>0.96582618625513872</v>
      </c>
      <c r="BT129" s="41">
        <f t="shared" si="198"/>
        <v>0.47530566146459829</v>
      </c>
      <c r="BU129" s="41">
        <f t="shared" si="198"/>
        <v>0.49360603714996221</v>
      </c>
      <c r="BV129" s="41">
        <f t="shared" si="198"/>
        <v>0.41209505613922648</v>
      </c>
      <c r="BW129" s="323">
        <f t="shared" si="198"/>
        <v>0.19571174269736757</v>
      </c>
      <c r="BX129" s="323">
        <f t="shared" ca="1" si="198"/>
        <v>3.5000000000007248E-4</v>
      </c>
      <c r="BY129" s="323">
        <f t="shared" ca="1" si="198"/>
        <v>2.849999999999997E-2</v>
      </c>
      <c r="BZ129" s="323">
        <f t="shared" ca="1" si="198"/>
        <v>0.1339999999999999</v>
      </c>
      <c r="CA129" s="323">
        <f t="shared" ca="1" si="198"/>
        <v>0.24629090361845218</v>
      </c>
      <c r="CB129" s="323">
        <f ca="1">(CB128/BX128-1)</f>
        <v>0.40400000000000014</v>
      </c>
      <c r="CC129" s="323">
        <f ca="1">(CC128/BY128-1)</f>
        <v>0.36500000000000021</v>
      </c>
      <c r="CD129" s="323">
        <f ca="1">(CD128/BZ128-1)</f>
        <v>0.23599999999999999</v>
      </c>
      <c r="CE129" s="323">
        <f ca="1">(CE128/CA128-1)</f>
        <v>0.19987158227049107</v>
      </c>
      <c r="CF129" s="62"/>
      <c r="CG129" s="5"/>
      <c r="CH129" s="5"/>
    </row>
    <row r="130" spans="1:86" outlineLevel="1">
      <c r="B130" s="12" t="s">
        <v>83</v>
      </c>
      <c r="C130" s="5"/>
      <c r="D130" s="5"/>
      <c r="E130" s="5"/>
      <c r="F130" s="5"/>
      <c r="G130" s="5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  <c r="T130" s="324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330"/>
      <c r="AF130" s="126"/>
      <c r="AG130" s="323">
        <f>(AG128/AF128-1)</f>
        <v>0.23593488765257997</v>
      </c>
      <c r="AH130" s="323">
        <f t="shared" ref="AH130:AZ130" si="199">(AH128/AG128-1)</f>
        <v>0.17717472560134095</v>
      </c>
      <c r="AI130" s="323">
        <f t="shared" si="199"/>
        <v>0.12043111540923568</v>
      </c>
      <c r="AJ130" s="323">
        <f t="shared" si="199"/>
        <v>2.7905203066879158E-2</v>
      </c>
      <c r="AK130" s="323">
        <f>(AK128/AJ128-1)</f>
        <v>6.482452439066666E-2</v>
      </c>
      <c r="AL130" s="323">
        <f t="shared" si="199"/>
        <v>-1.4204806846231044E-2</v>
      </c>
      <c r="AM130" s="323">
        <f t="shared" si="199"/>
        <v>-4.8287353503889685E-3</v>
      </c>
      <c r="AN130" s="323">
        <f>(AN128/AM128-1)</f>
        <v>0.11153199802353875</v>
      </c>
      <c r="AO130" s="323">
        <f t="shared" si="199"/>
        <v>0.17466267573073346</v>
      </c>
      <c r="AP130" s="323">
        <f t="shared" si="199"/>
        <v>7.2839180463615261E-2</v>
      </c>
      <c r="AQ130" s="323">
        <f>(AQ128/AP128-1)</f>
        <v>1.7508149130028849E-2</v>
      </c>
      <c r="AR130" s="323">
        <f t="shared" si="199"/>
        <v>0.12144686741145949</v>
      </c>
      <c r="AS130" s="323">
        <f t="shared" si="199"/>
        <v>0.16058524297955712</v>
      </c>
      <c r="AT130" s="323">
        <f t="shared" si="199"/>
        <v>2.6046655065421698E-2</v>
      </c>
      <c r="AU130" s="323">
        <f>(AU128/AT128-1)</f>
        <v>1.4251254762692067E-2</v>
      </c>
      <c r="AV130" s="323">
        <f t="shared" si="199"/>
        <v>2.1100116620154097E-2</v>
      </c>
      <c r="AW130" s="323">
        <f t="shared" si="199"/>
        <v>6.3907566952699835E-2</v>
      </c>
      <c r="AX130" s="323">
        <f t="shared" si="199"/>
        <v>0.10862317990243442</v>
      </c>
      <c r="AY130" s="323">
        <f>(AY128/AX128-1)</f>
        <v>-1.7743209104013724E-2</v>
      </c>
      <c r="AZ130" s="323">
        <f t="shared" si="199"/>
        <v>-4.6987761026170527E-2</v>
      </c>
      <c r="BA130" s="41">
        <f t="shared" ref="BA130:CA130" si="200">(BA128/AZ128-1)</f>
        <v>0.12152369302826904</v>
      </c>
      <c r="BB130" s="41">
        <f t="shared" si="200"/>
        <v>0.18329332829700773</v>
      </c>
      <c r="BC130" s="41">
        <f t="shared" si="200"/>
        <v>-6.5183354197259402E-2</v>
      </c>
      <c r="BD130" s="41">
        <f t="shared" si="200"/>
        <v>2.0832947448313544E-2</v>
      </c>
      <c r="BE130" s="41">
        <f t="shared" si="200"/>
        <v>0.14350686700693904</v>
      </c>
      <c r="BF130" s="41">
        <f t="shared" si="200"/>
        <v>0.15757931604451869</v>
      </c>
      <c r="BG130" s="41">
        <f t="shared" si="200"/>
        <v>-4.1830019611157176E-2</v>
      </c>
      <c r="BH130" s="41">
        <f t="shared" si="200"/>
        <v>0.12447344765751422</v>
      </c>
      <c r="BI130" s="41">
        <f t="shared" si="200"/>
        <v>0.11434839534604468</v>
      </c>
      <c r="BJ130" s="41">
        <f t="shared" si="200"/>
        <v>0.1023874385393555</v>
      </c>
      <c r="BK130" s="41">
        <f t="shared" si="200"/>
        <v>-3.2633324933992847E-2</v>
      </c>
      <c r="BL130" s="41">
        <f t="shared" si="200"/>
        <v>0.22516685584626361</v>
      </c>
      <c r="BM130" s="41">
        <f t="shared" si="200"/>
        <v>0.11039351505868167</v>
      </c>
      <c r="BN130" s="41">
        <f t="shared" si="200"/>
        <v>0.14862744032243569</v>
      </c>
      <c r="BO130" s="41">
        <f t="shared" si="200"/>
        <v>2.9322149715103718E-2</v>
      </c>
      <c r="BP130" s="41">
        <f t="shared" si="200"/>
        <v>0.56617043189251648</v>
      </c>
      <c r="BQ130" s="41">
        <f t="shared" si="200"/>
        <v>2.7923849004642287E-2</v>
      </c>
      <c r="BR130" s="41">
        <f t="shared" si="200"/>
        <v>0.21179193323108159</v>
      </c>
      <c r="BS130" s="41">
        <f t="shared" si="200"/>
        <v>7.6671387295808024E-3</v>
      </c>
      <c r="BT130" s="41">
        <f t="shared" si="200"/>
        <v>0.17537355089927642</v>
      </c>
      <c r="BU130" s="41">
        <f t="shared" si="200"/>
        <v>4.0674693188386346E-2</v>
      </c>
      <c r="BV130" s="41">
        <f t="shared" si="200"/>
        <v>0.14566047232252854</v>
      </c>
      <c r="BW130" s="323">
        <f t="shared" si="200"/>
        <v>-0.14674339714533979</v>
      </c>
      <c r="BX130" s="323">
        <f t="shared" ca="1" si="200"/>
        <v>-1.6665229874153531E-2</v>
      </c>
      <c r="BY130" s="323">
        <f t="shared" ca="1" si="200"/>
        <v>6.9959436141605602E-2</v>
      </c>
      <c r="BZ130" s="323">
        <f t="shared" ca="1" si="200"/>
        <v>0.26317839145721678</v>
      </c>
      <c r="CA130" s="323">
        <f t="shared" ca="1" si="200"/>
        <v>-6.225225521151212E-2</v>
      </c>
      <c r="CB130" s="323">
        <f ca="1">(CB128/CA128-1)</f>
        <v>0.1077686704189853</v>
      </c>
      <c r="CC130" s="323">
        <f ca="1">(CC128/CB128-1)</f>
        <v>4.0238340693227848E-2</v>
      </c>
      <c r="CD130" s="323">
        <f ca="1">(CD128/CC128-1)</f>
        <v>0.14380109292389709</v>
      </c>
      <c r="CE130" s="323">
        <f ca="1">(CE128/CD128-1)</f>
        <v>-8.9662726286450223E-2</v>
      </c>
      <c r="CF130" s="62"/>
      <c r="CG130" s="5"/>
      <c r="CH130" s="5"/>
    </row>
    <row r="131" spans="1:86" outlineLevel="1">
      <c r="C131" s="6"/>
      <c r="D131" s="6"/>
      <c r="E131" s="6"/>
      <c r="F131" s="6"/>
      <c r="G131" s="10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330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5"/>
      <c r="CG131" s="5"/>
      <c r="CH131" s="5"/>
    </row>
    <row r="132" spans="1:86" outlineLevel="1">
      <c r="A132" s="3" t="s">
        <v>127</v>
      </c>
      <c r="B132" s="13" t="s">
        <v>161</v>
      </c>
      <c r="C132" s="6"/>
      <c r="D132" s="6"/>
      <c r="E132" s="6"/>
      <c r="F132" s="6"/>
      <c r="G132" s="6"/>
      <c r="H132" s="10">
        <v>3.67</v>
      </c>
      <c r="I132" s="10">
        <v>6.39</v>
      </c>
      <c r="J132" s="10">
        <v>10.694000000000001</v>
      </c>
      <c r="K132" s="10">
        <v>15.32286445195971</v>
      </c>
      <c r="L132" s="10">
        <v>21.378946685013027</v>
      </c>
      <c r="M132" s="10">
        <v>27.351010174365378</v>
      </c>
      <c r="N132" s="10">
        <v>32.523974231774233</v>
      </c>
      <c r="O132" s="10">
        <v>38.703529335811339</v>
      </c>
      <c r="P132" s="10">
        <v>51.27161051476098</v>
      </c>
      <c r="Q132" s="10">
        <v>97.331602148554836</v>
      </c>
      <c r="R132" s="209">
        <v>219.42208479853596</v>
      </c>
      <c r="S132" s="561">
        <f>SUM(BP132:BS132)</f>
        <v>498</v>
      </c>
      <c r="T132" s="561">
        <f>SUM(BT132:BW132)</f>
        <v>703.35801550833332</v>
      </c>
      <c r="U132" s="534">
        <f t="shared" ref="U132:AD132" ca="1" si="201">+VLOOKUP($A132,INDIRECT($T$2),MATCH(U$4,Period_A_CTRP,FALSE),FALSE)</f>
        <v>872.16393923033331</v>
      </c>
      <c r="V132" s="534">
        <f t="shared" ca="1" si="201"/>
        <v>1072.76164525331</v>
      </c>
      <c r="W132" s="534">
        <f t="shared" ca="1" si="201"/>
        <v>1308.7692072090381</v>
      </c>
      <c r="X132" s="534">
        <f t="shared" ca="1" si="201"/>
        <v>1570.5230486508456</v>
      </c>
      <c r="Y132" s="534">
        <f t="shared" ca="1" si="201"/>
        <v>1868.9224278945062</v>
      </c>
      <c r="Z132" s="534">
        <f t="shared" ca="1" si="201"/>
        <v>2205.3284649155171</v>
      </c>
      <c r="AA132" s="534">
        <f t="shared" ca="1" si="201"/>
        <v>2580.2343039511547</v>
      </c>
      <c r="AB132" s="534">
        <f t="shared" ca="1" si="201"/>
        <v>2993.0717925833392</v>
      </c>
      <c r="AC132" s="534">
        <f t="shared" ca="1" si="201"/>
        <v>3442.0325614708399</v>
      </c>
      <c r="AD132" s="534">
        <f t="shared" ca="1" si="201"/>
        <v>3923.9171200767573</v>
      </c>
      <c r="AE132" s="542"/>
      <c r="AF132" s="48">
        <v>2.2200000000000002</v>
      </c>
      <c r="AG132" s="48">
        <v>2.5499999999999998</v>
      </c>
      <c r="AH132" s="48">
        <v>2.91</v>
      </c>
      <c r="AI132" s="48">
        <v>3.0139999999999998</v>
      </c>
      <c r="AJ132" s="48">
        <v>3.3025568384879729</v>
      </c>
      <c r="AK132" s="48">
        <v>3.7838676134717359</v>
      </c>
      <c r="AL132" s="48">
        <v>3.9867000000000004</v>
      </c>
      <c r="AM132" s="48">
        <v>4.2497400000000001</v>
      </c>
      <c r="AN132" s="48">
        <v>4.6235795738831618</v>
      </c>
      <c r="AO132" s="48">
        <v>5.3730920111298648</v>
      </c>
      <c r="AP132" s="48">
        <v>5.5813800000000002</v>
      </c>
      <c r="AQ132" s="48">
        <v>5.8008951</v>
      </c>
      <c r="AR132" s="48">
        <v>6.0568892417869424</v>
      </c>
      <c r="AS132" s="48">
        <v>6.5551722535784345</v>
      </c>
      <c r="AT132" s="48">
        <v>7.2557940000000007</v>
      </c>
      <c r="AU132" s="48">
        <v>7.4831546790000001</v>
      </c>
      <c r="AV132" s="48">
        <v>7.2682670901443318</v>
      </c>
      <c r="AW132" s="48">
        <v>7.931758426829906</v>
      </c>
      <c r="AX132" s="48">
        <v>8.3441630999999994</v>
      </c>
      <c r="AY132" s="48">
        <v>8.979785614799999</v>
      </c>
      <c r="AZ132" s="48">
        <v>8.5038724954688671</v>
      </c>
      <c r="BA132" s="48">
        <v>9.2008397751226916</v>
      </c>
      <c r="BB132" s="48">
        <v>10.430203875</v>
      </c>
      <c r="BC132" s="48">
        <v>10.568613190219782</v>
      </c>
      <c r="BD132" s="48">
        <v>10.799918069245463</v>
      </c>
      <c r="BE132" s="48">
        <v>12.329125298664406</v>
      </c>
      <c r="BF132" s="48">
        <v>13.663567076249999</v>
      </c>
      <c r="BG132" s="48">
        <v>14.479000070601103</v>
      </c>
      <c r="BH132" s="48">
        <v>18.467859898409742</v>
      </c>
      <c r="BI132" s="48">
        <v>22.562299296555867</v>
      </c>
      <c r="BJ132" s="48">
        <v>27.053862810974998</v>
      </c>
      <c r="BK132" s="48">
        <v>29.247580142614229</v>
      </c>
      <c r="BL132" s="48">
        <v>37.674434192755868</v>
      </c>
      <c r="BM132" s="342">
        <f>BI132*(1+BM133)</f>
        <v>46.478336550905091</v>
      </c>
      <c r="BN132" s="342">
        <f>BJ132*(1+BN133)</f>
        <v>67.634657027437498</v>
      </c>
      <c r="BO132" s="408">
        <f>R132-SUM(BL132:BN132)</f>
        <v>67.634657027437498</v>
      </c>
      <c r="BP132" s="204">
        <v>110</v>
      </c>
      <c r="BQ132" s="204">
        <v>115</v>
      </c>
      <c r="BR132" s="204">
        <v>140</v>
      </c>
      <c r="BS132" s="204">
        <v>133</v>
      </c>
      <c r="BT132" s="204">
        <v>158.4</v>
      </c>
      <c r="BU132" s="607">
        <f>BU128/BU136</f>
        <v>166.24057533333334</v>
      </c>
      <c r="BV132" s="607">
        <f>BV128/BV136</f>
        <v>195.89683479999999</v>
      </c>
      <c r="BW132" s="607">
        <f>BW128/BW136</f>
        <v>182.82060537500001</v>
      </c>
      <c r="BX132" s="538">
        <f t="shared" ref="BX132:CE132" ca="1" si="202">+VLOOKUP($A132,INDIRECT($T$2),MATCH(BX$4,Period_A_CTRP,FALSE),FALSE)</f>
        <v>185.328</v>
      </c>
      <c r="BY132" s="538">
        <f t="shared" ca="1" si="202"/>
        <v>201.15109615333333</v>
      </c>
      <c r="BZ132" s="538">
        <f t="shared" ca="1" si="202"/>
        <v>246.830011848</v>
      </c>
      <c r="CA132" s="538">
        <f t="shared" ca="1" si="202"/>
        <v>238.85483122899996</v>
      </c>
      <c r="CB132" s="538">
        <f t="shared" ca="1" si="202"/>
        <v>250.19280000000003</v>
      </c>
      <c r="CC132" s="538">
        <f t="shared" ca="1" si="202"/>
        <v>261.49642499933333</v>
      </c>
      <c r="CD132" s="538">
        <f t="shared" ca="1" si="202"/>
        <v>296.19601421760001</v>
      </c>
      <c r="CE132" s="538">
        <f t="shared" ca="1" si="202"/>
        <v>264.87640603637669</v>
      </c>
      <c r="CF132" s="62"/>
      <c r="CG132" s="5"/>
      <c r="CH132" s="5"/>
    </row>
    <row r="133" spans="1:86" outlineLevel="1">
      <c r="A133" s="3" t="s">
        <v>497</v>
      </c>
      <c r="B133" s="12" t="s">
        <v>82</v>
      </c>
      <c r="C133" s="6"/>
      <c r="D133" s="6"/>
      <c r="E133" s="6"/>
      <c r="F133" s="6"/>
      <c r="G133" s="6"/>
      <c r="H133" s="6"/>
      <c r="I133" s="126"/>
      <c r="J133" s="126">
        <f>(J132/I132-1)*1</f>
        <v>0.67355242566510198</v>
      </c>
      <c r="K133" s="126">
        <f>(K132/J132-1)*1</f>
        <v>0.43284687226105367</v>
      </c>
      <c r="L133" s="126">
        <f>(L132/K132-1)*1</f>
        <v>0.39523173046660842</v>
      </c>
      <c r="M133" s="126">
        <f>(M132/L132-1)*1</f>
        <v>0.27934320513268607</v>
      </c>
      <c r="N133" s="41">
        <f>(N132/M132-1)</f>
        <v>0.18913246803063943</v>
      </c>
      <c r="O133" s="41">
        <f t="shared" ref="O133:AD133" si="203">(O132/N132-1)</f>
        <v>0.19000000000000017</v>
      </c>
      <c r="P133" s="41">
        <f t="shared" si="203"/>
        <v>0.32472700538244537</v>
      </c>
      <c r="Q133" s="41">
        <f t="shared" si="203"/>
        <v>0.89835273695046669</v>
      </c>
      <c r="R133" s="41">
        <f t="shared" si="203"/>
        <v>1.2543765843249699</v>
      </c>
      <c r="S133" s="41">
        <f t="shared" si="203"/>
        <v>1.2695983426519826</v>
      </c>
      <c r="T133" s="323">
        <f t="shared" si="203"/>
        <v>0.41236549298862113</v>
      </c>
      <c r="U133" s="41">
        <f t="shared" ca="1" si="203"/>
        <v>0.24</v>
      </c>
      <c r="V133" s="41">
        <f t="shared" ca="1" si="203"/>
        <v>0.22999999999999998</v>
      </c>
      <c r="W133" s="41">
        <f t="shared" ca="1" si="203"/>
        <v>0.21999999999999997</v>
      </c>
      <c r="X133" s="41">
        <f t="shared" ca="1" si="203"/>
        <v>0.19999999999999996</v>
      </c>
      <c r="Y133" s="41">
        <f t="shared" ca="1" si="203"/>
        <v>0.18999999999999995</v>
      </c>
      <c r="Z133" s="41">
        <f t="shared" ca="1" si="203"/>
        <v>0.17999999999999994</v>
      </c>
      <c r="AA133" s="41">
        <f t="shared" ca="1" si="203"/>
        <v>0.16999999999999993</v>
      </c>
      <c r="AB133" s="41">
        <f t="shared" ca="1" si="203"/>
        <v>0.15999999999999992</v>
      </c>
      <c r="AC133" s="323">
        <f t="shared" ca="1" si="203"/>
        <v>0.14999999999999991</v>
      </c>
      <c r="AD133" s="323">
        <f t="shared" ca="1" si="203"/>
        <v>0.1399999999999999</v>
      </c>
      <c r="AE133" s="328"/>
      <c r="AF133" s="126"/>
      <c r="AG133" s="126"/>
      <c r="AH133" s="126"/>
      <c r="AI133" s="126"/>
      <c r="AJ133" s="323">
        <f>(AJ132/AF132-1)</f>
        <v>0.48763821553512288</v>
      </c>
      <c r="AK133" s="323">
        <f t="shared" ref="AK133:AQ133" si="204">(AK132/AG132-1)</f>
        <v>0.4838696523418573</v>
      </c>
      <c r="AL133" s="323">
        <f t="shared" si="204"/>
        <v>0.37000000000000011</v>
      </c>
      <c r="AM133" s="323">
        <f t="shared" si="204"/>
        <v>0.41000000000000014</v>
      </c>
      <c r="AN133" s="323">
        <f t="shared" si="204"/>
        <v>0.39999999999999991</v>
      </c>
      <c r="AO133" s="323">
        <f t="shared" si="204"/>
        <v>0.41999999999999993</v>
      </c>
      <c r="AP133" s="323">
        <f t="shared" si="204"/>
        <v>0.39999999999999991</v>
      </c>
      <c r="AQ133" s="323">
        <f t="shared" si="204"/>
        <v>0.36499999999999999</v>
      </c>
      <c r="AR133" s="323">
        <f t="shared" ref="AR133:AZ133" si="205">(AR132/AN132-1)</f>
        <v>0.31000000000000005</v>
      </c>
      <c r="AS133" s="323">
        <f t="shared" si="205"/>
        <v>0.21999999999999997</v>
      </c>
      <c r="AT133" s="323">
        <f t="shared" si="205"/>
        <v>0.30000000000000004</v>
      </c>
      <c r="AU133" s="323">
        <f t="shared" si="205"/>
        <v>0.29000000000000004</v>
      </c>
      <c r="AV133" s="323">
        <f t="shared" si="205"/>
        <v>0.20000000000000018</v>
      </c>
      <c r="AW133" s="323">
        <f t="shared" si="205"/>
        <v>0.20999999999999996</v>
      </c>
      <c r="AX133" s="323">
        <f t="shared" si="205"/>
        <v>0.14999999999999969</v>
      </c>
      <c r="AY133" s="323">
        <f t="shared" si="205"/>
        <v>0.19999999999999996</v>
      </c>
      <c r="AZ133" s="41">
        <f t="shared" si="205"/>
        <v>0.16999999999999993</v>
      </c>
      <c r="BA133" s="41">
        <f t="shared" ref="BA133:CA133" si="206">(BA132/AW132-1)</f>
        <v>0.16000000000000014</v>
      </c>
      <c r="BB133" s="41">
        <f t="shared" si="206"/>
        <v>0.25</v>
      </c>
      <c r="BC133" s="41">
        <f t="shared" si="206"/>
        <v>0.17693379815228139</v>
      </c>
      <c r="BD133" s="41">
        <f t="shared" si="206"/>
        <v>0.27000000000000024</v>
      </c>
      <c r="BE133" s="41">
        <f t="shared" si="206"/>
        <v>0.34000000000000008</v>
      </c>
      <c r="BF133" s="41">
        <f t="shared" si="206"/>
        <v>0.30999999999999983</v>
      </c>
      <c r="BG133" s="41">
        <f t="shared" si="206"/>
        <v>0.37000000000000011</v>
      </c>
      <c r="BH133" s="41">
        <f t="shared" si="206"/>
        <v>0.71000000000000019</v>
      </c>
      <c r="BI133" s="41">
        <f t="shared" si="206"/>
        <v>0.83000000000000029</v>
      </c>
      <c r="BJ133" s="41">
        <f t="shared" si="206"/>
        <v>0.98</v>
      </c>
      <c r="BK133" s="41">
        <f t="shared" si="206"/>
        <v>1.02</v>
      </c>
      <c r="BL133" s="41">
        <f t="shared" si="206"/>
        <v>1.0399999999999996</v>
      </c>
      <c r="BM133" s="326">
        <v>1.06</v>
      </c>
      <c r="BN133" s="326">
        <v>1.5</v>
      </c>
      <c r="BO133" s="41">
        <f t="shared" si="206"/>
        <v>1.3124872792088751</v>
      </c>
      <c r="BP133" s="41">
        <f t="shared" si="206"/>
        <v>1.919751878348078</v>
      </c>
      <c r="BQ133" s="41">
        <f t="shared" si="206"/>
        <v>1.4742709944889487</v>
      </c>
      <c r="BR133" s="41">
        <f t="shared" si="206"/>
        <v>1.0699447022139239</v>
      </c>
      <c r="BS133" s="41">
        <f t="shared" si="206"/>
        <v>0.96644746710322793</v>
      </c>
      <c r="BT133" s="41">
        <f t="shared" si="206"/>
        <v>0.43999999999999995</v>
      </c>
      <c r="BU133" s="41">
        <f t="shared" si="206"/>
        <v>0.44557022028985505</v>
      </c>
      <c r="BV133" s="41">
        <f t="shared" si="206"/>
        <v>0.39926310571428569</v>
      </c>
      <c r="BW133" s="323">
        <f t="shared" si="206"/>
        <v>0.37459101785714299</v>
      </c>
      <c r="BX133" s="323">
        <f t="shared" ca="1" si="206"/>
        <v>0.16999999999999993</v>
      </c>
      <c r="BY133" s="323">
        <f t="shared" ca="1" si="206"/>
        <v>0.20999999999999996</v>
      </c>
      <c r="BZ133" s="323">
        <f t="shared" ca="1" si="206"/>
        <v>0.26</v>
      </c>
      <c r="CA133" s="323">
        <f t="shared" ca="1" si="206"/>
        <v>0.30649841542239198</v>
      </c>
      <c r="CB133" s="323">
        <f ca="1">(CB132/BX132-1)</f>
        <v>0.35000000000000009</v>
      </c>
      <c r="CC133" s="323">
        <f ca="1">(CC132/BY132-1)</f>
        <v>0.30000000000000004</v>
      </c>
      <c r="CD133" s="323">
        <f ca="1">(CD132/BZ132-1)</f>
        <v>0.19999999999999996</v>
      </c>
      <c r="CE133" s="323">
        <f ca="1">(CE132/CA132-1)</f>
        <v>0.10894305412825744</v>
      </c>
      <c r="CF133" s="62"/>
      <c r="CG133" s="5"/>
      <c r="CH133" s="5"/>
    </row>
    <row r="134" spans="1:86" outlineLevel="1">
      <c r="B134" s="12" t="s">
        <v>83</v>
      </c>
      <c r="C134" s="6"/>
      <c r="D134" s="5"/>
      <c r="E134" s="5"/>
      <c r="F134" s="5"/>
      <c r="G134" s="5"/>
      <c r="H134" s="126"/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  <c r="T134" s="324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330"/>
      <c r="AF134" s="126"/>
      <c r="AG134" s="323">
        <f>(AG132/AF132-1)</f>
        <v>0.14864864864864846</v>
      </c>
      <c r="AH134" s="323">
        <f t="shared" ref="AH134:AQ134" si="207">(AH132/AG132-1)</f>
        <v>0.14117647058823546</v>
      </c>
      <c r="AI134" s="323">
        <f t="shared" si="207"/>
        <v>3.5738831615120148E-2</v>
      </c>
      <c r="AJ134" s="323">
        <f t="shared" si="207"/>
        <v>9.5738831615120423E-2</v>
      </c>
      <c r="AK134" s="323">
        <f>(AK132/AJ132-1)</f>
        <v>0.14573883161512047</v>
      </c>
      <c r="AL134" s="323">
        <f t="shared" si="207"/>
        <v>5.3604514546470527E-2</v>
      </c>
      <c r="AM134" s="323">
        <f t="shared" si="207"/>
        <v>6.5979381443298957E-2</v>
      </c>
      <c r="AN134" s="323">
        <f>(AN132/AM132-1)</f>
        <v>8.796763422777909E-2</v>
      </c>
      <c r="AO134" s="323">
        <f t="shared" si="207"/>
        <v>0.16210652920962221</v>
      </c>
      <c r="AP134" s="323">
        <f t="shared" si="207"/>
        <v>3.8765014341590742E-2</v>
      </c>
      <c r="AQ134" s="323">
        <f t="shared" si="207"/>
        <v>3.9329896907216444E-2</v>
      </c>
      <c r="AR134" s="323">
        <f t="shared" ref="AR134:BA134" si="208">(AR132/AQ132-1)</f>
        <v>4.4130110504315478E-2</v>
      </c>
      <c r="AS134" s="323">
        <f t="shared" si="208"/>
        <v>8.2267149340258694E-2</v>
      </c>
      <c r="AT134" s="323">
        <f t="shared" si="208"/>
        <v>0.10688075298694111</v>
      </c>
      <c r="AU134" s="323">
        <f t="shared" si="208"/>
        <v>3.1335051546391712E-2</v>
      </c>
      <c r="AV134" s="323">
        <f t="shared" si="208"/>
        <v>-2.8716176275055183E-2</v>
      </c>
      <c r="AW134" s="323">
        <f t="shared" si="208"/>
        <v>9.1286042251427224E-2</v>
      </c>
      <c r="AX134" s="323">
        <f t="shared" si="208"/>
        <v>5.1994104078497472E-2</v>
      </c>
      <c r="AY134" s="323">
        <f t="shared" si="208"/>
        <v>7.6175705961452289E-2</v>
      </c>
      <c r="AZ134" s="323">
        <f t="shared" si="208"/>
        <v>-5.2998271868178848E-2</v>
      </c>
      <c r="BA134" s="323">
        <f t="shared" si="208"/>
        <v>8.1958811121073394E-2</v>
      </c>
      <c r="BB134" s="41">
        <f t="shared" ref="BB134:CA134" si="209">(BB132/BA132-1)</f>
        <v>0.13361433629148434</v>
      </c>
      <c r="BC134" s="41">
        <f t="shared" si="209"/>
        <v>1.3270048877139784E-2</v>
      </c>
      <c r="BD134" s="41">
        <f t="shared" si="209"/>
        <v>2.1886019940603907E-2</v>
      </c>
      <c r="BE134" s="41">
        <f t="shared" si="209"/>
        <v>0.14159433614349459</v>
      </c>
      <c r="BF134" s="41">
        <f t="shared" si="209"/>
        <v>0.10823491085212278</v>
      </c>
      <c r="BG134" s="41">
        <f t="shared" si="209"/>
        <v>5.9679364092886766E-2</v>
      </c>
      <c r="BH134" s="41">
        <f t="shared" si="209"/>
        <v>0.27549276941491452</v>
      </c>
      <c r="BI134" s="41">
        <f t="shared" si="209"/>
        <v>0.22170621938163482</v>
      </c>
      <c r="BJ134" s="41">
        <f t="shared" si="209"/>
        <v>0.19907383797114897</v>
      </c>
      <c r="BK134" s="41">
        <f t="shared" si="209"/>
        <v>8.1087028013955287E-2</v>
      </c>
      <c r="BL134" s="41">
        <f t="shared" si="209"/>
        <v>0.28812141069624997</v>
      </c>
      <c r="BM134" s="41">
        <f t="shared" si="209"/>
        <v>0.23368373133635689</v>
      </c>
      <c r="BN134" s="41">
        <f t="shared" si="209"/>
        <v>0.45518669656692823</v>
      </c>
      <c r="BO134" s="41">
        <f t="shared" si="209"/>
        <v>0</v>
      </c>
      <c r="BP134" s="41">
        <f t="shared" si="209"/>
        <v>0.62638512316808326</v>
      </c>
      <c r="BQ134" s="41">
        <f t="shared" si="209"/>
        <v>4.5454545454545414E-2</v>
      </c>
      <c r="BR134" s="41">
        <f t="shared" si="209"/>
        <v>0.21739130434782616</v>
      </c>
      <c r="BS134" s="41">
        <f t="shared" si="209"/>
        <v>-5.0000000000000044E-2</v>
      </c>
      <c r="BT134" s="41">
        <f t="shared" si="209"/>
        <v>0.19097744360902258</v>
      </c>
      <c r="BU134" s="41">
        <f t="shared" si="209"/>
        <v>4.9498581649831674E-2</v>
      </c>
      <c r="BV134" s="41">
        <f t="shared" si="209"/>
        <v>0.17839362867460062</v>
      </c>
      <c r="BW134" s="323">
        <f t="shared" si="209"/>
        <v>-6.6750590627715378E-2</v>
      </c>
      <c r="BX134" s="323">
        <f t="shared" ca="1" si="209"/>
        <v>1.371505482030777E-2</v>
      </c>
      <c r="BY134" s="323">
        <f t="shared" ca="1" si="209"/>
        <v>8.5378875039569424E-2</v>
      </c>
      <c r="BZ134" s="323">
        <f t="shared" ca="1" si="209"/>
        <v>0.2270875802727248</v>
      </c>
      <c r="CA134" s="323">
        <f t="shared" ca="1" si="209"/>
        <v>-3.2310417032719752E-2</v>
      </c>
      <c r="CB134" s="323">
        <f ca="1">(CB132/CA132-1)</f>
        <v>4.7468031995257842E-2</v>
      </c>
      <c r="CC134" s="323">
        <f ca="1">(CC132/CB132-1)</f>
        <v>4.5179657445511223E-2</v>
      </c>
      <c r="CD134" s="323">
        <f ca="1">(CD132/CC132-1)</f>
        <v>0.13269622794405378</v>
      </c>
      <c r="CE134" s="323">
        <f ca="1">(CE132/CD132-1)</f>
        <v>-0.10573946534680378</v>
      </c>
      <c r="CF134" s="62"/>
      <c r="CG134" s="5"/>
      <c r="CH134" s="5"/>
    </row>
    <row r="135" spans="1:86" outlineLevel="1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330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5"/>
      <c r="CG135" s="5"/>
      <c r="CH135" s="5"/>
    </row>
    <row r="136" spans="1:86" outlineLevel="1">
      <c r="A136" s="3" t="s">
        <v>147</v>
      </c>
      <c r="B136" s="13" t="s">
        <v>117</v>
      </c>
      <c r="C136" s="6"/>
      <c r="D136" s="6"/>
      <c r="E136" s="6"/>
      <c r="F136" s="6"/>
      <c r="G136" s="6"/>
      <c r="H136" s="6">
        <f t="shared" ref="H136:R136" si="210">H128/H132</f>
        <v>44.317438692098094</v>
      </c>
      <c r="I136" s="6">
        <f t="shared" si="210"/>
        <v>45.806134428794991</v>
      </c>
      <c r="J136" s="6">
        <f t="shared" si="210"/>
        <v>47.078116981484939</v>
      </c>
      <c r="K136" s="6">
        <f t="shared" si="210"/>
        <v>42.125899176602424</v>
      </c>
      <c r="L136" s="6">
        <f t="shared" si="210"/>
        <v>40.618426940965584</v>
      </c>
      <c r="M136" s="6">
        <f t="shared" si="210"/>
        <v>44.127126248930374</v>
      </c>
      <c r="N136" s="6">
        <f t="shared" si="210"/>
        <v>44.186425489047714</v>
      </c>
      <c r="O136" s="6">
        <f t="shared" si="210"/>
        <v>43.67265549180869</v>
      </c>
      <c r="P136" s="6">
        <f t="shared" si="210"/>
        <v>42.163377301706319</v>
      </c>
      <c r="Q136" s="6">
        <f t="shared" si="210"/>
        <v>30.309502965926495</v>
      </c>
      <c r="R136" s="6">
        <f t="shared" si="210"/>
        <v>20.29825645440097</v>
      </c>
      <c r="S136" s="407">
        <f>S128/S132</f>
        <v>17.723928857429719</v>
      </c>
      <c r="T136" s="407">
        <f>T128/T132</f>
        <v>17.375262281140813</v>
      </c>
      <c r="U136" s="534">
        <f t="shared" ref="U136:AD136" ca="1" si="211">+VLOOKUP($A136,INDIRECT($T$2),MATCH(U$4,Period_A_CTRP,FALSE),FALSE)</f>
        <v>15.463983430215324</v>
      </c>
      <c r="V136" s="534">
        <f t="shared" ca="1" si="211"/>
        <v>16.23718260172609</v>
      </c>
      <c r="W136" s="534">
        <f t="shared" ca="1" si="211"/>
        <v>17.049041731812395</v>
      </c>
      <c r="X136" s="534">
        <f t="shared" ca="1" si="211"/>
        <v>17.901493818403015</v>
      </c>
      <c r="Y136" s="534">
        <f t="shared" ca="1" si="211"/>
        <v>18.796568509323166</v>
      </c>
      <c r="Z136" s="534">
        <f t="shared" ca="1" si="211"/>
        <v>18.890551351869778</v>
      </c>
      <c r="AA136" s="534">
        <f t="shared" ca="1" si="211"/>
        <v>18.985004108629123</v>
      </c>
      <c r="AB136" s="534">
        <f t="shared" ca="1" si="211"/>
        <v>19.079929129172267</v>
      </c>
      <c r="AC136" s="534">
        <f t="shared" ca="1" si="211"/>
        <v>19.175328774818126</v>
      </c>
      <c r="AD136" s="534">
        <f t="shared" ca="1" si="211"/>
        <v>19.271205418692215</v>
      </c>
      <c r="AE136" s="542"/>
      <c r="AF136" s="6">
        <f t="shared" ref="AF136:BT136" si="212">AF128/AF132</f>
        <v>42.620166666666663</v>
      </c>
      <c r="AG136" s="6">
        <f t="shared" si="212"/>
        <v>45.858889019607844</v>
      </c>
      <c r="AH136" s="6">
        <f t="shared" si="212"/>
        <v>47.30550137457044</v>
      </c>
      <c r="AI136" s="6">
        <f t="shared" si="212"/>
        <v>51.173668546781691</v>
      </c>
      <c r="AJ136" s="6">
        <f t="shared" si="212"/>
        <v>48.005673105261643</v>
      </c>
      <c r="AK136" s="6">
        <f t="shared" si="212"/>
        <v>44.615418995884752</v>
      </c>
      <c r="AL136" s="6">
        <f t="shared" si="212"/>
        <v>41.743998795996689</v>
      </c>
      <c r="AM136" s="6">
        <f t="shared" si="212"/>
        <v>38.971136587179451</v>
      </c>
      <c r="AN136" s="6">
        <f t="shared" si="212"/>
        <v>39.815215042441906</v>
      </c>
      <c r="AO136" s="6">
        <f t="shared" si="212"/>
        <v>40.245404238764955</v>
      </c>
      <c r="AP136" s="6">
        <f t="shared" si="212"/>
        <v>41.565557084448649</v>
      </c>
      <c r="AQ136" s="6">
        <f t="shared" si="212"/>
        <v>40.692847557267498</v>
      </c>
      <c r="AR136" s="6">
        <f t="shared" si="212"/>
        <v>43.706110914767144</v>
      </c>
      <c r="AS136" s="6">
        <f t="shared" si="212"/>
        <v>46.86889682148059</v>
      </c>
      <c r="AT136" s="6">
        <f t="shared" si="212"/>
        <v>43.44612071401145</v>
      </c>
      <c r="AU136" s="6">
        <f t="shared" si="212"/>
        <v>42.726447028718432</v>
      </c>
      <c r="AV136" s="6">
        <f t="shared" si="212"/>
        <v>44.917848911014211</v>
      </c>
      <c r="AW136" s="6">
        <f t="shared" si="212"/>
        <v>43.79093793692622</v>
      </c>
      <c r="AX136" s="6">
        <f t="shared" si="212"/>
        <v>46.148213833452033</v>
      </c>
      <c r="AY136" s="6">
        <f t="shared" si="212"/>
        <v>42.12081370590986</v>
      </c>
      <c r="AZ136" s="123">
        <f t="shared" si="212"/>
        <v>42.388149656767119</v>
      </c>
      <c r="BA136" s="123">
        <f t="shared" si="212"/>
        <v>43.938192152097237</v>
      </c>
      <c r="BB136" s="123">
        <f t="shared" si="212"/>
        <v>45.863719226677148</v>
      </c>
      <c r="BC136" s="123">
        <f t="shared" si="212"/>
        <v>42.312676881185055</v>
      </c>
      <c r="BD136" s="123">
        <f t="shared" si="212"/>
        <v>42.26907288305879</v>
      </c>
      <c r="BE136" s="123">
        <f t="shared" si="212"/>
        <v>42.339886922598545</v>
      </c>
      <c r="BF136" s="123">
        <f t="shared" si="212"/>
        <v>44.22507977805779</v>
      </c>
      <c r="BG136" s="123">
        <f t="shared" si="212"/>
        <v>39.988646811019926</v>
      </c>
      <c r="BH136" s="123">
        <f t="shared" si="212"/>
        <v>35.253960371231912</v>
      </c>
      <c r="BI136" s="123">
        <f t="shared" si="212"/>
        <v>32.156007349426019</v>
      </c>
      <c r="BJ136" s="123">
        <f t="shared" si="212"/>
        <v>29.563132355189762</v>
      </c>
      <c r="BK136" s="123">
        <f t="shared" si="212"/>
        <v>26.453364354499548</v>
      </c>
      <c r="BL136" s="123">
        <f t="shared" si="212"/>
        <v>25.160505029754795</v>
      </c>
      <c r="BM136" s="123">
        <f t="shared" si="212"/>
        <v>22.646048505785075</v>
      </c>
      <c r="BN136" s="123">
        <f t="shared" si="212"/>
        <v>17.87528211327437</v>
      </c>
      <c r="BO136" s="123">
        <f t="shared" si="212"/>
        <v>18.399423811599515</v>
      </c>
      <c r="BP136" s="123">
        <f t="shared" si="212"/>
        <v>17.718210236363635</v>
      </c>
      <c r="BQ136" s="123">
        <f t="shared" si="212"/>
        <v>17.421102565217392</v>
      </c>
      <c r="BR136" s="123">
        <f t="shared" si="212"/>
        <v>17.340974492857143</v>
      </c>
      <c r="BS136" s="123">
        <f t="shared" si="212"/>
        <v>18.393610684210529</v>
      </c>
      <c r="BT136" s="123">
        <f t="shared" si="212"/>
        <v>18.152622133838381</v>
      </c>
      <c r="BU136" s="608">
        <v>18</v>
      </c>
      <c r="BV136" s="608">
        <v>17.5</v>
      </c>
      <c r="BW136" s="608">
        <v>16</v>
      </c>
      <c r="BX136" s="538">
        <f t="shared" ref="BX136:CE136" ca="1" si="213">+VLOOKUP($A136,INDIRECT($T$2),MATCH(BX$4,Period_A_CTRP,FALSE),FALSE)</f>
        <v>15.520491924431816</v>
      </c>
      <c r="BY136" s="538">
        <f t="shared" ca="1" si="213"/>
        <v>15.299999999999999</v>
      </c>
      <c r="BZ136" s="538">
        <f t="shared" ca="1" si="213"/>
        <v>15.75</v>
      </c>
      <c r="CA136" s="538">
        <f t="shared" ca="1" si="213"/>
        <v>15.262670220268431</v>
      </c>
      <c r="CB136" s="538">
        <f t="shared" ca="1" si="213"/>
        <v>16.14131160140909</v>
      </c>
      <c r="CC136" s="538">
        <f t="shared" ca="1" si="213"/>
        <v>16.065000000000001</v>
      </c>
      <c r="CD136" s="538">
        <f t="shared" ca="1" si="213"/>
        <v>16.2225</v>
      </c>
      <c r="CE136" s="538">
        <f t="shared" ca="1" si="213"/>
        <v>16.514143083083979</v>
      </c>
      <c r="CF136" s="62"/>
      <c r="CG136" s="5"/>
      <c r="CH136" s="5"/>
    </row>
    <row r="137" spans="1:86" outlineLevel="1">
      <c r="A137" s="3" t="s">
        <v>503</v>
      </c>
      <c r="B137" s="12" t="s">
        <v>82</v>
      </c>
      <c r="C137" s="6"/>
      <c r="D137" s="6"/>
      <c r="E137" s="6"/>
      <c r="F137" s="6"/>
      <c r="G137" s="6"/>
      <c r="H137" s="6"/>
      <c r="I137" s="126"/>
      <c r="J137" s="126">
        <f>(J136/I136-1)*1</f>
        <v>2.7768825476142789E-2</v>
      </c>
      <c r="K137" s="126">
        <f>(K136/J136-1)*1</f>
        <v>-0.10519150132597999</v>
      </c>
      <c r="L137" s="126">
        <f>(L136/K136-1)*1</f>
        <v>-3.5784927208725836E-2</v>
      </c>
      <c r="M137" s="126">
        <f>(M136/L136-1)*1</f>
        <v>8.6381959426057975E-2</v>
      </c>
      <c r="N137" s="41">
        <f>(N136/M136-1)</f>
        <v>1.3438273723700433E-3</v>
      </c>
      <c r="O137" s="41">
        <f t="shared" ref="O137:AD137" si="214">(O136/N136-1)</f>
        <v>-1.1627326527382742E-2</v>
      </c>
      <c r="P137" s="41">
        <f t="shared" si="214"/>
        <v>-3.4558882969354943E-2</v>
      </c>
      <c r="Q137" s="41">
        <f t="shared" si="214"/>
        <v>-0.28114148093397884</v>
      </c>
      <c r="R137" s="41">
        <f t="shared" si="214"/>
        <v>-0.33030058337743196</v>
      </c>
      <c r="S137" s="41">
        <f t="shared" si="214"/>
        <v>-0.12682506020920326</v>
      </c>
      <c r="T137" s="323">
        <f t="shared" si="214"/>
        <v>-1.9672081686490595E-2</v>
      </c>
      <c r="U137" s="41">
        <f t="shared" ca="1" si="214"/>
        <v>-0.10999999999999999</v>
      </c>
      <c r="V137" s="41">
        <f t="shared" ca="1" si="214"/>
        <v>5.0000000000000044E-2</v>
      </c>
      <c r="W137" s="41">
        <f t="shared" ca="1" si="214"/>
        <v>5.0000000000000044E-2</v>
      </c>
      <c r="X137" s="41">
        <f t="shared" ca="1" si="214"/>
        <v>5.0000000000000044E-2</v>
      </c>
      <c r="Y137" s="41">
        <f t="shared" ca="1" si="214"/>
        <v>5.0000000000000044E-2</v>
      </c>
      <c r="Z137" s="41">
        <f t="shared" ca="1" si="214"/>
        <v>4.9999999999998934E-3</v>
      </c>
      <c r="AA137" s="41">
        <f t="shared" ca="1" si="214"/>
        <v>4.9999999999998934E-3</v>
      </c>
      <c r="AB137" s="41">
        <f t="shared" ca="1" si="214"/>
        <v>4.9999999999998934E-3</v>
      </c>
      <c r="AC137" s="323">
        <f t="shared" ca="1" si="214"/>
        <v>4.9999999999998934E-3</v>
      </c>
      <c r="AD137" s="323">
        <f t="shared" ca="1" si="214"/>
        <v>4.9999999999998934E-3</v>
      </c>
      <c r="AE137" s="323"/>
      <c r="AF137" s="126"/>
      <c r="AG137" s="126"/>
      <c r="AH137" s="126"/>
      <c r="AI137" s="126"/>
      <c r="AJ137" s="323">
        <f t="shared" ref="AJ137:AZ137" si="215">(AJ136/AF136-1)</f>
        <v>0.12636052037795054</v>
      </c>
      <c r="AK137" s="323">
        <f t="shared" si="215"/>
        <v>-2.7115136243083038E-2</v>
      </c>
      <c r="AL137" s="323">
        <f t="shared" si="215"/>
        <v>-0.11756566185689754</v>
      </c>
      <c r="AM137" s="323">
        <f t="shared" si="215"/>
        <v>-0.2384533355947891</v>
      </c>
      <c r="AN137" s="323">
        <f t="shared" si="215"/>
        <v>-0.17061437811444879</v>
      </c>
      <c r="AO137" s="323">
        <f t="shared" si="215"/>
        <v>-9.7948531146213824E-2</v>
      </c>
      <c r="AP137" s="323">
        <f t="shared" si="215"/>
        <v>-4.274667417946354E-3</v>
      </c>
      <c r="AQ137" s="323">
        <f t="shared" si="215"/>
        <v>4.4179131553849782E-2</v>
      </c>
      <c r="AR137" s="323">
        <f t="shared" si="215"/>
        <v>9.7723844218288169E-2</v>
      </c>
      <c r="AS137" s="323">
        <f t="shared" si="215"/>
        <v>0.16457761346911237</v>
      </c>
      <c r="AT137" s="323">
        <f t="shared" si="215"/>
        <v>4.5243315895948655E-2</v>
      </c>
      <c r="AU137" s="323">
        <f t="shared" si="215"/>
        <v>4.9974371259937644E-2</v>
      </c>
      <c r="AV137" s="323">
        <f t="shared" si="215"/>
        <v>2.7724681306239285E-2</v>
      </c>
      <c r="AW137" s="323">
        <f t="shared" si="215"/>
        <v>-6.5671673397350028E-2</v>
      </c>
      <c r="AX137" s="323">
        <f t="shared" si="215"/>
        <v>6.2194117104893865E-2</v>
      </c>
      <c r="AY137" s="323">
        <f t="shared" si="215"/>
        <v>-1.4174670840322756E-2</v>
      </c>
      <c r="AZ137" s="323">
        <f t="shared" si="215"/>
        <v>-5.6318352627674262E-2</v>
      </c>
      <c r="BA137" s="41">
        <f t="shared" ref="BA137:CA137" si="216">(BA136/AW136-1)</f>
        <v>3.3626641060557905E-3</v>
      </c>
      <c r="BB137" s="41">
        <f t="shared" si="216"/>
        <v>-6.1648021265052755E-3</v>
      </c>
      <c r="BC137" s="41">
        <f t="shared" si="216"/>
        <v>4.5550681099086887E-3</v>
      </c>
      <c r="BD137" s="41">
        <f t="shared" si="216"/>
        <v>-2.8091996152825871E-3</v>
      </c>
      <c r="BE137" s="41">
        <f t="shared" si="216"/>
        <v>-3.637621739114727E-2</v>
      </c>
      <c r="BF137" s="41">
        <f t="shared" si="216"/>
        <v>-3.5728446716685514E-2</v>
      </c>
      <c r="BG137" s="41">
        <f t="shared" si="216"/>
        <v>-5.492514871349452E-2</v>
      </c>
      <c r="BH137" s="41">
        <f t="shared" si="216"/>
        <v>-0.16596324530785955</v>
      </c>
      <c r="BI137" s="41">
        <f t="shared" si="216"/>
        <v>-0.24052684863777873</v>
      </c>
      <c r="BJ137" s="41">
        <f t="shared" si="216"/>
        <v>-0.33153015204152403</v>
      </c>
      <c r="BK137" s="41">
        <f t="shared" si="216"/>
        <v>-0.33847813156784223</v>
      </c>
      <c r="BL137" s="41">
        <f t="shared" si="216"/>
        <v>-0.28630699175896335</v>
      </c>
      <c r="BM137" s="41">
        <f t="shared" si="216"/>
        <v>-0.29574439202915215</v>
      </c>
      <c r="BN137" s="41">
        <f t="shared" si="216"/>
        <v>-0.39535222795373404</v>
      </c>
      <c r="BO137" s="41">
        <f t="shared" si="216"/>
        <v>-0.30445808083122361</v>
      </c>
      <c r="BP137" s="41">
        <f t="shared" si="216"/>
        <v>-0.29579274281616796</v>
      </c>
      <c r="BQ137" s="41">
        <f t="shared" si="216"/>
        <v>-0.23072219152197515</v>
      </c>
      <c r="BR137" s="41">
        <f t="shared" si="216"/>
        <v>-2.9890863653583621E-2</v>
      </c>
      <c r="BS137" s="41">
        <f t="shared" si="216"/>
        <v>-3.1594072991136812E-4</v>
      </c>
      <c r="BT137" s="41">
        <f t="shared" si="216"/>
        <v>2.4517820461526618E-2</v>
      </c>
      <c r="BU137" s="41">
        <f t="shared" si="216"/>
        <v>3.3229666871855912E-2</v>
      </c>
      <c r="BV137" s="41">
        <f t="shared" si="216"/>
        <v>9.1705057987578886E-3</v>
      </c>
      <c r="BW137" s="323">
        <f t="shared" si="216"/>
        <v>-0.13013272517859997</v>
      </c>
      <c r="BX137" s="323">
        <f t="shared" ca="1" si="216"/>
        <v>-0.14500000000000002</v>
      </c>
      <c r="BY137" s="323">
        <f t="shared" ca="1" si="216"/>
        <v>-0.15000000000000002</v>
      </c>
      <c r="BZ137" s="323">
        <f t="shared" ca="1" si="216"/>
        <v>-9.9999999999999978E-2</v>
      </c>
      <c r="CA137" s="323">
        <f t="shared" ca="1" si="216"/>
        <v>-4.6083111233223062E-2</v>
      </c>
      <c r="CB137" s="323">
        <f ca="1">(CB136/BX136-1)</f>
        <v>4.0000000000000036E-2</v>
      </c>
      <c r="CC137" s="323">
        <f ca="1">(CC136/BY136-1)</f>
        <v>5.0000000000000266E-2</v>
      </c>
      <c r="CD137" s="323">
        <f ca="1">(CD136/BZ136-1)</f>
        <v>3.0000000000000027E-2</v>
      </c>
      <c r="CE137" s="323">
        <f ca="1">(CE136/CA136-1)</f>
        <v>8.1995669483418743E-2</v>
      </c>
      <c r="CF137" s="62"/>
      <c r="CG137" s="5"/>
      <c r="CH137" s="5"/>
    </row>
    <row r="138" spans="1:86" outlineLevel="1">
      <c r="B138" s="12" t="s">
        <v>83</v>
      </c>
      <c r="C138" s="6"/>
      <c r="D138" s="6"/>
      <c r="E138" s="6"/>
      <c r="F138" s="6"/>
      <c r="G138" s="6"/>
      <c r="H138" s="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  <c r="T138" s="324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126"/>
      <c r="AG138" s="323">
        <f>(AG136/AF136-1)</f>
        <v>7.5990372779893178E-2</v>
      </c>
      <c r="AH138" s="323">
        <f t="shared" ref="AH138:AZ138" si="217">(AH136/AG136-1)</f>
        <v>3.154486264035028E-2</v>
      </c>
      <c r="AI138" s="323">
        <f t="shared" si="217"/>
        <v>8.1769922309514298E-2</v>
      </c>
      <c r="AJ138" s="323">
        <f t="shared" si="217"/>
        <v>-6.1906748753491225E-2</v>
      </c>
      <c r="AK138" s="323">
        <f t="shared" si="217"/>
        <v>-7.0621947159101528E-2</v>
      </c>
      <c r="AL138" s="323">
        <f t="shared" si="217"/>
        <v>-6.4359368678189921E-2</v>
      </c>
      <c r="AM138" s="323">
        <f>(AM136/AL136-1)</f>
        <v>-6.6425409371254518E-2</v>
      </c>
      <c r="AN138" s="323">
        <f t="shared" si="217"/>
        <v>2.165906691928865E-2</v>
      </c>
      <c r="AO138" s="323">
        <f t="shared" si="217"/>
        <v>1.080464329690245E-2</v>
      </c>
      <c r="AP138" s="323">
        <f t="shared" si="217"/>
        <v>3.2802573875307273E-2</v>
      </c>
      <c r="AQ138" s="323">
        <f t="shared" si="217"/>
        <v>-2.099597812217624E-2</v>
      </c>
      <c r="AR138" s="323">
        <f t="shared" si="217"/>
        <v>7.4048967776439101E-2</v>
      </c>
      <c r="AS138" s="323">
        <f t="shared" si="217"/>
        <v>7.2364844194929834E-2</v>
      </c>
      <c r="AT138" s="323">
        <f t="shared" si="217"/>
        <v>-7.3028732050301692E-2</v>
      </c>
      <c r="AU138" s="323">
        <f t="shared" si="217"/>
        <v>-1.6564739807964468E-2</v>
      </c>
      <c r="AV138" s="323">
        <f t="shared" si="217"/>
        <v>5.128912031517241E-2</v>
      </c>
      <c r="AW138" s="323">
        <f t="shared" si="217"/>
        <v>-2.5088266722667174E-2</v>
      </c>
      <c r="AX138" s="323">
        <f t="shared" si="217"/>
        <v>5.3830221675568835E-2</v>
      </c>
      <c r="AY138" s="323">
        <f t="shared" si="217"/>
        <v>-8.7270986090100422E-2</v>
      </c>
      <c r="AZ138" s="323">
        <f t="shared" si="217"/>
        <v>6.3468847663725736E-3</v>
      </c>
      <c r="BA138" s="41">
        <f t="shared" ref="BA138:CA138" si="218">(BA136/AZ136-1)</f>
        <v>3.6567826335459186E-2</v>
      </c>
      <c r="BB138" s="41">
        <f t="shared" si="218"/>
        <v>4.3823538936569539E-2</v>
      </c>
      <c r="BC138" s="41">
        <f t="shared" si="218"/>
        <v>-7.7425956842736565E-2</v>
      </c>
      <c r="BD138" s="41">
        <f t="shared" si="218"/>
        <v>-1.0305185429110297E-3</v>
      </c>
      <c r="BE138" s="41">
        <f t="shared" si="218"/>
        <v>1.6753156553888093E-3</v>
      </c>
      <c r="BF138" s="41">
        <f t="shared" si="218"/>
        <v>4.4525221782135693E-2</v>
      </c>
      <c r="BG138" s="41">
        <f t="shared" si="218"/>
        <v>-9.5792545503552984E-2</v>
      </c>
      <c r="BH138" s="41">
        <f t="shared" si="218"/>
        <v>-0.11840076665167987</v>
      </c>
      <c r="BI138" s="41">
        <f t="shared" si="218"/>
        <v>-8.7875319231762061E-2</v>
      </c>
      <c r="BJ138" s="41">
        <f t="shared" si="218"/>
        <v>-8.0634233163979552E-2</v>
      </c>
      <c r="BK138" s="41">
        <f t="shared" si="218"/>
        <v>-0.10519074783170934</v>
      </c>
      <c r="BL138" s="41">
        <f t="shared" si="218"/>
        <v>-4.8873153048483498E-2</v>
      </c>
      <c r="BM138" s="41">
        <f t="shared" si="218"/>
        <v>-9.993664757508347E-2</v>
      </c>
      <c r="BN138" s="41">
        <f t="shared" si="218"/>
        <v>-0.2106666154712149</v>
      </c>
      <c r="BO138" s="41">
        <f t="shared" si="218"/>
        <v>2.9322149715103718E-2</v>
      </c>
      <c r="BP138" s="41">
        <f t="shared" si="218"/>
        <v>-3.7023636294872597E-2</v>
      </c>
      <c r="BQ138" s="41">
        <f t="shared" si="218"/>
        <v>-1.6768492256428957E-2</v>
      </c>
      <c r="BR138" s="41">
        <f t="shared" si="218"/>
        <v>-4.5994834173258559E-3</v>
      </c>
      <c r="BS138" s="41">
        <f t="shared" si="218"/>
        <v>6.0702251294295628E-2</v>
      </c>
      <c r="BT138" s="41">
        <f t="shared" si="218"/>
        <v>-1.3101753348461198E-2</v>
      </c>
      <c r="BU138" s="41">
        <f t="shared" si="218"/>
        <v>-8.4077183292367019E-3</v>
      </c>
      <c r="BV138" s="41">
        <f t="shared" si="218"/>
        <v>-2.777777777777779E-2</v>
      </c>
      <c r="BW138" s="323">
        <f t="shared" si="218"/>
        <v>-8.5714285714285743E-2</v>
      </c>
      <c r="BX138" s="323">
        <f t="shared" ca="1" si="218"/>
        <v>-2.9969254723011485E-2</v>
      </c>
      <c r="BY138" s="323">
        <f t="shared" ca="1" si="218"/>
        <v>-1.4206503602165244E-2</v>
      </c>
      <c r="BZ138" s="323">
        <f t="shared" ca="1" si="218"/>
        <v>2.941176470588247E-2</v>
      </c>
      <c r="CA138" s="323">
        <f t="shared" ca="1" si="218"/>
        <v>-3.0941573316290105E-2</v>
      </c>
      <c r="CB138" s="323">
        <f ca="1">(CB136/CA136-1)</f>
        <v>5.7567998814116228E-2</v>
      </c>
      <c r="CC138" s="323">
        <f ca="1">(CC136/CB136-1)</f>
        <v>-4.7277199829551808E-3</v>
      </c>
      <c r="CD138" s="323">
        <f ca="1">(CD136/CC136-1)</f>
        <v>9.8039215686274161E-3</v>
      </c>
      <c r="CE138" s="323">
        <f ca="1">(CE136/CD136-1)</f>
        <v>1.7977690435135196E-2</v>
      </c>
      <c r="CF138" s="62"/>
      <c r="CG138" s="5"/>
      <c r="CH138" s="5"/>
    </row>
    <row r="139" spans="1:86" outlineLevel="1">
      <c r="B139" s="12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323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5"/>
      <c r="CG139" s="5"/>
      <c r="CH139" s="5"/>
    </row>
    <row r="140" spans="1:86" outlineLevel="1">
      <c r="A140" s="3" t="s">
        <v>148</v>
      </c>
      <c r="B140" s="13" t="s">
        <v>86</v>
      </c>
      <c r="C140" s="323"/>
      <c r="D140" s="323"/>
      <c r="E140" s="323"/>
      <c r="F140" s="323"/>
      <c r="G140" s="323"/>
      <c r="H140" s="320">
        <v>4.0736395623781023</v>
      </c>
      <c r="I140" s="320">
        <v>4.7365557445878688</v>
      </c>
      <c r="J140" s="320">
        <v>4.8000000000000007</v>
      </c>
      <c r="K140" s="320">
        <v>4.6500000000000004</v>
      </c>
      <c r="L140" s="320">
        <v>4.4499999999999993</v>
      </c>
      <c r="M140" s="320">
        <v>4.1749999999999998</v>
      </c>
      <c r="N140" s="42">
        <v>4.0500000000000001E-2</v>
      </c>
      <c r="O140" s="42">
        <v>0.04</v>
      </c>
      <c r="P140" s="42">
        <v>0.04</v>
      </c>
      <c r="Q140" s="42">
        <v>0.04</v>
      </c>
      <c r="R140" s="675">
        <f>AVERAGE(BL140:BO140)</f>
        <v>0.04</v>
      </c>
      <c r="S140" s="675">
        <f>AVERAGE(BP140:BS140)</f>
        <v>3.5000000000000003E-2</v>
      </c>
      <c r="T140" s="675">
        <f>AVERAGE(BT140:BW140)</f>
        <v>2.8000000000000001E-2</v>
      </c>
      <c r="U140" s="357">
        <v>2.1000000000000001E-2</v>
      </c>
      <c r="V140" s="357">
        <v>2.1999999999999999E-2</v>
      </c>
      <c r="W140" s="357">
        <v>2.3E-2</v>
      </c>
      <c r="X140" s="357">
        <v>2.4E-2</v>
      </c>
      <c r="Y140" s="357">
        <v>2.5000000000000001E-2</v>
      </c>
      <c r="Z140" s="357">
        <f>Y140</f>
        <v>2.5000000000000001E-2</v>
      </c>
      <c r="AA140" s="357">
        <f>Z140</f>
        <v>2.5000000000000001E-2</v>
      </c>
      <c r="AB140" s="357">
        <f>AA140</f>
        <v>2.5000000000000001E-2</v>
      </c>
      <c r="AC140" s="357">
        <f>AB140</f>
        <v>2.5000000000000001E-2</v>
      </c>
      <c r="AD140" s="357">
        <f>AC140</f>
        <v>2.5000000000000001E-2</v>
      </c>
      <c r="AE140" s="357"/>
      <c r="AF140" s="42">
        <v>4.4999999999999998E-2</v>
      </c>
      <c r="AG140" s="42">
        <v>4.9000000000000002E-2</v>
      </c>
      <c r="AH140" s="42">
        <v>4.9000000000000002E-2</v>
      </c>
      <c r="AI140" s="42">
        <v>4.9000000000000002E-2</v>
      </c>
      <c r="AJ140" s="42">
        <v>4.8000000000000001E-2</v>
      </c>
      <c r="AK140" s="42">
        <v>4.7E-2</v>
      </c>
      <c r="AL140" s="42">
        <v>4.5999999999999999E-2</v>
      </c>
      <c r="AM140" s="42">
        <v>4.4999999999999998E-2</v>
      </c>
      <c r="AN140" s="42">
        <v>4.4999999999999998E-2</v>
      </c>
      <c r="AO140" s="42">
        <v>4.4999999999999998E-2</v>
      </c>
      <c r="AP140" s="42">
        <v>4.3999999999999997E-2</v>
      </c>
      <c r="AQ140" s="42">
        <v>4.3999999999999997E-2</v>
      </c>
      <c r="AR140" s="42">
        <v>4.3999999999999997E-2</v>
      </c>
      <c r="AS140" s="42">
        <v>4.2999999999999997E-2</v>
      </c>
      <c r="AT140" s="42">
        <v>0.04</v>
      </c>
      <c r="AU140" s="42">
        <v>0.04</v>
      </c>
      <c r="AV140" s="42">
        <v>0.04</v>
      </c>
      <c r="AW140" s="42">
        <v>0.04</v>
      </c>
      <c r="AX140" s="42">
        <v>4.2000000000000003E-2</v>
      </c>
      <c r="AY140" s="42">
        <v>3.9899999999999998E-2</v>
      </c>
      <c r="AZ140" s="42">
        <v>0.04</v>
      </c>
      <c r="BA140" s="42">
        <v>0.04</v>
      </c>
      <c r="BB140" s="42">
        <v>0.04</v>
      </c>
      <c r="BC140" s="42">
        <v>0.04</v>
      </c>
      <c r="BD140" s="42">
        <v>0.04</v>
      </c>
      <c r="BE140" s="42">
        <v>0.04</v>
      </c>
      <c r="BF140" s="42">
        <v>0.04</v>
      </c>
      <c r="BG140" s="42">
        <v>0.04</v>
      </c>
      <c r="BH140" s="42">
        <v>0.04</v>
      </c>
      <c r="BI140" s="42">
        <v>0.04</v>
      </c>
      <c r="BJ140" s="42">
        <v>0.04</v>
      </c>
      <c r="BK140" s="42">
        <v>0.04</v>
      </c>
      <c r="BL140" s="42">
        <v>0.04</v>
      </c>
      <c r="BM140" s="42">
        <v>0.04</v>
      </c>
      <c r="BN140" s="42">
        <f t="shared" ref="BN140:CA140" si="219">BM140</f>
        <v>0.04</v>
      </c>
      <c r="BO140" s="42">
        <f t="shared" si="219"/>
        <v>0.04</v>
      </c>
      <c r="BP140" s="357">
        <v>3.5000000000000003E-2</v>
      </c>
      <c r="BQ140" s="357">
        <f t="shared" si="219"/>
        <v>3.5000000000000003E-2</v>
      </c>
      <c r="BR140" s="357">
        <f t="shared" si="219"/>
        <v>3.5000000000000003E-2</v>
      </c>
      <c r="BS140" s="357">
        <f t="shared" si="219"/>
        <v>3.5000000000000003E-2</v>
      </c>
      <c r="BT140" s="357">
        <v>2.8000000000000001E-2</v>
      </c>
      <c r="BU140" s="357">
        <f t="shared" si="219"/>
        <v>2.8000000000000001E-2</v>
      </c>
      <c r="BV140" s="357">
        <f t="shared" si="219"/>
        <v>2.8000000000000001E-2</v>
      </c>
      <c r="BW140" s="357">
        <f t="shared" si="219"/>
        <v>2.8000000000000001E-2</v>
      </c>
      <c r="BX140" s="357">
        <f>U140</f>
        <v>2.1000000000000001E-2</v>
      </c>
      <c r="BY140" s="357">
        <f t="shared" si="219"/>
        <v>2.1000000000000001E-2</v>
      </c>
      <c r="BZ140" s="357">
        <f t="shared" si="219"/>
        <v>2.1000000000000001E-2</v>
      </c>
      <c r="CA140" s="357">
        <f t="shared" si="219"/>
        <v>2.1000000000000001E-2</v>
      </c>
      <c r="CB140" s="357">
        <f>V140</f>
        <v>2.1999999999999999E-2</v>
      </c>
      <c r="CC140" s="357">
        <f>CB140</f>
        <v>2.1999999999999999E-2</v>
      </c>
      <c r="CD140" s="357">
        <f>CC140</f>
        <v>2.1999999999999999E-2</v>
      </c>
      <c r="CE140" s="357">
        <f>CD140</f>
        <v>2.1999999999999999E-2</v>
      </c>
      <c r="CF140" s="117"/>
      <c r="CG140" s="5"/>
      <c r="CH140" s="5"/>
    </row>
    <row r="141" spans="1:86" outlineLevel="1">
      <c r="B141" s="12" t="s">
        <v>113</v>
      </c>
      <c r="C141" s="323"/>
      <c r="D141" s="323"/>
      <c r="E141" s="323"/>
      <c r="F141" s="323"/>
      <c r="G141" s="323"/>
      <c r="H141" s="323"/>
      <c r="I141" s="323"/>
      <c r="J141" s="323"/>
      <c r="K141" s="323"/>
      <c r="L141" s="323"/>
      <c r="M141" s="323"/>
      <c r="N141" s="323"/>
      <c r="O141" s="323"/>
      <c r="P141" s="323"/>
      <c r="Q141" s="323">
        <f t="shared" ref="Q141:AD141" si="220">Q140-P140</f>
        <v>0</v>
      </c>
      <c r="R141" s="323">
        <f t="shared" si="220"/>
        <v>0</v>
      </c>
      <c r="S141" s="323">
        <f t="shared" si="220"/>
        <v>-4.9999999999999975E-3</v>
      </c>
      <c r="T141" s="323">
        <f t="shared" si="220"/>
        <v>-7.0000000000000027E-3</v>
      </c>
      <c r="U141" s="610">
        <f t="shared" si="220"/>
        <v>-6.9999999999999993E-3</v>
      </c>
      <c r="V141" s="323">
        <f t="shared" si="220"/>
        <v>9.9999999999999742E-4</v>
      </c>
      <c r="W141" s="323">
        <f t="shared" si="220"/>
        <v>1.0000000000000009E-3</v>
      </c>
      <c r="X141" s="323">
        <f t="shared" si="220"/>
        <v>1.0000000000000009E-3</v>
      </c>
      <c r="Y141" s="323">
        <f t="shared" si="220"/>
        <v>1.0000000000000009E-3</v>
      </c>
      <c r="Z141" s="323">
        <f t="shared" si="220"/>
        <v>0</v>
      </c>
      <c r="AA141" s="323">
        <f t="shared" si="220"/>
        <v>0</v>
      </c>
      <c r="AB141" s="323">
        <f t="shared" si="220"/>
        <v>0</v>
      </c>
      <c r="AC141" s="323">
        <f t="shared" si="220"/>
        <v>0</v>
      </c>
      <c r="AD141" s="323">
        <f t="shared" si="220"/>
        <v>0</v>
      </c>
      <c r="AE141" s="323"/>
      <c r="AF141" s="323"/>
      <c r="AG141" s="323"/>
      <c r="AH141" s="323"/>
      <c r="AI141" s="323"/>
      <c r="AJ141" s="323">
        <f t="shared" ref="AJ141:CA141" si="221">AJ140-AF140</f>
        <v>3.0000000000000027E-3</v>
      </c>
      <c r="AK141" s="323">
        <f t="shared" si="221"/>
        <v>-2.0000000000000018E-3</v>
      </c>
      <c r="AL141" s="323">
        <f t="shared" si="221"/>
        <v>-3.0000000000000027E-3</v>
      </c>
      <c r="AM141" s="323">
        <f t="shared" si="221"/>
        <v>-4.0000000000000036E-3</v>
      </c>
      <c r="AN141" s="323">
        <f t="shared" si="221"/>
        <v>-3.0000000000000027E-3</v>
      </c>
      <c r="AO141" s="323">
        <f t="shared" si="221"/>
        <v>-2.0000000000000018E-3</v>
      </c>
      <c r="AP141" s="323">
        <f t="shared" si="221"/>
        <v>-2.0000000000000018E-3</v>
      </c>
      <c r="AQ141" s="323">
        <f t="shared" si="221"/>
        <v>-1.0000000000000009E-3</v>
      </c>
      <c r="AR141" s="323">
        <f t="shared" si="221"/>
        <v>-1.0000000000000009E-3</v>
      </c>
      <c r="AS141" s="323">
        <f t="shared" si="221"/>
        <v>-2.0000000000000018E-3</v>
      </c>
      <c r="AT141" s="323">
        <f t="shared" si="221"/>
        <v>-3.9999999999999966E-3</v>
      </c>
      <c r="AU141" s="323">
        <f t="shared" si="221"/>
        <v>-3.9999999999999966E-3</v>
      </c>
      <c r="AV141" s="323">
        <f t="shared" si="221"/>
        <v>-3.9999999999999966E-3</v>
      </c>
      <c r="AW141" s="323">
        <f t="shared" si="221"/>
        <v>-2.9999999999999957E-3</v>
      </c>
      <c r="AX141" s="323">
        <f t="shared" si="221"/>
        <v>2.0000000000000018E-3</v>
      </c>
      <c r="AY141" s="323">
        <f t="shared" si="221"/>
        <v>-1.0000000000000286E-4</v>
      </c>
      <c r="AZ141" s="323">
        <f t="shared" si="221"/>
        <v>0</v>
      </c>
      <c r="BA141" s="323">
        <f t="shared" si="221"/>
        <v>0</v>
      </c>
      <c r="BB141" s="323">
        <f t="shared" si="221"/>
        <v>-2.0000000000000018E-3</v>
      </c>
      <c r="BC141" s="323">
        <f t="shared" si="221"/>
        <v>1.0000000000000286E-4</v>
      </c>
      <c r="BD141" s="323">
        <f t="shared" si="221"/>
        <v>0</v>
      </c>
      <c r="BE141" s="323">
        <f t="shared" si="221"/>
        <v>0</v>
      </c>
      <c r="BF141" s="323">
        <f t="shared" si="221"/>
        <v>0</v>
      </c>
      <c r="BG141" s="323">
        <f t="shared" si="221"/>
        <v>0</v>
      </c>
      <c r="BH141" s="323">
        <f t="shared" si="221"/>
        <v>0</v>
      </c>
      <c r="BI141" s="323">
        <f t="shared" si="221"/>
        <v>0</v>
      </c>
      <c r="BJ141" s="323">
        <f t="shared" si="221"/>
        <v>0</v>
      </c>
      <c r="BK141" s="323">
        <f t="shared" si="221"/>
        <v>0</v>
      </c>
      <c r="BL141" s="323">
        <f t="shared" si="221"/>
        <v>0</v>
      </c>
      <c r="BM141" s="323">
        <f t="shared" si="221"/>
        <v>0</v>
      </c>
      <c r="BN141" s="323">
        <f t="shared" si="221"/>
        <v>0</v>
      </c>
      <c r="BO141" s="323">
        <f t="shared" si="221"/>
        <v>0</v>
      </c>
      <c r="BP141" s="323">
        <f t="shared" si="221"/>
        <v>-4.9999999999999975E-3</v>
      </c>
      <c r="BQ141" s="323">
        <f t="shared" si="221"/>
        <v>-4.9999999999999975E-3</v>
      </c>
      <c r="BR141" s="323">
        <f t="shared" si="221"/>
        <v>-4.9999999999999975E-3</v>
      </c>
      <c r="BS141" s="323">
        <f t="shared" si="221"/>
        <v>-4.9999999999999975E-3</v>
      </c>
      <c r="BT141" s="323">
        <f t="shared" si="221"/>
        <v>-7.0000000000000027E-3</v>
      </c>
      <c r="BU141" s="323">
        <f t="shared" si="221"/>
        <v>-7.0000000000000027E-3</v>
      </c>
      <c r="BV141" s="323">
        <f t="shared" si="221"/>
        <v>-7.0000000000000027E-3</v>
      </c>
      <c r="BW141" s="323">
        <f t="shared" si="221"/>
        <v>-7.0000000000000027E-3</v>
      </c>
      <c r="BX141" s="323">
        <f t="shared" si="221"/>
        <v>-6.9999999999999993E-3</v>
      </c>
      <c r="BY141" s="323">
        <f t="shared" si="221"/>
        <v>-6.9999999999999993E-3</v>
      </c>
      <c r="BZ141" s="323">
        <f t="shared" si="221"/>
        <v>-6.9999999999999993E-3</v>
      </c>
      <c r="CA141" s="323">
        <f t="shared" si="221"/>
        <v>-6.9999999999999993E-3</v>
      </c>
      <c r="CB141" s="323">
        <f>CB140-BX140</f>
        <v>9.9999999999999742E-4</v>
      </c>
      <c r="CC141" s="323">
        <f>CC140-BY140</f>
        <v>9.9999999999999742E-4</v>
      </c>
      <c r="CD141" s="323">
        <f>CD140-BZ140</f>
        <v>9.9999999999999742E-4</v>
      </c>
      <c r="CE141" s="323">
        <f>CE140-CA140</f>
        <v>9.9999999999999742E-4</v>
      </c>
      <c r="CF141" s="117"/>
      <c r="CG141" s="5"/>
      <c r="CH141" s="5"/>
    </row>
    <row r="142" spans="1:86" outlineLevel="1">
      <c r="B142" s="12" t="s">
        <v>114</v>
      </c>
      <c r="C142" s="323"/>
      <c r="D142" s="323"/>
      <c r="E142" s="323"/>
      <c r="F142" s="323"/>
      <c r="G142" s="323"/>
      <c r="H142" s="323"/>
      <c r="I142" s="323"/>
      <c r="J142" s="323"/>
      <c r="K142" s="323"/>
      <c r="L142" s="323"/>
      <c r="M142" s="323"/>
      <c r="N142" s="323"/>
      <c r="O142" s="323"/>
      <c r="P142" s="323"/>
      <c r="Q142" s="323"/>
      <c r="R142" s="323">
        <f>R140-BO140</f>
        <v>0</v>
      </c>
      <c r="S142" s="323">
        <f>S140-BS140</f>
        <v>0</v>
      </c>
      <c r="T142" s="323">
        <f>T140-BT140</f>
        <v>0</v>
      </c>
      <c r="U142" s="323"/>
      <c r="V142" s="323"/>
      <c r="W142" s="323"/>
      <c r="X142" s="323"/>
      <c r="Y142" s="323"/>
      <c r="Z142" s="323"/>
      <c r="AA142" s="323"/>
      <c r="AB142" s="323"/>
      <c r="AC142" s="323"/>
      <c r="AD142" s="323"/>
      <c r="AE142" s="323"/>
      <c r="AF142" s="323"/>
      <c r="AG142" s="323">
        <f t="shared" ref="AG142:BL142" si="222">AG140-AF140</f>
        <v>4.0000000000000036E-3</v>
      </c>
      <c r="AH142" s="323">
        <f t="shared" si="222"/>
        <v>0</v>
      </c>
      <c r="AI142" s="323">
        <f t="shared" si="222"/>
        <v>0</v>
      </c>
      <c r="AJ142" s="323">
        <f t="shared" si="222"/>
        <v>-1.0000000000000009E-3</v>
      </c>
      <c r="AK142" s="323">
        <f t="shared" si="222"/>
        <v>-1.0000000000000009E-3</v>
      </c>
      <c r="AL142" s="323">
        <f t="shared" si="222"/>
        <v>-1.0000000000000009E-3</v>
      </c>
      <c r="AM142" s="323">
        <f t="shared" si="222"/>
        <v>-1.0000000000000009E-3</v>
      </c>
      <c r="AN142" s="323">
        <f t="shared" si="222"/>
        <v>0</v>
      </c>
      <c r="AO142" s="323">
        <f t="shared" si="222"/>
        <v>0</v>
      </c>
      <c r="AP142" s="323">
        <f t="shared" si="222"/>
        <v>-1.0000000000000009E-3</v>
      </c>
      <c r="AQ142" s="323">
        <f t="shared" si="222"/>
        <v>0</v>
      </c>
      <c r="AR142" s="323">
        <f t="shared" si="222"/>
        <v>0</v>
      </c>
      <c r="AS142" s="323">
        <f t="shared" si="222"/>
        <v>-1.0000000000000009E-3</v>
      </c>
      <c r="AT142" s="323">
        <f t="shared" si="222"/>
        <v>-2.9999999999999957E-3</v>
      </c>
      <c r="AU142" s="323">
        <f t="shared" si="222"/>
        <v>0</v>
      </c>
      <c r="AV142" s="323">
        <f t="shared" si="222"/>
        <v>0</v>
      </c>
      <c r="AW142" s="323">
        <f t="shared" si="222"/>
        <v>0</v>
      </c>
      <c r="AX142" s="323">
        <f t="shared" si="222"/>
        <v>2.0000000000000018E-3</v>
      </c>
      <c r="AY142" s="323">
        <f t="shared" si="222"/>
        <v>-2.1000000000000046E-3</v>
      </c>
      <c r="AZ142" s="323">
        <f t="shared" si="222"/>
        <v>1.0000000000000286E-4</v>
      </c>
      <c r="BA142" s="323">
        <f t="shared" si="222"/>
        <v>0</v>
      </c>
      <c r="BB142" s="323">
        <f t="shared" si="222"/>
        <v>0</v>
      </c>
      <c r="BC142" s="323">
        <f t="shared" si="222"/>
        <v>0</v>
      </c>
      <c r="BD142" s="323">
        <f t="shared" si="222"/>
        <v>0</v>
      </c>
      <c r="BE142" s="323">
        <f t="shared" si="222"/>
        <v>0</v>
      </c>
      <c r="BF142" s="323">
        <f t="shared" si="222"/>
        <v>0</v>
      </c>
      <c r="BG142" s="323">
        <f t="shared" si="222"/>
        <v>0</v>
      </c>
      <c r="BH142" s="323">
        <f t="shared" si="222"/>
        <v>0</v>
      </c>
      <c r="BI142" s="323">
        <f t="shared" si="222"/>
        <v>0</v>
      </c>
      <c r="BJ142" s="323">
        <f t="shared" si="222"/>
        <v>0</v>
      </c>
      <c r="BK142" s="323">
        <f t="shared" si="222"/>
        <v>0</v>
      </c>
      <c r="BL142" s="323">
        <f t="shared" si="222"/>
        <v>0</v>
      </c>
      <c r="BM142" s="323">
        <f>BM140-Q140</f>
        <v>0</v>
      </c>
      <c r="BN142" s="323">
        <f>BN140-BM140</f>
        <v>0</v>
      </c>
      <c r="BO142" s="323">
        <f>BO140-BN140</f>
        <v>0</v>
      </c>
      <c r="BP142" s="323">
        <f>BP140-BO140</f>
        <v>-4.9999999999999975E-3</v>
      </c>
      <c r="BQ142" s="323">
        <f>BQ140-R140</f>
        <v>-4.9999999999999975E-3</v>
      </c>
      <c r="BR142" s="323">
        <f>BR140-BQ140</f>
        <v>0</v>
      </c>
      <c r="BS142" s="323">
        <f>BS140-BR140</f>
        <v>0</v>
      </c>
      <c r="BT142" s="323">
        <f>BT140-BS140</f>
        <v>-7.0000000000000027E-3</v>
      </c>
      <c r="BU142" s="323">
        <f>BU140-V140</f>
        <v>6.0000000000000019E-3</v>
      </c>
      <c r="BV142" s="323">
        <f t="shared" ref="BV142:CA142" si="223">BV140-BU140</f>
        <v>0</v>
      </c>
      <c r="BW142" s="323">
        <f t="shared" si="223"/>
        <v>0</v>
      </c>
      <c r="BX142" s="323">
        <f t="shared" si="223"/>
        <v>-6.9999999999999993E-3</v>
      </c>
      <c r="BY142" s="323">
        <f t="shared" si="223"/>
        <v>0</v>
      </c>
      <c r="BZ142" s="323">
        <f t="shared" si="223"/>
        <v>0</v>
      </c>
      <c r="CA142" s="323">
        <f t="shared" si="223"/>
        <v>0</v>
      </c>
      <c r="CB142" s="323">
        <f>CB140-CA140</f>
        <v>9.9999999999999742E-4</v>
      </c>
      <c r="CC142" s="323">
        <f>CC140-CB140</f>
        <v>0</v>
      </c>
      <c r="CD142" s="323">
        <f>CD140-CC140</f>
        <v>0</v>
      </c>
      <c r="CE142" s="323">
        <f>CE140-CD140</f>
        <v>0</v>
      </c>
      <c r="CF142" s="117"/>
      <c r="CG142" s="5"/>
      <c r="CH142" s="5"/>
    </row>
    <row r="143" spans="1:86" outlineLevel="1">
      <c r="B143" s="12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5"/>
      <c r="CG143" s="5"/>
      <c r="CH143" s="5"/>
    </row>
    <row r="144" spans="1:86" outlineLevel="1">
      <c r="A144" s="3" t="s">
        <v>129</v>
      </c>
      <c r="B144" s="12" t="s">
        <v>118</v>
      </c>
      <c r="C144" s="6"/>
      <c r="D144" s="6"/>
      <c r="E144" s="6"/>
      <c r="F144" s="6"/>
      <c r="G144" s="6"/>
      <c r="H144" s="6">
        <f t="shared" ref="H144:M144" si="224">H136/H140*100</f>
        <v>1087.907705467848</v>
      </c>
      <c r="I144" s="6">
        <f t="shared" si="224"/>
        <v>967.07685708406291</v>
      </c>
      <c r="J144" s="6">
        <f t="shared" si="224"/>
        <v>980.7941037809361</v>
      </c>
      <c r="K144" s="6">
        <f t="shared" si="224"/>
        <v>905.93331562585854</v>
      </c>
      <c r="L144" s="6">
        <f t="shared" si="224"/>
        <v>912.77363912282215</v>
      </c>
      <c r="M144" s="6">
        <f t="shared" si="224"/>
        <v>1056.9371556630028</v>
      </c>
      <c r="N144" s="6">
        <f>N136/N140</f>
        <v>1091.0228515814249</v>
      </c>
      <c r="O144" s="6">
        <f t="shared" ref="O144:AB144" si="225">O136/O140</f>
        <v>1091.8163872952173</v>
      </c>
      <c r="P144" s="6">
        <f t="shared" si="225"/>
        <v>1054.0844325426579</v>
      </c>
      <c r="Q144" s="6">
        <f t="shared" si="225"/>
        <v>757.73757414816237</v>
      </c>
      <c r="R144" s="6">
        <f t="shared" si="225"/>
        <v>507.45641136002428</v>
      </c>
      <c r="S144" s="6">
        <f t="shared" si="225"/>
        <v>506.39796735513477</v>
      </c>
      <c r="T144" s="6">
        <f>T136/T140</f>
        <v>620.54508146931471</v>
      </c>
      <c r="U144" s="6">
        <f t="shared" ca="1" si="225"/>
        <v>736.38016334358679</v>
      </c>
      <c r="V144" s="6">
        <f t="shared" ca="1" si="225"/>
        <v>738.05375462391328</v>
      </c>
      <c r="W144" s="6">
        <f t="shared" ca="1" si="225"/>
        <v>741.26268399184323</v>
      </c>
      <c r="X144" s="6">
        <f t="shared" ca="1" si="225"/>
        <v>745.89557576679226</v>
      </c>
      <c r="Y144" s="6">
        <f t="shared" ca="1" si="225"/>
        <v>751.86274037292662</v>
      </c>
      <c r="Z144" s="6">
        <f t="shared" ca="1" si="225"/>
        <v>755.62205407479109</v>
      </c>
      <c r="AA144" s="6">
        <f t="shared" ca="1" si="225"/>
        <v>759.40016434516485</v>
      </c>
      <c r="AB144" s="6">
        <f t="shared" ca="1" si="225"/>
        <v>763.19716516689061</v>
      </c>
      <c r="AC144" s="6">
        <f ca="1">AC136/AC140</f>
        <v>767.01315099272506</v>
      </c>
      <c r="AD144" s="6">
        <f ca="1">AD136/AD140</f>
        <v>770.84821674768853</v>
      </c>
      <c r="AE144" s="6"/>
      <c r="AF144" s="6">
        <f>AF136/AF140</f>
        <v>947.11481481481474</v>
      </c>
      <c r="AG144" s="6">
        <f t="shared" ref="AG144:AV144" si="226">AG136/AG140</f>
        <v>935.89569427771107</v>
      </c>
      <c r="AH144" s="6">
        <f t="shared" si="226"/>
        <v>965.41839539939667</v>
      </c>
      <c r="AI144" s="6">
        <f t="shared" si="226"/>
        <v>1044.3605825873815</v>
      </c>
      <c r="AJ144" s="6">
        <f>AJ136/AJ140</f>
        <v>1000.1181896929509</v>
      </c>
      <c r="AK144" s="6">
        <f t="shared" si="226"/>
        <v>949.26423395499478</v>
      </c>
      <c r="AL144" s="6">
        <f t="shared" si="226"/>
        <v>907.47823469558023</v>
      </c>
      <c r="AM144" s="6">
        <f>AM136/AM140</f>
        <v>866.02525749287668</v>
      </c>
      <c r="AN144" s="6">
        <f t="shared" si="226"/>
        <v>884.78255649870903</v>
      </c>
      <c r="AO144" s="6">
        <f t="shared" si="226"/>
        <v>894.34231641699898</v>
      </c>
      <c r="AP144" s="6">
        <f t="shared" si="226"/>
        <v>944.67175191928754</v>
      </c>
      <c r="AQ144" s="6">
        <f>AQ136/AQ140</f>
        <v>924.83744448335233</v>
      </c>
      <c r="AR144" s="6">
        <f t="shared" si="226"/>
        <v>993.32070260834428</v>
      </c>
      <c r="AS144" s="6">
        <f>AS136/AS140</f>
        <v>1089.9743446855953</v>
      </c>
      <c r="AT144" s="6">
        <f t="shared" si="226"/>
        <v>1086.1530178502862</v>
      </c>
      <c r="AU144" s="6">
        <f t="shared" si="226"/>
        <v>1068.1611757179608</v>
      </c>
      <c r="AV144" s="6">
        <f t="shared" si="226"/>
        <v>1122.9462227753552</v>
      </c>
      <c r="AW144" s="6">
        <f t="shared" ref="AW144:BD144" si="227">AW136/AW140</f>
        <v>1094.7734484231555</v>
      </c>
      <c r="AX144" s="6">
        <f t="shared" si="227"/>
        <v>1098.7669960345722</v>
      </c>
      <c r="AY144" s="6">
        <f t="shared" si="227"/>
        <v>1055.6594913761871</v>
      </c>
      <c r="AZ144" s="6">
        <f t="shared" si="227"/>
        <v>1059.703741419178</v>
      </c>
      <c r="BA144" s="6">
        <f t="shared" si="227"/>
        <v>1098.4548038024309</v>
      </c>
      <c r="BB144" s="6">
        <f t="shared" si="227"/>
        <v>1146.5929806669287</v>
      </c>
      <c r="BC144" s="6">
        <f t="shared" si="227"/>
        <v>1057.8169220296263</v>
      </c>
      <c r="BD144" s="6">
        <f t="shared" si="227"/>
        <v>1056.7268220764697</v>
      </c>
      <c r="BE144" s="6">
        <f t="shared" ref="BE144:BV144" si="228">BE136/BE140</f>
        <v>1058.4971730649636</v>
      </c>
      <c r="BF144" s="6">
        <f t="shared" si="228"/>
        <v>1105.6269944514447</v>
      </c>
      <c r="BG144" s="6">
        <f t="shared" si="228"/>
        <v>999.71617027549814</v>
      </c>
      <c r="BH144" s="6">
        <f t="shared" si="228"/>
        <v>881.34900928079776</v>
      </c>
      <c r="BI144" s="6">
        <f t="shared" si="228"/>
        <v>803.90018373565044</v>
      </c>
      <c r="BJ144" s="6">
        <f t="shared" si="228"/>
        <v>739.07830887974399</v>
      </c>
      <c r="BK144" s="6">
        <f t="shared" si="228"/>
        <v>661.33410886248873</v>
      </c>
      <c r="BL144" s="6">
        <f t="shared" si="228"/>
        <v>629.01262574386988</v>
      </c>
      <c r="BM144" s="6">
        <f t="shared" si="228"/>
        <v>566.15121264462687</v>
      </c>
      <c r="BN144" s="6">
        <f t="shared" si="228"/>
        <v>446.88205283185926</v>
      </c>
      <c r="BO144" s="6">
        <f t="shared" si="228"/>
        <v>459.98559528998788</v>
      </c>
      <c r="BP144" s="6">
        <f t="shared" si="228"/>
        <v>506.23457818181811</v>
      </c>
      <c r="BQ144" s="6">
        <f t="shared" si="228"/>
        <v>497.74578757763976</v>
      </c>
      <c r="BR144" s="6">
        <f t="shared" si="228"/>
        <v>495.4564140816326</v>
      </c>
      <c r="BS144" s="6">
        <f t="shared" si="228"/>
        <v>525.53173383458648</v>
      </c>
      <c r="BT144" s="6">
        <f t="shared" si="228"/>
        <v>648.30793335137071</v>
      </c>
      <c r="BU144" s="6">
        <f t="shared" si="228"/>
        <v>642.85714285714289</v>
      </c>
      <c r="BV144" s="6">
        <f t="shared" si="228"/>
        <v>625</v>
      </c>
      <c r="BW144" s="6">
        <f>BW136/BW140</f>
        <v>571.42857142857144</v>
      </c>
      <c r="BX144" s="6">
        <f t="shared" ref="BX144:CE144" ca="1" si="229">BX136/BX140</f>
        <v>739.07104402056268</v>
      </c>
      <c r="BY144" s="6">
        <f t="shared" ca="1" si="229"/>
        <v>728.57142857142844</v>
      </c>
      <c r="BZ144" s="6">
        <f t="shared" ca="1" si="229"/>
        <v>750</v>
      </c>
      <c r="CA144" s="6">
        <f t="shared" ca="1" si="229"/>
        <v>726.79382001278236</v>
      </c>
      <c r="CB144" s="6">
        <f t="shared" ca="1" si="229"/>
        <v>733.69598188223142</v>
      </c>
      <c r="CC144" s="6">
        <f t="shared" ca="1" si="229"/>
        <v>730.22727272727286</v>
      </c>
      <c r="CD144" s="6">
        <f t="shared" ca="1" si="229"/>
        <v>737.38636363636374</v>
      </c>
      <c r="CE144" s="6">
        <f t="shared" ca="1" si="229"/>
        <v>750.64286741290823</v>
      </c>
      <c r="CF144" s="5"/>
      <c r="CG144" s="5"/>
      <c r="CH144" s="5"/>
    </row>
    <row r="145" spans="1:96" outlineLevel="1">
      <c r="A145" s="3" t="s">
        <v>498</v>
      </c>
      <c r="B145" s="12" t="s">
        <v>82</v>
      </c>
      <c r="C145" s="6"/>
      <c r="D145" s="6"/>
      <c r="E145" s="6"/>
      <c r="F145" s="6"/>
      <c r="G145" s="6"/>
      <c r="H145" s="6"/>
      <c r="I145" s="126"/>
      <c r="J145" s="126">
        <f>(J144/I144-1)*1</f>
        <v>1.4184236336947986E-2</v>
      </c>
      <c r="K145" s="126">
        <f>(K144/J144-1)*1</f>
        <v>-7.6326711046172835E-2</v>
      </c>
      <c r="L145" s="126">
        <f>(L144/K144-1)*1</f>
        <v>7.550581680769719E-3</v>
      </c>
      <c r="M145" s="126">
        <f>(M144/L144-1)*1</f>
        <v>0.15794005256190591</v>
      </c>
      <c r="N145" s="41">
        <f>(N144/M144-1)</f>
        <v>3.2249501056702323E-2</v>
      </c>
      <c r="O145" s="41">
        <f t="shared" ref="O145:AD145" si="230">(O144/N144-1)</f>
        <v>7.2733189102525131E-4</v>
      </c>
      <c r="P145" s="41">
        <f t="shared" si="230"/>
        <v>-3.4558882969355054E-2</v>
      </c>
      <c r="Q145" s="41">
        <f t="shared" si="230"/>
        <v>-0.28114148093397873</v>
      </c>
      <c r="R145" s="41">
        <f t="shared" si="230"/>
        <v>-0.33030058337743184</v>
      </c>
      <c r="S145" s="41">
        <f t="shared" si="230"/>
        <v>-2.0857830962324186E-3</v>
      </c>
      <c r="T145" s="323">
        <f t="shared" si="230"/>
        <v>0.22540989789188681</v>
      </c>
      <c r="U145" s="41">
        <f t="shared" ca="1" si="230"/>
        <v>0.18666666666666676</v>
      </c>
      <c r="V145" s="41">
        <f t="shared" ca="1" si="230"/>
        <v>2.2727272727274261E-3</v>
      </c>
      <c r="W145" s="41">
        <f t="shared" ca="1" si="230"/>
        <v>4.3478260869562746E-3</v>
      </c>
      <c r="X145" s="41">
        <f t="shared" ca="1" si="230"/>
        <v>6.2500000000000888E-3</v>
      </c>
      <c r="Y145" s="41">
        <f t="shared" ca="1" si="230"/>
        <v>8.0000000000000071E-3</v>
      </c>
      <c r="Z145" s="41">
        <f t="shared" ca="1" si="230"/>
        <v>4.9999999999998934E-3</v>
      </c>
      <c r="AA145" s="41">
        <f t="shared" ca="1" si="230"/>
        <v>4.9999999999996714E-3</v>
      </c>
      <c r="AB145" s="41">
        <f t="shared" ca="1" si="230"/>
        <v>4.9999999999998934E-3</v>
      </c>
      <c r="AC145" s="323">
        <f t="shared" ca="1" si="230"/>
        <v>4.9999999999998934E-3</v>
      </c>
      <c r="AD145" s="323">
        <f t="shared" ca="1" si="230"/>
        <v>4.9999999999998934E-3</v>
      </c>
      <c r="AE145" s="323"/>
      <c r="AF145" s="126"/>
      <c r="AG145" s="126"/>
      <c r="AH145" s="126"/>
      <c r="AI145" s="126"/>
      <c r="AJ145" s="126">
        <f t="shared" ref="AJ145:AY145" si="231">(AJ144/AF144-1)*1</f>
        <v>5.5962987854328627E-2</v>
      </c>
      <c r="AK145" s="126">
        <f t="shared" si="231"/>
        <v>1.4284219661466757E-2</v>
      </c>
      <c r="AL145" s="126">
        <f t="shared" si="231"/>
        <v>-6.0015596325825538E-2</v>
      </c>
      <c r="AM145" s="126">
        <f t="shared" si="231"/>
        <v>-0.17076029875877041</v>
      </c>
      <c r="AN145" s="126">
        <f t="shared" si="231"/>
        <v>-0.11532200332207876</v>
      </c>
      <c r="AO145" s="126">
        <f t="shared" si="231"/>
        <v>-5.7857354752712253E-2</v>
      </c>
      <c r="AP145" s="126">
        <f t="shared" si="231"/>
        <v>4.0985574972147054E-2</v>
      </c>
      <c r="AQ145" s="126">
        <f t="shared" si="231"/>
        <v>6.7910475452801045E-2</v>
      </c>
      <c r="AR145" s="126">
        <f t="shared" si="231"/>
        <v>0.12267211340506767</v>
      </c>
      <c r="AS145" s="126">
        <f t="shared" si="231"/>
        <v>0.21874401409558297</v>
      </c>
      <c r="AT145" s="126">
        <f t="shared" si="231"/>
        <v>0.14976764748554361</v>
      </c>
      <c r="AU145" s="126">
        <f t="shared" si="231"/>
        <v>0.15497180838593128</v>
      </c>
      <c r="AV145" s="126">
        <f t="shared" si="231"/>
        <v>0.13049714943686297</v>
      </c>
      <c r="AW145" s="126">
        <f t="shared" si="231"/>
        <v>4.4029510978484954E-3</v>
      </c>
      <c r="AX145" s="126">
        <f t="shared" si="231"/>
        <v>1.1613444861803712E-2</v>
      </c>
      <c r="AY145" s="126">
        <f t="shared" si="231"/>
        <v>-1.1703930666990048E-2</v>
      </c>
      <c r="AZ145" s="41">
        <f>(AZ144/AV144-1)</f>
        <v>-5.6318352627674151E-2</v>
      </c>
      <c r="BA145" s="41">
        <f t="shared" ref="BA145:CA145" si="232">(BA144/AW144-1)</f>
        <v>3.3626641060557905E-3</v>
      </c>
      <c r="BB145" s="41">
        <f t="shared" si="232"/>
        <v>4.3526957767169527E-2</v>
      </c>
      <c r="BC145" s="41">
        <f t="shared" si="232"/>
        <v>2.043680439633766E-3</v>
      </c>
      <c r="BD145" s="41">
        <f t="shared" si="232"/>
        <v>-2.8091996152825871E-3</v>
      </c>
      <c r="BE145" s="41">
        <f t="shared" si="232"/>
        <v>-3.637621739114727E-2</v>
      </c>
      <c r="BF145" s="41">
        <f t="shared" si="232"/>
        <v>-3.5728446716685514E-2</v>
      </c>
      <c r="BG145" s="41">
        <f t="shared" si="232"/>
        <v>-5.4925148713494409E-2</v>
      </c>
      <c r="BH145" s="41">
        <f t="shared" si="232"/>
        <v>-0.16596324530785955</v>
      </c>
      <c r="BI145" s="41">
        <f t="shared" si="232"/>
        <v>-0.24052684863777873</v>
      </c>
      <c r="BJ145" s="41">
        <f t="shared" si="232"/>
        <v>-0.33153015204152403</v>
      </c>
      <c r="BK145" s="41">
        <f t="shared" si="232"/>
        <v>-0.33847813156784223</v>
      </c>
      <c r="BL145" s="41">
        <f t="shared" si="232"/>
        <v>-0.28630699175896335</v>
      </c>
      <c r="BM145" s="41">
        <f t="shared" si="232"/>
        <v>-0.29574439202915204</v>
      </c>
      <c r="BN145" s="41">
        <f t="shared" si="232"/>
        <v>-0.39535222795373393</v>
      </c>
      <c r="BO145" s="41">
        <f t="shared" si="232"/>
        <v>-0.30445808083122361</v>
      </c>
      <c r="BP145" s="41">
        <f t="shared" si="232"/>
        <v>-0.19519170607562053</v>
      </c>
      <c r="BQ145" s="41">
        <f t="shared" si="232"/>
        <v>-0.12082536173940017</v>
      </c>
      <c r="BR145" s="41">
        <f t="shared" si="232"/>
        <v>0.10869615582447567</v>
      </c>
      <c r="BS145" s="41">
        <f t="shared" si="232"/>
        <v>0.14249606773724399</v>
      </c>
      <c r="BT145" s="41">
        <f t="shared" si="232"/>
        <v>0.28064727557690827</v>
      </c>
      <c r="BU145" s="41">
        <f t="shared" si="232"/>
        <v>0.29153708358981989</v>
      </c>
      <c r="BV145" s="41">
        <f t="shared" si="232"/>
        <v>0.26146313224844731</v>
      </c>
      <c r="BW145" s="323">
        <f t="shared" si="232"/>
        <v>8.7334093526750145E-2</v>
      </c>
      <c r="BX145" s="323">
        <f t="shared" ca="1" si="232"/>
        <v>0.14000000000000012</v>
      </c>
      <c r="BY145" s="323">
        <f t="shared" ca="1" si="232"/>
        <v>0.13333333333333308</v>
      </c>
      <c r="BZ145" s="323">
        <f t="shared" ca="1" si="232"/>
        <v>0.19999999999999996</v>
      </c>
      <c r="CA145" s="323">
        <f t="shared" ca="1" si="232"/>
        <v>0.27188918502236903</v>
      </c>
      <c r="CB145" s="323">
        <f ca="1">(CB144/BX144-1)</f>
        <v>-7.2727272727270975E-3</v>
      </c>
      <c r="CC145" s="323">
        <f ca="1">(CC144/BY144-1)</f>
        <v>2.2727272727276482E-3</v>
      </c>
      <c r="CD145" s="323">
        <f ca="1">(CD144/BZ144-1)</f>
        <v>-1.6818181818181732E-2</v>
      </c>
      <c r="CE145" s="323">
        <f ca="1">(CE144/CA144-1)</f>
        <v>3.2814048143263497E-2</v>
      </c>
      <c r="CF145" s="62"/>
      <c r="CG145" s="5"/>
      <c r="CH145" s="5"/>
    </row>
    <row r="146" spans="1:96" s="211" customFormat="1" outlineLevel="1">
      <c r="A146" s="3"/>
      <c r="B146" s="12" t="s">
        <v>83</v>
      </c>
      <c r="C146" s="6"/>
      <c r="D146" s="6"/>
      <c r="E146" s="6"/>
      <c r="F146" s="6"/>
      <c r="G146" s="6"/>
      <c r="H146" s="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324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126"/>
      <c r="AG146" s="323">
        <f>(AG144/AF144-1)</f>
        <v>-1.1845576018465365E-2</v>
      </c>
      <c r="AH146" s="323">
        <f t="shared" ref="AH146:BB146" si="233">(AH144/AG144-1)</f>
        <v>3.154486264035028E-2</v>
      </c>
      <c r="AI146" s="323">
        <f t="shared" si="233"/>
        <v>8.176992230951452E-2</v>
      </c>
      <c r="AJ146" s="323">
        <f t="shared" si="233"/>
        <v>-4.2363139352522339E-2</v>
      </c>
      <c r="AK146" s="323">
        <f t="shared" si="233"/>
        <v>-5.0847946034827007E-2</v>
      </c>
      <c r="AL146" s="323">
        <f t="shared" si="233"/>
        <v>-4.4019354953802714E-2</v>
      </c>
      <c r="AM146" s="323">
        <f t="shared" si="233"/>
        <v>-4.5679307357282539E-2</v>
      </c>
      <c r="AN146" s="323">
        <f t="shared" si="233"/>
        <v>2.165906691928865E-2</v>
      </c>
      <c r="AO146" s="323">
        <f t="shared" si="233"/>
        <v>1.080464329690245E-2</v>
      </c>
      <c r="AP146" s="323">
        <f t="shared" si="233"/>
        <v>5.6275359645200806E-2</v>
      </c>
      <c r="AQ146" s="323">
        <f t="shared" si="233"/>
        <v>-2.099597812217624E-2</v>
      </c>
      <c r="AR146" s="323">
        <f t="shared" si="233"/>
        <v>7.4048967776439101E-2</v>
      </c>
      <c r="AS146" s="323">
        <f t="shared" si="233"/>
        <v>9.730356150178876E-2</v>
      </c>
      <c r="AT146" s="323">
        <f t="shared" si="233"/>
        <v>-3.5058869540743887E-3</v>
      </c>
      <c r="AU146" s="323">
        <f t="shared" si="233"/>
        <v>-1.6564739807964579E-2</v>
      </c>
      <c r="AV146" s="323">
        <f t="shared" si="233"/>
        <v>5.128912031517241E-2</v>
      </c>
      <c r="AW146" s="323">
        <f t="shared" si="233"/>
        <v>-2.5088266722667063E-2</v>
      </c>
      <c r="AX146" s="323">
        <f t="shared" si="233"/>
        <v>3.6478301672082658E-3</v>
      </c>
      <c r="AY146" s="323">
        <f t="shared" si="233"/>
        <v>-3.9232616936947684E-2</v>
      </c>
      <c r="AZ146" s="323">
        <f t="shared" si="233"/>
        <v>3.8310175544564729E-3</v>
      </c>
      <c r="BA146" s="323">
        <f t="shared" si="233"/>
        <v>3.6567826335459186E-2</v>
      </c>
      <c r="BB146" s="323">
        <f t="shared" si="233"/>
        <v>4.3823538936569761E-2</v>
      </c>
      <c r="BC146" s="41">
        <f t="shared" ref="BC146:CA146" si="234">(BC144/BB144-1)</f>
        <v>-7.7425956842736676E-2</v>
      </c>
      <c r="BD146" s="41">
        <f t="shared" si="234"/>
        <v>-1.0305185429110297E-3</v>
      </c>
      <c r="BE146" s="41">
        <f t="shared" si="234"/>
        <v>1.6753156553888093E-3</v>
      </c>
      <c r="BF146" s="41">
        <f t="shared" si="234"/>
        <v>4.4525221782135693E-2</v>
      </c>
      <c r="BG146" s="41">
        <f t="shared" si="234"/>
        <v>-9.5792545503552984E-2</v>
      </c>
      <c r="BH146" s="41">
        <f t="shared" si="234"/>
        <v>-0.11840076665167998</v>
      </c>
      <c r="BI146" s="41">
        <f t="shared" si="234"/>
        <v>-8.7875319231762061E-2</v>
      </c>
      <c r="BJ146" s="41">
        <f t="shared" si="234"/>
        <v>-8.0634233163979552E-2</v>
      </c>
      <c r="BK146" s="41">
        <f t="shared" si="234"/>
        <v>-0.10519074783170923</v>
      </c>
      <c r="BL146" s="41">
        <f t="shared" si="234"/>
        <v>-4.8873153048483498E-2</v>
      </c>
      <c r="BM146" s="41">
        <f t="shared" si="234"/>
        <v>-9.993664757508347E-2</v>
      </c>
      <c r="BN146" s="41">
        <f t="shared" si="234"/>
        <v>-0.2106666154712149</v>
      </c>
      <c r="BO146" s="41">
        <f t="shared" si="234"/>
        <v>2.9322149715103718E-2</v>
      </c>
      <c r="BP146" s="41">
        <f t="shared" si="234"/>
        <v>0.10054441566300265</v>
      </c>
      <c r="BQ146" s="41">
        <f t="shared" si="234"/>
        <v>-1.6768492256428846E-2</v>
      </c>
      <c r="BR146" s="41">
        <f t="shared" si="234"/>
        <v>-4.5994834173258559E-3</v>
      </c>
      <c r="BS146" s="41">
        <f t="shared" si="234"/>
        <v>6.0702251294295628E-2</v>
      </c>
      <c r="BT146" s="41">
        <f t="shared" si="234"/>
        <v>0.23362280831442361</v>
      </c>
      <c r="BU146" s="41">
        <f t="shared" si="234"/>
        <v>-8.4077183292365909E-3</v>
      </c>
      <c r="BV146" s="41">
        <f t="shared" si="234"/>
        <v>-2.777777777777779E-2</v>
      </c>
      <c r="BW146" s="323">
        <f t="shared" si="234"/>
        <v>-8.5714285714285743E-2</v>
      </c>
      <c r="BX146" s="323">
        <f t="shared" ca="1" si="234"/>
        <v>0.29337432703598476</v>
      </c>
      <c r="BY146" s="323">
        <f t="shared" ca="1" si="234"/>
        <v>-1.4206503602165355E-2</v>
      </c>
      <c r="BZ146" s="323">
        <f t="shared" ca="1" si="234"/>
        <v>2.941176470588247E-2</v>
      </c>
      <c r="CA146" s="323">
        <f t="shared" ca="1" si="234"/>
        <v>-3.0941573316290216E-2</v>
      </c>
      <c r="CB146" s="323">
        <f ca="1">(CB144/CA144-1)</f>
        <v>9.4967261407474801E-3</v>
      </c>
      <c r="CC146" s="323">
        <f ca="1">(CC144/CB144-1)</f>
        <v>-4.7277199829551808E-3</v>
      </c>
      <c r="CD146" s="323">
        <f ca="1">(CD144/CC144-1)</f>
        <v>9.8039215686274161E-3</v>
      </c>
      <c r="CE146" s="323">
        <f ca="1">(CE144/CD144-1)</f>
        <v>1.7977690435134974E-2</v>
      </c>
      <c r="CF146" s="62"/>
      <c r="CG146" s="5"/>
      <c r="CH146" s="5"/>
      <c r="CI146" s="13"/>
      <c r="CJ146"/>
      <c r="CK146"/>
      <c r="CL146"/>
      <c r="CM146"/>
      <c r="CN146"/>
      <c r="CO146"/>
      <c r="CP146" s="13"/>
      <c r="CQ146" s="13"/>
      <c r="CR146" s="13"/>
    </row>
    <row r="147" spans="1:96" s="211" customFormat="1" outlineLevel="1">
      <c r="A147" s="3"/>
      <c r="B147" s="12"/>
      <c r="C147" s="6"/>
      <c r="D147" s="6"/>
      <c r="E147" s="6"/>
      <c r="F147" s="6"/>
      <c r="G147" s="6"/>
      <c r="H147" s="6"/>
      <c r="I147" s="324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157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324"/>
      <c r="AG147" s="323"/>
      <c r="AH147" s="323"/>
      <c r="AI147" s="323"/>
      <c r="AJ147" s="323"/>
      <c r="AK147" s="323"/>
      <c r="AL147" s="323"/>
      <c r="AM147" s="323"/>
      <c r="AN147" s="323"/>
      <c r="AO147" s="323"/>
      <c r="AP147" s="323"/>
      <c r="AQ147" s="323"/>
      <c r="AR147" s="323"/>
      <c r="AS147" s="323"/>
      <c r="AT147" s="323"/>
      <c r="AU147" s="323"/>
      <c r="AV147" s="323"/>
      <c r="AW147" s="323"/>
      <c r="AX147" s="323"/>
      <c r="AY147" s="323"/>
      <c r="AZ147" s="323"/>
      <c r="BA147" s="323"/>
      <c r="BB147" s="323"/>
      <c r="BC147" s="323"/>
      <c r="BD147" s="323"/>
      <c r="BE147" s="323"/>
      <c r="BF147" s="323"/>
      <c r="BG147" s="323"/>
      <c r="BH147" s="323"/>
      <c r="BI147" s="323"/>
      <c r="BJ147" s="323"/>
      <c r="BK147" s="323"/>
      <c r="BL147" s="323"/>
      <c r="BM147" s="323"/>
      <c r="BN147" s="323"/>
      <c r="BO147" s="323"/>
      <c r="BP147" s="323"/>
      <c r="BQ147" s="323"/>
      <c r="BR147" s="323"/>
      <c r="BS147" s="323"/>
      <c r="BT147" s="323"/>
      <c r="BU147" s="323"/>
      <c r="BV147" s="323"/>
      <c r="BW147" s="323"/>
      <c r="BX147" s="323"/>
      <c r="BY147" s="323"/>
      <c r="BZ147" s="323"/>
      <c r="CA147" s="323"/>
      <c r="CB147" s="323"/>
      <c r="CC147" s="323"/>
      <c r="CD147" s="323"/>
      <c r="CE147" s="323"/>
      <c r="CF147" s="62"/>
      <c r="CG147" s="5"/>
      <c r="CH147" s="5"/>
      <c r="CI147" s="13"/>
      <c r="CJ147"/>
      <c r="CK147"/>
      <c r="CL147"/>
      <c r="CM147"/>
      <c r="CN147"/>
      <c r="CO147"/>
      <c r="CP147" s="13"/>
      <c r="CQ147" s="13"/>
      <c r="CR147" s="13"/>
    </row>
    <row r="148" spans="1:96" s="211" customFormat="1" outlineLevel="1">
      <c r="A148" s="3" t="s">
        <v>729</v>
      </c>
      <c r="B148" s="215" t="s">
        <v>121</v>
      </c>
      <c r="C148" s="6"/>
      <c r="D148" s="6"/>
      <c r="E148" s="6"/>
      <c r="F148" s="6"/>
      <c r="G148" s="6"/>
      <c r="H148" s="6"/>
      <c r="I148" s="324"/>
      <c r="J148" s="324"/>
      <c r="K148" s="324"/>
      <c r="L148" s="324"/>
      <c r="M148" s="324"/>
      <c r="N148" s="215">
        <f>N144*N132</f>
        <v>35484.39911111111</v>
      </c>
      <c r="O148" s="215">
        <f>O144*O132</f>
        <v>42257.147574999995</v>
      </c>
      <c r="P148" s="215">
        <f>P144*P132</f>
        <v>54044.606474999993</v>
      </c>
      <c r="Q148" s="215">
        <f t="shared" ref="Q148:AB148" si="235">Q144*Q132</f>
        <v>73751.81210000001</v>
      </c>
      <c r="R148" s="215">
        <f t="shared" si="235"/>
        <v>111347.143725</v>
      </c>
      <c r="S148" s="215">
        <f t="shared" si="235"/>
        <v>252186.18774285712</v>
      </c>
      <c r="T148" s="215">
        <f>T144*T132</f>
        <v>436465.3570357142</v>
      </c>
      <c r="U148" s="215">
        <f t="shared" ca="1" si="235"/>
        <v>642244.22403281892</v>
      </c>
      <c r="V148" s="215">
        <f t="shared" ca="1" si="235"/>
        <v>791755.76009573194</v>
      </c>
      <c r="W148" s="215">
        <f t="shared" ca="1" si="235"/>
        <v>970141.77526164835</v>
      </c>
      <c r="X148" s="215">
        <f t="shared" ca="1" si="235"/>
        <v>1171446.1936284404</v>
      </c>
      <c r="Y148" s="215">
        <f ca="1">Y144*Y132</f>
        <v>1405173.1381811867</v>
      </c>
      <c r="Z148" s="215">
        <f t="shared" ca="1" si="235"/>
        <v>1666394.8245690688</v>
      </c>
      <c r="AA148" s="215">
        <f t="shared" ca="1" si="235"/>
        <v>1959430.3544695389</v>
      </c>
      <c r="AB148" s="215">
        <f t="shared" ca="1" si="235"/>
        <v>2284303.9072405882</v>
      </c>
      <c r="AC148" s="215">
        <f ca="1">AC144*AC132</f>
        <v>2640084.2407933096</v>
      </c>
      <c r="AD148" s="215">
        <f ca="1">AD144*AD132</f>
        <v>3024744.5146768941</v>
      </c>
      <c r="AE148" s="215"/>
      <c r="AF148" s="215">
        <f t="shared" ref="AF148:AY148" si="236">AF144*AF132</f>
        <v>2102.5948888888888</v>
      </c>
      <c r="AG148" s="215">
        <f t="shared" si="236"/>
        <v>2386.5340204081631</v>
      </c>
      <c r="AH148" s="215">
        <f t="shared" si="236"/>
        <v>2809.3675306122445</v>
      </c>
      <c r="AI148" s="215">
        <f t="shared" si="236"/>
        <v>3147.7027959183674</v>
      </c>
      <c r="AJ148" s="215">
        <f t="shared" si="236"/>
        <v>3302.9471666666664</v>
      </c>
      <c r="AK148" s="215">
        <f t="shared" si="236"/>
        <v>3591.8901914893618</v>
      </c>
      <c r="AL148" s="215">
        <f t="shared" si="236"/>
        <v>3617.8434782608701</v>
      </c>
      <c r="AM148" s="215">
        <f t="shared" si="236"/>
        <v>3680.382177777778</v>
      </c>
      <c r="AN148" s="215">
        <f t="shared" si="236"/>
        <v>4090.8625555555554</v>
      </c>
      <c r="AO148" s="215">
        <f t="shared" si="236"/>
        <v>4805.3835555555552</v>
      </c>
      <c r="AP148" s="215">
        <f t="shared" si="236"/>
        <v>5272.5720227272732</v>
      </c>
      <c r="AQ148" s="215">
        <f t="shared" si="236"/>
        <v>5364.8850000000002</v>
      </c>
      <c r="AR148" s="215">
        <f t="shared" si="236"/>
        <v>6016.433477272727</v>
      </c>
      <c r="AS148" s="215">
        <f t="shared" si="236"/>
        <v>7144.9695813953513</v>
      </c>
      <c r="AT148" s="215">
        <f t="shared" si="236"/>
        <v>7880.9025500000007</v>
      </c>
      <c r="AU148" s="215">
        <f t="shared" si="236"/>
        <v>7993.2152999999989</v>
      </c>
      <c r="AV148" s="215">
        <f t="shared" si="236"/>
        <v>8161.8730749999995</v>
      </c>
      <c r="AW148" s="215">
        <f t="shared" si="236"/>
        <v>8683.4785249999986</v>
      </c>
      <c r="AX148" s="215">
        <f t="shared" si="236"/>
        <v>9168.2910238095228</v>
      </c>
      <c r="AY148" s="215">
        <f t="shared" si="236"/>
        <v>9479.5959147869689</v>
      </c>
      <c r="AZ148" s="215">
        <f>AZ144*AZ132</f>
        <v>9011.5854999999992</v>
      </c>
      <c r="BA148" s="215">
        <f t="shared" ref="BA148:BV148" si="237">BA144*BA132</f>
        <v>10106.706649999998</v>
      </c>
      <c r="BB148" s="215">
        <f t="shared" si="237"/>
        <v>11959.198550000001</v>
      </c>
      <c r="BC148" s="215">
        <f t="shared" si="237"/>
        <v>11179.657874999999</v>
      </c>
      <c r="BD148" s="215">
        <f t="shared" si="237"/>
        <v>11412.563100000001</v>
      </c>
      <c r="BE148" s="215">
        <f t="shared" si="237"/>
        <v>13050.344274999999</v>
      </c>
      <c r="BF148" s="215">
        <f t="shared" si="237"/>
        <v>15106.8086</v>
      </c>
      <c r="BG148" s="215">
        <f t="shared" si="237"/>
        <v>14474.890500000001</v>
      </c>
      <c r="BH148" s="215">
        <f t="shared" si="237"/>
        <v>16276.630025</v>
      </c>
      <c r="BI148" s="215">
        <f t="shared" si="237"/>
        <v>18137.83655</v>
      </c>
      <c r="BJ148" s="215">
        <f t="shared" si="237"/>
        <v>19994.923175</v>
      </c>
      <c r="BK148" s="215">
        <f t="shared" si="237"/>
        <v>19342.422350000001</v>
      </c>
      <c r="BL148" s="215">
        <f t="shared" si="237"/>
        <v>23697.694775</v>
      </c>
      <c r="BM148" s="215">
        <f t="shared" si="237"/>
        <v>26313.766600000003</v>
      </c>
      <c r="BN148" s="215">
        <f t="shared" si="237"/>
        <v>30224.714375000003</v>
      </c>
      <c r="BO148" s="215">
        <f t="shared" si="237"/>
        <v>31110.967975</v>
      </c>
      <c r="BP148" s="215">
        <f t="shared" si="237"/>
        <v>55685.803599999992</v>
      </c>
      <c r="BQ148" s="215">
        <f t="shared" si="237"/>
        <v>57240.765571428572</v>
      </c>
      <c r="BR148" s="215">
        <f t="shared" si="237"/>
        <v>69363.897971428567</v>
      </c>
      <c r="BS148" s="215">
        <f t="shared" si="237"/>
        <v>69895.720600000001</v>
      </c>
      <c r="BT148" s="215">
        <f t="shared" si="237"/>
        <v>102691.97664285712</v>
      </c>
      <c r="BU148" s="215">
        <f t="shared" si="237"/>
        <v>106868.94128571429</v>
      </c>
      <c r="BV148" s="215">
        <f t="shared" si="237"/>
        <v>122435.52175</v>
      </c>
      <c r="BW148" s="215">
        <f>BW144*BW132</f>
        <v>104468.91735714287</v>
      </c>
      <c r="BX148" s="215">
        <f t="shared" ref="BX148:CE148" ca="1" si="238">BX144*BX132</f>
        <v>136970.55844624285</v>
      </c>
      <c r="BY148" s="215">
        <f t="shared" ca="1" si="238"/>
        <v>146552.94148314281</v>
      </c>
      <c r="BZ148" s="215">
        <f t="shared" ca="1" si="238"/>
        <v>185122.508886</v>
      </c>
      <c r="CA148" s="215">
        <f t="shared" ca="1" si="238"/>
        <v>173598.21521743329</v>
      </c>
      <c r="CB148" s="215">
        <f t="shared" ca="1" si="238"/>
        <v>183565.45205586476</v>
      </c>
      <c r="CC148" s="215">
        <f t="shared" ca="1" si="238"/>
        <v>190951.82125519504</v>
      </c>
      <c r="CD148" s="215">
        <f t="shared" ca="1" si="238"/>
        <v>218410.90184750076</v>
      </c>
      <c r="CE148" s="215">
        <f t="shared" ca="1" si="238"/>
        <v>198827.58493717154</v>
      </c>
      <c r="CF148" s="62"/>
      <c r="CG148" s="5"/>
      <c r="CH148" s="5"/>
      <c r="CI148" s="13"/>
      <c r="CJ148"/>
      <c r="CK148"/>
      <c r="CL148"/>
      <c r="CM148"/>
      <c r="CN148"/>
      <c r="CO148"/>
      <c r="CP148" s="13"/>
      <c r="CQ148" s="13"/>
      <c r="CR148" s="13"/>
    </row>
    <row r="149" spans="1:96" s="211" customFormat="1" outlineLevel="1">
      <c r="A149" s="3"/>
      <c r="B149" s="12" t="s">
        <v>82</v>
      </c>
      <c r="C149" s="6"/>
      <c r="D149" s="6"/>
      <c r="E149" s="6"/>
      <c r="F149" s="6"/>
      <c r="G149" s="6"/>
      <c r="H149" s="6"/>
      <c r="I149" s="324"/>
      <c r="J149" s="324"/>
      <c r="K149" s="324"/>
      <c r="L149" s="324"/>
      <c r="M149" s="324"/>
      <c r="N149" s="324"/>
      <c r="O149" s="323">
        <f>O148/N148-1</f>
        <v>0.19086552495031994</v>
      </c>
      <c r="P149" s="323">
        <f>P148/O148-1</f>
        <v>0.27894591983708916</v>
      </c>
      <c r="Q149" s="323">
        <f t="shared" ref="Q149:AD149" si="239">Q148/P148-1</f>
        <v>0.36464703714914082</v>
      </c>
      <c r="R149" s="323">
        <f t="shared" si="239"/>
        <v>0.50975468337001018</v>
      </c>
      <c r="S149" s="323">
        <f t="shared" si="239"/>
        <v>1.2648644527936419</v>
      </c>
      <c r="T149" s="323">
        <f t="shared" si="239"/>
        <v>0.73072665454921037</v>
      </c>
      <c r="U149" s="323">
        <f t="shared" ca="1" si="239"/>
        <v>0.4714666666666667</v>
      </c>
      <c r="V149" s="323">
        <f t="shared" ca="1" si="239"/>
        <v>0.23279545454545492</v>
      </c>
      <c r="W149" s="323">
        <f t="shared" ca="1" si="239"/>
        <v>0.22530434782608655</v>
      </c>
      <c r="X149" s="323">
        <f t="shared" ca="1" si="239"/>
        <v>0.20750000000000002</v>
      </c>
      <c r="Y149" s="323">
        <f t="shared" ca="1" si="239"/>
        <v>0.19951999999999992</v>
      </c>
      <c r="Z149" s="323">
        <f t="shared" ca="1" si="239"/>
        <v>0.18589999999999973</v>
      </c>
      <c r="AA149" s="323">
        <f t="shared" ca="1" si="239"/>
        <v>0.17584999999999962</v>
      </c>
      <c r="AB149" s="323">
        <f t="shared" ca="1" si="239"/>
        <v>0.16579999999999995</v>
      </c>
      <c r="AC149" s="323">
        <f t="shared" ca="1" si="239"/>
        <v>0.15574999999999983</v>
      </c>
      <c r="AD149" s="323">
        <f t="shared" ca="1" si="239"/>
        <v>0.14569999999999972</v>
      </c>
      <c r="AE149" s="323"/>
      <c r="AF149" s="324"/>
      <c r="AG149" s="323"/>
      <c r="AH149" s="323"/>
      <c r="AI149" s="323"/>
      <c r="AJ149" s="323"/>
      <c r="AK149" s="323"/>
      <c r="AL149" s="323"/>
      <c r="AM149" s="323"/>
      <c r="AN149" s="323"/>
      <c r="AO149" s="323"/>
      <c r="AP149" s="323"/>
      <c r="AQ149" s="323"/>
      <c r="AR149" s="323"/>
      <c r="AS149" s="323"/>
      <c r="AT149" s="323"/>
      <c r="AU149" s="323"/>
      <c r="AV149" s="323"/>
      <c r="AW149" s="323"/>
      <c r="AX149" s="323"/>
      <c r="AY149" s="323"/>
      <c r="AZ149" s="323"/>
      <c r="BA149" s="323"/>
      <c r="BB149" s="323"/>
      <c r="BC149" s="323"/>
      <c r="BD149" s="323">
        <f>BD148/AZ148-1</f>
        <v>0.26643231648859156</v>
      </c>
      <c r="BE149" s="323">
        <f t="shared" ref="BE149:BO149" si="240">BE148/BA148-1</f>
        <v>0.29125586869586262</v>
      </c>
      <c r="BF149" s="323">
        <f t="shared" si="240"/>
        <v>0.26319573480114178</v>
      </c>
      <c r="BG149" s="323">
        <f t="shared" si="240"/>
        <v>0.29475254626251268</v>
      </c>
      <c r="BH149" s="323">
        <f t="shared" si="240"/>
        <v>0.42620285052356022</v>
      </c>
      <c r="BI149" s="323">
        <f t="shared" si="240"/>
        <v>0.38983586699286521</v>
      </c>
      <c r="BJ149" s="323">
        <f t="shared" si="240"/>
        <v>0.32357029895778244</v>
      </c>
      <c r="BK149" s="323">
        <f t="shared" si="240"/>
        <v>0.33627417423295869</v>
      </c>
      <c r="BL149" s="323">
        <f t="shared" si="240"/>
        <v>0.45593373681171445</v>
      </c>
      <c r="BM149" s="323">
        <f t="shared" si="240"/>
        <v>0.4507665524199469</v>
      </c>
      <c r="BN149" s="323">
        <f t="shared" si="240"/>
        <v>0.51161943011566491</v>
      </c>
      <c r="BO149" s="323">
        <f t="shared" si="240"/>
        <v>0.60843184023432295</v>
      </c>
      <c r="BP149" s="323">
        <f t="shared" ref="BP149:CA149" si="241">BP148/BL148-1</f>
        <v>1.349840527895819</v>
      </c>
      <c r="BQ149" s="323">
        <f t="shared" si="241"/>
        <v>1.1753163065385159</v>
      </c>
      <c r="BR149" s="323">
        <f t="shared" si="241"/>
        <v>1.2949397341138167</v>
      </c>
      <c r="BS149" s="323">
        <f t="shared" si="241"/>
        <v>1.2466584985773013</v>
      </c>
      <c r="BT149" s="323">
        <f t="shared" si="241"/>
        <v>0.84413207683074787</v>
      </c>
      <c r="BU149" s="323">
        <f t="shared" si="241"/>
        <v>0.86700754643745293</v>
      </c>
      <c r="BV149" s="323">
        <f t="shared" si="241"/>
        <v>0.7651188201740331</v>
      </c>
      <c r="BW149" s="323">
        <f t="shared" si="241"/>
        <v>0.49463967837170952</v>
      </c>
      <c r="BX149" s="323">
        <f t="shared" ca="1" si="241"/>
        <v>0.33380000000000032</v>
      </c>
      <c r="BY149" s="323">
        <f t="shared" ca="1" si="241"/>
        <v>0.37133333333333285</v>
      </c>
      <c r="BZ149" s="323">
        <f t="shared" ca="1" si="241"/>
        <v>0.51200000000000001</v>
      </c>
      <c r="CA149" s="323">
        <f t="shared" ca="1" si="241"/>
        <v>0.66172120482460262</v>
      </c>
      <c r="CB149" s="323">
        <f ca="1">CB148/BX148-1</f>
        <v>0.34018181818181836</v>
      </c>
      <c r="CC149" s="323">
        <f ca="1">CC148/BY148-1</f>
        <v>0.30295454545454614</v>
      </c>
      <c r="CD149" s="323">
        <f ca="1">CD148/BZ148-1</f>
        <v>0.1798181818181821</v>
      </c>
      <c r="CE149" s="323">
        <f ca="1">CE148/CA148-1</f>
        <v>0.14533196489455991</v>
      </c>
      <c r="CF149" s="62"/>
      <c r="CG149" s="5"/>
      <c r="CH149" s="5"/>
      <c r="CI149" s="13"/>
      <c r="CJ149"/>
      <c r="CK149"/>
      <c r="CL149"/>
      <c r="CM149"/>
      <c r="CN149"/>
      <c r="CO149"/>
      <c r="CP149" s="13"/>
      <c r="CQ149" s="13"/>
      <c r="CR149" s="13"/>
    </row>
    <row r="150" spans="1:96" s="211" customFormat="1" outlineLevel="1">
      <c r="A150" s="3"/>
      <c r="B150" s="12" t="s">
        <v>83</v>
      </c>
      <c r="C150" s="6"/>
      <c r="D150" s="6"/>
      <c r="E150" s="6"/>
      <c r="F150" s="6"/>
      <c r="G150" s="6"/>
      <c r="H150" s="6"/>
      <c r="I150" s="324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324"/>
      <c r="AG150" s="323"/>
      <c r="AH150" s="323"/>
      <c r="AI150" s="323"/>
      <c r="AJ150" s="323"/>
      <c r="AK150" s="323"/>
      <c r="AL150" s="323"/>
      <c r="AM150" s="323"/>
      <c r="AN150" s="323"/>
      <c r="AO150" s="323"/>
      <c r="AP150" s="323"/>
      <c r="AQ150" s="323"/>
      <c r="AR150" s="323"/>
      <c r="AS150" s="323"/>
      <c r="AT150" s="323"/>
      <c r="AU150" s="323"/>
      <c r="AV150" s="323"/>
      <c r="AW150" s="323"/>
      <c r="AX150" s="323"/>
      <c r="AY150" s="323"/>
      <c r="AZ150" s="323"/>
      <c r="BA150" s="323">
        <f>BA148/AZ148-1</f>
        <v>0.12152369302826882</v>
      </c>
      <c r="BB150" s="323">
        <f>BB148/BA148-1</f>
        <v>0.18329332829700795</v>
      </c>
      <c r="BC150" s="323">
        <f>BC148/BB148-1</f>
        <v>-6.5183354197259513E-2</v>
      </c>
      <c r="BD150" s="323">
        <f>BD148/BC148-1</f>
        <v>2.0832947448313766E-2</v>
      </c>
      <c r="BE150" s="323">
        <f t="shared" ref="BE150:BO150" si="242">BE148/BD148-1</f>
        <v>0.14350686700693882</v>
      </c>
      <c r="BF150" s="323">
        <f t="shared" si="242"/>
        <v>0.15757931604451869</v>
      </c>
      <c r="BG150" s="323">
        <f t="shared" si="242"/>
        <v>-4.1830019611157288E-2</v>
      </c>
      <c r="BH150" s="323">
        <f t="shared" si="242"/>
        <v>0.12447344765751422</v>
      </c>
      <c r="BI150" s="323">
        <f t="shared" si="242"/>
        <v>0.11434839534604468</v>
      </c>
      <c r="BJ150" s="323">
        <f t="shared" si="242"/>
        <v>0.1023874385393555</v>
      </c>
      <c r="BK150" s="323">
        <f t="shared" si="242"/>
        <v>-3.2633324933992847E-2</v>
      </c>
      <c r="BL150" s="323">
        <f t="shared" si="242"/>
        <v>0.22516685584626361</v>
      </c>
      <c r="BM150" s="323">
        <f t="shared" si="242"/>
        <v>0.11039351505868167</v>
      </c>
      <c r="BN150" s="323">
        <f t="shared" si="242"/>
        <v>0.14862744032243569</v>
      </c>
      <c r="BO150" s="323">
        <f t="shared" si="242"/>
        <v>2.9322149715103718E-2</v>
      </c>
      <c r="BP150" s="323">
        <f t="shared" ref="BP150:CA150" si="243">BP148/BO148-1</f>
        <v>0.78990906502001867</v>
      </c>
      <c r="BQ150" s="323">
        <f t="shared" si="243"/>
        <v>2.7923849004642509E-2</v>
      </c>
      <c r="BR150" s="323">
        <f t="shared" si="243"/>
        <v>0.21179193323108159</v>
      </c>
      <c r="BS150" s="323">
        <f t="shared" si="243"/>
        <v>7.6671387295808024E-3</v>
      </c>
      <c r="BT150" s="323">
        <f t="shared" si="243"/>
        <v>0.46921693862409541</v>
      </c>
      <c r="BU150" s="323">
        <f t="shared" si="243"/>
        <v>4.0674693188386568E-2</v>
      </c>
      <c r="BV150" s="323">
        <f t="shared" si="243"/>
        <v>0.14566047232252854</v>
      </c>
      <c r="BW150" s="323">
        <f t="shared" si="243"/>
        <v>-0.14674339714533968</v>
      </c>
      <c r="BX150" s="323">
        <f t="shared" ca="1" si="243"/>
        <v>0.31111302683446196</v>
      </c>
      <c r="BY150" s="323">
        <f t="shared" ca="1" si="243"/>
        <v>6.995943614160538E-2</v>
      </c>
      <c r="BZ150" s="323">
        <f t="shared" ca="1" si="243"/>
        <v>0.263178391457217</v>
      </c>
      <c r="CA150" s="323">
        <f t="shared" ca="1" si="243"/>
        <v>-6.2252255211512231E-2</v>
      </c>
      <c r="CB150" s="323">
        <f ca="1">CB148/CA148-1</f>
        <v>5.7415549036304414E-2</v>
      </c>
      <c r="CC150" s="323">
        <f ca="1">CC148/CB148-1</f>
        <v>4.0238340693227848E-2</v>
      </c>
      <c r="CD150" s="323">
        <f ca="1">CD148/CC148-1</f>
        <v>0.14380109292389731</v>
      </c>
      <c r="CE150" s="323">
        <f ca="1">CE148/CD148-1</f>
        <v>-8.9662726286450223E-2</v>
      </c>
      <c r="CF150" s="62"/>
      <c r="CG150" s="5"/>
      <c r="CH150" s="5"/>
      <c r="CI150" s="13"/>
      <c r="CJ150"/>
      <c r="CK150"/>
      <c r="CL150"/>
      <c r="CM150"/>
      <c r="CN150"/>
      <c r="CO150"/>
      <c r="CP150" s="13"/>
      <c r="CQ150" s="13"/>
      <c r="CR150" s="13"/>
    </row>
    <row r="151" spans="1:96" s="211" customFormat="1" outlineLevel="1">
      <c r="A151" s="3"/>
      <c r="B151" s="12"/>
      <c r="C151" s="6"/>
      <c r="D151" s="6"/>
      <c r="E151" s="6"/>
      <c r="F151" s="6"/>
      <c r="G151" s="6"/>
      <c r="H151" s="6"/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  <c r="T151" s="12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126"/>
      <c r="BR151" s="126"/>
      <c r="BS151" s="126"/>
      <c r="BT151" s="126"/>
      <c r="BU151" s="126"/>
      <c r="BV151" s="126"/>
      <c r="BW151" s="126"/>
      <c r="BX151" s="324"/>
      <c r="BY151" s="324"/>
      <c r="BZ151" s="324"/>
      <c r="CA151" s="324"/>
      <c r="CB151" s="324"/>
      <c r="CC151" s="324"/>
      <c r="CD151" s="324"/>
      <c r="CE151" s="324"/>
      <c r="CF151" s="62"/>
      <c r="CG151" s="5"/>
      <c r="CH151" s="5"/>
      <c r="CI151" s="13"/>
      <c r="CJ151"/>
      <c r="CK151"/>
      <c r="CL151"/>
      <c r="CM151"/>
      <c r="CN151"/>
      <c r="CO151"/>
      <c r="CP151" s="13"/>
      <c r="CQ151" s="13"/>
      <c r="CR151" s="13"/>
    </row>
    <row r="152" spans="1:96" s="211" customFormat="1" outlineLevel="1">
      <c r="A152" s="3"/>
      <c r="B152" s="523" t="s">
        <v>517</v>
      </c>
      <c r="C152" s="524"/>
      <c r="D152" s="524"/>
      <c r="E152" s="524"/>
      <c r="F152" s="524"/>
      <c r="G152" s="524"/>
      <c r="H152" s="524"/>
      <c r="I152" s="525"/>
      <c r="J152" s="525"/>
      <c r="K152" s="525"/>
      <c r="L152" s="525"/>
      <c r="M152" s="525"/>
      <c r="N152" s="525"/>
      <c r="O152" s="525"/>
      <c r="P152" s="525"/>
      <c r="Q152" s="525"/>
      <c r="R152" s="525"/>
      <c r="S152" s="525"/>
      <c r="T152" s="525"/>
      <c r="U152" s="524"/>
      <c r="V152" s="524"/>
      <c r="W152" s="524"/>
      <c r="X152" s="524"/>
      <c r="Y152" s="524"/>
      <c r="Z152" s="524"/>
      <c r="AA152" s="524"/>
      <c r="AB152" s="524"/>
      <c r="AC152" s="524"/>
      <c r="AD152" s="524"/>
      <c r="AE152" s="524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62"/>
      <c r="CG152" s="5"/>
      <c r="CH152" s="5"/>
      <c r="CI152" s="13"/>
      <c r="CJ152"/>
      <c r="CK152"/>
      <c r="CL152"/>
      <c r="CM152"/>
      <c r="CN152"/>
      <c r="CO152"/>
      <c r="CP152" s="13"/>
      <c r="CQ152" s="13"/>
      <c r="CR152" s="13"/>
    </row>
    <row r="153" spans="1:96" s="211" customFormat="1" outlineLevel="1">
      <c r="A153" s="3"/>
      <c r="B153" s="12" t="s">
        <v>508</v>
      </c>
      <c r="C153" s="6"/>
      <c r="D153" s="6"/>
      <c r="E153" s="6"/>
      <c r="F153" s="6"/>
      <c r="G153" s="6"/>
      <c r="H153" s="6"/>
      <c r="I153" s="126"/>
      <c r="J153" s="126"/>
      <c r="K153" s="126"/>
      <c r="L153" s="126"/>
      <c r="M153" s="126"/>
      <c r="N153" s="126"/>
      <c r="O153" s="323">
        <f t="shared" ref="O153:T155" si="244">O157/Volume_tickets</f>
        <v>0.94396668849987209</v>
      </c>
      <c r="P153" s="323">
        <f t="shared" si="244"/>
        <v>0.80843550964214239</v>
      </c>
      <c r="Q153" s="323">
        <f t="shared" si="244"/>
        <v>0.63890326220274019</v>
      </c>
      <c r="R153" s="323">
        <f t="shared" si="244"/>
        <v>0.43910581160053852</v>
      </c>
      <c r="S153" s="323">
        <f t="shared" si="244"/>
        <v>0.39480923694779113</v>
      </c>
      <c r="T153" s="323">
        <f t="shared" si="244"/>
        <v>0.35426838058767779</v>
      </c>
      <c r="U153" s="42">
        <f>T153-2%</f>
        <v>0.33426838058767777</v>
      </c>
      <c r="V153" s="42">
        <f>U153-2%</f>
        <v>0.31426838058767775</v>
      </c>
      <c r="W153" s="42">
        <f>V153-2%</f>
        <v>0.29426838058767774</v>
      </c>
      <c r="X153" s="42">
        <f>W153-2%</f>
        <v>0.27426838058767772</v>
      </c>
      <c r="Y153" s="42">
        <f t="shared" ref="Y153:AD153" si="245">X153-1%</f>
        <v>0.26426838058767771</v>
      </c>
      <c r="Z153" s="42">
        <f t="shared" si="245"/>
        <v>0.2542683805876777</v>
      </c>
      <c r="AA153" s="42">
        <f t="shared" si="245"/>
        <v>0.24426838058767769</v>
      </c>
      <c r="AB153" s="42">
        <f t="shared" si="245"/>
        <v>0.23426838058767768</v>
      </c>
      <c r="AC153" s="42">
        <f t="shared" si="245"/>
        <v>0.22426838058767767</v>
      </c>
      <c r="AD153" s="42">
        <f t="shared" si="245"/>
        <v>0.21426838058767766</v>
      </c>
      <c r="AE153" s="42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42">
        <f>BA153+3%</f>
        <v>1</v>
      </c>
      <c r="BA153" s="42">
        <f>BB153+4%</f>
        <v>0.97000000000000008</v>
      </c>
      <c r="BB153" s="42">
        <f>BC153+4%</f>
        <v>0.93</v>
      </c>
      <c r="BC153" s="42">
        <f>BD153+4%</f>
        <v>0.89</v>
      </c>
      <c r="BD153" s="42">
        <v>0.85</v>
      </c>
      <c r="BE153" s="42">
        <v>0.85</v>
      </c>
      <c r="BF153" s="42">
        <v>0.8</v>
      </c>
      <c r="BG153" s="42">
        <v>0.75</v>
      </c>
      <c r="BH153" s="42">
        <v>0.7</v>
      </c>
      <c r="BI153" s="42">
        <v>0.65</v>
      </c>
      <c r="BJ153" s="42">
        <v>0.63</v>
      </c>
      <c r="BK153" s="42">
        <v>0.6</v>
      </c>
      <c r="BL153" s="42">
        <v>0.54</v>
      </c>
      <c r="BM153" s="326">
        <v>0.5</v>
      </c>
      <c r="BN153" s="323">
        <v>0.48</v>
      </c>
      <c r="BO153" s="326">
        <v>0.45</v>
      </c>
      <c r="BP153" s="326">
        <v>0.4</v>
      </c>
      <c r="BQ153" s="362">
        <v>0.42499999999999999</v>
      </c>
      <c r="BR153" s="326">
        <v>0.38</v>
      </c>
      <c r="BS153" s="42">
        <f>BR153</f>
        <v>0.38</v>
      </c>
      <c r="BT153" s="42">
        <f t="shared" ref="BT153:CA153" si="246">BS153-1%</f>
        <v>0.37</v>
      </c>
      <c r="BU153" s="42">
        <f t="shared" si="246"/>
        <v>0.36</v>
      </c>
      <c r="BV153" s="42">
        <f t="shared" si="246"/>
        <v>0.35</v>
      </c>
      <c r="BW153" s="42">
        <f t="shared" si="246"/>
        <v>0.33999999999999997</v>
      </c>
      <c r="BX153" s="42">
        <f t="shared" si="246"/>
        <v>0.32999999999999996</v>
      </c>
      <c r="BY153" s="42">
        <f t="shared" si="246"/>
        <v>0.31999999999999995</v>
      </c>
      <c r="BZ153" s="42">
        <f t="shared" si="246"/>
        <v>0.30999999999999994</v>
      </c>
      <c r="CA153" s="42">
        <f t="shared" si="246"/>
        <v>0.29999999999999993</v>
      </c>
      <c r="CB153" s="42">
        <f>CA153+1.5%</f>
        <v>0.31499999999999995</v>
      </c>
      <c r="CC153" s="42">
        <f>CB153-0.25%</f>
        <v>0.31249999999999994</v>
      </c>
      <c r="CD153" s="42">
        <f>CC153-0.25%</f>
        <v>0.30999999999999994</v>
      </c>
      <c r="CE153" s="42">
        <f>CD153-0.5%</f>
        <v>0.30499999999999994</v>
      </c>
      <c r="CF153" s="649"/>
      <c r="CG153" s="5"/>
      <c r="CH153" s="5"/>
      <c r="CI153" s="13"/>
      <c r="CJ153"/>
      <c r="CK153"/>
      <c r="CL153"/>
      <c r="CM153"/>
      <c r="CN153"/>
      <c r="CO153"/>
      <c r="CP153" s="13"/>
      <c r="CQ153" s="13"/>
      <c r="CR153" s="13"/>
    </row>
    <row r="154" spans="1:96" s="211" customFormat="1" outlineLevel="1">
      <c r="A154" s="3"/>
      <c r="B154" s="12" t="s">
        <v>515</v>
      </c>
      <c r="C154" s="6"/>
      <c r="D154" s="6"/>
      <c r="E154" s="6"/>
      <c r="F154" s="6"/>
      <c r="G154" s="6"/>
      <c r="H154" s="6"/>
      <c r="I154" s="126"/>
      <c r="J154" s="126"/>
      <c r="K154" s="126"/>
      <c r="L154" s="126"/>
      <c r="M154" s="126"/>
      <c r="N154" s="126"/>
      <c r="O154" s="323">
        <f t="shared" si="244"/>
        <v>5.6033311500127907E-2</v>
      </c>
      <c r="P154" s="323">
        <f t="shared" si="244"/>
        <v>0.19156449035785753</v>
      </c>
      <c r="Q154" s="323">
        <f t="shared" si="244"/>
        <v>0.35299415441126175</v>
      </c>
      <c r="R154" s="323">
        <f t="shared" si="244"/>
        <v>0.52293448163682921</v>
      </c>
      <c r="S154" s="323">
        <f t="shared" si="244"/>
        <v>0.56076305220883538</v>
      </c>
      <c r="T154" s="323">
        <f t="shared" si="244"/>
        <v>0.58286580970616109</v>
      </c>
      <c r="U154" s="42">
        <f>T154+1.5%</f>
        <v>0.5978658097061611</v>
      </c>
      <c r="V154" s="457">
        <f t="shared" ref="V154:AD154" si="247">U154+1.5%</f>
        <v>0.61286580970616111</v>
      </c>
      <c r="W154" s="42">
        <f t="shared" si="247"/>
        <v>0.62786580970616113</v>
      </c>
      <c r="X154" s="42">
        <f t="shared" si="247"/>
        <v>0.64286580970616114</v>
      </c>
      <c r="Y154" s="42">
        <f t="shared" si="247"/>
        <v>0.65786580970616115</v>
      </c>
      <c r="Z154" s="42">
        <f t="shared" si="247"/>
        <v>0.67286580970616117</v>
      </c>
      <c r="AA154" s="42">
        <f t="shared" si="247"/>
        <v>0.68786580970616118</v>
      </c>
      <c r="AB154" s="42">
        <f t="shared" si="247"/>
        <v>0.70286580970616119</v>
      </c>
      <c r="AC154" s="42">
        <f t="shared" si="247"/>
        <v>0.71786580970616121</v>
      </c>
      <c r="AD154" s="42">
        <f t="shared" si="247"/>
        <v>0.73286580970616122</v>
      </c>
      <c r="AE154" s="42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42">
        <f t="shared" ref="AZ154:BF154" si="248">1-AZ153</f>
        <v>0</v>
      </c>
      <c r="BA154" s="42">
        <f t="shared" si="248"/>
        <v>2.9999999999999916E-2</v>
      </c>
      <c r="BB154" s="42">
        <f t="shared" si="248"/>
        <v>6.9999999999999951E-2</v>
      </c>
      <c r="BC154" s="42">
        <f t="shared" si="248"/>
        <v>0.10999999999999999</v>
      </c>
      <c r="BD154" s="42">
        <f t="shared" si="248"/>
        <v>0.15000000000000002</v>
      </c>
      <c r="BE154" s="42">
        <f t="shared" si="248"/>
        <v>0.15000000000000002</v>
      </c>
      <c r="BF154" s="42">
        <f t="shared" si="248"/>
        <v>0.19999999999999996</v>
      </c>
      <c r="BG154" s="42">
        <f>1-BG153</f>
        <v>0.25</v>
      </c>
      <c r="BH154" s="42">
        <f>BI154-4%</f>
        <v>0.29999999999999988</v>
      </c>
      <c r="BI154" s="42">
        <f>BJ154-2%</f>
        <v>0.33999999999999986</v>
      </c>
      <c r="BJ154" s="42">
        <f>BK154-3%</f>
        <v>0.35999999999999988</v>
      </c>
      <c r="BK154" s="42">
        <f>BL154-6%</f>
        <v>0.38999999999999985</v>
      </c>
      <c r="BL154" s="42">
        <f>BM154-3%</f>
        <v>0.44999999999999984</v>
      </c>
      <c r="BM154" s="42">
        <f>BN154-3%</f>
        <v>0.47999999999999987</v>
      </c>
      <c r="BN154" s="42">
        <f>BO154-3%</f>
        <v>0.5099999999999999</v>
      </c>
      <c r="BO154" s="42">
        <f>BP154-3%</f>
        <v>0.53999999999999992</v>
      </c>
      <c r="BP154" s="42">
        <v>0.56999999999999995</v>
      </c>
      <c r="BQ154" s="326">
        <v>0.53</v>
      </c>
      <c r="BR154" s="326">
        <v>0.56999999999999995</v>
      </c>
      <c r="BS154" s="42">
        <f>BR154</f>
        <v>0.56999999999999995</v>
      </c>
      <c r="BT154" s="42">
        <f t="shared" ref="BT154:CA154" si="249">BS154+0.5%</f>
        <v>0.57499999999999996</v>
      </c>
      <c r="BU154" s="42">
        <f t="shared" si="249"/>
        <v>0.57999999999999996</v>
      </c>
      <c r="BV154" s="42">
        <f t="shared" si="249"/>
        <v>0.58499999999999996</v>
      </c>
      <c r="BW154" s="42">
        <f t="shared" si="249"/>
        <v>0.59</v>
      </c>
      <c r="BX154" s="42">
        <f t="shared" si="249"/>
        <v>0.59499999999999997</v>
      </c>
      <c r="BY154" s="42">
        <f t="shared" si="249"/>
        <v>0.6</v>
      </c>
      <c r="BZ154" s="42">
        <f t="shared" si="249"/>
        <v>0.60499999999999998</v>
      </c>
      <c r="CA154" s="42">
        <f t="shared" si="249"/>
        <v>0.61</v>
      </c>
      <c r="CB154" s="42">
        <f>CA154</f>
        <v>0.61</v>
      </c>
      <c r="CC154" s="42">
        <f>CB154+0.25%</f>
        <v>0.61249999999999993</v>
      </c>
      <c r="CD154" s="42">
        <f>CC154+0.25%</f>
        <v>0.61499999999999988</v>
      </c>
      <c r="CE154" s="42">
        <f>CD154+0.25%</f>
        <v>0.61749999999999983</v>
      </c>
      <c r="CF154" s="650"/>
      <c r="CG154" s="5"/>
      <c r="CH154" s="5"/>
      <c r="CI154" s="13"/>
      <c r="CJ154"/>
      <c r="CK154"/>
      <c r="CL154"/>
      <c r="CM154"/>
      <c r="CN154"/>
      <c r="CO154"/>
      <c r="CP154" s="13"/>
      <c r="CQ154" s="13"/>
      <c r="CR154" s="13"/>
    </row>
    <row r="155" spans="1:96" s="211" customFormat="1" outlineLevel="1">
      <c r="A155" s="3"/>
      <c r="B155" s="12" t="s">
        <v>600</v>
      </c>
      <c r="C155" s="6"/>
      <c r="D155" s="6"/>
      <c r="E155" s="6"/>
      <c r="F155" s="6"/>
      <c r="G155" s="6"/>
      <c r="H155" s="6"/>
      <c r="I155" s="126"/>
      <c r="J155" s="126"/>
      <c r="K155" s="126"/>
      <c r="L155" s="126"/>
      <c r="M155" s="126"/>
      <c r="N155" s="126"/>
      <c r="O155" s="323">
        <f t="shared" si="244"/>
        <v>0</v>
      </c>
      <c r="P155" s="323">
        <f t="shared" si="244"/>
        <v>0</v>
      </c>
      <c r="Q155" s="323">
        <f t="shared" si="244"/>
        <v>8.102583385998164E-3</v>
      </c>
      <c r="R155" s="323">
        <f t="shared" si="244"/>
        <v>1.2118215976007221E-2</v>
      </c>
      <c r="S155" s="323">
        <f t="shared" si="244"/>
        <v>4.4427710843373505E-2</v>
      </c>
      <c r="T155" s="323">
        <f t="shared" si="244"/>
        <v>6.2865809706161166E-2</v>
      </c>
      <c r="U155" s="560">
        <f>1-SUM(U153:U154)</f>
        <v>6.7865809706161073E-2</v>
      </c>
      <c r="V155" s="560">
        <f t="shared" ref="V155:AD155" si="250">1-SUM(V153:V154)</f>
        <v>7.2865809706161189E-2</v>
      </c>
      <c r="W155" s="560">
        <f t="shared" si="250"/>
        <v>7.7865809706161082E-2</v>
      </c>
      <c r="X155" s="560">
        <f t="shared" si="250"/>
        <v>8.2865809706161198E-2</v>
      </c>
      <c r="Y155" s="560">
        <f t="shared" si="250"/>
        <v>7.7865809706161082E-2</v>
      </c>
      <c r="Z155" s="560">
        <f t="shared" si="250"/>
        <v>7.2865809706161189E-2</v>
      </c>
      <c r="AA155" s="560">
        <f t="shared" si="250"/>
        <v>6.7865809706161073E-2</v>
      </c>
      <c r="AB155" s="560">
        <f t="shared" si="250"/>
        <v>6.286580970616118E-2</v>
      </c>
      <c r="AC155" s="560">
        <f t="shared" si="250"/>
        <v>5.7865809706161064E-2</v>
      </c>
      <c r="AD155" s="560">
        <f t="shared" si="250"/>
        <v>5.2865809706161171E-2</v>
      </c>
      <c r="AE155" s="42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560">
        <f t="shared" ref="AZ155:BG155" si="251">1-SUM(AZ153:AZ154)</f>
        <v>0</v>
      </c>
      <c r="BA155" s="560">
        <f t="shared" si="251"/>
        <v>0</v>
      </c>
      <c r="BB155" s="560">
        <f t="shared" si="251"/>
        <v>0</v>
      </c>
      <c r="BC155" s="560">
        <f t="shared" si="251"/>
        <v>0</v>
      </c>
      <c r="BD155" s="560">
        <f t="shared" si="251"/>
        <v>0</v>
      </c>
      <c r="BE155" s="560">
        <f t="shared" si="251"/>
        <v>0</v>
      </c>
      <c r="BF155" s="560">
        <f t="shared" si="251"/>
        <v>0</v>
      </c>
      <c r="BG155" s="560">
        <f t="shared" si="251"/>
        <v>0</v>
      </c>
      <c r="BH155" s="560">
        <f t="shared" ref="BH155:BO155" si="252">1-SUM(BH153:BH154)</f>
        <v>0</v>
      </c>
      <c r="BI155" s="560">
        <f t="shared" si="252"/>
        <v>1.000000000000012E-2</v>
      </c>
      <c r="BJ155" s="560">
        <f t="shared" si="252"/>
        <v>1.000000000000012E-2</v>
      </c>
      <c r="BK155" s="560">
        <f t="shared" si="252"/>
        <v>1.0000000000000231E-2</v>
      </c>
      <c r="BL155" s="560">
        <f t="shared" si="252"/>
        <v>1.000000000000012E-2</v>
      </c>
      <c r="BM155" s="560">
        <f t="shared" si="252"/>
        <v>2.0000000000000129E-2</v>
      </c>
      <c r="BN155" s="560">
        <f t="shared" si="252"/>
        <v>1.000000000000012E-2</v>
      </c>
      <c r="BO155" s="560">
        <f t="shared" si="252"/>
        <v>1.0000000000000009E-2</v>
      </c>
      <c r="BP155" s="560">
        <f>1-SUM(BP153:BP154)</f>
        <v>3.0000000000000027E-2</v>
      </c>
      <c r="BQ155" s="560">
        <f>1-SUM(BQ153:BQ154)</f>
        <v>4.4999999999999929E-2</v>
      </c>
      <c r="BR155" s="560">
        <f>1-SUM(BR153:BR154)</f>
        <v>5.0000000000000044E-2</v>
      </c>
      <c r="BS155" s="560">
        <f>1-SUM(BS153:BS154)</f>
        <v>5.0000000000000044E-2</v>
      </c>
      <c r="BT155" s="323">
        <f t="shared" ref="BT155:CA155" si="253">1-SUM(BT153:BT154)</f>
        <v>5.5000000000000049E-2</v>
      </c>
      <c r="BU155" s="323">
        <f t="shared" si="253"/>
        <v>6.0000000000000053E-2</v>
      </c>
      <c r="BV155" s="323">
        <f t="shared" si="253"/>
        <v>6.5000000000000058E-2</v>
      </c>
      <c r="BW155" s="323">
        <f t="shared" si="253"/>
        <v>7.0000000000000062E-2</v>
      </c>
      <c r="BX155" s="323">
        <f t="shared" si="253"/>
        <v>7.5000000000000067E-2</v>
      </c>
      <c r="BY155" s="323">
        <f t="shared" si="253"/>
        <v>8.0000000000000071E-2</v>
      </c>
      <c r="BZ155" s="323">
        <f t="shared" si="253"/>
        <v>8.5000000000000075E-2</v>
      </c>
      <c r="CA155" s="323">
        <f t="shared" si="253"/>
        <v>9.000000000000008E-2</v>
      </c>
      <c r="CB155" s="323">
        <f>1-SUM(CB153:CB154)</f>
        <v>7.5000000000000067E-2</v>
      </c>
      <c r="CC155" s="323">
        <f>1-SUM(CC153:CC154)</f>
        <v>7.5000000000000178E-2</v>
      </c>
      <c r="CD155" s="323">
        <f>1-SUM(CD153:CD154)</f>
        <v>7.5000000000000178E-2</v>
      </c>
      <c r="CE155" s="323">
        <f>1-SUM(CE153:CE154)</f>
        <v>7.7500000000000235E-2</v>
      </c>
      <c r="CF155" s="62"/>
      <c r="CG155" s="5"/>
      <c r="CH155" s="5"/>
      <c r="CI155" s="13"/>
      <c r="CJ155"/>
      <c r="CK155"/>
      <c r="CL155"/>
      <c r="CM155"/>
      <c r="CN155"/>
      <c r="CO155"/>
      <c r="CP155" s="13"/>
      <c r="CQ155" s="13"/>
      <c r="CR155" s="13"/>
    </row>
    <row r="156" spans="1:96" s="211" customFormat="1" outlineLevel="1">
      <c r="A156" s="3"/>
      <c r="B156" s="12"/>
      <c r="C156" s="6"/>
      <c r="D156" s="6"/>
      <c r="E156" s="6"/>
      <c r="F156" s="6"/>
      <c r="G156" s="6"/>
      <c r="H156" s="6"/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  <c r="T156" s="12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41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324"/>
      <c r="BY156" s="324"/>
      <c r="BZ156" s="324"/>
      <c r="CA156" s="324"/>
      <c r="CB156" s="324"/>
      <c r="CC156" s="324"/>
      <c r="CD156" s="324"/>
      <c r="CE156" s="324"/>
      <c r="CF156" s="62"/>
      <c r="CG156" s="5"/>
      <c r="CH156" s="5"/>
      <c r="CI156" s="13"/>
      <c r="CJ156"/>
      <c r="CK156"/>
      <c r="CL156"/>
      <c r="CM156"/>
      <c r="CN156"/>
      <c r="CO156"/>
      <c r="CP156" s="13"/>
      <c r="CQ156" s="13"/>
      <c r="CR156" s="13"/>
    </row>
    <row r="157" spans="1:96" s="211" customFormat="1" outlineLevel="1">
      <c r="A157" s="3" t="s">
        <v>519</v>
      </c>
      <c r="B157" s="12" t="s">
        <v>508</v>
      </c>
      <c r="C157" s="6"/>
      <c r="D157" s="6"/>
      <c r="E157" s="6"/>
      <c r="F157" s="6"/>
      <c r="G157" s="6"/>
      <c r="H157" s="6"/>
      <c r="I157" s="126"/>
      <c r="J157" s="126"/>
      <c r="K157" s="126"/>
      <c r="L157" s="126"/>
      <c r="M157" s="126"/>
      <c r="N157" s="126"/>
      <c r="O157" s="324">
        <f>SUM(AZ157:BC157)</f>
        <v>36.534842420383484</v>
      </c>
      <c r="P157" s="324">
        <f>SUM(BD157:BG157)</f>
        <v>41.449790576674218</v>
      </c>
      <c r="Q157" s="324">
        <f>SUM(BH157:BK157)</f>
        <v>62.185478128130924</v>
      </c>
      <c r="R157" s="324">
        <f>SUM(BL157:BO157)</f>
        <v>96.349512628543323</v>
      </c>
      <c r="S157" s="324">
        <f>SUM(BP157:BS157)</f>
        <v>196.61499999999998</v>
      </c>
      <c r="T157" s="126">
        <f>SUM(BT157:BW157)</f>
        <v>249.17750512750001</v>
      </c>
      <c r="U157" s="6">
        <f t="shared" ref="U157:AB159" ca="1" si="254">U153*Volume_tickets</f>
        <v>291.53682757349333</v>
      </c>
      <c r="V157" s="6">
        <f t="shared" ca="1" si="254"/>
        <v>337.13506501033061</v>
      </c>
      <c r="W157" s="6">
        <f t="shared" ca="1" si="254"/>
        <v>385.12939516842249</v>
      </c>
      <c r="X157" s="6">
        <f t="shared" ca="1" si="254"/>
        <v>430.74481322909003</v>
      </c>
      <c r="Y157" s="6">
        <f t="shared" ca="1" si="254"/>
        <v>493.89710346367201</v>
      </c>
      <c r="Z157" s="6">
        <f t="shared" ca="1" si="254"/>
        <v>560.74529743797768</v>
      </c>
      <c r="AA157" s="6">
        <f t="shared" ca="1" si="254"/>
        <v>630.26965496292235</v>
      </c>
      <c r="AB157" s="6">
        <f t="shared" ca="1" si="254"/>
        <v>701.18208183115632</v>
      </c>
      <c r="AC157" s="6">
        <f t="shared" ref="AC157:AD159" ca="1" si="255">AC153*Volume_tickets</f>
        <v>771.93906849112136</v>
      </c>
      <c r="AD157" s="6">
        <f t="shared" ca="1" si="255"/>
        <v>840.7713668791107</v>
      </c>
      <c r="AE157" s="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324">
        <f t="shared" ref="AZ157:BO159" si="256">AZ153*Volume_tickets</f>
        <v>8.5038724954688671</v>
      </c>
      <c r="BA157" s="324">
        <f t="shared" si="256"/>
        <v>8.9248145818690112</v>
      </c>
      <c r="BB157" s="324">
        <f t="shared" si="256"/>
        <v>9.7000896037500013</v>
      </c>
      <c r="BC157" s="324">
        <f t="shared" si="256"/>
        <v>9.406065739295606</v>
      </c>
      <c r="BD157" s="126">
        <f t="shared" si="256"/>
        <v>9.1799303588586429</v>
      </c>
      <c r="BE157" s="126">
        <f t="shared" si="256"/>
        <v>10.479756503864746</v>
      </c>
      <c r="BF157" s="126">
        <f t="shared" si="256"/>
        <v>10.930853661</v>
      </c>
      <c r="BG157" s="126">
        <f t="shared" si="256"/>
        <v>10.859250052950827</v>
      </c>
      <c r="BH157" s="126">
        <f t="shared" si="256"/>
        <v>12.927501928886819</v>
      </c>
      <c r="BI157" s="126">
        <f t="shared" si="256"/>
        <v>14.665494542761314</v>
      </c>
      <c r="BJ157" s="126">
        <f t="shared" si="256"/>
        <v>17.043933570914248</v>
      </c>
      <c r="BK157" s="126">
        <f t="shared" si="256"/>
        <v>17.548548085568537</v>
      </c>
      <c r="BL157" s="126">
        <f t="shared" si="256"/>
        <v>20.344194464088169</v>
      </c>
      <c r="BM157" s="126">
        <f t="shared" si="256"/>
        <v>23.239168275452545</v>
      </c>
      <c r="BN157" s="207">
        <f>BJ157*(1+BN162)</f>
        <v>25.565900356371372</v>
      </c>
      <c r="BO157" s="126">
        <f>BK157*(1+BO162)</f>
        <v>27.200249532631233</v>
      </c>
      <c r="BP157" s="126">
        <f t="shared" ref="BP157:BW159" si="257">BP153*Volume_tickets</f>
        <v>44</v>
      </c>
      <c r="BQ157" s="126">
        <f t="shared" si="257"/>
        <v>48.875</v>
      </c>
      <c r="BR157" s="126">
        <f t="shared" si="257"/>
        <v>53.2</v>
      </c>
      <c r="BS157" s="324">
        <f t="shared" si="257"/>
        <v>50.54</v>
      </c>
      <c r="BT157" s="324">
        <f t="shared" si="257"/>
        <v>58.608000000000004</v>
      </c>
      <c r="BU157" s="324">
        <f t="shared" si="257"/>
        <v>59.846607120000002</v>
      </c>
      <c r="BV157" s="324">
        <f t="shared" si="257"/>
        <v>68.563892179999996</v>
      </c>
      <c r="BW157" s="324">
        <f t="shared" si="257"/>
        <v>62.159005827499996</v>
      </c>
      <c r="BX157" s="324">
        <f t="shared" ref="BX157:CA159" ca="1" si="258">BX153*Volume_tickets</f>
        <v>61.158239999999992</v>
      </c>
      <c r="BY157" s="324">
        <f t="shared" ca="1" si="258"/>
        <v>64.368350769066652</v>
      </c>
      <c r="BZ157" s="324">
        <f t="shared" ca="1" si="258"/>
        <v>76.51730367287999</v>
      </c>
      <c r="CA157" s="324">
        <f t="shared" ca="1" si="258"/>
        <v>71.656449368699967</v>
      </c>
      <c r="CB157" s="324">
        <f t="shared" ref="CB157:CE159" ca="1" si="259">CB153*Volume_tickets</f>
        <v>78.810732000000002</v>
      </c>
      <c r="CC157" s="324">
        <f t="shared" ca="1" si="259"/>
        <v>81.717632812291654</v>
      </c>
      <c r="CD157" s="324">
        <f t="shared" ca="1" si="259"/>
        <v>91.820764407455982</v>
      </c>
      <c r="CE157" s="324">
        <f t="shared" ca="1" si="259"/>
        <v>80.787303841094868</v>
      </c>
      <c r="CF157" s="62"/>
      <c r="CG157" s="5"/>
      <c r="CH157" s="5"/>
      <c r="CI157" s="13"/>
      <c r="CJ157"/>
      <c r="CK157"/>
      <c r="CL157"/>
      <c r="CM157"/>
      <c r="CN157"/>
      <c r="CO157"/>
      <c r="CP157" s="13"/>
      <c r="CQ157" s="13"/>
      <c r="CR157" s="13"/>
    </row>
    <row r="158" spans="1:96" s="211" customFormat="1" outlineLevel="1">
      <c r="A158" s="3"/>
      <c r="B158" s="12" t="s">
        <v>515</v>
      </c>
      <c r="C158" s="6"/>
      <c r="D158" s="6"/>
      <c r="E158" s="6"/>
      <c r="F158" s="6"/>
      <c r="G158" s="6"/>
      <c r="H158" s="6"/>
      <c r="I158" s="126"/>
      <c r="J158" s="126"/>
      <c r="K158" s="126"/>
      <c r="L158" s="126"/>
      <c r="M158" s="126"/>
      <c r="N158" s="126"/>
      <c r="O158" s="324">
        <f>SUM(AZ158:BC158)</f>
        <v>2.1686869154278554</v>
      </c>
      <c r="P158" s="324">
        <f>SUM(BD158:BG158)</f>
        <v>9.8218199380867564</v>
      </c>
      <c r="Q158" s="324">
        <f>SUM(BH158:BK158)</f>
        <v>34.35748659792246</v>
      </c>
      <c r="R158" s="324">
        <f>SUM(BL158:BO158)</f>
        <v>114.74337417379479</v>
      </c>
      <c r="S158" s="324">
        <f>SUM(BP158:BS158)</f>
        <v>279.26</v>
      </c>
      <c r="T158" s="324">
        <f>SUM(BT158:BW158)</f>
        <v>409.96333922258327</v>
      </c>
      <c r="U158" s="6">
        <f t="shared" ca="1" si="254"/>
        <v>521.43699972445836</v>
      </c>
      <c r="V158" s="6">
        <f t="shared" ca="1" si="254"/>
        <v>657.4589343398834</v>
      </c>
      <c r="W158" s="6">
        <f t="shared" ca="1" si="254"/>
        <v>821.73143800279331</v>
      </c>
      <c r="X158" s="6">
        <f t="shared" ca="1" si="254"/>
        <v>1009.6355713331145</v>
      </c>
      <c r="Y158" s="6">
        <f t="shared" ca="1" si="254"/>
        <v>1229.500166304824</v>
      </c>
      <c r="Z158" s="6">
        <f t="shared" ca="1" si="254"/>
        <v>1483.8901232134249</v>
      </c>
      <c r="AA158" s="6">
        <f t="shared" ca="1" si="254"/>
        <v>1774.8549587189743</v>
      </c>
      <c r="AB158" s="6">
        <f t="shared" ca="1" si="254"/>
        <v>2103.7278290027602</v>
      </c>
      <c r="AC158" s="6">
        <f t="shared" ca="1" si="255"/>
        <v>2470.9174917752366</v>
      </c>
      <c r="AD158" s="6">
        <f t="shared" ca="1" si="255"/>
        <v>2875.7046974249211</v>
      </c>
      <c r="AE158" s="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324">
        <f t="shared" si="256"/>
        <v>0</v>
      </c>
      <c r="BA158" s="324">
        <f t="shared" si="256"/>
        <v>0.27602519325367997</v>
      </c>
      <c r="BB158" s="324">
        <f t="shared" si="256"/>
        <v>0.7301142712499995</v>
      </c>
      <c r="BC158" s="324">
        <f t="shared" si="256"/>
        <v>1.162547450924176</v>
      </c>
      <c r="BD158" s="324">
        <f t="shared" si="256"/>
        <v>1.6199877103868197</v>
      </c>
      <c r="BE158" s="324">
        <f t="shared" si="256"/>
        <v>1.8493687947996613</v>
      </c>
      <c r="BF158" s="324">
        <f t="shared" si="256"/>
        <v>2.7327134152499992</v>
      </c>
      <c r="BG158" s="324">
        <f t="shared" si="256"/>
        <v>3.6197500176502757</v>
      </c>
      <c r="BH158" s="324">
        <f t="shared" si="256"/>
        <v>5.5403579695229199</v>
      </c>
      <c r="BI158" s="324">
        <f t="shared" si="256"/>
        <v>7.6711817608289916</v>
      </c>
      <c r="BJ158" s="324">
        <f t="shared" si="256"/>
        <v>9.7393906119509968</v>
      </c>
      <c r="BK158" s="324">
        <f t="shared" si="256"/>
        <v>11.406556255619545</v>
      </c>
      <c r="BL158" s="324">
        <f t="shared" si="256"/>
        <v>16.953495386740133</v>
      </c>
      <c r="BM158" s="324">
        <f t="shared" si="256"/>
        <v>22.309601544434436</v>
      </c>
      <c r="BN158" s="207">
        <f>BJ158*(1+BN163)</f>
        <v>38.957562447803987</v>
      </c>
      <c r="BO158" s="324">
        <f>BO154*Volume_tickets</f>
        <v>36.522714794816245</v>
      </c>
      <c r="BP158" s="324">
        <f t="shared" si="257"/>
        <v>62.699999999999996</v>
      </c>
      <c r="BQ158" s="324">
        <f t="shared" si="257"/>
        <v>60.95</v>
      </c>
      <c r="BR158" s="324">
        <f t="shared" si="257"/>
        <v>79.8</v>
      </c>
      <c r="BS158" s="324">
        <f t="shared" si="257"/>
        <v>75.809999999999988</v>
      </c>
      <c r="BT158" s="324">
        <f t="shared" si="257"/>
        <v>91.08</v>
      </c>
      <c r="BU158" s="324">
        <f t="shared" si="257"/>
        <v>96.419533693333335</v>
      </c>
      <c r="BV158" s="324">
        <f t="shared" si="257"/>
        <v>114.599648358</v>
      </c>
      <c r="BW158" s="324">
        <f t="shared" si="257"/>
        <v>107.86415717125</v>
      </c>
      <c r="BX158" s="324">
        <f t="shared" ca="1" si="258"/>
        <v>110.27015999999999</v>
      </c>
      <c r="BY158" s="324">
        <f t="shared" ca="1" si="258"/>
        <v>120.69065769199999</v>
      </c>
      <c r="BZ158" s="324">
        <f t="shared" ca="1" si="258"/>
        <v>149.33215716804</v>
      </c>
      <c r="CA158" s="324">
        <f t="shared" ca="1" si="258"/>
        <v>145.70144704968996</v>
      </c>
      <c r="CB158" s="324">
        <f t="shared" ca="1" si="259"/>
        <v>152.61760800000002</v>
      </c>
      <c r="CC158" s="324">
        <f t="shared" ca="1" si="259"/>
        <v>160.16656031209163</v>
      </c>
      <c r="CD158" s="324">
        <f t="shared" ca="1" si="259"/>
        <v>182.16054874382397</v>
      </c>
      <c r="CE158" s="324">
        <f t="shared" ca="1" si="259"/>
        <v>163.56118072746256</v>
      </c>
      <c r="CF158" s="62"/>
      <c r="CG158" s="5"/>
      <c r="CH158" s="5"/>
      <c r="CI158" s="13"/>
      <c r="CJ158"/>
      <c r="CK158"/>
      <c r="CL158"/>
      <c r="CM158"/>
      <c r="CN158"/>
      <c r="CO158"/>
      <c r="CP158" s="13"/>
      <c r="CQ158" s="13"/>
      <c r="CR158" s="13"/>
    </row>
    <row r="159" spans="1:96" s="211" customFormat="1" outlineLevel="1">
      <c r="A159" s="3"/>
      <c r="B159" s="12" t="s">
        <v>516</v>
      </c>
      <c r="C159" s="6"/>
      <c r="D159" s="6"/>
      <c r="E159" s="6"/>
      <c r="F159" s="6"/>
      <c r="G159" s="6"/>
      <c r="H159" s="6"/>
      <c r="I159" s="126"/>
      <c r="J159" s="126"/>
      <c r="K159" s="126"/>
      <c r="L159" s="126"/>
      <c r="M159" s="126"/>
      <c r="N159" s="126"/>
      <c r="O159" s="324">
        <f>SUM(AZ159:BC159)</f>
        <v>0</v>
      </c>
      <c r="P159" s="324">
        <f>SUM(BD159:BG159)</f>
        <v>0</v>
      </c>
      <c r="Q159" s="324">
        <f>SUM(BH159:BK159)</f>
        <v>0.78863742250146363</v>
      </c>
      <c r="R159" s="324">
        <f>SUM(BL159:BO159)</f>
        <v>2.6590042134944296</v>
      </c>
      <c r="S159" s="324">
        <f>SUM(BP159:BS159)</f>
        <v>22.125000000000007</v>
      </c>
      <c r="T159" s="324">
        <f>SUM(BT159:BW159)</f>
        <v>44.217171158250039</v>
      </c>
      <c r="U159" s="6">
        <f t="shared" ca="1" si="254"/>
        <v>59.190111932381633</v>
      </c>
      <c r="V159" s="6">
        <f t="shared" ca="1" si="254"/>
        <v>78.167645903096087</v>
      </c>
      <c r="W159" s="6">
        <f t="shared" ca="1" si="254"/>
        <v>101.90837403782226</v>
      </c>
      <c r="X159" s="6">
        <f t="shared" ca="1" si="254"/>
        <v>130.14266408864111</v>
      </c>
      <c r="Y159" s="6">
        <f t="shared" ca="1" si="254"/>
        <v>145.52515812601018</v>
      </c>
      <c r="Z159" s="6">
        <f t="shared" ca="1" si="254"/>
        <v>160.69304426411463</v>
      </c>
      <c r="AA159" s="6">
        <f t="shared" ca="1" si="254"/>
        <v>175.10969026925804</v>
      </c>
      <c r="AB159" s="6">
        <f t="shared" ca="1" si="254"/>
        <v>188.16188174942292</v>
      </c>
      <c r="AC159" s="6">
        <f t="shared" ca="1" si="255"/>
        <v>199.17600120448176</v>
      </c>
      <c r="AD159" s="6">
        <f t="shared" ca="1" si="255"/>
        <v>207.44105577272583</v>
      </c>
      <c r="AE159" s="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324">
        <f t="shared" si="256"/>
        <v>0</v>
      </c>
      <c r="BA159" s="324">
        <f t="shared" si="256"/>
        <v>0</v>
      </c>
      <c r="BB159" s="324">
        <f t="shared" si="256"/>
        <v>0</v>
      </c>
      <c r="BC159" s="324">
        <f t="shared" si="256"/>
        <v>0</v>
      </c>
      <c r="BD159" s="324">
        <f t="shared" si="256"/>
        <v>0</v>
      </c>
      <c r="BE159" s="324">
        <f t="shared" si="256"/>
        <v>0</v>
      </c>
      <c r="BF159" s="324">
        <f t="shared" si="256"/>
        <v>0</v>
      </c>
      <c r="BG159" s="324">
        <f t="shared" si="256"/>
        <v>0</v>
      </c>
      <c r="BH159" s="324">
        <f t="shared" si="256"/>
        <v>0</v>
      </c>
      <c r="BI159" s="324">
        <f t="shared" si="256"/>
        <v>0.22562299296556138</v>
      </c>
      <c r="BJ159" s="324">
        <f t="shared" si="256"/>
        <v>0.27053862810975321</v>
      </c>
      <c r="BK159" s="324">
        <f t="shared" si="256"/>
        <v>0.29247580142614904</v>
      </c>
      <c r="BL159" s="324">
        <f t="shared" si="256"/>
        <v>0.37674434192756318</v>
      </c>
      <c r="BM159" s="324">
        <f t="shared" si="256"/>
        <v>0.92956673101810783</v>
      </c>
      <c r="BN159" s="324">
        <f t="shared" si="256"/>
        <v>0.67634657027438305</v>
      </c>
      <c r="BO159" s="170">
        <f t="shared" si="256"/>
        <v>0.67634657027437561</v>
      </c>
      <c r="BP159" s="170">
        <f t="shared" si="257"/>
        <v>3.3000000000000029</v>
      </c>
      <c r="BQ159" s="170">
        <f t="shared" si="257"/>
        <v>5.1749999999999918</v>
      </c>
      <c r="BR159" s="170">
        <f t="shared" si="257"/>
        <v>7.0000000000000062</v>
      </c>
      <c r="BS159" s="170">
        <f t="shared" si="257"/>
        <v>6.6500000000000057</v>
      </c>
      <c r="BT159" s="170">
        <f t="shared" si="257"/>
        <v>8.7120000000000086</v>
      </c>
      <c r="BU159" s="170">
        <f t="shared" si="257"/>
        <v>9.9744345200000097</v>
      </c>
      <c r="BV159" s="170">
        <f t="shared" si="257"/>
        <v>12.73329426200001</v>
      </c>
      <c r="BW159" s="170">
        <f t="shared" si="257"/>
        <v>12.797442376250013</v>
      </c>
      <c r="BX159" s="170">
        <f t="shared" ca="1" si="258"/>
        <v>13.899600000000012</v>
      </c>
      <c r="BY159" s="170">
        <f t="shared" ca="1" si="258"/>
        <v>16.092087692266681</v>
      </c>
      <c r="BZ159" s="170">
        <f t="shared" ca="1" si="258"/>
        <v>20.980551007080017</v>
      </c>
      <c r="CA159" s="170">
        <f t="shared" ca="1" si="258"/>
        <v>21.496934810610014</v>
      </c>
      <c r="CB159" s="170">
        <f t="shared" ca="1" si="259"/>
        <v>18.764460000000017</v>
      </c>
      <c r="CC159" s="170">
        <f t="shared" ca="1" si="259"/>
        <v>19.612231874950044</v>
      </c>
      <c r="CD159" s="170">
        <f t="shared" ca="1" si="259"/>
        <v>22.214701066320053</v>
      </c>
      <c r="CE159" s="170">
        <f t="shared" ca="1" si="259"/>
        <v>20.527921467819255</v>
      </c>
      <c r="CF159" s="62"/>
      <c r="CG159" s="5"/>
      <c r="CH159" s="5"/>
      <c r="CI159" s="13"/>
      <c r="CJ159"/>
      <c r="CK159"/>
      <c r="CL159"/>
      <c r="CM159"/>
      <c r="CN159"/>
      <c r="CO159"/>
      <c r="CP159" s="13"/>
      <c r="CQ159" s="13"/>
      <c r="CR159" s="13"/>
    </row>
    <row r="160" spans="1:96" s="211" customFormat="1" outlineLevel="1">
      <c r="A160" s="3"/>
      <c r="B160" s="12"/>
      <c r="C160" s="6"/>
      <c r="D160" s="6"/>
      <c r="E160" s="6"/>
      <c r="F160" s="6"/>
      <c r="G160" s="6"/>
      <c r="H160" s="6"/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  <c r="T160" s="12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324"/>
      <c r="BU160" s="324"/>
      <c r="BV160" s="324"/>
      <c r="BW160" s="324"/>
      <c r="BX160" s="324"/>
      <c r="BY160" s="324"/>
      <c r="BZ160" s="324"/>
      <c r="CA160" s="324"/>
      <c r="CB160" s="324"/>
      <c r="CC160" s="324"/>
      <c r="CD160" s="324"/>
      <c r="CE160" s="324"/>
      <c r="CF160" s="62"/>
      <c r="CG160" s="5"/>
      <c r="CH160" s="5"/>
      <c r="CI160" s="13"/>
      <c r="CJ160"/>
      <c r="CK160"/>
      <c r="CL160"/>
      <c r="CM160"/>
      <c r="CN160"/>
      <c r="CO160"/>
      <c r="CP160" s="13"/>
      <c r="CQ160" s="13"/>
      <c r="CR160" s="13"/>
    </row>
    <row r="161" spans="1:96" s="211" customFormat="1" outlineLevel="1">
      <c r="A161" s="3"/>
      <c r="B161" s="12" t="s">
        <v>469</v>
      </c>
      <c r="C161" s="6"/>
      <c r="D161" s="6"/>
      <c r="E161" s="6"/>
      <c r="F161" s="6"/>
      <c r="G161" s="6"/>
      <c r="H161" s="6"/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  <c r="T161" s="12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55"/>
      <c r="BM161" s="155"/>
      <c r="BN161" s="155"/>
      <c r="BO161" s="210"/>
      <c r="BP161" s="126"/>
      <c r="BQ161" s="126"/>
      <c r="BR161" s="126"/>
      <c r="BS161" s="126"/>
      <c r="BT161" s="324"/>
      <c r="BU161" s="324"/>
      <c r="BV161" s="324"/>
      <c r="BW161" s="324"/>
      <c r="BX161" s="324"/>
      <c r="BY161" s="324"/>
      <c r="BZ161" s="324"/>
      <c r="CA161" s="324"/>
      <c r="CB161" s="324"/>
      <c r="CC161" s="324"/>
      <c r="CD161" s="324"/>
      <c r="CE161" s="324"/>
      <c r="CF161" s="62"/>
      <c r="CG161" s="5"/>
      <c r="CH161" s="5"/>
      <c r="CI161" s="13"/>
      <c r="CJ161"/>
      <c r="CK161"/>
      <c r="CL161"/>
      <c r="CM161"/>
      <c r="CN161"/>
      <c r="CO161"/>
      <c r="CP161" s="13"/>
      <c r="CQ161" s="13"/>
      <c r="CR161" s="13"/>
    </row>
    <row r="162" spans="1:96" s="211" customFormat="1" outlineLevel="1">
      <c r="A162" s="3"/>
      <c r="B162" s="12" t="s">
        <v>508</v>
      </c>
      <c r="C162" s="6"/>
      <c r="D162" s="6"/>
      <c r="E162" s="6"/>
      <c r="F162" s="6"/>
      <c r="G162" s="6"/>
      <c r="H162" s="6"/>
      <c r="I162" s="126"/>
      <c r="J162" s="126"/>
      <c r="K162" s="126"/>
      <c r="L162" s="126"/>
      <c r="M162" s="126"/>
      <c r="N162" s="126"/>
      <c r="O162" s="126"/>
      <c r="P162" s="323">
        <f>P157/O157-1</f>
        <v>0.13452769550057209</v>
      </c>
      <c r="Q162" s="323">
        <f t="shared" ref="Q162:AD162" si="260">Q157/P157-1</f>
        <v>0.50026036954516417</v>
      </c>
      <c r="R162" s="323">
        <f t="shared" si="260"/>
        <v>0.54938927107738311</v>
      </c>
      <c r="S162" s="323">
        <f t="shared" si="260"/>
        <v>1.0406434307354582</v>
      </c>
      <c r="T162" s="323">
        <f t="shared" si="260"/>
        <v>0.26733720788088422</v>
      </c>
      <c r="U162" s="323">
        <f t="shared" ca="1" si="260"/>
        <v>0.16999657502918963</v>
      </c>
      <c r="V162" s="323">
        <f t="shared" ca="1" si="260"/>
        <v>0.15640644036761508</v>
      </c>
      <c r="W162" s="323">
        <f t="shared" ca="1" si="260"/>
        <v>0.14235935427429136</v>
      </c>
      <c r="X162" s="323">
        <f t="shared" ca="1" si="260"/>
        <v>0.11844179808897537</v>
      </c>
      <c r="Y162" s="323">
        <f t="shared" ca="1" si="260"/>
        <v>0.14661184138506322</v>
      </c>
      <c r="Z162" s="323">
        <f t="shared" ca="1" si="260"/>
        <v>0.13534842278989512</v>
      </c>
      <c r="AA162" s="323">
        <f t="shared" ca="1" si="260"/>
        <v>0.12398562741872032</v>
      </c>
      <c r="AB162" s="323">
        <f t="shared" ca="1" si="260"/>
        <v>0.11251125024003517</v>
      </c>
      <c r="AC162" s="323">
        <f t="shared" ca="1" si="260"/>
        <v>0.10091100228229055</v>
      </c>
      <c r="AD162" s="323">
        <f t="shared" ca="1" si="260"/>
        <v>8.9168046025359438E-2</v>
      </c>
      <c r="AE162" s="323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323"/>
      <c r="BA162" s="323"/>
      <c r="BB162" s="323"/>
      <c r="BC162" s="323"/>
      <c r="BD162" s="323">
        <f t="shared" ref="BD162:BK162" si="261">(BD157/AZ157-1)</f>
        <v>7.9500000000000126E-2</v>
      </c>
      <c r="BE162" s="323">
        <f t="shared" si="261"/>
        <v>0.17422680412371117</v>
      </c>
      <c r="BF162" s="323">
        <f t="shared" si="261"/>
        <v>0.12688172043010737</v>
      </c>
      <c r="BG162" s="323">
        <f t="shared" si="261"/>
        <v>0.15449438202247201</v>
      </c>
      <c r="BH162" s="323">
        <f t="shared" si="261"/>
        <v>0.40823529411764725</v>
      </c>
      <c r="BI162" s="323">
        <f t="shared" si="261"/>
        <v>0.39941176470588258</v>
      </c>
      <c r="BJ162" s="323">
        <f t="shared" si="261"/>
        <v>0.5592499999999998</v>
      </c>
      <c r="BK162" s="323">
        <f t="shared" si="261"/>
        <v>0.6160000000000001</v>
      </c>
      <c r="BL162" s="41">
        <f>(BL157/BH157-1)</f>
        <v>0.5737142857142854</v>
      </c>
      <c r="BM162" s="41">
        <f>(BM157/BI157-1)</f>
        <v>0.58461538461538476</v>
      </c>
      <c r="BN162" s="318">
        <v>0.5</v>
      </c>
      <c r="BO162" s="320">
        <v>0.55000000000000004</v>
      </c>
      <c r="BP162" s="41">
        <f>(BP157/BL157-1)</f>
        <v>1.1627791691467246</v>
      </c>
      <c r="BQ162" s="41">
        <f>(BQ157/BM157-1)</f>
        <v>1.1031303453156065</v>
      </c>
      <c r="BR162" s="41">
        <f t="shared" ref="BR162:CA164" si="262">(BR157/BM157-1)</f>
        <v>1.2892385549010799</v>
      </c>
      <c r="BS162" s="323">
        <f t="shared" si="262"/>
        <v>0.97685195105615508</v>
      </c>
      <c r="BT162" s="323">
        <f t="shared" si="262"/>
        <v>1.1546861152758887</v>
      </c>
      <c r="BU162" s="323">
        <f t="shared" si="262"/>
        <v>0.36015016181818194</v>
      </c>
      <c r="BV162" s="323">
        <f t="shared" si="262"/>
        <v>0.40284178373401525</v>
      </c>
      <c r="BW162" s="323">
        <f t="shared" si="262"/>
        <v>0.16840236517857132</v>
      </c>
      <c r="BX162" s="323">
        <f t="shared" ca="1" si="262"/>
        <v>0.21009576573011457</v>
      </c>
      <c r="BY162" s="323">
        <f t="shared" ca="1" si="262"/>
        <v>9.8286083283283032E-2</v>
      </c>
      <c r="BZ162" s="323">
        <f t="shared" ca="1" si="262"/>
        <v>0.2785570871119416</v>
      </c>
      <c r="CA162" s="323">
        <f t="shared" ca="1" si="262"/>
        <v>4.5104749604662375E-2</v>
      </c>
      <c r="CB162" s="323">
        <f t="shared" ref="CB162:CE164" ca="1" si="263">(CB157/BW157-1)</f>
        <v>0.26788919724216465</v>
      </c>
      <c r="CC162" s="323">
        <f t="shared" ca="1" si="263"/>
        <v>0.33616717571159116</v>
      </c>
      <c r="CD162" s="323">
        <f t="shared" ca="1" si="263"/>
        <v>0.42648931206704255</v>
      </c>
      <c r="CE162" s="323">
        <f t="shared" ca="1" si="263"/>
        <v>5.58043731711928E-2</v>
      </c>
      <c r="CF162" s="62"/>
      <c r="CG162" s="5"/>
      <c r="CH162" s="5"/>
      <c r="CI162" s="13"/>
      <c r="CJ162"/>
      <c r="CK162"/>
      <c r="CL162"/>
      <c r="CM162"/>
      <c r="CN162"/>
      <c r="CO162"/>
      <c r="CP162" s="13"/>
      <c r="CQ162" s="13"/>
      <c r="CR162" s="13"/>
    </row>
    <row r="163" spans="1:96" s="211" customFormat="1" outlineLevel="1">
      <c r="A163" s="3"/>
      <c r="B163" s="12" t="s">
        <v>515</v>
      </c>
      <c r="C163" s="6"/>
      <c r="D163" s="6"/>
      <c r="E163" s="6"/>
      <c r="F163" s="6"/>
      <c r="G163" s="6"/>
      <c r="H163" s="6"/>
      <c r="I163" s="126"/>
      <c r="J163" s="126"/>
      <c r="K163" s="126"/>
      <c r="L163" s="126"/>
      <c r="M163" s="126"/>
      <c r="N163" s="126"/>
      <c r="O163" s="126"/>
      <c r="P163" s="323">
        <f>P158/O158-1</f>
        <v>3.5289247923317832</v>
      </c>
      <c r="Q163" s="323">
        <f t="shared" ref="Q163:AD163" si="264">Q158/P158-1</f>
        <v>2.4980774250087845</v>
      </c>
      <c r="R163" s="323">
        <f t="shared" si="264"/>
        <v>2.3396905750589196</v>
      </c>
      <c r="S163" s="323">
        <f t="shared" si="264"/>
        <v>1.4337788740378326</v>
      </c>
      <c r="T163" s="323">
        <f t="shared" si="264"/>
        <v>0.4680345886363364</v>
      </c>
      <c r="U163" s="323">
        <f t="shared" ca="1" si="264"/>
        <v>0.27191129019795635</v>
      </c>
      <c r="V163" s="323">
        <f t="shared" ca="1" si="264"/>
        <v>0.26085976769447261</v>
      </c>
      <c r="W163" s="323">
        <f t="shared" ca="1" si="264"/>
        <v>0.24985971759262271</v>
      </c>
      <c r="X163" s="323">
        <f t="shared" ca="1" si="264"/>
        <v>0.22866854624306399</v>
      </c>
      <c r="Y163" s="323">
        <f t="shared" ca="1" si="264"/>
        <v>0.21776629232803479</v>
      </c>
      <c r="Z163" s="323">
        <f t="shared" ca="1" si="264"/>
        <v>0.20690518300062699</v>
      </c>
      <c r="AA163" s="323">
        <f t="shared" ca="1" si="264"/>
        <v>0.19608246658819528</v>
      </c>
      <c r="AB163" s="323">
        <f t="shared" ca="1" si="264"/>
        <v>0.18529563143635941</v>
      </c>
      <c r="AC163" s="323">
        <f t="shared" ca="1" si="264"/>
        <v>0.17454238029761537</v>
      </c>
      <c r="AD163" s="323">
        <f t="shared" ca="1" si="264"/>
        <v>0.16382060793088815</v>
      </c>
      <c r="AE163" s="323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323"/>
      <c r="BA163" s="323"/>
      <c r="BB163" s="323"/>
      <c r="BC163" s="323"/>
      <c r="BD163" s="323"/>
      <c r="BE163" s="323"/>
      <c r="BF163" s="323">
        <f t="shared" ref="BF163:BK163" si="265">(BF158/BA158-1)</f>
        <v>8.9002318702789882</v>
      </c>
      <c r="BG163" s="323">
        <f t="shared" si="265"/>
        <v>3.957785596291723</v>
      </c>
      <c r="BH163" s="323">
        <f t="shared" si="265"/>
        <v>3.7657048020866331</v>
      </c>
      <c r="BI163" s="323">
        <f t="shared" si="265"/>
        <v>3.7353333063232137</v>
      </c>
      <c r="BJ163" s="323">
        <f t="shared" si="265"/>
        <v>4.2663322963692849</v>
      </c>
      <c r="BK163" s="323">
        <f t="shared" si="265"/>
        <v>3.1740770151618802</v>
      </c>
      <c r="BL163" s="323">
        <f>(BL158/BG158-1)</f>
        <v>3.6836094492915628</v>
      </c>
      <c r="BM163" s="323">
        <f>(BM158/BH158-1)</f>
        <v>3.0267436990818695</v>
      </c>
      <c r="BN163" s="318">
        <v>3</v>
      </c>
      <c r="BO163" s="323">
        <f t="shared" ref="BO163:BQ164" si="266">(BO158/BJ158-1)</f>
        <v>2.7500000000000009</v>
      </c>
      <c r="BP163" s="323">
        <f t="shared" si="266"/>
        <v>4.4968387123072544</v>
      </c>
      <c r="BQ163" s="323">
        <f t="shared" si="266"/>
        <v>2.5951288279861706</v>
      </c>
      <c r="BR163" s="323">
        <f t="shared" si="262"/>
        <v>2.5769352420329379</v>
      </c>
      <c r="BS163" s="323">
        <f t="shared" si="262"/>
        <v>0.94596363932090277</v>
      </c>
      <c r="BT163" s="323">
        <f t="shared" si="262"/>
        <v>1.4937905221910612</v>
      </c>
      <c r="BU163" s="323">
        <f t="shared" si="262"/>
        <v>0.53779160595427977</v>
      </c>
      <c r="BV163" s="323">
        <f t="shared" si="262"/>
        <v>0.8802239271205905</v>
      </c>
      <c r="BW163" s="323">
        <f t="shared" si="262"/>
        <v>0.35168116755952394</v>
      </c>
      <c r="BX163" s="323">
        <f t="shared" ca="1" si="262"/>
        <v>0.45455955678670379</v>
      </c>
      <c r="BY163" s="323">
        <f t="shared" ca="1" si="262"/>
        <v>0.32510603526570048</v>
      </c>
      <c r="BZ163" s="323">
        <f t="shared" ca="1" si="262"/>
        <v>0.54877493644594511</v>
      </c>
      <c r="CA163" s="323">
        <f t="shared" ca="1" si="262"/>
        <v>0.2713952366985497</v>
      </c>
      <c r="CB163" s="323">
        <f t="shared" ca="1" si="263"/>
        <v>0.41490567397376887</v>
      </c>
      <c r="CC163" s="323">
        <f t="shared" ca="1" si="263"/>
        <v>0.45249231806765899</v>
      </c>
      <c r="CD163" s="323">
        <f t="shared" ca="1" si="263"/>
        <v>0.50931772373545137</v>
      </c>
      <c r="CE163" s="323">
        <f t="shared" ca="1" si="263"/>
        <v>9.5284390376889627E-2</v>
      </c>
      <c r="CF163" s="62"/>
      <c r="CG163" s="5"/>
      <c r="CH163" s="5"/>
      <c r="CI163" s="13"/>
      <c r="CJ163"/>
      <c r="CK163"/>
      <c r="CL163"/>
      <c r="CM163"/>
      <c r="CN163"/>
      <c r="CO163"/>
      <c r="CP163" s="13"/>
      <c r="CQ163" s="13"/>
      <c r="CR163" s="13"/>
    </row>
    <row r="164" spans="1:96" s="211" customFormat="1" outlineLevel="1">
      <c r="A164" s="3"/>
      <c r="B164" s="12" t="s">
        <v>516</v>
      </c>
      <c r="C164" s="6"/>
      <c r="D164" s="6"/>
      <c r="E164" s="6"/>
      <c r="F164" s="6"/>
      <c r="G164" s="6"/>
      <c r="H164" s="6"/>
      <c r="I164" s="126"/>
      <c r="J164" s="126"/>
      <c r="K164" s="126"/>
      <c r="L164" s="126"/>
      <c r="M164" s="126"/>
      <c r="N164" s="126"/>
      <c r="O164" s="126"/>
      <c r="P164" s="323"/>
      <c r="Q164" s="323"/>
      <c r="R164" s="323">
        <f t="shared" ref="R164:AD164" si="267">R159/Q159-1</f>
        <v>2.3716434671086062</v>
      </c>
      <c r="S164" s="323">
        <f t="shared" si="267"/>
        <v>7.3207841069659736</v>
      </c>
      <c r="T164" s="323">
        <f t="shared" si="267"/>
        <v>0.99851621054237394</v>
      </c>
      <c r="U164" s="323">
        <f t="shared" ca="1" si="267"/>
        <v>0.33862276536290681</v>
      </c>
      <c r="V164" s="323">
        <f t="shared" ca="1" si="267"/>
        <v>0.32062000478043107</v>
      </c>
      <c r="W164" s="323">
        <f t="shared" ca="1" si="267"/>
        <v>0.30371553166840148</v>
      </c>
      <c r="X164" s="323">
        <f t="shared" ca="1" si="267"/>
        <v>0.27705564255534076</v>
      </c>
      <c r="Y164" s="323">
        <f t="shared" ca="1" si="267"/>
        <v>0.11819716574183503</v>
      </c>
      <c r="Z164" s="323">
        <f t="shared" ca="1" si="267"/>
        <v>0.10422861815391804</v>
      </c>
      <c r="AA164" s="323">
        <f t="shared" ca="1" si="267"/>
        <v>8.9715432744233992E-2</v>
      </c>
      <c r="AB164" s="323">
        <f t="shared" ca="1" si="267"/>
        <v>7.4537231263987369E-2</v>
      </c>
      <c r="AC164" s="323">
        <f t="shared" ca="1" si="267"/>
        <v>5.853533857471982E-2</v>
      </c>
      <c r="AD164" s="323">
        <f t="shared" ca="1" si="267"/>
        <v>4.1496237088116006E-2</v>
      </c>
      <c r="AE164" s="323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323"/>
      <c r="BG164" s="126"/>
      <c r="BH164" s="126"/>
      <c r="BI164" s="126"/>
      <c r="BJ164" s="126"/>
      <c r="BK164" s="126"/>
      <c r="BL164" s="323"/>
      <c r="BM164" s="323"/>
      <c r="BN164" s="323">
        <f>(BN159/BI159-1)</f>
        <v>1.9976845949278723</v>
      </c>
      <c r="BO164" s="323">
        <f t="shared" si="266"/>
        <v>1.4999999999999725</v>
      </c>
      <c r="BP164" s="323">
        <f t="shared" si="266"/>
        <v>10.282984725262004</v>
      </c>
      <c r="BQ164" s="323">
        <f t="shared" si="266"/>
        <v>12.736105427682817</v>
      </c>
      <c r="BR164" s="323">
        <f t="shared" si="262"/>
        <v>6.5303899832271934</v>
      </c>
      <c r="BS164" s="323">
        <f t="shared" si="262"/>
        <v>8.8322373355160302</v>
      </c>
      <c r="BT164" s="323">
        <f t="shared" si="262"/>
        <v>11.880970175491219</v>
      </c>
      <c r="BU164" s="323">
        <f t="shared" si="262"/>
        <v>2.0225559151515156</v>
      </c>
      <c r="BV164" s="323">
        <f t="shared" si="262"/>
        <v>1.4605399540096675</v>
      </c>
      <c r="BW164" s="323">
        <f t="shared" si="262"/>
        <v>0.82820605375000023</v>
      </c>
      <c r="BX164" s="323">
        <f t="shared" ca="1" si="262"/>
        <v>1.0901654135338346</v>
      </c>
      <c r="BY164" s="323">
        <f t="shared" ca="1" si="262"/>
        <v>0.84711750370370353</v>
      </c>
      <c r="BZ164" s="323">
        <f t="shared" ca="1" si="262"/>
        <v>1.1034326271841621</v>
      </c>
      <c r="CA164" s="323">
        <f t="shared" ca="1" si="262"/>
        <v>0.68824613397676293</v>
      </c>
      <c r="CB164" s="323">
        <f t="shared" ca="1" si="263"/>
        <v>0.4662664185793739</v>
      </c>
      <c r="CC164" s="323">
        <f t="shared" ca="1" si="263"/>
        <v>0.41099253755144227</v>
      </c>
      <c r="CD164" s="323">
        <f t="shared" ca="1" si="263"/>
        <v>0.38047352780681742</v>
      </c>
      <c r="CE164" s="323">
        <f t="shared" ca="1" si="263"/>
        <v>-2.1573767967677293E-2</v>
      </c>
      <c r="CF164" s="62"/>
      <c r="CG164" s="5"/>
      <c r="CH164" s="5"/>
      <c r="CI164" s="13"/>
      <c r="CJ164"/>
      <c r="CK164"/>
      <c r="CL164"/>
      <c r="CM164"/>
      <c r="CN164"/>
      <c r="CO164"/>
      <c r="CP164" s="13"/>
      <c r="CQ164" s="13"/>
      <c r="CR164" s="13"/>
    </row>
    <row r="165" spans="1:96" s="211" customFormat="1" outlineLevel="1">
      <c r="A165" s="3"/>
      <c r="B165" s="12"/>
      <c r="C165" s="6"/>
      <c r="D165" s="6"/>
      <c r="E165" s="6"/>
      <c r="F165" s="6"/>
      <c r="G165" s="6"/>
      <c r="H165" s="6"/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  <c r="T165" s="12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324"/>
      <c r="BY165" s="324"/>
      <c r="BZ165" s="324"/>
      <c r="CA165" s="324"/>
      <c r="CB165" s="324"/>
      <c r="CC165" s="324"/>
      <c r="CD165" s="324"/>
      <c r="CE165" s="324"/>
      <c r="CF165" s="62"/>
      <c r="CG165" s="5"/>
      <c r="CH165" s="5"/>
      <c r="CI165" s="13"/>
      <c r="CJ165"/>
      <c r="CK165"/>
      <c r="CL165"/>
      <c r="CM165"/>
      <c r="CN165"/>
      <c r="CO165"/>
      <c r="CP165" s="13"/>
      <c r="CQ165" s="13"/>
      <c r="CR165" s="13"/>
    </row>
    <row r="166" spans="1:96" s="211" customFormat="1" outlineLevel="1" collapsed="1">
      <c r="A166" s="3"/>
      <c r="B166" s="523" t="s">
        <v>518</v>
      </c>
      <c r="C166" s="524"/>
      <c r="D166" s="524"/>
      <c r="E166" s="524"/>
      <c r="F166" s="524"/>
      <c r="G166" s="524"/>
      <c r="H166" s="524"/>
      <c r="I166" s="525"/>
      <c r="J166" s="525"/>
      <c r="K166" s="525"/>
      <c r="L166" s="525"/>
      <c r="M166" s="525"/>
      <c r="N166" s="525"/>
      <c r="O166" s="525"/>
      <c r="P166" s="525"/>
      <c r="Q166" s="525"/>
      <c r="R166" s="525"/>
      <c r="S166" s="525"/>
      <c r="T166" s="525"/>
      <c r="U166" s="524"/>
      <c r="V166" s="524"/>
      <c r="W166" s="524"/>
      <c r="X166" s="524"/>
      <c r="Y166" s="524"/>
      <c r="Z166" s="524"/>
      <c r="AA166" s="524"/>
      <c r="AB166" s="524"/>
      <c r="AC166" s="524"/>
      <c r="AD166" s="524"/>
      <c r="AE166" s="524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62"/>
      <c r="CG166" s="5"/>
      <c r="CH166" s="5"/>
      <c r="CI166" s="13"/>
      <c r="CJ166"/>
      <c r="CK166"/>
      <c r="CL166"/>
      <c r="CM166"/>
      <c r="CN166"/>
      <c r="CO166"/>
      <c r="CP166" s="13"/>
      <c r="CQ166" s="13"/>
      <c r="CR166" s="13"/>
    </row>
    <row r="167" spans="1:96" s="211" customFormat="1" hidden="1" outlineLevel="2">
      <c r="A167" s="3"/>
      <c r="B167" s="12" t="s">
        <v>508</v>
      </c>
      <c r="C167" s="6"/>
      <c r="D167" s="6"/>
      <c r="E167" s="6"/>
      <c r="F167" s="6"/>
      <c r="G167" s="6"/>
      <c r="H167" s="6"/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  <c r="T167" s="12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318">
        <v>0.95</v>
      </c>
      <c r="BN167" s="358" t="s">
        <v>700</v>
      </c>
      <c r="BO167" s="359" t="s">
        <v>674</v>
      </c>
      <c r="BP167" s="213" t="s">
        <v>674</v>
      </c>
      <c r="BQ167" s="213" t="s">
        <v>674</v>
      </c>
      <c r="BR167" s="213" t="s">
        <v>676</v>
      </c>
      <c r="BS167" s="126"/>
      <c r="BT167" s="126"/>
      <c r="BU167" s="126"/>
      <c r="BV167" s="126"/>
      <c r="BW167" s="126"/>
      <c r="BX167" s="324"/>
      <c r="BY167" s="324"/>
      <c r="BZ167" s="324"/>
      <c r="CA167" s="324"/>
      <c r="CB167" s="324"/>
      <c r="CC167" s="324"/>
      <c r="CD167" s="324"/>
      <c r="CE167" s="324"/>
      <c r="CF167" s="62"/>
      <c r="CG167" s="5"/>
      <c r="CH167" s="5"/>
      <c r="CI167" s="13"/>
      <c r="CJ167"/>
      <c r="CK167"/>
      <c r="CL167"/>
      <c r="CM167"/>
      <c r="CN167"/>
      <c r="CO167"/>
      <c r="CP167" s="13"/>
      <c r="CQ167" s="13"/>
      <c r="CR167" s="13"/>
    </row>
    <row r="168" spans="1:96" s="211" customFormat="1" hidden="1" outlineLevel="2">
      <c r="A168" s="3"/>
      <c r="B168" s="12" t="s">
        <v>515</v>
      </c>
      <c r="C168" s="6"/>
      <c r="D168" s="6"/>
      <c r="E168" s="6"/>
      <c r="F168" s="6"/>
      <c r="G168" s="6"/>
      <c r="H168" s="6"/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  <c r="T168" s="12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359" t="s">
        <v>726</v>
      </c>
      <c r="BN168" s="370" t="s">
        <v>701</v>
      </c>
      <c r="BO168" s="359" t="s">
        <v>701</v>
      </c>
      <c r="BP168" s="213" t="s">
        <v>675</v>
      </c>
      <c r="BQ168" s="213" t="s">
        <v>675</v>
      </c>
      <c r="BR168" s="213" t="s">
        <v>675</v>
      </c>
      <c r="BS168" s="126"/>
      <c r="BT168" s="126"/>
      <c r="BU168" s="126"/>
      <c r="BV168" s="126"/>
      <c r="BW168" s="126"/>
      <c r="BX168" s="324"/>
      <c r="BY168" s="324"/>
      <c r="BZ168" s="324"/>
      <c r="CA168" s="324"/>
      <c r="CB168" s="324"/>
      <c r="CC168" s="324"/>
      <c r="CD168" s="324"/>
      <c r="CE168" s="324"/>
      <c r="CF168" s="62"/>
      <c r="CG168" s="5"/>
      <c r="CH168" s="5"/>
      <c r="CI168" s="13"/>
      <c r="CJ168"/>
      <c r="CK168"/>
      <c r="CL168"/>
      <c r="CM168"/>
      <c r="CN168"/>
      <c r="CO168"/>
      <c r="CP168" s="13"/>
      <c r="CQ168" s="13"/>
      <c r="CR168" s="13"/>
    </row>
    <row r="169" spans="1:96" s="211" customFormat="1" hidden="1" outlineLevel="2">
      <c r="A169" s="3"/>
      <c r="B169" s="12" t="s">
        <v>516</v>
      </c>
      <c r="C169" s="6"/>
      <c r="D169" s="6"/>
      <c r="E169" s="6"/>
      <c r="F169" s="6"/>
      <c r="G169" s="6"/>
      <c r="H169" s="6"/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  <c r="T169" s="12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359" t="s">
        <v>699</v>
      </c>
      <c r="BN169" s="356" t="s">
        <v>699</v>
      </c>
      <c r="BO169" s="359" t="s">
        <v>677</v>
      </c>
      <c r="BP169" s="213" t="s">
        <v>677</v>
      </c>
      <c r="BQ169" s="213" t="s">
        <v>677</v>
      </c>
      <c r="BR169" s="213" t="s">
        <v>677</v>
      </c>
      <c r="BS169" s="126"/>
      <c r="BT169" s="126"/>
      <c r="BU169" s="126"/>
      <c r="BV169" s="126"/>
      <c r="BW169" s="126"/>
      <c r="BX169" s="324"/>
      <c r="BY169" s="324"/>
      <c r="BZ169" s="324"/>
      <c r="CA169" s="324"/>
      <c r="CB169" s="324"/>
      <c r="CC169" s="324"/>
      <c r="CD169" s="324"/>
      <c r="CE169" s="324"/>
      <c r="CF169" s="62"/>
      <c r="CG169" s="5"/>
      <c r="CH169" s="5"/>
      <c r="CI169" s="13"/>
      <c r="CJ169"/>
      <c r="CK169"/>
      <c r="CL169"/>
      <c r="CM169"/>
      <c r="CN169"/>
      <c r="CO169"/>
      <c r="CP169" s="13"/>
      <c r="CQ169" s="13"/>
      <c r="CR169" s="13"/>
    </row>
    <row r="170" spans="1:96" s="211" customFormat="1" hidden="1" outlineLevel="2">
      <c r="A170" s="3"/>
      <c r="B170" s="12"/>
      <c r="C170" s="6"/>
      <c r="D170" s="6"/>
      <c r="E170" s="6"/>
      <c r="F170" s="6"/>
      <c r="G170" s="6"/>
      <c r="H170" s="6"/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  <c r="T170" s="12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324"/>
      <c r="BY170" s="324"/>
      <c r="BZ170" s="324"/>
      <c r="CA170" s="324"/>
      <c r="CB170" s="324"/>
      <c r="CC170" s="324"/>
      <c r="CD170" s="324"/>
      <c r="CE170" s="324"/>
      <c r="CF170" s="62"/>
      <c r="CG170" s="5"/>
      <c r="CH170" s="5"/>
      <c r="CI170" s="13"/>
      <c r="CJ170"/>
      <c r="CK170"/>
      <c r="CL170"/>
      <c r="CM170"/>
      <c r="CN170"/>
      <c r="CO170"/>
      <c r="CP170" s="13"/>
      <c r="CQ170" s="13"/>
      <c r="CR170" s="13"/>
    </row>
    <row r="171" spans="1:96" s="211" customFormat="1" outlineLevel="1">
      <c r="A171" s="3" t="s">
        <v>520</v>
      </c>
      <c r="B171" s="12" t="s">
        <v>508</v>
      </c>
      <c r="C171" s="6"/>
      <c r="D171" s="6"/>
      <c r="E171" s="6"/>
      <c r="F171" s="6"/>
      <c r="G171" s="6"/>
      <c r="H171" s="6"/>
      <c r="I171" s="126"/>
      <c r="J171" s="126"/>
      <c r="K171" s="126"/>
      <c r="L171" s="126"/>
      <c r="M171" s="126"/>
      <c r="N171" s="126"/>
      <c r="O171" s="323">
        <f t="shared" ref="O171:T171" si="268">O176/Rev_Ticket</f>
        <v>1.0000000236646356</v>
      </c>
      <c r="P171" s="323">
        <f t="shared" si="268"/>
        <v>1</v>
      </c>
      <c r="Q171" s="323">
        <f t="shared" si="268"/>
        <v>1</v>
      </c>
      <c r="R171" s="323">
        <f t="shared" si="268"/>
        <v>0.9184114328613866</v>
      </c>
      <c r="S171" s="323">
        <f t="shared" si="268"/>
        <v>0.85343371381860622</v>
      </c>
      <c r="T171" s="323">
        <f t="shared" si="268"/>
        <v>0.81476060640013814</v>
      </c>
      <c r="U171" s="42">
        <f>T171-2%</f>
        <v>0.79476060640013813</v>
      </c>
      <c r="V171" s="42">
        <f t="shared" ref="V171:AD171" si="269">U171-2%</f>
        <v>0.77476060640013811</v>
      </c>
      <c r="W171" s="42">
        <f t="shared" si="269"/>
        <v>0.75476060640013809</v>
      </c>
      <c r="X171" s="42">
        <f t="shared" si="269"/>
        <v>0.73476060640013807</v>
      </c>
      <c r="Y171" s="42">
        <f t="shared" si="269"/>
        <v>0.71476060640013805</v>
      </c>
      <c r="Z171" s="42">
        <f t="shared" si="269"/>
        <v>0.69476060640013804</v>
      </c>
      <c r="AA171" s="42">
        <f t="shared" si="269"/>
        <v>0.67476060640013802</v>
      </c>
      <c r="AB171" s="42">
        <f t="shared" si="269"/>
        <v>0.654760606400138</v>
      </c>
      <c r="AC171" s="42">
        <f t="shared" si="269"/>
        <v>0.63476060640013798</v>
      </c>
      <c r="AD171" s="42">
        <f t="shared" si="269"/>
        <v>0.61476060640013797</v>
      </c>
      <c r="AE171" s="42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42">
        <v>1</v>
      </c>
      <c r="BA171" s="42">
        <v>1</v>
      </c>
      <c r="BB171" s="42">
        <v>1</v>
      </c>
      <c r="BC171" s="42">
        <v>1</v>
      </c>
      <c r="BD171" s="42">
        <v>1</v>
      </c>
      <c r="BE171" s="42">
        <v>1</v>
      </c>
      <c r="BF171" s="42">
        <v>1</v>
      </c>
      <c r="BG171" s="42">
        <v>1</v>
      </c>
      <c r="BH171" s="42">
        <v>1</v>
      </c>
      <c r="BI171" s="42">
        <v>1</v>
      </c>
      <c r="BJ171" s="42">
        <v>1</v>
      </c>
      <c r="BK171" s="42">
        <v>1</v>
      </c>
      <c r="BL171" s="42">
        <v>0.97</v>
      </c>
      <c r="BM171" s="357">
        <v>0.95</v>
      </c>
      <c r="BN171" s="42">
        <v>0.89</v>
      </c>
      <c r="BO171" s="42">
        <v>0.88</v>
      </c>
      <c r="BP171" s="42">
        <v>0.87</v>
      </c>
      <c r="BQ171" s="42">
        <v>0.87</v>
      </c>
      <c r="BR171" s="42">
        <v>0.84</v>
      </c>
      <c r="BS171" s="323">
        <f>BR171</f>
        <v>0.84</v>
      </c>
      <c r="BT171" s="42">
        <f t="shared" ref="BT171:CA171" si="270">BS171-1%</f>
        <v>0.83</v>
      </c>
      <c r="BU171" s="42">
        <f t="shared" si="270"/>
        <v>0.82</v>
      </c>
      <c r="BV171" s="42">
        <f t="shared" si="270"/>
        <v>0.80999999999999994</v>
      </c>
      <c r="BW171" s="42">
        <f t="shared" si="270"/>
        <v>0.79999999999999993</v>
      </c>
      <c r="BX171" s="42">
        <f t="shared" si="270"/>
        <v>0.78999999999999992</v>
      </c>
      <c r="BY171" s="42">
        <f t="shared" si="270"/>
        <v>0.77999999999999992</v>
      </c>
      <c r="BZ171" s="42">
        <f t="shared" si="270"/>
        <v>0.76999999999999991</v>
      </c>
      <c r="CA171" s="42">
        <f t="shared" si="270"/>
        <v>0.7599999999999999</v>
      </c>
      <c r="CB171" s="42">
        <f>CA171+1.2%</f>
        <v>0.77199999999999991</v>
      </c>
      <c r="CC171" s="42">
        <f>CB171-0.1%</f>
        <v>0.77099999999999991</v>
      </c>
      <c r="CD171" s="42">
        <f>CC171-0.1%</f>
        <v>0.76999999999999991</v>
      </c>
      <c r="CE171" s="42">
        <f>CD171-0.1%</f>
        <v>0.76899999999999991</v>
      </c>
      <c r="CF171" s="650"/>
      <c r="CG171" s="5"/>
      <c r="CH171" s="5"/>
      <c r="CI171" s="13"/>
      <c r="CJ171"/>
      <c r="CK171"/>
      <c r="CL171"/>
      <c r="CM171"/>
      <c r="CN171"/>
      <c r="CO171"/>
      <c r="CP171" s="13"/>
      <c r="CQ171" s="13"/>
      <c r="CR171" s="13"/>
    </row>
    <row r="172" spans="1:96" s="211" customFormat="1" outlineLevel="1">
      <c r="A172" s="3"/>
      <c r="B172" s="12" t="s">
        <v>515</v>
      </c>
      <c r="C172" s="6"/>
      <c r="D172" s="6"/>
      <c r="E172" s="6"/>
      <c r="F172" s="6"/>
      <c r="G172" s="6"/>
      <c r="H172" s="6"/>
      <c r="I172" s="126"/>
      <c r="J172" s="126"/>
      <c r="K172" s="126"/>
      <c r="L172" s="126"/>
      <c r="M172" s="126"/>
      <c r="N172" s="126"/>
      <c r="O172" s="323"/>
      <c r="P172" s="323"/>
      <c r="Q172" s="323"/>
      <c r="R172" s="323">
        <f t="shared" ref="R172:T173" si="271">R177/Rev_Ticket</f>
        <v>7.1098206823356019E-2</v>
      </c>
      <c r="S172" s="323">
        <f t="shared" si="271"/>
        <v>0.13104419078759583</v>
      </c>
      <c r="T172" s="323">
        <f t="shared" si="271"/>
        <v>0.15261969679993087</v>
      </c>
      <c r="U172" s="42">
        <f>T172+1.5%</f>
        <v>0.16761969679993088</v>
      </c>
      <c r="V172" s="42">
        <f t="shared" ref="V172:AD172" si="272">U172+1.5%</f>
        <v>0.1826196967999309</v>
      </c>
      <c r="W172" s="42">
        <f t="shared" si="272"/>
        <v>0.19761969679993091</v>
      </c>
      <c r="X172" s="42">
        <f t="shared" si="272"/>
        <v>0.21261969679993092</v>
      </c>
      <c r="Y172" s="42">
        <f t="shared" si="272"/>
        <v>0.22761969679993094</v>
      </c>
      <c r="Z172" s="42">
        <f t="shared" si="272"/>
        <v>0.24261969679993095</v>
      </c>
      <c r="AA172" s="42">
        <f t="shared" si="272"/>
        <v>0.25761969679993096</v>
      </c>
      <c r="AB172" s="42">
        <f t="shared" si="272"/>
        <v>0.27261969679993098</v>
      </c>
      <c r="AC172" s="42">
        <f t="shared" si="272"/>
        <v>0.28761969679993099</v>
      </c>
      <c r="AD172" s="42">
        <f t="shared" si="272"/>
        <v>0.302619696799931</v>
      </c>
      <c r="AE172" s="42"/>
      <c r="AF172" s="368"/>
      <c r="AG172" s="368"/>
      <c r="AH172" s="368"/>
      <c r="AI172" s="368"/>
      <c r="AJ172" s="368"/>
      <c r="AK172" s="368"/>
      <c r="AL172" s="368"/>
      <c r="AM172" s="368"/>
      <c r="AN172" s="368"/>
      <c r="AO172" s="368"/>
      <c r="AP172" s="368"/>
      <c r="AQ172" s="368"/>
      <c r="AR172" s="368"/>
      <c r="AS172" s="368"/>
      <c r="AT172" s="368"/>
      <c r="AU172" s="368"/>
      <c r="AV172" s="368"/>
      <c r="AW172" s="368"/>
      <c r="AX172" s="368"/>
      <c r="AY172" s="368"/>
      <c r="AZ172" s="42">
        <f t="shared" ref="AZ172:BJ172" si="273">1-AZ171</f>
        <v>0</v>
      </c>
      <c r="BA172" s="42">
        <f t="shared" si="273"/>
        <v>0</v>
      </c>
      <c r="BB172" s="42">
        <f t="shared" si="273"/>
        <v>0</v>
      </c>
      <c r="BC172" s="42">
        <f t="shared" si="273"/>
        <v>0</v>
      </c>
      <c r="BD172" s="42">
        <f t="shared" si="273"/>
        <v>0</v>
      </c>
      <c r="BE172" s="42">
        <f t="shared" si="273"/>
        <v>0</v>
      </c>
      <c r="BF172" s="42">
        <f t="shared" si="273"/>
        <v>0</v>
      </c>
      <c r="BG172" s="42">
        <f t="shared" si="273"/>
        <v>0</v>
      </c>
      <c r="BH172" s="42">
        <f t="shared" si="273"/>
        <v>0</v>
      </c>
      <c r="BI172" s="42">
        <f t="shared" si="273"/>
        <v>0</v>
      </c>
      <c r="BJ172" s="42">
        <f t="shared" si="273"/>
        <v>0</v>
      </c>
      <c r="BK172" s="42">
        <f>1-BK171</f>
        <v>0</v>
      </c>
      <c r="BL172" s="42">
        <f>1-BL171</f>
        <v>3.0000000000000027E-2</v>
      </c>
      <c r="BM172" s="357">
        <v>4.4999999999999998E-2</v>
      </c>
      <c r="BN172" s="42">
        <v>8.5999999999999993E-2</v>
      </c>
      <c r="BO172" s="42">
        <v>0.11</v>
      </c>
      <c r="BP172" s="42">
        <v>0.12</v>
      </c>
      <c r="BQ172" s="42">
        <v>0.12</v>
      </c>
      <c r="BR172" s="42">
        <v>0.14000000000000001</v>
      </c>
      <c r="BS172" s="323">
        <f>BR172</f>
        <v>0.14000000000000001</v>
      </c>
      <c r="BT172" s="42">
        <f t="shared" ref="BT172:CA172" si="274">BS172+0.5%</f>
        <v>0.14500000000000002</v>
      </c>
      <c r="BU172" s="42">
        <f t="shared" si="274"/>
        <v>0.15000000000000002</v>
      </c>
      <c r="BV172" s="42">
        <f t="shared" si="274"/>
        <v>0.15500000000000003</v>
      </c>
      <c r="BW172" s="42">
        <f t="shared" si="274"/>
        <v>0.16000000000000003</v>
      </c>
      <c r="BX172" s="42">
        <f t="shared" si="274"/>
        <v>0.16500000000000004</v>
      </c>
      <c r="BY172" s="42">
        <f t="shared" si="274"/>
        <v>0.17000000000000004</v>
      </c>
      <c r="BZ172" s="42">
        <f t="shared" si="274"/>
        <v>0.17500000000000004</v>
      </c>
      <c r="CA172" s="42">
        <f t="shared" si="274"/>
        <v>0.18000000000000005</v>
      </c>
      <c r="CB172" s="42">
        <f>CA172+0.2%</f>
        <v>0.18200000000000005</v>
      </c>
      <c r="CC172" s="42">
        <f>CB172+0.2%</f>
        <v>0.18400000000000005</v>
      </c>
      <c r="CD172" s="42">
        <f>CC172+0.2%</f>
        <v>0.18600000000000005</v>
      </c>
      <c r="CE172" s="42">
        <f>CD172+0.2%</f>
        <v>0.18800000000000006</v>
      </c>
      <c r="CF172" s="650"/>
      <c r="CG172" s="5"/>
      <c r="CH172" s="5"/>
      <c r="CI172" s="13"/>
      <c r="CJ172"/>
      <c r="CK172"/>
      <c r="CL172"/>
      <c r="CM172"/>
      <c r="CN172"/>
      <c r="CO172"/>
      <c r="CP172" s="13"/>
      <c r="CQ172" s="13"/>
      <c r="CR172" s="13"/>
    </row>
    <row r="173" spans="1:96" s="211" customFormat="1" outlineLevel="1">
      <c r="A173" s="3"/>
      <c r="B173" s="12" t="s">
        <v>516</v>
      </c>
      <c r="C173" s="6"/>
      <c r="D173" s="6"/>
      <c r="E173" s="6"/>
      <c r="F173" s="6"/>
      <c r="G173" s="6"/>
      <c r="H173" s="6"/>
      <c r="I173" s="126"/>
      <c r="J173" s="126"/>
      <c r="K173" s="126"/>
      <c r="L173" s="126"/>
      <c r="M173" s="126"/>
      <c r="N173" s="126"/>
      <c r="O173" s="323"/>
      <c r="P173" s="323"/>
      <c r="Q173" s="323"/>
      <c r="R173" s="323">
        <f t="shared" si="271"/>
        <v>1.0490360315257392E-2</v>
      </c>
      <c r="S173" s="323">
        <f t="shared" si="271"/>
        <v>1.5522095393797921E-2</v>
      </c>
      <c r="T173" s="323">
        <f t="shared" si="271"/>
        <v>3.2619696799930896E-2</v>
      </c>
      <c r="U173" s="560">
        <f>1-SUM(U171:U172)</f>
        <v>3.7619696799930935E-2</v>
      </c>
      <c r="V173" s="560">
        <f t="shared" ref="V173:AB173" si="275">1-SUM(V171:V172)</f>
        <v>4.2619696799931051E-2</v>
      </c>
      <c r="W173" s="560">
        <f t="shared" si="275"/>
        <v>4.7619696799930944E-2</v>
      </c>
      <c r="X173" s="560">
        <f t="shared" si="275"/>
        <v>5.2619696799931059E-2</v>
      </c>
      <c r="Y173" s="560">
        <f t="shared" si="275"/>
        <v>5.7619696799930953E-2</v>
      </c>
      <c r="Z173" s="560">
        <f t="shared" si="275"/>
        <v>6.2619696799931068E-2</v>
      </c>
      <c r="AA173" s="560">
        <f t="shared" si="275"/>
        <v>6.7619696799930962E-2</v>
      </c>
      <c r="AB173" s="560">
        <f t="shared" si="275"/>
        <v>7.2619696799931077E-2</v>
      </c>
      <c r="AC173" s="560">
        <f>1-SUM(AC171:AC172)</f>
        <v>7.7619696799930971E-2</v>
      </c>
      <c r="AD173" s="560">
        <f>1-SUM(AD171:AD172)</f>
        <v>8.2619696799931086E-2</v>
      </c>
      <c r="AE173" s="42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57">
        <f t="shared" ref="BM173:BR173" si="276">1-SUM(BM171:BM172)</f>
        <v>5.0000000000000044E-3</v>
      </c>
      <c r="BN173" s="157">
        <f t="shared" si="276"/>
        <v>2.4000000000000021E-2</v>
      </c>
      <c r="BO173" s="157">
        <f t="shared" si="276"/>
        <v>1.0000000000000009E-2</v>
      </c>
      <c r="BP173" s="157">
        <f t="shared" si="276"/>
        <v>1.0000000000000009E-2</v>
      </c>
      <c r="BQ173" s="157">
        <f t="shared" si="276"/>
        <v>1.0000000000000009E-2</v>
      </c>
      <c r="BR173" s="157">
        <f t="shared" si="276"/>
        <v>2.0000000000000018E-2</v>
      </c>
      <c r="BS173" s="323">
        <f>BR173</f>
        <v>2.0000000000000018E-2</v>
      </c>
      <c r="BT173" s="560">
        <f t="shared" ref="BT173:CA173" si="277">1-SUM(BT171:BT172)</f>
        <v>2.5000000000000022E-2</v>
      </c>
      <c r="BU173" s="560">
        <f t="shared" si="277"/>
        <v>3.0000000000000027E-2</v>
      </c>
      <c r="BV173" s="560">
        <f t="shared" si="277"/>
        <v>3.5000000000000031E-2</v>
      </c>
      <c r="BW173" s="560">
        <f t="shared" si="277"/>
        <v>4.0000000000000036E-2</v>
      </c>
      <c r="BX173" s="560">
        <f t="shared" si="277"/>
        <v>4.500000000000004E-2</v>
      </c>
      <c r="BY173" s="560">
        <f t="shared" si="277"/>
        <v>5.0000000000000044E-2</v>
      </c>
      <c r="BZ173" s="560">
        <f t="shared" si="277"/>
        <v>5.5000000000000049E-2</v>
      </c>
      <c r="CA173" s="560">
        <f t="shared" si="277"/>
        <v>6.0000000000000053E-2</v>
      </c>
      <c r="CB173" s="560">
        <f>1-SUM(CB171:CB172)</f>
        <v>4.6000000000000041E-2</v>
      </c>
      <c r="CC173" s="560">
        <f>1-SUM(CC171:CC172)</f>
        <v>4.500000000000004E-2</v>
      </c>
      <c r="CD173" s="560">
        <f>1-SUM(CD171:CD172)</f>
        <v>4.4000000000000039E-2</v>
      </c>
      <c r="CE173" s="560">
        <f>1-SUM(CE171:CE172)</f>
        <v>4.3000000000000038E-2</v>
      </c>
      <c r="CF173" s="62"/>
      <c r="CG173" s="5"/>
      <c r="CH173" s="5"/>
      <c r="CI173" s="13"/>
      <c r="CJ173"/>
      <c r="CK173"/>
      <c r="CL173"/>
      <c r="CM173"/>
      <c r="CN173"/>
      <c r="CO173"/>
      <c r="CP173" s="13"/>
      <c r="CQ173" s="13"/>
      <c r="CR173" s="13"/>
    </row>
    <row r="174" spans="1:96" s="211" customFormat="1" outlineLevel="1">
      <c r="A174" s="3"/>
      <c r="B174" s="12"/>
      <c r="C174" s="6"/>
      <c r="D174" s="6"/>
      <c r="E174" s="6"/>
      <c r="F174" s="6"/>
      <c r="G174" s="6"/>
      <c r="H174" s="6"/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324"/>
      <c r="BY174" s="324"/>
      <c r="BZ174" s="324"/>
      <c r="CA174" s="324"/>
      <c r="CB174" s="324"/>
      <c r="CC174" s="324"/>
      <c r="CD174" s="324"/>
      <c r="CE174" s="324"/>
      <c r="CF174" s="62"/>
      <c r="CG174" s="5"/>
      <c r="CH174" s="5"/>
      <c r="CI174" s="13"/>
      <c r="CJ174"/>
      <c r="CK174"/>
      <c r="CL174"/>
      <c r="CM174"/>
      <c r="CN174"/>
      <c r="CO174"/>
      <c r="CP174" s="13"/>
      <c r="CQ174" s="13"/>
      <c r="CR174" s="13"/>
    </row>
    <row r="175" spans="1:96" s="211" customFormat="1" outlineLevel="1">
      <c r="A175" s="3"/>
      <c r="B175" s="115" t="s">
        <v>724</v>
      </c>
      <c r="C175" s="6"/>
      <c r="D175" s="6"/>
      <c r="E175" s="6"/>
      <c r="F175" s="6"/>
      <c r="G175" s="6"/>
      <c r="H175" s="6"/>
      <c r="I175" s="324"/>
      <c r="J175" s="324"/>
      <c r="K175" s="324"/>
      <c r="L175" s="324"/>
      <c r="M175" s="324"/>
      <c r="N175" s="324"/>
      <c r="O175" s="324"/>
      <c r="P175" s="324"/>
      <c r="Q175" s="324"/>
      <c r="R175" s="324"/>
      <c r="S175" s="324"/>
      <c r="T175" s="324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324"/>
      <c r="AG175" s="324"/>
      <c r="AH175" s="324"/>
      <c r="AI175" s="324"/>
      <c r="AJ175" s="324"/>
      <c r="AK175" s="324"/>
      <c r="AL175" s="324"/>
      <c r="AM175" s="324"/>
      <c r="AN175" s="324"/>
      <c r="AO175" s="324"/>
      <c r="AP175" s="324"/>
      <c r="AQ175" s="324"/>
      <c r="AR175" s="324"/>
      <c r="AS175" s="324"/>
      <c r="AT175" s="324"/>
      <c r="AU175" s="324"/>
      <c r="AV175" s="324"/>
      <c r="AW175" s="324"/>
      <c r="AX175" s="324"/>
      <c r="AY175" s="324"/>
      <c r="AZ175" s="324"/>
      <c r="BA175" s="324"/>
      <c r="BB175" s="324"/>
      <c r="BC175" s="324"/>
      <c r="BD175" s="324"/>
      <c r="BE175" s="324"/>
      <c r="BF175" s="324"/>
      <c r="BG175" s="324"/>
      <c r="BH175" s="324"/>
      <c r="BI175" s="324"/>
      <c r="BJ175" s="324"/>
      <c r="BK175" s="324"/>
      <c r="BL175" s="324"/>
      <c r="BM175" s="324"/>
      <c r="BN175" s="324"/>
      <c r="BO175" s="324"/>
      <c r="BP175" s="324"/>
      <c r="BQ175" s="324"/>
      <c r="BR175" s="324"/>
      <c r="BS175" s="324"/>
      <c r="BT175" s="324"/>
      <c r="BU175" s="324"/>
      <c r="BV175" s="324"/>
      <c r="BW175" s="324"/>
      <c r="BX175" s="324"/>
      <c r="BY175" s="324"/>
      <c r="BZ175" s="324"/>
      <c r="CA175" s="324"/>
      <c r="CB175" s="324"/>
      <c r="CC175" s="324"/>
      <c r="CD175" s="324"/>
      <c r="CE175" s="324"/>
      <c r="CF175" s="62"/>
      <c r="CG175" s="5"/>
      <c r="CH175" s="5"/>
      <c r="CI175" s="13"/>
      <c r="CJ175"/>
      <c r="CK175"/>
      <c r="CL175"/>
      <c r="CM175"/>
      <c r="CN175"/>
      <c r="CO175"/>
      <c r="CP175" s="13"/>
      <c r="CQ175" s="13"/>
      <c r="CR175" s="13"/>
    </row>
    <row r="176" spans="1:96" s="211" customFormat="1" outlineLevel="1">
      <c r="A176" s="3"/>
      <c r="B176" s="12" t="s">
        <v>508</v>
      </c>
      <c r="C176" s="6"/>
      <c r="D176" s="6"/>
      <c r="E176" s="6"/>
      <c r="F176" s="6"/>
      <c r="G176" s="6"/>
      <c r="H176" s="6"/>
      <c r="I176" s="126"/>
      <c r="J176" s="126"/>
      <c r="K176" s="126"/>
      <c r="L176" s="126"/>
      <c r="M176" s="126"/>
      <c r="N176" s="126"/>
      <c r="O176" s="207">
        <f>SUM(AZ176:BC176)</f>
        <v>1690.2859429999999</v>
      </c>
      <c r="P176" s="207">
        <f>SUM(BD176:BG176)</f>
        <v>2161.784259</v>
      </c>
      <c r="Q176" s="207">
        <f>SUM(BH176:BK176)</f>
        <v>2950.0724840000003</v>
      </c>
      <c r="R176" s="207">
        <f>SUM(BL176:BO176)</f>
        <v>4090.4995925399999</v>
      </c>
      <c r="S176" s="207">
        <f>SUM(BP176:BS176)</f>
        <v>7532.8468172699995</v>
      </c>
      <c r="T176" s="207">
        <f>SUM(BT176:BW176)</f>
        <v>9957.2138111899985</v>
      </c>
      <c r="U176" s="6">
        <f t="shared" ref="U176:AB178" ca="1" si="278">U171*Rev_Ticket</f>
        <v>10719.038587935498</v>
      </c>
      <c r="V176" s="6">
        <f t="shared" ca="1" si="278"/>
        <v>13495.265801876574</v>
      </c>
      <c r="W176" s="6">
        <f t="shared" ca="1" si="278"/>
        <v>16841.170275583529</v>
      </c>
      <c r="X176" s="6">
        <f t="shared" ca="1" si="278"/>
        <v>20657.580374293597</v>
      </c>
      <c r="Y176" s="6">
        <f t="shared" ca="1" si="278"/>
        <v>25109.060108589252</v>
      </c>
      <c r="Z176" s="6">
        <f t="shared" ca="1" si="278"/>
        <v>28943.63697049145</v>
      </c>
      <c r="AA176" s="6">
        <f t="shared" ca="1" si="278"/>
        <v>33053.660354517597</v>
      </c>
      <c r="AB176" s="6">
        <f t="shared" ca="1" si="278"/>
        <v>37391.80528767631</v>
      </c>
      <c r="AC176" s="6">
        <f t="shared" ref="AC176:AD178" ca="1" si="279">AC171*Rev_Ticket</f>
        <v>41895.536840835222</v>
      </c>
      <c r="AD176" s="6">
        <f t="shared" ca="1" si="279"/>
        <v>46487.34430120646</v>
      </c>
      <c r="AE176" s="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>
        <f t="shared" ref="AZ176:BW176" si="280">AZ171*Rev_Ticket</f>
        <v>360.46341999999999</v>
      </c>
      <c r="BA176" s="324">
        <f t="shared" si="280"/>
        <v>404.26826599999998</v>
      </c>
      <c r="BB176" s="324">
        <f t="shared" si="280"/>
        <v>478.36794200000003</v>
      </c>
      <c r="BC176" s="324">
        <f t="shared" si="280"/>
        <v>447.18631499999998</v>
      </c>
      <c r="BD176" s="324">
        <f t="shared" si="280"/>
        <v>456.50252399999999</v>
      </c>
      <c r="BE176" s="324">
        <f t="shared" si="280"/>
        <v>522.01377100000002</v>
      </c>
      <c r="BF176" s="324">
        <f t="shared" si="280"/>
        <v>604.27234399999998</v>
      </c>
      <c r="BG176" s="324">
        <f t="shared" si="280"/>
        <v>578.99562000000003</v>
      </c>
      <c r="BH176" s="324">
        <f t="shared" si="280"/>
        <v>651.065201</v>
      </c>
      <c r="BI176" s="324">
        <f t="shared" si="280"/>
        <v>725.513462</v>
      </c>
      <c r="BJ176" s="324">
        <f t="shared" si="280"/>
        <v>799.79692699999998</v>
      </c>
      <c r="BK176" s="324">
        <f t="shared" si="280"/>
        <v>773.69689400000004</v>
      </c>
      <c r="BL176" s="324">
        <f t="shared" si="280"/>
        <v>919.47055726999997</v>
      </c>
      <c r="BM176" s="324">
        <f t="shared" si="280"/>
        <v>999.92313080000008</v>
      </c>
      <c r="BN176" s="324">
        <f t="shared" si="280"/>
        <v>1075.9998317500001</v>
      </c>
      <c r="BO176" s="324">
        <f t="shared" si="280"/>
        <v>1095.1060727199999</v>
      </c>
      <c r="BP176" s="126">
        <f t="shared" si="280"/>
        <v>1695.63271962</v>
      </c>
      <c r="BQ176" s="126">
        <f t="shared" si="280"/>
        <v>1742.98131165</v>
      </c>
      <c r="BR176" s="126">
        <f t="shared" si="280"/>
        <v>2039.2986003599999</v>
      </c>
      <c r="BS176" s="324">
        <f t="shared" si="280"/>
        <v>2054.9341856400001</v>
      </c>
      <c r="BT176" s="324">
        <f t="shared" si="280"/>
        <v>2386.5615371799995</v>
      </c>
      <c r="BU176" s="324">
        <f t="shared" si="280"/>
        <v>2453.71089192</v>
      </c>
      <c r="BV176" s="324">
        <f t="shared" si="280"/>
        <v>2776.8376332899998</v>
      </c>
      <c r="BW176" s="324">
        <f t="shared" si="280"/>
        <v>2340.1037488000002</v>
      </c>
      <c r="BX176" s="324">
        <f t="shared" ref="BX176:CA178" ca="1" si="281">BX171*Rev_Ticket</f>
        <v>2272.3415646231688</v>
      </c>
      <c r="BY176" s="324">
        <f t="shared" ca="1" si="281"/>
        <v>2400.5371814938794</v>
      </c>
      <c r="BZ176" s="324">
        <f t="shared" ca="1" si="281"/>
        <v>2993.4309686866195</v>
      </c>
      <c r="CA176" s="324">
        <f t="shared" ca="1" si="281"/>
        <v>2770.6275148702352</v>
      </c>
      <c r="CB176" s="324">
        <f t="shared" ref="CB176:CE178" ca="1" si="282">CB171*Rev_Ticket</f>
        <v>3117.6756377168067</v>
      </c>
      <c r="CC176" s="324">
        <f t="shared" ca="1" si="282"/>
        <v>3238.9247921306173</v>
      </c>
      <c r="CD176" s="324">
        <f t="shared" ca="1" si="282"/>
        <v>3699.8806772966618</v>
      </c>
      <c r="CE176" s="324">
        <f t="shared" ca="1" si="282"/>
        <v>3363.7650819670675</v>
      </c>
      <c r="CF176" s="62"/>
      <c r="CG176" s="5"/>
      <c r="CH176" s="5"/>
      <c r="CI176" s="13"/>
      <c r="CJ176"/>
      <c r="CK176"/>
      <c r="CL176"/>
      <c r="CM176"/>
      <c r="CN176"/>
      <c r="CO176"/>
      <c r="CP176" s="13"/>
      <c r="CQ176" s="13"/>
      <c r="CR176" s="13"/>
    </row>
    <row r="177" spans="1:96" s="211" customFormat="1" outlineLevel="1">
      <c r="A177" s="3"/>
      <c r="B177" s="12" t="s">
        <v>515</v>
      </c>
      <c r="C177" s="6"/>
      <c r="D177" s="6"/>
      <c r="E177" s="6"/>
      <c r="F177" s="6"/>
      <c r="G177" s="6"/>
      <c r="H177" s="6"/>
      <c r="I177" s="126"/>
      <c r="J177" s="126"/>
      <c r="K177" s="126"/>
      <c r="L177" s="126"/>
      <c r="M177" s="126"/>
      <c r="N177" s="126"/>
      <c r="O177" s="207"/>
      <c r="P177" s="207"/>
      <c r="Q177" s="207"/>
      <c r="R177" s="207">
        <f>SUM(BL177:BO177)</f>
        <v>316.66329014999997</v>
      </c>
      <c r="S177" s="207">
        <f>SUM(BP177:BS177)</f>
        <v>1156.6637215200001</v>
      </c>
      <c r="T177" s="207">
        <f>SUM(BT177:BW177)</f>
        <v>1865.1698927250002</v>
      </c>
      <c r="U177" s="6">
        <f t="shared" ca="1" si="278"/>
        <v>2260.7084241816483</v>
      </c>
      <c r="V177" s="6">
        <f t="shared" ca="1" si="278"/>
        <v>3180.9843306621906</v>
      </c>
      <c r="W177" s="6">
        <f t="shared" ca="1" si="278"/>
        <v>4409.5398400435342</v>
      </c>
      <c r="X177" s="6">
        <f t="shared" ca="1" si="278"/>
        <v>5977.7408281610924</v>
      </c>
      <c r="Y177" s="6">
        <f t="shared" ca="1" si="278"/>
        <v>7996.1270916052299</v>
      </c>
      <c r="Z177" s="6">
        <f t="shared" ca="1" si="278"/>
        <v>10107.505177148041</v>
      </c>
      <c r="AA177" s="6">
        <f t="shared" ca="1" si="278"/>
        <v>12619.696345475599</v>
      </c>
      <c r="AB177" s="6">
        <f t="shared" ca="1" si="278"/>
        <v>15568.655964770673</v>
      </c>
      <c r="AC177" s="6">
        <f t="shared" ca="1" si="279"/>
        <v>18983.50572158119</v>
      </c>
      <c r="AD177" s="6">
        <f t="shared" ca="1" si="279"/>
        <v>22883.681698219403</v>
      </c>
      <c r="AE177" s="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>
        <f t="shared" ref="AZ177:BW177" si="283">AZ172*Rev_Ticket</f>
        <v>0</v>
      </c>
      <c r="BA177" s="324">
        <f t="shared" si="283"/>
        <v>0</v>
      </c>
      <c r="BB177" s="324">
        <f t="shared" si="283"/>
        <v>0</v>
      </c>
      <c r="BC177" s="324">
        <f t="shared" si="283"/>
        <v>0</v>
      </c>
      <c r="BD177" s="324">
        <f t="shared" si="283"/>
        <v>0</v>
      </c>
      <c r="BE177" s="324">
        <f t="shared" si="283"/>
        <v>0</v>
      </c>
      <c r="BF177" s="324">
        <f t="shared" si="283"/>
        <v>0</v>
      </c>
      <c r="BG177" s="324">
        <f t="shared" si="283"/>
        <v>0</v>
      </c>
      <c r="BH177" s="324">
        <f t="shared" si="283"/>
        <v>0</v>
      </c>
      <c r="BI177" s="324">
        <f t="shared" si="283"/>
        <v>0</v>
      </c>
      <c r="BJ177" s="324">
        <f t="shared" si="283"/>
        <v>0</v>
      </c>
      <c r="BK177" s="324">
        <f t="shared" si="283"/>
        <v>0</v>
      </c>
      <c r="BL177" s="324">
        <f t="shared" si="283"/>
        <v>28.437233730000024</v>
      </c>
      <c r="BM177" s="324">
        <f t="shared" si="283"/>
        <v>47.36477988</v>
      </c>
      <c r="BN177" s="324">
        <f t="shared" si="283"/>
        <v>103.97301745</v>
      </c>
      <c r="BO177" s="324">
        <f t="shared" si="283"/>
        <v>136.88825908999999</v>
      </c>
      <c r="BP177" s="126">
        <f t="shared" si="283"/>
        <v>233.88037512</v>
      </c>
      <c r="BQ177" s="126">
        <f t="shared" si="283"/>
        <v>240.4112154</v>
      </c>
      <c r="BR177" s="126">
        <f t="shared" si="283"/>
        <v>339.88310006000006</v>
      </c>
      <c r="BS177" s="324">
        <f t="shared" si="283"/>
        <v>342.48903094000008</v>
      </c>
      <c r="BT177" s="324">
        <f t="shared" si="283"/>
        <v>416.92942517</v>
      </c>
      <c r="BU177" s="324">
        <f t="shared" si="283"/>
        <v>448.84955340000005</v>
      </c>
      <c r="BV177" s="324">
        <f t="shared" si="283"/>
        <v>531.37016439500007</v>
      </c>
      <c r="BW177" s="324">
        <f t="shared" si="283"/>
        <v>468.02074976000011</v>
      </c>
      <c r="BX177" s="324">
        <f t="shared" ca="1" si="281"/>
        <v>474.60298501623157</v>
      </c>
      <c r="BY177" s="324">
        <f t="shared" ca="1" si="281"/>
        <v>523.19400109482012</v>
      </c>
      <c r="BZ177" s="324">
        <f t="shared" ca="1" si="281"/>
        <v>680.32522015605014</v>
      </c>
      <c r="CA177" s="324">
        <f t="shared" ca="1" si="281"/>
        <v>656.20125352189814</v>
      </c>
      <c r="CB177" s="324">
        <f t="shared" ca="1" si="282"/>
        <v>734.99607003168262</v>
      </c>
      <c r="CC177" s="324">
        <f t="shared" ca="1" si="282"/>
        <v>772.9729724410297</v>
      </c>
      <c r="CD177" s="324">
        <f t="shared" ca="1" si="282"/>
        <v>893.73741035997318</v>
      </c>
      <c r="CE177" s="324">
        <f t="shared" ca="1" si="282"/>
        <v>822.35089130014171</v>
      </c>
      <c r="CF177" s="62"/>
      <c r="CG177" s="5"/>
      <c r="CH177" s="5"/>
      <c r="CI177" s="13"/>
      <c r="CJ177"/>
      <c r="CK177"/>
      <c r="CL177"/>
      <c r="CM177"/>
      <c r="CN177"/>
      <c r="CO177"/>
      <c r="CP177" s="13"/>
      <c r="CQ177" s="13"/>
      <c r="CR177" s="13"/>
    </row>
    <row r="178" spans="1:96" s="211" customFormat="1" outlineLevel="1">
      <c r="A178" s="3"/>
      <c r="B178" s="12" t="s">
        <v>516</v>
      </c>
      <c r="C178" s="6"/>
      <c r="D178" s="6"/>
      <c r="E178" s="6"/>
      <c r="F178" s="6"/>
      <c r="G178" s="6"/>
      <c r="H178" s="6"/>
      <c r="I178" s="126"/>
      <c r="J178" s="126"/>
      <c r="K178" s="126"/>
      <c r="L178" s="126"/>
      <c r="M178" s="126"/>
      <c r="N178" s="126"/>
      <c r="O178" s="207"/>
      <c r="P178" s="207"/>
      <c r="Q178" s="207"/>
      <c r="R178" s="207">
        <f>SUM(BL178:BO178)</f>
        <v>46.722866310000043</v>
      </c>
      <c r="S178" s="207">
        <f>SUM(BP178:BS178)</f>
        <v>137.00603221000011</v>
      </c>
      <c r="T178" s="207">
        <f>SUM(BT178:BW178)</f>
        <v>398.64629308500037</v>
      </c>
      <c r="U178" s="6">
        <f t="shared" ca="1" si="278"/>
        <v>507.38169257205294</v>
      </c>
      <c r="V178" s="6">
        <f t="shared" ca="1" si="278"/>
        <v>742.3765895673389</v>
      </c>
      <c r="W178" s="6">
        <f t="shared" ca="1" si="278"/>
        <v>1062.5507153908482</v>
      </c>
      <c r="X178" s="6">
        <f t="shared" ca="1" si="278"/>
        <v>1479.3874446278849</v>
      </c>
      <c r="Y178" s="6">
        <f t="shared" ca="1" si="278"/>
        <v>2024.1412543351867</v>
      </c>
      <c r="Z178" s="6">
        <f t="shared" ca="1" si="278"/>
        <v>2608.7284665872357</v>
      </c>
      <c r="AA178" s="6">
        <f t="shared" ca="1" si="278"/>
        <v>3312.4021617452872</v>
      </c>
      <c r="AB178" s="6">
        <f t="shared" ca="1" si="278"/>
        <v>4147.1364285677355</v>
      </c>
      <c r="AC178" s="6">
        <f t="shared" ca="1" si="279"/>
        <v>5123.063457416315</v>
      </c>
      <c r="AD178" s="6">
        <f t="shared" ca="1" si="279"/>
        <v>6247.5868674964922</v>
      </c>
      <c r="AE178" s="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324">
        <f t="shared" ref="AZ178:BW178" si="284">AZ173*Rev_Ticket</f>
        <v>0</v>
      </c>
      <c r="BA178" s="324">
        <f t="shared" si="284"/>
        <v>0</v>
      </c>
      <c r="BB178" s="324">
        <f t="shared" si="284"/>
        <v>0</v>
      </c>
      <c r="BC178" s="324">
        <f t="shared" si="284"/>
        <v>0</v>
      </c>
      <c r="BD178" s="324">
        <f t="shared" si="284"/>
        <v>0</v>
      </c>
      <c r="BE178" s="324">
        <f t="shared" si="284"/>
        <v>0</v>
      </c>
      <c r="BF178" s="324">
        <f t="shared" si="284"/>
        <v>0</v>
      </c>
      <c r="BG178" s="324">
        <f t="shared" si="284"/>
        <v>0</v>
      </c>
      <c r="BH178" s="324">
        <f t="shared" si="284"/>
        <v>0</v>
      </c>
      <c r="BI178" s="324">
        <f t="shared" si="284"/>
        <v>0</v>
      </c>
      <c r="BJ178" s="324">
        <f t="shared" si="284"/>
        <v>0</v>
      </c>
      <c r="BK178" s="324">
        <f t="shared" si="284"/>
        <v>0</v>
      </c>
      <c r="BL178" s="324">
        <f t="shared" si="284"/>
        <v>0</v>
      </c>
      <c r="BM178" s="324">
        <f t="shared" si="284"/>
        <v>5.2627533200000052</v>
      </c>
      <c r="BN178" s="324">
        <f t="shared" si="284"/>
        <v>29.015725800000027</v>
      </c>
      <c r="BO178" s="324">
        <f t="shared" si="284"/>
        <v>12.444387190000011</v>
      </c>
      <c r="BP178" s="126">
        <f t="shared" si="284"/>
        <v>19.490031260000016</v>
      </c>
      <c r="BQ178" s="126">
        <f t="shared" si="284"/>
        <v>20.034267950000018</v>
      </c>
      <c r="BR178" s="126">
        <f t="shared" si="284"/>
        <v>48.554728580000045</v>
      </c>
      <c r="BS178" s="324">
        <f t="shared" si="284"/>
        <v>48.927004420000046</v>
      </c>
      <c r="BT178" s="324">
        <f t="shared" si="284"/>
        <v>71.884383650000061</v>
      </c>
      <c r="BU178" s="324">
        <f t="shared" si="284"/>
        <v>89.769910680000081</v>
      </c>
      <c r="BV178" s="324">
        <f t="shared" si="284"/>
        <v>119.98681131500011</v>
      </c>
      <c r="BW178" s="324">
        <f t="shared" si="284"/>
        <v>117.00518744000011</v>
      </c>
      <c r="BX178" s="324">
        <f t="shared" ca="1" si="281"/>
        <v>129.43717773169959</v>
      </c>
      <c r="BY178" s="324">
        <f t="shared" ca="1" si="281"/>
        <v>153.88058855730011</v>
      </c>
      <c r="BZ178" s="324">
        <f t="shared" ca="1" si="281"/>
        <v>213.81649776333018</v>
      </c>
      <c r="CA178" s="324">
        <f t="shared" ca="1" si="281"/>
        <v>218.73375117396617</v>
      </c>
      <c r="CB178" s="324">
        <f t="shared" ca="1" si="282"/>
        <v>185.7682374805353</v>
      </c>
      <c r="CC178" s="324">
        <f t="shared" ca="1" si="282"/>
        <v>189.04230304264323</v>
      </c>
      <c r="CD178" s="324">
        <f t="shared" ca="1" si="282"/>
        <v>211.42175298838089</v>
      </c>
      <c r="CE178" s="324">
        <f t="shared" ca="1" si="282"/>
        <v>188.09089535056444</v>
      </c>
      <c r="CF178" s="62"/>
      <c r="CG178" s="5"/>
      <c r="CH178" s="5"/>
      <c r="CI178" s="13"/>
      <c r="CJ178"/>
      <c r="CK178"/>
      <c r="CL178"/>
      <c r="CM178"/>
      <c r="CN178"/>
      <c r="CO178"/>
      <c r="CP178" s="13"/>
      <c r="CQ178" s="13"/>
      <c r="CR178" s="13"/>
    </row>
    <row r="179" spans="1:96" s="211" customFormat="1" outlineLevel="1">
      <c r="A179" s="3"/>
      <c r="B179" s="12"/>
      <c r="C179" s="6"/>
      <c r="D179" s="6"/>
      <c r="E179" s="6"/>
      <c r="F179" s="6"/>
      <c r="G179" s="6"/>
      <c r="H179" s="6"/>
      <c r="I179" s="324"/>
      <c r="J179" s="324"/>
      <c r="K179" s="324"/>
      <c r="L179" s="324"/>
      <c r="M179" s="324"/>
      <c r="N179" s="324"/>
      <c r="O179" s="324"/>
      <c r="P179" s="324"/>
      <c r="Q179" s="324"/>
      <c r="R179" s="324"/>
      <c r="S179" s="324"/>
      <c r="T179" s="324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324"/>
      <c r="AG179" s="324"/>
      <c r="AH179" s="324"/>
      <c r="AI179" s="324"/>
      <c r="AJ179" s="324"/>
      <c r="AK179" s="324"/>
      <c r="AL179" s="324"/>
      <c r="AM179" s="324"/>
      <c r="AN179" s="324"/>
      <c r="AO179" s="324"/>
      <c r="AP179" s="324"/>
      <c r="AQ179" s="324"/>
      <c r="AR179" s="324"/>
      <c r="AS179" s="324"/>
      <c r="AT179" s="324"/>
      <c r="AU179" s="324"/>
      <c r="AV179" s="324"/>
      <c r="AW179" s="324"/>
      <c r="AX179" s="324"/>
      <c r="AY179" s="324"/>
      <c r="AZ179" s="324"/>
      <c r="BA179" s="324"/>
      <c r="BB179" s="324"/>
      <c r="BC179" s="324"/>
      <c r="BD179" s="324"/>
      <c r="BE179" s="324"/>
      <c r="BF179" s="324"/>
      <c r="BG179" s="324"/>
      <c r="BH179" s="324"/>
      <c r="BI179" s="324"/>
      <c r="BJ179" s="324"/>
      <c r="BK179" s="324"/>
      <c r="BL179" s="324"/>
      <c r="BM179" s="324"/>
      <c r="BN179" s="324"/>
      <c r="BO179" s="324"/>
      <c r="BP179" s="324"/>
      <c r="BQ179" s="324"/>
      <c r="BR179" s="324"/>
      <c r="BS179" s="324"/>
      <c r="BT179" s="324"/>
      <c r="BU179" s="324"/>
      <c r="BV179" s="324"/>
      <c r="BW179" s="324"/>
      <c r="BX179" s="324"/>
      <c r="BY179" s="324"/>
      <c r="BZ179" s="324"/>
      <c r="CA179" s="324"/>
      <c r="CB179" s="324"/>
      <c r="CC179" s="324"/>
      <c r="CD179" s="324"/>
      <c r="CE179" s="324"/>
      <c r="CF179" s="62"/>
      <c r="CG179" s="5"/>
      <c r="CH179" s="5"/>
      <c r="CI179" s="13"/>
      <c r="CJ179"/>
      <c r="CK179"/>
      <c r="CL179"/>
      <c r="CM179"/>
      <c r="CN179"/>
      <c r="CO179"/>
      <c r="CP179" s="13"/>
      <c r="CQ179" s="13"/>
      <c r="CR179" s="13"/>
    </row>
    <row r="180" spans="1:96" s="211" customFormat="1" outlineLevel="1">
      <c r="A180" s="3"/>
      <c r="B180" s="115" t="s">
        <v>82</v>
      </c>
      <c r="C180" s="84"/>
      <c r="D180" s="84"/>
      <c r="E180" s="84"/>
      <c r="F180" s="84"/>
      <c r="G180" s="84"/>
      <c r="H180" s="84"/>
      <c r="I180" s="220"/>
      <c r="J180" s="220"/>
      <c r="K180" s="220"/>
      <c r="L180" s="220"/>
      <c r="M180" s="220"/>
      <c r="N180" s="220"/>
      <c r="O180" s="220"/>
      <c r="P180" s="220"/>
      <c r="Q180" s="220"/>
      <c r="R180" s="220"/>
      <c r="S180" s="220"/>
      <c r="T180" s="220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220"/>
      <c r="AG180" s="220"/>
      <c r="AH180" s="220"/>
      <c r="AI180" s="220"/>
      <c r="AJ180" s="220"/>
      <c r="AK180" s="220"/>
      <c r="AL180" s="220"/>
      <c r="AM180" s="220"/>
      <c r="AN180" s="220"/>
      <c r="AO180" s="220"/>
      <c r="AP180" s="220"/>
      <c r="AQ180" s="220"/>
      <c r="AR180" s="220"/>
      <c r="AS180" s="220"/>
      <c r="AT180" s="220"/>
      <c r="AU180" s="220"/>
      <c r="AV180" s="220"/>
      <c r="AW180" s="220"/>
      <c r="AX180" s="220"/>
      <c r="AY180" s="220"/>
      <c r="AZ180" s="220"/>
      <c r="BA180" s="220"/>
      <c r="BB180" s="220"/>
      <c r="BC180" s="220"/>
      <c r="BD180" s="220"/>
      <c r="BE180" s="220"/>
      <c r="BF180" s="220"/>
      <c r="BG180" s="220"/>
      <c r="BH180" s="220"/>
      <c r="BI180" s="220"/>
      <c r="BJ180" s="220"/>
      <c r="BK180" s="220"/>
      <c r="BL180" s="220"/>
      <c r="BM180" s="220"/>
      <c r="BN180" s="220"/>
      <c r="BO180" s="220"/>
      <c r="BP180" s="220"/>
      <c r="BQ180" s="220"/>
      <c r="BR180" s="220"/>
      <c r="BS180" s="220"/>
      <c r="BT180" s="220"/>
      <c r="BU180" s="220"/>
      <c r="BV180" s="220"/>
      <c r="BW180" s="220"/>
      <c r="BX180" s="220"/>
      <c r="BY180" s="220"/>
      <c r="BZ180" s="220"/>
      <c r="CA180" s="220"/>
      <c r="CB180" s="220"/>
      <c r="CC180" s="220"/>
      <c r="CD180" s="220"/>
      <c r="CE180" s="220"/>
      <c r="CF180" s="195"/>
      <c r="CG180" s="22"/>
      <c r="CH180" s="22"/>
      <c r="CI180" s="13"/>
      <c r="CJ180"/>
      <c r="CK180"/>
      <c r="CL180"/>
      <c r="CM180"/>
      <c r="CN180"/>
      <c r="CO180"/>
      <c r="CP180" s="13"/>
      <c r="CQ180" s="13"/>
      <c r="CR180" s="13"/>
    </row>
    <row r="181" spans="1:96" s="211" customFormat="1" outlineLevel="1">
      <c r="A181" s="3"/>
      <c r="B181" s="12" t="s">
        <v>508</v>
      </c>
      <c r="C181" s="6"/>
      <c r="D181" s="6"/>
      <c r="E181" s="6"/>
      <c r="F181" s="6"/>
      <c r="G181" s="6"/>
      <c r="H181" s="6"/>
      <c r="I181" s="324"/>
      <c r="J181" s="324"/>
      <c r="K181" s="324"/>
      <c r="L181" s="324"/>
      <c r="M181" s="324"/>
      <c r="N181" s="324"/>
      <c r="O181" s="324"/>
      <c r="P181" s="323">
        <f>P176/O176-1</f>
        <v>0.27894588957130084</v>
      </c>
      <c r="Q181" s="323">
        <f>Q176/P176-1</f>
        <v>0.3646470371491406</v>
      </c>
      <c r="R181" s="323">
        <f>R176/Q176-1</f>
        <v>0.38657596202304001</v>
      </c>
      <c r="S181" s="323">
        <f>S176/R176-1</f>
        <v>0.84154689344253675</v>
      </c>
      <c r="T181" s="323">
        <f>T176/S176-1</f>
        <v>0.32183941247309478</v>
      </c>
      <c r="U181" s="323">
        <f t="shared" ref="U181:AD181" ca="1" si="285">U176/T176-1</f>
        <v>7.6509834095292328E-2</v>
      </c>
      <c r="V181" s="323">
        <f t="shared" ca="1" si="285"/>
        <v>0.25899964732525338</v>
      </c>
      <c r="W181" s="323">
        <f t="shared" ca="1" si="285"/>
        <v>0.24793172085885784</v>
      </c>
      <c r="X181" s="323">
        <f t="shared" ca="1" si="285"/>
        <v>0.22661192994664581</v>
      </c>
      <c r="Y181" s="323">
        <f t="shared" ca="1" si="285"/>
        <v>0.2154889224023111</v>
      </c>
      <c r="Z181" s="323">
        <f t="shared" ca="1" si="285"/>
        <v>0.15271686177494459</v>
      </c>
      <c r="AA181" s="323">
        <f t="shared" ca="1" si="285"/>
        <v>0.14200093057470231</v>
      </c>
      <c r="AB181" s="323">
        <f t="shared" ca="1" si="285"/>
        <v>0.13124552278415957</v>
      </c>
      <c r="AC181" s="323">
        <f t="shared" ca="1" si="285"/>
        <v>0.12044702090495929</v>
      </c>
      <c r="AD181" s="323">
        <f t="shared" ca="1" si="285"/>
        <v>0.10960135151903927</v>
      </c>
      <c r="AE181" s="323"/>
      <c r="AF181" s="324"/>
      <c r="AG181" s="324"/>
      <c r="AH181" s="324"/>
      <c r="AI181" s="324"/>
      <c r="AJ181" s="324"/>
      <c r="AK181" s="324"/>
      <c r="AL181" s="324"/>
      <c r="AM181" s="324"/>
      <c r="AN181" s="324"/>
      <c r="AO181" s="324"/>
      <c r="AP181" s="324"/>
      <c r="AQ181" s="324"/>
      <c r="AR181" s="324"/>
      <c r="AS181" s="324"/>
      <c r="AT181" s="324"/>
      <c r="AU181" s="324"/>
      <c r="AV181" s="324"/>
      <c r="AW181" s="324"/>
      <c r="AX181" s="324"/>
      <c r="AY181" s="324"/>
      <c r="AZ181" s="323"/>
      <c r="BA181" s="323"/>
      <c r="BB181" s="323"/>
      <c r="BC181" s="323"/>
      <c r="BD181" s="323">
        <f t="shared" ref="BD181:BM181" si="286">BD176/AZ176-1</f>
        <v>0.26643231648859134</v>
      </c>
      <c r="BE181" s="323">
        <f t="shared" si="286"/>
        <v>0.29125586869586262</v>
      </c>
      <c r="BF181" s="323">
        <f t="shared" si="286"/>
        <v>0.26319573480114178</v>
      </c>
      <c r="BG181" s="323">
        <f t="shared" si="286"/>
        <v>0.29475254626251268</v>
      </c>
      <c r="BH181" s="323">
        <f t="shared" si="286"/>
        <v>0.42620285052356022</v>
      </c>
      <c r="BI181" s="323">
        <f t="shared" si="286"/>
        <v>0.38983586699286521</v>
      </c>
      <c r="BJ181" s="323">
        <f t="shared" si="286"/>
        <v>0.32357029895778244</v>
      </c>
      <c r="BK181" s="323">
        <f t="shared" si="286"/>
        <v>0.33627417423295869</v>
      </c>
      <c r="BL181" s="323">
        <f t="shared" si="286"/>
        <v>0.41225572470736305</v>
      </c>
      <c r="BM181" s="323">
        <f t="shared" si="286"/>
        <v>0.37822822479894946</v>
      </c>
      <c r="BN181" s="323">
        <f t="shared" ref="BN181:BR183" si="287">BN176/BJ176-1</f>
        <v>0.34534129280294179</v>
      </c>
      <c r="BO181" s="323">
        <f t="shared" si="287"/>
        <v>0.4154200194062041</v>
      </c>
      <c r="BP181" s="323">
        <f t="shared" si="287"/>
        <v>0.84414031119659017</v>
      </c>
      <c r="BQ181" s="323">
        <f t="shared" si="287"/>
        <v>0.74311530352888977</v>
      </c>
      <c r="BR181" s="323">
        <f t="shared" si="287"/>
        <v>0.89525921862208468</v>
      </c>
      <c r="BS181" s="323">
        <f t="shared" ref="BS181:CA183" si="288">BS176/BO176-1</f>
        <v>0.87647045051626882</v>
      </c>
      <c r="BT181" s="323">
        <f t="shared" si="288"/>
        <v>0.40747551610990396</v>
      </c>
      <c r="BU181" s="323">
        <f t="shared" si="288"/>
        <v>0.40776660972755074</v>
      </c>
      <c r="BV181" s="323">
        <f t="shared" si="288"/>
        <v>0.36166308984853957</v>
      </c>
      <c r="BW181" s="323">
        <f t="shared" si="288"/>
        <v>0.13877308828320722</v>
      </c>
      <c r="BX181" s="323">
        <f t="shared" ca="1" si="288"/>
        <v>-4.785963855421671E-2</v>
      </c>
      <c r="BY181" s="323">
        <f t="shared" ca="1" si="288"/>
        <v>-2.1670731707317259E-2</v>
      </c>
      <c r="BZ181" s="323">
        <f t="shared" ca="1" si="288"/>
        <v>7.7999999999999847E-2</v>
      </c>
      <c r="CA181" s="323">
        <f t="shared" ca="1" si="288"/>
        <v>0.18397635843752935</v>
      </c>
      <c r="CB181" s="323">
        <f t="shared" ref="CB181:CE183" ca="1" si="289">CB176/BX176-1</f>
        <v>0.37201012658227861</v>
      </c>
      <c r="CC181" s="323">
        <f t="shared" ca="1" si="289"/>
        <v>0.34925000000000028</v>
      </c>
      <c r="CD181" s="323">
        <f t="shared" ca="1" si="289"/>
        <v>0.23599999999999999</v>
      </c>
      <c r="CE181" s="323">
        <f t="shared" ca="1" si="289"/>
        <v>0.21408058785001005</v>
      </c>
      <c r="CF181" s="62"/>
      <c r="CG181" s="5"/>
      <c r="CH181" s="5"/>
      <c r="CI181" s="13"/>
      <c r="CJ181"/>
      <c r="CK181"/>
      <c r="CL181"/>
      <c r="CM181"/>
      <c r="CN181"/>
      <c r="CO181"/>
      <c r="CP181" s="13"/>
      <c r="CQ181" s="13"/>
      <c r="CR181" s="13"/>
    </row>
    <row r="182" spans="1:96" s="211" customFormat="1" outlineLevel="1">
      <c r="A182" s="3"/>
      <c r="B182" s="12" t="s">
        <v>515</v>
      </c>
      <c r="C182" s="6"/>
      <c r="D182" s="6"/>
      <c r="E182" s="6"/>
      <c r="F182" s="6"/>
      <c r="G182" s="6"/>
      <c r="H182" s="6"/>
      <c r="I182" s="324"/>
      <c r="J182" s="324"/>
      <c r="K182" s="324"/>
      <c r="L182" s="324"/>
      <c r="M182" s="324"/>
      <c r="N182" s="324"/>
      <c r="O182" s="324"/>
      <c r="P182" s="324"/>
      <c r="Q182" s="324"/>
      <c r="R182" s="324"/>
      <c r="S182" s="323">
        <f>S177/R177-1</f>
        <v>2.6526612256573885</v>
      </c>
      <c r="T182" s="323">
        <f>T177/S177-1</f>
        <v>0.61254291806951011</v>
      </c>
      <c r="U182" s="323">
        <f t="shared" ref="U182:AD182" ca="1" si="290">U177/T177-1</f>
        <v>0.21206568527587</v>
      </c>
      <c r="V182" s="323">
        <f t="shared" ca="1" si="290"/>
        <v>0.40707412625034656</v>
      </c>
      <c r="W182" s="323">
        <f t="shared" ca="1" si="290"/>
        <v>0.38621866116693293</v>
      </c>
      <c r="X182" s="323">
        <f t="shared" ca="1" si="290"/>
        <v>0.35563824004413025</v>
      </c>
      <c r="Y182" s="323">
        <f t="shared" ca="1" si="290"/>
        <v>0.33765034675567307</v>
      </c>
      <c r="Z182" s="323">
        <f t="shared" ca="1" si="290"/>
        <v>0.26405009091957177</v>
      </c>
      <c r="AA182" s="323">
        <f t="shared" ca="1" si="290"/>
        <v>0.24854710675858427</v>
      </c>
      <c r="AB182" s="323">
        <f t="shared" ca="1" si="290"/>
        <v>0.23367912654668044</v>
      </c>
      <c r="AC182" s="323">
        <f t="shared" ca="1" si="290"/>
        <v>0.21934133328771388</v>
      </c>
      <c r="AD182" s="323">
        <f t="shared" ca="1" si="290"/>
        <v>0.20545077573339587</v>
      </c>
      <c r="AE182" s="323"/>
      <c r="AF182" s="324"/>
      <c r="AG182" s="324"/>
      <c r="AH182" s="324"/>
      <c r="AI182" s="324"/>
      <c r="AJ182" s="324"/>
      <c r="AK182" s="324"/>
      <c r="AL182" s="324"/>
      <c r="AM182" s="324"/>
      <c r="AN182" s="324"/>
      <c r="AO182" s="324"/>
      <c r="AP182" s="324"/>
      <c r="AQ182" s="324"/>
      <c r="AR182" s="324"/>
      <c r="AS182" s="324"/>
      <c r="AT182" s="324"/>
      <c r="AU182" s="324"/>
      <c r="AV182" s="324"/>
      <c r="AW182" s="324"/>
      <c r="AX182" s="324"/>
      <c r="AY182" s="324"/>
      <c r="AZ182" s="324"/>
      <c r="BA182" s="324"/>
      <c r="BB182" s="324"/>
      <c r="BC182" s="324"/>
      <c r="BD182" s="324"/>
      <c r="BE182" s="324"/>
      <c r="BF182" s="324"/>
      <c r="BG182" s="324"/>
      <c r="BH182" s="324"/>
      <c r="BI182" s="324"/>
      <c r="BJ182" s="324"/>
      <c r="BK182" s="324"/>
      <c r="BL182" s="324"/>
      <c r="BM182" s="324"/>
      <c r="BN182" s="323"/>
      <c r="BO182" s="323"/>
      <c r="BP182" s="323">
        <f t="shared" si="287"/>
        <v>7.2244418476353598</v>
      </c>
      <c r="BQ182" s="323">
        <f t="shared" si="287"/>
        <v>4.0757380485898711</v>
      </c>
      <c r="BR182" s="323">
        <f t="shared" si="287"/>
        <v>2.2689548538249147</v>
      </c>
      <c r="BS182" s="323">
        <f t="shared" si="288"/>
        <v>1.501960600688359</v>
      </c>
      <c r="BT182" s="323">
        <f t="shared" si="288"/>
        <v>0.78266100760305646</v>
      </c>
      <c r="BU182" s="323">
        <f t="shared" si="288"/>
        <v>0.86700754643745315</v>
      </c>
      <c r="BV182" s="323">
        <f t="shared" si="288"/>
        <v>0.56339095501128633</v>
      </c>
      <c r="BW182" s="323">
        <f t="shared" si="288"/>
        <v>0.36652770593984862</v>
      </c>
      <c r="BX182" s="323">
        <f t="shared" ca="1" si="288"/>
        <v>0.13832931034482776</v>
      </c>
      <c r="BY182" s="323">
        <f t="shared" ca="1" si="288"/>
        <v>0.16563333333333352</v>
      </c>
      <c r="BZ182" s="323">
        <f t="shared" ca="1" si="288"/>
        <v>0.28032258064516147</v>
      </c>
      <c r="CA182" s="323">
        <f t="shared" ca="1" si="288"/>
        <v>0.40207726657075882</v>
      </c>
      <c r="CB182" s="323">
        <f t="shared" ca="1" si="289"/>
        <v>0.54865454545454551</v>
      </c>
      <c r="CC182" s="323">
        <f t="shared" ca="1" si="289"/>
        <v>0.47741176470588265</v>
      </c>
      <c r="CD182" s="323">
        <f t="shared" ca="1" si="289"/>
        <v>0.31369142857142851</v>
      </c>
      <c r="CE182" s="323">
        <f t="shared" ca="1" si="289"/>
        <v>0.2531992081491794</v>
      </c>
      <c r="CF182" s="62"/>
      <c r="CG182" s="5"/>
      <c r="CH182" s="5"/>
      <c r="CI182" s="13"/>
      <c r="CJ182"/>
      <c r="CK182"/>
      <c r="CL182"/>
      <c r="CM182"/>
      <c r="CN182"/>
      <c r="CO182"/>
      <c r="CP182" s="13"/>
      <c r="CQ182" s="13"/>
      <c r="CR182" s="13"/>
    </row>
    <row r="183" spans="1:96" outlineLevel="1">
      <c r="B183" s="12" t="s">
        <v>516</v>
      </c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323">
        <f>S178/R178-1</f>
        <v>1.9323122280423295</v>
      </c>
      <c r="T183" s="323">
        <f>T178/S178-1</f>
        <v>1.9096988406609956</v>
      </c>
      <c r="U183" s="323">
        <f t="shared" ref="U183:AD183" ca="1" si="291">U178/T178-1</f>
        <v>0.27276159686719503</v>
      </c>
      <c r="V183" s="323">
        <f t="shared" ca="1" si="291"/>
        <v>0.46315210114112371</v>
      </c>
      <c r="W183" s="323">
        <f t="shared" ca="1" si="291"/>
        <v>0.43128262706951537</v>
      </c>
      <c r="X183" s="323">
        <f t="shared" ca="1" si="291"/>
        <v>0.39229819640534314</v>
      </c>
      <c r="Y183" s="323">
        <f t="shared" ca="1" si="291"/>
        <v>0.3682293044229028</v>
      </c>
      <c r="Z183" s="323">
        <f t="shared" ca="1" si="291"/>
        <v>0.28880751825003048</v>
      </c>
      <c r="AA183" s="323">
        <f t="shared" ca="1" si="291"/>
        <v>0.2697381901454099</v>
      </c>
      <c r="AB183" s="323">
        <f t="shared" ca="1" si="291"/>
        <v>0.25200269353242755</v>
      </c>
      <c r="AC183" s="323">
        <f t="shared" ca="1" si="291"/>
        <v>0.23532551813966429</v>
      </c>
      <c r="AD183" s="323">
        <f t="shared" ca="1" si="291"/>
        <v>0.21950214347867969</v>
      </c>
      <c r="AE183" s="323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323"/>
      <c r="BQ183" s="323">
        <f t="shared" si="287"/>
        <v>2.8068035364424033</v>
      </c>
      <c r="BR183" s="323">
        <f t="shared" si="287"/>
        <v>0.67339355612465845</v>
      </c>
      <c r="BS183" s="323">
        <f t="shared" si="288"/>
        <v>2.931652372510277</v>
      </c>
      <c r="BT183" s="323">
        <f t="shared" si="288"/>
        <v>2.6882641536614962</v>
      </c>
      <c r="BU183" s="323">
        <f t="shared" si="288"/>
        <v>3.4808181114498868</v>
      </c>
      <c r="BV183" s="323">
        <f t="shared" si="288"/>
        <v>1.4711663482436461</v>
      </c>
      <c r="BW183" s="323">
        <f t="shared" si="288"/>
        <v>1.3914234853947351</v>
      </c>
      <c r="BX183" s="323">
        <f t="shared" ca="1" si="288"/>
        <v>0.80062999999999973</v>
      </c>
      <c r="BY183" s="323">
        <f t="shared" ca="1" si="288"/>
        <v>0.71416666666666639</v>
      </c>
      <c r="BZ183" s="323">
        <f t="shared" ca="1" si="288"/>
        <v>0.78199999999999981</v>
      </c>
      <c r="CA183" s="323">
        <f t="shared" ca="1" si="288"/>
        <v>0.86943635542767828</v>
      </c>
      <c r="CB183" s="323">
        <f t="shared" ca="1" si="289"/>
        <v>0.43520000000000048</v>
      </c>
      <c r="CC183" s="323">
        <f t="shared" ca="1" si="289"/>
        <v>0.22850000000000015</v>
      </c>
      <c r="CD183" s="323">
        <f t="shared" ca="1" si="289"/>
        <v>-1.1199999999999988E-2</v>
      </c>
      <c r="CE183" s="323">
        <f t="shared" ca="1" si="289"/>
        <v>-0.14009203270614812</v>
      </c>
      <c r="CF183" s="5"/>
      <c r="CG183" s="5"/>
      <c r="CH183" s="5"/>
    </row>
    <row r="184" spans="1:96" outlineLevel="1" collapsed="1">
      <c r="B184" s="12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323"/>
      <c r="BR184" s="323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5"/>
      <c r="CG184" s="5"/>
      <c r="CH184" s="5"/>
    </row>
    <row r="185" spans="1:96" hidden="1" outlineLevel="2">
      <c r="B185" s="363" t="s">
        <v>649</v>
      </c>
      <c r="C185" s="365"/>
      <c r="D185" s="365"/>
      <c r="E185" s="365"/>
      <c r="F185" s="365"/>
      <c r="G185" s="365"/>
      <c r="H185" s="365"/>
      <c r="I185" s="364"/>
      <c r="J185" s="364"/>
      <c r="K185" s="364"/>
      <c r="L185" s="364"/>
      <c r="M185" s="364"/>
      <c r="N185" s="364"/>
      <c r="O185" s="364"/>
      <c r="P185" s="364"/>
      <c r="Q185" s="364"/>
      <c r="R185" s="365"/>
      <c r="S185" s="365"/>
      <c r="T185" s="365"/>
      <c r="U185" s="365"/>
      <c r="V185" s="365"/>
      <c r="W185" s="365"/>
      <c r="X185" s="365"/>
      <c r="Y185" s="365"/>
      <c r="Z185" s="365"/>
      <c r="AA185" s="365"/>
      <c r="AB185" s="365"/>
      <c r="AC185" s="365"/>
      <c r="AD185" s="365"/>
      <c r="AE185" s="365"/>
      <c r="AF185" s="364"/>
      <c r="AG185" s="364"/>
      <c r="AH185" s="364"/>
      <c r="AI185" s="364"/>
      <c r="AJ185" s="364"/>
      <c r="AK185" s="364"/>
      <c r="AL185" s="364"/>
      <c r="AM185" s="364"/>
      <c r="AN185" s="364"/>
      <c r="AO185" s="364"/>
      <c r="AP185" s="364"/>
      <c r="AQ185" s="364"/>
      <c r="AR185" s="364"/>
      <c r="AS185" s="364"/>
      <c r="AT185" s="364"/>
      <c r="AU185" s="364"/>
      <c r="AV185" s="364"/>
      <c r="AW185" s="364"/>
      <c r="AX185" s="364"/>
      <c r="AY185" s="364"/>
      <c r="AZ185" s="364"/>
      <c r="BA185" s="364"/>
      <c r="BB185" s="364"/>
      <c r="BC185" s="364"/>
      <c r="BD185" s="364"/>
      <c r="BE185" s="364"/>
      <c r="BF185" s="364"/>
      <c r="BG185" s="364"/>
      <c r="BH185" s="364"/>
      <c r="BI185" s="364"/>
      <c r="BJ185" s="364"/>
      <c r="BK185" s="364"/>
      <c r="BL185" s="364"/>
      <c r="BM185" s="364"/>
      <c r="BN185" s="364"/>
      <c r="BO185" s="364"/>
      <c r="BP185" s="364"/>
      <c r="BQ185" s="364"/>
      <c r="BR185" s="364"/>
      <c r="BS185" s="364"/>
      <c r="BT185" s="364"/>
      <c r="BU185" s="364"/>
      <c r="BV185" s="364"/>
      <c r="BW185" s="364"/>
      <c r="BX185" s="364"/>
      <c r="BY185" s="364"/>
      <c r="BZ185" s="364"/>
      <c r="CA185" s="364"/>
      <c r="CB185" s="364"/>
      <c r="CC185" s="364"/>
      <c r="CD185" s="364"/>
      <c r="CE185" s="364"/>
      <c r="CF185" s="5"/>
      <c r="CG185" s="5"/>
      <c r="CH185" s="5"/>
    </row>
    <row r="186" spans="1:96" hidden="1" outlineLevel="2">
      <c r="A186" s="158" t="s">
        <v>115</v>
      </c>
      <c r="B186" s="13" t="s">
        <v>706</v>
      </c>
      <c r="C186" s="324"/>
      <c r="D186" s="324"/>
      <c r="E186" s="324"/>
      <c r="F186" s="324"/>
      <c r="G186" s="324"/>
      <c r="H186" s="324"/>
      <c r="I186" s="324"/>
      <c r="J186" s="324"/>
      <c r="K186" s="324"/>
      <c r="L186" s="324"/>
      <c r="M186" s="324"/>
      <c r="N186" s="324" t="e">
        <f t="shared" ref="N186:R187" si="292">VLOOKUP($A186,QUNR,MATCH(N$4,Period_QUNR,FALSE),FALSE)</f>
        <v>#NAME?</v>
      </c>
      <c r="O186" s="324" t="e">
        <f t="shared" si="292"/>
        <v>#NAME?</v>
      </c>
      <c r="P186" s="324" t="e">
        <f t="shared" si="292"/>
        <v>#NAME?</v>
      </c>
      <c r="Q186" s="324" t="e">
        <f t="shared" si="292"/>
        <v>#NAME?</v>
      </c>
      <c r="R186" s="324" t="e">
        <f t="shared" si="292"/>
        <v>#NAME?</v>
      </c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  <c r="AF186" s="324"/>
      <c r="AG186" s="324"/>
      <c r="AH186" s="324"/>
      <c r="AI186" s="324"/>
      <c r="AJ186" s="324"/>
      <c r="AK186" s="324"/>
      <c r="AL186" s="324"/>
      <c r="AM186" s="324"/>
      <c r="AN186" s="324"/>
      <c r="AO186" s="324"/>
      <c r="AP186" s="324"/>
      <c r="AQ186" s="324"/>
      <c r="AR186" s="324"/>
      <c r="AS186" s="324"/>
      <c r="AT186" s="324"/>
      <c r="AU186" s="324"/>
      <c r="AV186" s="324"/>
      <c r="AW186" s="324"/>
      <c r="AX186" s="324"/>
      <c r="AY186" s="324"/>
      <c r="AZ186" s="324"/>
      <c r="BA186" s="324"/>
      <c r="BB186" s="324"/>
      <c r="BC186" s="324"/>
      <c r="BD186" s="324" t="e">
        <f t="shared" ref="BD186:BQ187" si="293">VLOOKUP($A186,QUNR,MATCH(BD$4,Period_QUNR,FALSE),FALSE)</f>
        <v>#NAME?</v>
      </c>
      <c r="BE186" s="324" t="e">
        <f t="shared" si="293"/>
        <v>#NAME?</v>
      </c>
      <c r="BF186" s="324" t="e">
        <f t="shared" si="293"/>
        <v>#NAME?</v>
      </c>
      <c r="BG186" s="324" t="e">
        <f t="shared" si="293"/>
        <v>#NAME?</v>
      </c>
      <c r="BH186" s="324" t="e">
        <f t="shared" si="293"/>
        <v>#NAME?</v>
      </c>
      <c r="BI186" s="324" t="e">
        <f t="shared" si="293"/>
        <v>#NAME?</v>
      </c>
      <c r="BJ186" s="324" t="e">
        <f t="shared" si="293"/>
        <v>#NAME?</v>
      </c>
      <c r="BK186" s="324" t="e">
        <f t="shared" si="293"/>
        <v>#NAME?</v>
      </c>
      <c r="BL186" s="324" t="e">
        <f t="shared" si="293"/>
        <v>#NAME?</v>
      </c>
      <c r="BM186" s="324" t="e">
        <f t="shared" si="293"/>
        <v>#NAME?</v>
      </c>
      <c r="BN186" s="324" t="e">
        <f t="shared" si="293"/>
        <v>#NAME?</v>
      </c>
      <c r="BO186" s="324" t="e">
        <f t="shared" si="293"/>
        <v>#NAME?</v>
      </c>
      <c r="BP186" s="324" t="e">
        <f t="shared" si="293"/>
        <v>#NAME?</v>
      </c>
      <c r="BQ186" s="324" t="e">
        <f t="shared" si="293"/>
        <v>#NAME?</v>
      </c>
      <c r="BR186" s="324"/>
      <c r="BS186" s="324"/>
      <c r="BT186" s="324"/>
      <c r="BU186" s="324"/>
      <c r="BV186" s="324"/>
      <c r="BW186" s="324"/>
      <c r="BX186" s="324"/>
      <c r="BY186" s="324"/>
      <c r="BZ186" s="324"/>
      <c r="CA186" s="324"/>
      <c r="CB186" s="324"/>
      <c r="CC186" s="324"/>
      <c r="CD186" s="324"/>
      <c r="CE186" s="324"/>
      <c r="CF186" s="5"/>
      <c r="CG186" s="5"/>
      <c r="CH186" s="5"/>
    </row>
    <row r="187" spans="1:96" hidden="1" outlineLevel="2">
      <c r="A187" s="158" t="s">
        <v>127</v>
      </c>
      <c r="B187" s="13" t="s">
        <v>161</v>
      </c>
      <c r="C187" s="324"/>
      <c r="D187" s="324"/>
      <c r="E187" s="324"/>
      <c r="F187" s="324"/>
      <c r="G187" s="324"/>
      <c r="H187" s="324"/>
      <c r="I187" s="324"/>
      <c r="J187" s="324"/>
      <c r="K187" s="324"/>
      <c r="L187" s="324"/>
      <c r="M187" s="324"/>
      <c r="N187" s="324" t="e">
        <f t="shared" si="292"/>
        <v>#NAME?</v>
      </c>
      <c r="O187" s="324" t="e">
        <f t="shared" si="292"/>
        <v>#NAME?</v>
      </c>
      <c r="P187" s="324" t="e">
        <f t="shared" si="292"/>
        <v>#NAME?</v>
      </c>
      <c r="Q187" s="324" t="e">
        <f t="shared" si="292"/>
        <v>#NAME?</v>
      </c>
      <c r="R187" s="324" t="e">
        <f t="shared" si="292"/>
        <v>#NAME?</v>
      </c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  <c r="AF187" s="324"/>
      <c r="AG187" s="324"/>
      <c r="AH187" s="324"/>
      <c r="AI187" s="324"/>
      <c r="AJ187" s="324"/>
      <c r="AK187" s="324"/>
      <c r="AL187" s="324"/>
      <c r="AM187" s="324"/>
      <c r="AN187" s="324"/>
      <c r="AO187" s="324"/>
      <c r="AP187" s="324"/>
      <c r="AQ187" s="324"/>
      <c r="AR187" s="324"/>
      <c r="AS187" s="324"/>
      <c r="AT187" s="324"/>
      <c r="AU187" s="324"/>
      <c r="AV187" s="324"/>
      <c r="AW187" s="324"/>
      <c r="AX187" s="324"/>
      <c r="AY187" s="324"/>
      <c r="AZ187" s="324"/>
      <c r="BA187" s="324"/>
      <c r="BB187" s="324"/>
      <c r="BC187" s="324"/>
      <c r="BD187" s="324" t="e">
        <f t="shared" si="293"/>
        <v>#NAME?</v>
      </c>
      <c r="BE187" s="324" t="e">
        <f t="shared" si="293"/>
        <v>#NAME?</v>
      </c>
      <c r="BF187" s="324" t="e">
        <f t="shared" si="293"/>
        <v>#NAME?</v>
      </c>
      <c r="BG187" s="324" t="e">
        <f t="shared" si="293"/>
        <v>#NAME?</v>
      </c>
      <c r="BH187" s="324" t="e">
        <f t="shared" si="293"/>
        <v>#NAME?</v>
      </c>
      <c r="BI187" s="324" t="e">
        <f t="shared" si="293"/>
        <v>#NAME?</v>
      </c>
      <c r="BJ187" s="324" t="e">
        <f t="shared" si="293"/>
        <v>#NAME?</v>
      </c>
      <c r="BK187" s="324" t="e">
        <f t="shared" si="293"/>
        <v>#NAME?</v>
      </c>
      <c r="BL187" s="324" t="e">
        <f t="shared" si="293"/>
        <v>#NAME?</v>
      </c>
      <c r="BM187" s="324" t="e">
        <f t="shared" si="293"/>
        <v>#NAME?</v>
      </c>
      <c r="BN187" s="324" t="e">
        <f t="shared" si="293"/>
        <v>#NAME?</v>
      </c>
      <c r="BO187" s="324" t="e">
        <f t="shared" si="293"/>
        <v>#NAME?</v>
      </c>
      <c r="BP187" s="324" t="e">
        <f t="shared" si="293"/>
        <v>#NAME?</v>
      </c>
      <c r="BQ187" s="324" t="e">
        <f t="shared" si="293"/>
        <v>#NAME?</v>
      </c>
      <c r="BR187" s="324"/>
      <c r="BS187" s="324"/>
      <c r="BT187" s="324"/>
      <c r="BU187" s="324"/>
      <c r="BV187" s="324"/>
      <c r="BW187" s="324"/>
      <c r="BX187" s="324"/>
      <c r="BY187" s="324"/>
      <c r="BZ187" s="324"/>
      <c r="CA187" s="324"/>
      <c r="CB187" s="324"/>
      <c r="CC187" s="324"/>
      <c r="CD187" s="324"/>
      <c r="CE187" s="324"/>
      <c r="CF187" s="5"/>
      <c r="CG187" s="5"/>
      <c r="CH187" s="5"/>
    </row>
    <row r="188" spans="1:96" hidden="1" outlineLevel="2">
      <c r="A188" s="158" t="s">
        <v>148</v>
      </c>
      <c r="B188" s="13" t="s">
        <v>704</v>
      </c>
      <c r="C188" s="323"/>
      <c r="D188" s="323"/>
      <c r="E188" s="323"/>
      <c r="F188" s="323"/>
      <c r="G188" s="323"/>
      <c r="H188" s="323"/>
      <c r="I188" s="323"/>
      <c r="J188" s="323"/>
      <c r="K188" s="323"/>
      <c r="L188" s="323"/>
      <c r="M188" s="323"/>
      <c r="N188" s="323" t="e">
        <f>VLOOKUP($A188,QUNR,MATCH(N$4,Period_QUNR,FALSE),FALSE)/100</f>
        <v>#NAME?</v>
      </c>
      <c r="O188" s="323" t="e">
        <f>VLOOKUP($A188,QUNR,MATCH(O$4,Period_QUNR,FALSE),FALSE)/100</f>
        <v>#NAME?</v>
      </c>
      <c r="P188" s="323" t="e">
        <f>VLOOKUP($A188,QUNR,MATCH(P$4,Period_QUNR,FALSE),FALSE)/100</f>
        <v>#NAME?</v>
      </c>
      <c r="Q188" s="323" t="e">
        <f>VLOOKUP($A188,QUNR,MATCH(Q$4,Period_QUNR,FALSE),FALSE)/100</f>
        <v>#NAME?</v>
      </c>
      <c r="R188" s="323" t="e">
        <f>VLOOKUP($A188,QUNR,MATCH(R$4,Period_QUNR,FALSE),FALSE)/100</f>
        <v>#NAME?</v>
      </c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  <c r="AF188" s="324"/>
      <c r="AG188" s="324"/>
      <c r="AH188" s="324"/>
      <c r="AI188" s="324"/>
      <c r="AJ188" s="324"/>
      <c r="AK188" s="324"/>
      <c r="AL188" s="324"/>
      <c r="AM188" s="324"/>
      <c r="AN188" s="324"/>
      <c r="AO188" s="324"/>
      <c r="AP188" s="324"/>
      <c r="AQ188" s="324"/>
      <c r="AR188" s="324"/>
      <c r="AS188" s="324"/>
      <c r="AT188" s="324"/>
      <c r="AU188" s="324"/>
      <c r="AV188" s="324"/>
      <c r="AW188" s="324"/>
      <c r="AX188" s="324"/>
      <c r="AY188" s="324"/>
      <c r="AZ188" s="324"/>
      <c r="BA188" s="324"/>
      <c r="BB188" s="324"/>
      <c r="BC188" s="324"/>
      <c r="BD188" s="323" t="e">
        <f t="shared" ref="BD188:BQ188" si="294">VLOOKUP($A188,QUNR,MATCH(BD$4,Period_QUNR,FALSE),FALSE)/100</f>
        <v>#NAME?</v>
      </c>
      <c r="BE188" s="323" t="e">
        <f t="shared" si="294"/>
        <v>#NAME?</v>
      </c>
      <c r="BF188" s="323" t="e">
        <f t="shared" si="294"/>
        <v>#NAME?</v>
      </c>
      <c r="BG188" s="323" t="e">
        <f t="shared" si="294"/>
        <v>#NAME?</v>
      </c>
      <c r="BH188" s="323" t="e">
        <f t="shared" si="294"/>
        <v>#NAME?</v>
      </c>
      <c r="BI188" s="323" t="e">
        <f t="shared" si="294"/>
        <v>#NAME?</v>
      </c>
      <c r="BJ188" s="323" t="e">
        <f t="shared" si="294"/>
        <v>#NAME?</v>
      </c>
      <c r="BK188" s="323" t="e">
        <f t="shared" si="294"/>
        <v>#NAME?</v>
      </c>
      <c r="BL188" s="157" t="e">
        <f t="shared" si="294"/>
        <v>#NAME?</v>
      </c>
      <c r="BM188" s="157" t="e">
        <f t="shared" si="294"/>
        <v>#NAME?</v>
      </c>
      <c r="BN188" s="157" t="e">
        <f t="shared" si="294"/>
        <v>#NAME?</v>
      </c>
      <c r="BO188" s="157" t="e">
        <f t="shared" si="294"/>
        <v>#NAME?</v>
      </c>
      <c r="BP188" s="157" t="e">
        <f t="shared" si="294"/>
        <v>#NAME?</v>
      </c>
      <c r="BQ188" s="157" t="e">
        <f t="shared" si="294"/>
        <v>#NAME?</v>
      </c>
      <c r="BR188" s="323"/>
      <c r="BS188" s="323"/>
      <c r="BT188" s="323"/>
      <c r="BU188" s="323"/>
      <c r="BV188" s="323"/>
      <c r="BW188" s="323"/>
      <c r="BX188" s="323"/>
      <c r="BY188" s="323"/>
      <c r="BZ188" s="323"/>
      <c r="CA188" s="323"/>
      <c r="CB188" s="323"/>
      <c r="CC188" s="323"/>
      <c r="CD188" s="323"/>
      <c r="CE188" s="323"/>
      <c r="CF188" s="5"/>
      <c r="CG188" s="5"/>
      <c r="CH188" s="5"/>
    </row>
    <row r="189" spans="1:96" s="115" customFormat="1" hidden="1" outlineLevel="2">
      <c r="A189" s="360"/>
      <c r="B189" s="116" t="s">
        <v>121</v>
      </c>
      <c r="C189" s="369"/>
      <c r="D189" s="369"/>
      <c r="E189" s="369"/>
      <c r="F189" s="369"/>
      <c r="G189" s="369"/>
      <c r="H189" s="369"/>
      <c r="I189" s="369"/>
      <c r="J189" s="369"/>
      <c r="K189" s="369"/>
      <c r="L189" s="369"/>
      <c r="M189" s="369"/>
      <c r="N189" s="369" t="e">
        <f>N186/N188</f>
        <v>#NAME?</v>
      </c>
      <c r="O189" s="369" t="e">
        <f>O186/O188</f>
        <v>#NAME?</v>
      </c>
      <c r="P189" s="369" t="e">
        <f>P186/P188</f>
        <v>#NAME?</v>
      </c>
      <c r="Q189" s="369" t="e">
        <f>Q186/Q188</f>
        <v>#NAME?</v>
      </c>
      <c r="R189" s="369" t="e">
        <f>R186/R188</f>
        <v>#NAME?</v>
      </c>
      <c r="S189" s="220"/>
      <c r="T189" s="220"/>
      <c r="U189" s="220"/>
      <c r="V189" s="220"/>
      <c r="W189" s="220"/>
      <c r="X189" s="220"/>
      <c r="Y189" s="220"/>
      <c r="Z189" s="220"/>
      <c r="AA189" s="220"/>
      <c r="AB189" s="220"/>
      <c r="AC189" s="220"/>
      <c r="AD189" s="220"/>
      <c r="AE189" s="220"/>
      <c r="AF189" s="220"/>
      <c r="AG189" s="220"/>
      <c r="AH189" s="220"/>
      <c r="AI189" s="220"/>
      <c r="AJ189" s="220"/>
      <c r="AK189" s="220"/>
      <c r="AL189" s="220"/>
      <c r="AM189" s="220"/>
      <c r="AN189" s="220"/>
      <c r="AO189" s="220"/>
      <c r="AP189" s="220"/>
      <c r="AQ189" s="220"/>
      <c r="AR189" s="220"/>
      <c r="AS189" s="220"/>
      <c r="AT189" s="220"/>
      <c r="AU189" s="220"/>
      <c r="AV189" s="220"/>
      <c r="AW189" s="220"/>
      <c r="AX189" s="220"/>
      <c r="AY189" s="220"/>
      <c r="AZ189" s="220"/>
      <c r="BA189" s="220"/>
      <c r="BB189" s="220"/>
      <c r="BC189" s="220"/>
      <c r="BD189" s="372" t="e">
        <f t="shared" ref="BD189:BP189" si="295">BD186/BD188</f>
        <v>#NAME?</v>
      </c>
      <c r="BE189" s="372" t="e">
        <f t="shared" si="295"/>
        <v>#NAME?</v>
      </c>
      <c r="BF189" s="372" t="e">
        <f t="shared" si="295"/>
        <v>#NAME?</v>
      </c>
      <c r="BG189" s="372" t="e">
        <f t="shared" si="295"/>
        <v>#NAME?</v>
      </c>
      <c r="BH189" s="372" t="e">
        <f t="shared" si="295"/>
        <v>#NAME?</v>
      </c>
      <c r="BI189" s="372" t="e">
        <f t="shared" si="295"/>
        <v>#NAME?</v>
      </c>
      <c r="BJ189" s="372" t="e">
        <f t="shared" si="295"/>
        <v>#NAME?</v>
      </c>
      <c r="BK189" s="372" t="e">
        <f t="shared" si="295"/>
        <v>#NAME?</v>
      </c>
      <c r="BL189" s="372" t="e">
        <f t="shared" si="295"/>
        <v>#NAME?</v>
      </c>
      <c r="BM189" s="372" t="e">
        <f t="shared" si="295"/>
        <v>#NAME?</v>
      </c>
      <c r="BN189" s="372" t="e">
        <f t="shared" si="295"/>
        <v>#NAME?</v>
      </c>
      <c r="BO189" s="372" t="e">
        <f t="shared" si="295"/>
        <v>#NAME?</v>
      </c>
      <c r="BP189" s="372" t="e">
        <f t="shared" si="295"/>
        <v>#NAME?</v>
      </c>
      <c r="BQ189" s="372" t="e">
        <f>BQ186/BQ188</f>
        <v>#NAME?</v>
      </c>
      <c r="BR189" s="369"/>
      <c r="BS189" s="369"/>
      <c r="BT189" s="369"/>
      <c r="BU189" s="369"/>
      <c r="BV189" s="369"/>
      <c r="BW189" s="369"/>
      <c r="BX189" s="369"/>
      <c r="BY189" s="369"/>
      <c r="BZ189" s="369"/>
      <c r="CA189" s="369"/>
      <c r="CB189" s="369"/>
      <c r="CC189" s="369"/>
      <c r="CD189" s="369"/>
      <c r="CE189" s="369"/>
      <c r="CF189" s="462"/>
      <c r="CG189" s="22"/>
      <c r="CH189" s="22"/>
      <c r="CI189" s="116"/>
      <c r="CJ189"/>
      <c r="CK189"/>
      <c r="CL189"/>
      <c r="CM189"/>
      <c r="CN189"/>
      <c r="CO189"/>
      <c r="CP189" s="116"/>
      <c r="CQ189" s="116"/>
      <c r="CR189" s="116"/>
    </row>
    <row r="190" spans="1:96" hidden="1" outlineLevel="2">
      <c r="B190" s="12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323"/>
      <c r="BR190" s="323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5"/>
      <c r="CG190" s="5"/>
      <c r="CH190" s="5"/>
    </row>
    <row r="191" spans="1:96" hidden="1" outlineLevel="2">
      <c r="B191" s="363" t="s">
        <v>723</v>
      </c>
      <c r="C191" s="365"/>
      <c r="D191" s="365"/>
      <c r="E191" s="365"/>
      <c r="F191" s="365"/>
      <c r="G191" s="365"/>
      <c r="H191" s="365"/>
      <c r="I191" s="364"/>
      <c r="J191" s="364"/>
      <c r="K191" s="364"/>
      <c r="L191" s="364"/>
      <c r="M191" s="364"/>
      <c r="N191" s="364"/>
      <c r="O191" s="364"/>
      <c r="P191" s="364"/>
      <c r="Q191" s="364"/>
      <c r="R191" s="365"/>
      <c r="S191" s="365"/>
      <c r="T191" s="365"/>
      <c r="U191" s="365"/>
      <c r="V191" s="365"/>
      <c r="W191" s="365"/>
      <c r="X191" s="365"/>
      <c r="Y191" s="365"/>
      <c r="Z191" s="365"/>
      <c r="AA191" s="365"/>
      <c r="AB191" s="365"/>
      <c r="AC191" s="365"/>
      <c r="AD191" s="365"/>
      <c r="AE191" s="365"/>
      <c r="AF191" s="364"/>
      <c r="AG191" s="364"/>
      <c r="AH191" s="364"/>
      <c r="AI191" s="364"/>
      <c r="AJ191" s="364"/>
      <c r="AK191" s="364"/>
      <c r="AL191" s="364"/>
      <c r="AM191" s="364"/>
      <c r="AN191" s="364"/>
      <c r="AO191" s="364"/>
      <c r="AP191" s="364"/>
      <c r="AQ191" s="364"/>
      <c r="AR191" s="364"/>
      <c r="AS191" s="364"/>
      <c r="AT191" s="364"/>
      <c r="AU191" s="364"/>
      <c r="AV191" s="364"/>
      <c r="AW191" s="364"/>
      <c r="AX191" s="364"/>
      <c r="AY191" s="364"/>
      <c r="AZ191" s="364"/>
      <c r="BA191" s="364"/>
      <c r="BB191" s="364"/>
      <c r="BC191" s="364"/>
      <c r="BD191" s="364"/>
      <c r="BE191" s="364"/>
      <c r="BF191" s="364"/>
      <c r="BG191" s="364"/>
      <c r="BH191" s="364"/>
      <c r="BI191" s="364"/>
      <c r="BJ191" s="364"/>
      <c r="BK191" s="364"/>
      <c r="BL191" s="364"/>
      <c r="BM191" s="364"/>
      <c r="BN191" s="364"/>
      <c r="BO191" s="364"/>
      <c r="BP191" s="364"/>
      <c r="BQ191" s="364"/>
      <c r="BR191" s="364"/>
      <c r="BS191" s="364"/>
      <c r="BT191" s="364"/>
      <c r="BU191" s="364"/>
      <c r="BV191" s="364"/>
      <c r="BW191" s="364"/>
      <c r="BX191" s="364"/>
      <c r="BY191" s="364"/>
      <c r="BZ191" s="364"/>
      <c r="CA191" s="364"/>
      <c r="CB191" s="364"/>
      <c r="CC191" s="364"/>
      <c r="CD191" s="364"/>
      <c r="CE191" s="364"/>
      <c r="CF191" s="5"/>
      <c r="CG191" s="5"/>
      <c r="CH191" s="5"/>
    </row>
    <row r="192" spans="1:96" hidden="1" outlineLevel="2">
      <c r="B192" s="324" t="s">
        <v>702</v>
      </c>
      <c r="C192" s="324">
        <f t="shared" ref="C192:M192" si="296">Rev_Hotel-C177</f>
        <v>5.3389899999999999</v>
      </c>
      <c r="D192" s="324">
        <f t="shared" si="296"/>
        <v>43.379536000000002</v>
      </c>
      <c r="E192" s="324">
        <f t="shared" si="296"/>
        <v>96.762837000000005</v>
      </c>
      <c r="F192" s="324">
        <f t="shared" si="296"/>
        <v>153.38868599999998</v>
      </c>
      <c r="G192" s="324">
        <f t="shared" si="296"/>
        <v>276.04294399999998</v>
      </c>
      <c r="H192" s="324">
        <f t="shared" si="296"/>
        <v>362.85680000000002</v>
      </c>
      <c r="I192" s="324">
        <f t="shared" si="296"/>
        <v>476.49460599999998</v>
      </c>
      <c r="J192" s="324">
        <f t="shared" si="296"/>
        <v>676.51123800000005</v>
      </c>
      <c r="K192" s="324">
        <f t="shared" si="296"/>
        <v>755.73315200000002</v>
      </c>
      <c r="L192" s="324">
        <f t="shared" si="296"/>
        <v>940.68213200000002</v>
      </c>
      <c r="M192" s="324">
        <f t="shared" si="296"/>
        <v>1278.0436729999999</v>
      </c>
      <c r="N192" s="324">
        <f>Rev_Ticket</f>
        <v>1437.118164</v>
      </c>
      <c r="O192" s="324">
        <f>O176</f>
        <v>1690.2859429999999</v>
      </c>
      <c r="P192" s="324">
        <f>P176</f>
        <v>2161.784259</v>
      </c>
      <c r="Q192" s="324">
        <f>Q176</f>
        <v>2950.0724840000003</v>
      </c>
      <c r="R192" s="324">
        <f>R176</f>
        <v>4090.4995925399999</v>
      </c>
      <c r="S192" s="324">
        <f>S176</f>
        <v>7532.8468172699995</v>
      </c>
      <c r="T192" s="324">
        <f t="shared" ref="T192:AB192" si="297">T176</f>
        <v>9957.2138111899985</v>
      </c>
      <c r="U192" s="324">
        <f t="shared" ca="1" si="297"/>
        <v>10719.038587935498</v>
      </c>
      <c r="V192" s="324">
        <f t="shared" ca="1" si="297"/>
        <v>13495.265801876574</v>
      </c>
      <c r="W192" s="324">
        <f t="shared" ca="1" si="297"/>
        <v>16841.170275583529</v>
      </c>
      <c r="X192" s="324">
        <f t="shared" ca="1" si="297"/>
        <v>20657.580374293597</v>
      </c>
      <c r="Y192" s="324">
        <f t="shared" ca="1" si="297"/>
        <v>25109.060108589252</v>
      </c>
      <c r="Z192" s="324">
        <f t="shared" ca="1" si="297"/>
        <v>28943.63697049145</v>
      </c>
      <c r="AA192" s="324">
        <f t="shared" ca="1" si="297"/>
        <v>33053.660354517597</v>
      </c>
      <c r="AB192" s="324">
        <f t="shared" ca="1" si="297"/>
        <v>37391.80528767631</v>
      </c>
      <c r="AC192" s="324">
        <f ca="1">AC176</f>
        <v>41895.536840835222</v>
      </c>
      <c r="AD192" s="324">
        <f ca="1">AD176</f>
        <v>46487.34430120646</v>
      </c>
      <c r="AE192" s="324"/>
      <c r="AF192" s="324">
        <f t="shared" ref="AF192:AY192" si="298">Rev_Hotel</f>
        <v>133.46826999999999</v>
      </c>
      <c r="AG192" s="324">
        <f t="shared" si="298"/>
        <v>171.42890199999999</v>
      </c>
      <c r="AH192" s="324">
        <f t="shared" si="298"/>
        <v>175.57871399999999</v>
      </c>
      <c r="AI192" s="324">
        <f t="shared" si="298"/>
        <v>196.03535199999999</v>
      </c>
      <c r="AJ192" s="324">
        <f t="shared" si="298"/>
        <v>171.19156000000001</v>
      </c>
      <c r="AK192" s="324">
        <f t="shared" si="298"/>
        <v>195.87316100000001</v>
      </c>
      <c r="AL192" s="324">
        <f t="shared" si="298"/>
        <v>186.00562099999999</v>
      </c>
      <c r="AM192" s="324">
        <f t="shared" si="298"/>
        <v>210.656475</v>
      </c>
      <c r="AN192" s="324">
        <f t="shared" si="298"/>
        <v>185.041484</v>
      </c>
      <c r="AO192" s="324">
        <f t="shared" si="298"/>
        <v>223.271782</v>
      </c>
      <c r="AP192" s="324">
        <f t="shared" si="298"/>
        <v>257.89537200000001</v>
      </c>
      <c r="AQ192" s="324">
        <f t="shared" si="298"/>
        <v>274.47367400000002</v>
      </c>
      <c r="AR192" s="324">
        <f t="shared" si="298"/>
        <v>251.91229200000001</v>
      </c>
      <c r="AS192" s="324">
        <f t="shared" si="298"/>
        <v>316.15046799999999</v>
      </c>
      <c r="AT192" s="324">
        <f t="shared" si="298"/>
        <v>349.65558399999998</v>
      </c>
      <c r="AU192" s="324">
        <f t="shared" si="298"/>
        <v>360.32532900000001</v>
      </c>
      <c r="AV192" s="324">
        <f t="shared" si="298"/>
        <v>310.39395400000001</v>
      </c>
      <c r="AW192" s="324">
        <f t="shared" si="298"/>
        <v>366.45369399999998</v>
      </c>
      <c r="AX192" s="324">
        <f t="shared" si="298"/>
        <v>410.42842899999999</v>
      </c>
      <c r="AY192" s="324">
        <f t="shared" si="298"/>
        <v>399.62278099999997</v>
      </c>
      <c r="AZ192" s="324">
        <f t="shared" ref="AZ192:BL192" si="299">Rev_Ticket</f>
        <v>360.46341999999999</v>
      </c>
      <c r="BA192" s="324">
        <f t="shared" si="299"/>
        <v>404.26826599999998</v>
      </c>
      <c r="BB192" s="324">
        <f t="shared" si="299"/>
        <v>478.36794200000003</v>
      </c>
      <c r="BC192" s="324">
        <f t="shared" si="299"/>
        <v>447.18631499999998</v>
      </c>
      <c r="BD192" s="324">
        <f t="shared" si="299"/>
        <v>456.50252399999999</v>
      </c>
      <c r="BE192" s="324">
        <f t="shared" si="299"/>
        <v>522.01377100000002</v>
      </c>
      <c r="BF192" s="324">
        <f t="shared" si="299"/>
        <v>604.27234399999998</v>
      </c>
      <c r="BG192" s="324">
        <f t="shared" si="299"/>
        <v>578.99562000000003</v>
      </c>
      <c r="BH192" s="324">
        <f t="shared" si="299"/>
        <v>651.065201</v>
      </c>
      <c r="BI192" s="324">
        <f t="shared" si="299"/>
        <v>725.513462</v>
      </c>
      <c r="BJ192" s="324">
        <f t="shared" si="299"/>
        <v>799.79692699999998</v>
      </c>
      <c r="BK192" s="324">
        <f t="shared" si="299"/>
        <v>773.69689400000004</v>
      </c>
      <c r="BL192" s="324">
        <f t="shared" si="299"/>
        <v>947.90779099999997</v>
      </c>
      <c r="BM192" s="324">
        <f t="shared" ref="BM192:BW192" si="300">BM176</f>
        <v>999.92313080000008</v>
      </c>
      <c r="BN192" s="324">
        <f t="shared" si="300"/>
        <v>1075.9998317500001</v>
      </c>
      <c r="BO192" s="324">
        <f t="shared" si="300"/>
        <v>1095.1060727199999</v>
      </c>
      <c r="BP192" s="324">
        <f t="shared" si="300"/>
        <v>1695.63271962</v>
      </c>
      <c r="BQ192" s="324">
        <f t="shared" si="300"/>
        <v>1742.98131165</v>
      </c>
      <c r="BR192" s="324">
        <f t="shared" si="300"/>
        <v>2039.2986003599999</v>
      </c>
      <c r="BS192" s="324">
        <f t="shared" si="300"/>
        <v>2054.9341856400001</v>
      </c>
      <c r="BT192" s="324">
        <f t="shared" si="300"/>
        <v>2386.5615371799995</v>
      </c>
      <c r="BU192" s="324">
        <f t="shared" si="300"/>
        <v>2453.71089192</v>
      </c>
      <c r="BV192" s="324">
        <f t="shared" si="300"/>
        <v>2776.8376332899998</v>
      </c>
      <c r="BW192" s="324">
        <f t="shared" si="300"/>
        <v>2340.1037488000002</v>
      </c>
      <c r="BX192" s="324">
        <f t="shared" ref="BX192:CE192" ca="1" si="301">BX176</f>
        <v>2272.3415646231688</v>
      </c>
      <c r="BY192" s="324">
        <f t="shared" ca="1" si="301"/>
        <v>2400.5371814938794</v>
      </c>
      <c r="BZ192" s="324">
        <f t="shared" ca="1" si="301"/>
        <v>2993.4309686866195</v>
      </c>
      <c r="CA192" s="324">
        <f t="shared" ca="1" si="301"/>
        <v>2770.6275148702352</v>
      </c>
      <c r="CB192" s="324">
        <f t="shared" ca="1" si="301"/>
        <v>3117.6756377168067</v>
      </c>
      <c r="CC192" s="324">
        <f t="shared" ca="1" si="301"/>
        <v>3238.9247921306173</v>
      </c>
      <c r="CD192" s="324">
        <f t="shared" ca="1" si="301"/>
        <v>3699.8806772966618</v>
      </c>
      <c r="CE192" s="324">
        <f t="shared" ca="1" si="301"/>
        <v>3363.7650819670675</v>
      </c>
      <c r="CF192" s="62"/>
      <c r="CG192" s="5"/>
      <c r="CH192" s="5"/>
    </row>
    <row r="193" spans="1:96" hidden="1" outlineLevel="2">
      <c r="B193" s="13" t="s">
        <v>161</v>
      </c>
      <c r="C193" s="170"/>
      <c r="D193" s="170"/>
      <c r="E193" s="170"/>
      <c r="F193" s="170"/>
      <c r="G193" s="170"/>
      <c r="H193" s="170">
        <f t="shared" ref="H193:M193" si="302">Volume_hotel-H178</f>
        <v>5.45</v>
      </c>
      <c r="I193" s="170">
        <f t="shared" si="302"/>
        <v>6.84</v>
      </c>
      <c r="J193" s="170">
        <f t="shared" si="302"/>
        <v>9.5950000000000006</v>
      </c>
      <c r="K193" s="170">
        <f t="shared" si="302"/>
        <v>10.798431082326001</v>
      </c>
      <c r="L193" s="170">
        <f t="shared" si="302"/>
        <v>14.2198887235401</v>
      </c>
      <c r="M193" s="170">
        <f t="shared" si="302"/>
        <v>18.488787803433929</v>
      </c>
      <c r="N193" s="170">
        <f>Volume_tickets</f>
        <v>32.523974231774233</v>
      </c>
      <c r="O193" s="170">
        <f>Volume_tickets</f>
        <v>38.703529335811339</v>
      </c>
      <c r="P193" s="170">
        <f>P157</f>
        <v>41.449790576674218</v>
      </c>
      <c r="Q193" s="170">
        <f>Q157</f>
        <v>62.185478128130924</v>
      </c>
      <c r="R193" s="170">
        <f>R157</f>
        <v>96.349512628543323</v>
      </c>
      <c r="S193" s="170">
        <f>S157</f>
        <v>196.61499999999998</v>
      </c>
      <c r="T193" s="170">
        <f t="shared" ref="T193:AB193" si="303">T157</f>
        <v>249.17750512750001</v>
      </c>
      <c r="U193" s="170">
        <f t="shared" ca="1" si="303"/>
        <v>291.53682757349333</v>
      </c>
      <c r="V193" s="170">
        <f t="shared" ca="1" si="303"/>
        <v>337.13506501033061</v>
      </c>
      <c r="W193" s="170">
        <f t="shared" ca="1" si="303"/>
        <v>385.12939516842249</v>
      </c>
      <c r="X193" s="170">
        <f t="shared" ca="1" si="303"/>
        <v>430.74481322909003</v>
      </c>
      <c r="Y193" s="170">
        <f t="shared" ca="1" si="303"/>
        <v>493.89710346367201</v>
      </c>
      <c r="Z193" s="170">
        <f t="shared" ca="1" si="303"/>
        <v>560.74529743797768</v>
      </c>
      <c r="AA193" s="170">
        <f t="shared" ca="1" si="303"/>
        <v>630.26965496292235</v>
      </c>
      <c r="AB193" s="170">
        <f t="shared" ca="1" si="303"/>
        <v>701.18208183115632</v>
      </c>
      <c r="AC193" s="170">
        <f ca="1">AC157</f>
        <v>771.93906849112136</v>
      </c>
      <c r="AD193" s="170">
        <f ca="1">AD157</f>
        <v>840.7713668791107</v>
      </c>
      <c r="AE193" s="170"/>
      <c r="AF193" s="170">
        <f t="shared" ref="AF193:AY193" si="304">Volume_hotel</f>
        <v>1.92</v>
      </c>
      <c r="AG193" s="170">
        <f t="shared" si="304"/>
        <v>2.41</v>
      </c>
      <c r="AH193" s="170">
        <f t="shared" si="304"/>
        <v>2.52</v>
      </c>
      <c r="AI193" s="170">
        <f t="shared" si="304"/>
        <v>2.7450000000000001</v>
      </c>
      <c r="AJ193" s="170">
        <f t="shared" si="304"/>
        <v>2.38815</v>
      </c>
      <c r="AK193" s="170">
        <f t="shared" si="304"/>
        <v>2.7224910000000002</v>
      </c>
      <c r="AL193" s="170">
        <f t="shared" si="304"/>
        <v>2.6408162700000002</v>
      </c>
      <c r="AM193" s="170">
        <f t="shared" si="304"/>
        <v>3.0469738123260002</v>
      </c>
      <c r="AN193" s="170">
        <f t="shared" si="304"/>
        <v>2.7941354999999999</v>
      </c>
      <c r="AO193" s="170">
        <f t="shared" si="304"/>
        <v>3.4303386600000003</v>
      </c>
      <c r="AP193" s="170">
        <f t="shared" si="304"/>
        <v>3.8819999169000003</v>
      </c>
      <c r="AQ193" s="170">
        <f t="shared" si="304"/>
        <v>4.1134146466401003</v>
      </c>
      <c r="AR193" s="170">
        <f t="shared" si="304"/>
        <v>3.6603175050000001</v>
      </c>
      <c r="AS193" s="170">
        <f t="shared" si="304"/>
        <v>4.5966538044000007</v>
      </c>
      <c r="AT193" s="170">
        <f t="shared" si="304"/>
        <v>5.0077798928010004</v>
      </c>
      <c r="AU193" s="170">
        <f t="shared" si="304"/>
        <v>5.2240366012329273</v>
      </c>
      <c r="AV193" s="170">
        <f t="shared" si="304"/>
        <v>4.3923810059999999</v>
      </c>
      <c r="AW193" s="170">
        <f t="shared" si="304"/>
        <v>5.2861518750600007</v>
      </c>
      <c r="AX193" s="170">
        <f t="shared" si="304"/>
        <v>5.8591024745771705</v>
      </c>
      <c r="AY193" s="170">
        <f t="shared" si="304"/>
        <v>5.7464402613562209</v>
      </c>
      <c r="AZ193" s="170">
        <f>Volume_tickets</f>
        <v>8.5038724954688671</v>
      </c>
      <c r="BA193" s="170">
        <f>Volume_tickets</f>
        <v>9.2008397751226916</v>
      </c>
      <c r="BB193" s="170">
        <f>Volume_tickets</f>
        <v>10.430203875</v>
      </c>
      <c r="BC193" s="170">
        <f>Volume_tickets</f>
        <v>10.568613190219782</v>
      </c>
      <c r="BD193" s="170">
        <f t="shared" ref="BD193:BL193" si="305">BD157</f>
        <v>9.1799303588586429</v>
      </c>
      <c r="BE193" s="170">
        <f t="shared" si="305"/>
        <v>10.479756503864746</v>
      </c>
      <c r="BF193" s="170">
        <f t="shared" si="305"/>
        <v>10.930853661</v>
      </c>
      <c r="BG193" s="170">
        <f t="shared" si="305"/>
        <v>10.859250052950827</v>
      </c>
      <c r="BH193" s="170">
        <f t="shared" si="305"/>
        <v>12.927501928886819</v>
      </c>
      <c r="BI193" s="170">
        <f t="shared" si="305"/>
        <v>14.665494542761314</v>
      </c>
      <c r="BJ193" s="170">
        <f t="shared" si="305"/>
        <v>17.043933570914248</v>
      </c>
      <c r="BK193" s="170">
        <f t="shared" si="305"/>
        <v>17.548548085568537</v>
      </c>
      <c r="BL193" s="170">
        <f t="shared" si="305"/>
        <v>20.344194464088169</v>
      </c>
      <c r="BM193" s="170">
        <f>BM157</f>
        <v>23.239168275452545</v>
      </c>
      <c r="BN193" s="170">
        <f>BN157</f>
        <v>25.565900356371372</v>
      </c>
      <c r="BO193" s="170">
        <f>BO157</f>
        <v>27.200249532631233</v>
      </c>
      <c r="BP193" s="170">
        <f>BP157</f>
        <v>44</v>
      </c>
      <c r="BQ193" s="170">
        <f>BQ157</f>
        <v>48.875</v>
      </c>
      <c r="BR193" s="170">
        <f t="shared" ref="BR193:BW193" si="306">BR157</f>
        <v>53.2</v>
      </c>
      <c r="BS193" s="170">
        <f t="shared" si="306"/>
        <v>50.54</v>
      </c>
      <c r="BT193" s="170">
        <f t="shared" si="306"/>
        <v>58.608000000000004</v>
      </c>
      <c r="BU193" s="170">
        <f t="shared" si="306"/>
        <v>59.846607120000002</v>
      </c>
      <c r="BV193" s="170">
        <f t="shared" si="306"/>
        <v>68.563892179999996</v>
      </c>
      <c r="BW193" s="170">
        <f t="shared" si="306"/>
        <v>62.159005827499996</v>
      </c>
      <c r="BX193" s="170">
        <f t="shared" ref="BX193:CE193" ca="1" si="307">BX157</f>
        <v>61.158239999999992</v>
      </c>
      <c r="BY193" s="170">
        <f t="shared" ca="1" si="307"/>
        <v>64.368350769066652</v>
      </c>
      <c r="BZ193" s="170">
        <f t="shared" ca="1" si="307"/>
        <v>76.51730367287999</v>
      </c>
      <c r="CA193" s="170">
        <f t="shared" ca="1" si="307"/>
        <v>71.656449368699967</v>
      </c>
      <c r="CB193" s="170">
        <f t="shared" ca="1" si="307"/>
        <v>78.810732000000002</v>
      </c>
      <c r="CC193" s="170">
        <f t="shared" ca="1" si="307"/>
        <v>81.717632812291654</v>
      </c>
      <c r="CD193" s="170">
        <f t="shared" ca="1" si="307"/>
        <v>91.820764407455982</v>
      </c>
      <c r="CE193" s="170">
        <f t="shared" ca="1" si="307"/>
        <v>80.787303841094868</v>
      </c>
      <c r="CF193" s="62"/>
      <c r="CG193" s="5"/>
      <c r="CH193" s="5"/>
    </row>
    <row r="194" spans="1:96" hidden="1" outlineLevel="2">
      <c r="B194" s="13" t="s">
        <v>704</v>
      </c>
      <c r="C194" s="323"/>
      <c r="D194" s="323"/>
      <c r="E194" s="323"/>
      <c r="F194" s="323"/>
      <c r="G194" s="323"/>
      <c r="H194" s="323">
        <f t="shared" ref="H194:M194" si="308">TR_Hotel</f>
        <v>0.14888764055092385</v>
      </c>
      <c r="I194" s="323">
        <f t="shared" si="308"/>
        <v>0.14888764055092385</v>
      </c>
      <c r="J194" s="323">
        <f t="shared" si="308"/>
        <v>0.14888764055092385</v>
      </c>
      <c r="K194" s="323">
        <f t="shared" si="308"/>
        <v>0.14827362361722773</v>
      </c>
      <c r="L194" s="323">
        <f t="shared" si="308"/>
        <v>0.15007816265879645</v>
      </c>
      <c r="M194" s="323">
        <f t="shared" si="308"/>
        <v>0.1500561408531926</v>
      </c>
      <c r="N194" s="323">
        <f t="shared" ref="N194:AD194" si="309">TR_Ticket</f>
        <v>4.0500000000000001E-2</v>
      </c>
      <c r="O194" s="323">
        <f t="shared" si="309"/>
        <v>0.04</v>
      </c>
      <c r="P194" s="323">
        <f t="shared" si="309"/>
        <v>0.04</v>
      </c>
      <c r="Q194" s="323">
        <f t="shared" si="309"/>
        <v>0.04</v>
      </c>
      <c r="R194" s="323">
        <f t="shared" si="309"/>
        <v>0.04</v>
      </c>
      <c r="S194" s="323">
        <f t="shared" si="309"/>
        <v>3.5000000000000003E-2</v>
      </c>
      <c r="T194" s="323">
        <f t="shared" si="309"/>
        <v>2.8000000000000001E-2</v>
      </c>
      <c r="U194" s="323">
        <f t="shared" si="309"/>
        <v>2.1000000000000001E-2</v>
      </c>
      <c r="V194" s="323">
        <f t="shared" si="309"/>
        <v>2.1999999999999999E-2</v>
      </c>
      <c r="W194" s="323">
        <f t="shared" si="309"/>
        <v>2.3E-2</v>
      </c>
      <c r="X194" s="323">
        <f t="shared" si="309"/>
        <v>2.4E-2</v>
      </c>
      <c r="Y194" s="323">
        <f t="shared" si="309"/>
        <v>2.5000000000000001E-2</v>
      </c>
      <c r="Z194" s="323">
        <f t="shared" si="309"/>
        <v>2.5000000000000001E-2</v>
      </c>
      <c r="AA194" s="323">
        <f t="shared" si="309"/>
        <v>2.5000000000000001E-2</v>
      </c>
      <c r="AB194" s="323">
        <f t="shared" si="309"/>
        <v>2.5000000000000001E-2</v>
      </c>
      <c r="AC194" s="323">
        <f t="shared" si="309"/>
        <v>2.5000000000000001E-2</v>
      </c>
      <c r="AD194" s="323">
        <f t="shared" si="309"/>
        <v>2.5000000000000001E-2</v>
      </c>
      <c r="AE194" s="323"/>
      <c r="AF194" s="324"/>
      <c r="AG194" s="324"/>
      <c r="AH194" s="324"/>
      <c r="AI194" s="324"/>
      <c r="AJ194" s="324"/>
      <c r="AK194" s="324"/>
      <c r="AL194" s="324"/>
      <c r="AM194" s="324"/>
      <c r="AN194" s="324"/>
      <c r="AO194" s="324"/>
      <c r="AP194" s="324"/>
      <c r="AQ194" s="324"/>
      <c r="AR194" s="324"/>
      <c r="AS194" s="324"/>
      <c r="AT194" s="324"/>
      <c r="AU194" s="324"/>
      <c r="AV194" s="324"/>
      <c r="AW194" s="324"/>
      <c r="AX194" s="324"/>
      <c r="AY194" s="324"/>
      <c r="AZ194" s="323">
        <f t="shared" ref="AZ194:CE194" si="310">TR_Ticket</f>
        <v>0.04</v>
      </c>
      <c r="BA194" s="323">
        <f t="shared" si="310"/>
        <v>0.04</v>
      </c>
      <c r="BB194" s="323">
        <f t="shared" si="310"/>
        <v>0.04</v>
      </c>
      <c r="BC194" s="323">
        <f t="shared" si="310"/>
        <v>0.04</v>
      </c>
      <c r="BD194" s="323">
        <f t="shared" si="310"/>
        <v>0.04</v>
      </c>
      <c r="BE194" s="323">
        <f t="shared" si="310"/>
        <v>0.04</v>
      </c>
      <c r="BF194" s="323">
        <f t="shared" si="310"/>
        <v>0.04</v>
      </c>
      <c r="BG194" s="323">
        <f t="shared" si="310"/>
        <v>0.04</v>
      </c>
      <c r="BH194" s="323">
        <f t="shared" si="310"/>
        <v>0.04</v>
      </c>
      <c r="BI194" s="323">
        <f t="shared" si="310"/>
        <v>0.04</v>
      </c>
      <c r="BJ194" s="323">
        <f t="shared" si="310"/>
        <v>0.04</v>
      </c>
      <c r="BK194" s="323">
        <f t="shared" si="310"/>
        <v>0.04</v>
      </c>
      <c r="BL194" s="323">
        <f t="shared" si="310"/>
        <v>0.04</v>
      </c>
      <c r="BM194" s="323">
        <f t="shared" si="310"/>
        <v>0.04</v>
      </c>
      <c r="BN194" s="323">
        <f t="shared" si="310"/>
        <v>0.04</v>
      </c>
      <c r="BO194" s="323">
        <f t="shared" si="310"/>
        <v>0.04</v>
      </c>
      <c r="BP194" s="323">
        <f t="shared" si="310"/>
        <v>3.5000000000000003E-2</v>
      </c>
      <c r="BQ194" s="323">
        <f t="shared" si="310"/>
        <v>3.5000000000000003E-2</v>
      </c>
      <c r="BR194" s="323">
        <f t="shared" si="310"/>
        <v>3.5000000000000003E-2</v>
      </c>
      <c r="BS194" s="323">
        <f t="shared" si="310"/>
        <v>3.5000000000000003E-2</v>
      </c>
      <c r="BT194" s="323">
        <f t="shared" si="310"/>
        <v>2.8000000000000001E-2</v>
      </c>
      <c r="BU194" s="323">
        <f t="shared" si="310"/>
        <v>2.8000000000000001E-2</v>
      </c>
      <c r="BV194" s="323">
        <f t="shared" si="310"/>
        <v>2.8000000000000001E-2</v>
      </c>
      <c r="BW194" s="323">
        <f t="shared" si="310"/>
        <v>2.8000000000000001E-2</v>
      </c>
      <c r="BX194" s="323">
        <f t="shared" si="310"/>
        <v>2.1000000000000001E-2</v>
      </c>
      <c r="BY194" s="323">
        <f t="shared" si="310"/>
        <v>2.1000000000000001E-2</v>
      </c>
      <c r="BZ194" s="323">
        <f t="shared" si="310"/>
        <v>2.1000000000000001E-2</v>
      </c>
      <c r="CA194" s="323">
        <f t="shared" si="310"/>
        <v>2.1000000000000001E-2</v>
      </c>
      <c r="CB194" s="323">
        <f t="shared" si="310"/>
        <v>2.1999999999999999E-2</v>
      </c>
      <c r="CC194" s="323">
        <f t="shared" si="310"/>
        <v>2.1999999999999999E-2</v>
      </c>
      <c r="CD194" s="323">
        <f t="shared" si="310"/>
        <v>2.1999999999999999E-2</v>
      </c>
      <c r="CE194" s="323">
        <f t="shared" si="310"/>
        <v>2.1999999999999999E-2</v>
      </c>
      <c r="CF194" s="62"/>
      <c r="CG194" s="5"/>
      <c r="CH194" s="5"/>
    </row>
    <row r="195" spans="1:96" s="115" customFormat="1" hidden="1" outlineLevel="2">
      <c r="A195" s="114" t="s">
        <v>573</v>
      </c>
      <c r="B195" s="116" t="s">
        <v>121</v>
      </c>
      <c r="C195" s="369"/>
      <c r="D195" s="369"/>
      <c r="E195" s="369"/>
      <c r="F195" s="369"/>
      <c r="G195" s="369"/>
      <c r="H195" s="369">
        <f t="shared" ref="H195:AB195" si="311">H192/H194</f>
        <v>2437.1183441240214</v>
      </c>
      <c r="I195" s="369">
        <f t="shared" si="311"/>
        <v>3200.3637389701607</v>
      </c>
      <c r="J195" s="369">
        <f t="shared" si="311"/>
        <v>4543.7702921258515</v>
      </c>
      <c r="K195" s="369">
        <f t="shared" si="311"/>
        <v>5096.8819238608821</v>
      </c>
      <c r="L195" s="369">
        <f t="shared" si="311"/>
        <v>6267.9480834173464</v>
      </c>
      <c r="M195" s="369">
        <f t="shared" si="311"/>
        <v>8517.1034369754561</v>
      </c>
      <c r="N195" s="372">
        <f t="shared" si="311"/>
        <v>35484.39911111111</v>
      </c>
      <c r="O195" s="372">
        <f t="shared" si="311"/>
        <v>42257.148574999999</v>
      </c>
      <c r="P195" s="372">
        <f t="shared" si="311"/>
        <v>54044.606475000001</v>
      </c>
      <c r="Q195" s="372">
        <f t="shared" si="311"/>
        <v>73751.81210000001</v>
      </c>
      <c r="R195" s="372">
        <f t="shared" si="311"/>
        <v>102262.4898135</v>
      </c>
      <c r="S195" s="372">
        <f t="shared" si="311"/>
        <v>215224.19477914282</v>
      </c>
      <c r="T195" s="372">
        <f t="shared" si="311"/>
        <v>355614.77897107136</v>
      </c>
      <c r="U195" s="372">
        <f t="shared" ca="1" si="311"/>
        <v>510430.40894930938</v>
      </c>
      <c r="V195" s="372">
        <f t="shared" ca="1" si="311"/>
        <v>613421.17281257163</v>
      </c>
      <c r="W195" s="372">
        <f t="shared" ca="1" si="311"/>
        <v>732224.79459058819</v>
      </c>
      <c r="X195" s="372">
        <f t="shared" ca="1" si="311"/>
        <v>860732.51559556648</v>
      </c>
      <c r="Y195" s="372">
        <f t="shared" ca="1" si="311"/>
        <v>1004362.40434357</v>
      </c>
      <c r="Z195" s="372">
        <f t="shared" ca="1" si="311"/>
        <v>1157745.478819658</v>
      </c>
      <c r="AA195" s="372">
        <f t="shared" ca="1" si="311"/>
        <v>1322146.4141807037</v>
      </c>
      <c r="AB195" s="372">
        <f t="shared" ca="1" si="311"/>
        <v>1495672.2115070524</v>
      </c>
      <c r="AC195" s="372">
        <f ca="1">AC192/AC194</f>
        <v>1675821.4736334088</v>
      </c>
      <c r="AD195" s="372">
        <f ca="1">AD192/AD194</f>
        <v>1859493.7720482582</v>
      </c>
      <c r="AE195" s="372"/>
      <c r="AF195" s="220"/>
      <c r="AG195" s="220"/>
      <c r="AH195" s="220"/>
      <c r="AI195" s="220"/>
      <c r="AJ195" s="220"/>
      <c r="AK195" s="220"/>
      <c r="AL195" s="220"/>
      <c r="AM195" s="220"/>
      <c r="AN195" s="220"/>
      <c r="AO195" s="220"/>
      <c r="AP195" s="220"/>
      <c r="AQ195" s="220"/>
      <c r="AR195" s="220"/>
      <c r="AS195" s="220"/>
      <c r="AT195" s="220"/>
      <c r="AU195" s="220"/>
      <c r="AV195" s="220"/>
      <c r="AW195" s="220"/>
      <c r="AX195" s="220"/>
      <c r="AY195" s="220"/>
      <c r="AZ195" s="372">
        <f t="shared" ref="AZ195:BW195" si="312">AZ192/AZ194</f>
        <v>9011.5854999999992</v>
      </c>
      <c r="BA195" s="372">
        <f t="shared" si="312"/>
        <v>10106.70665</v>
      </c>
      <c r="BB195" s="372">
        <f t="shared" si="312"/>
        <v>11959.198550000001</v>
      </c>
      <c r="BC195" s="372">
        <f t="shared" si="312"/>
        <v>11179.657874999999</v>
      </c>
      <c r="BD195" s="372">
        <f t="shared" si="312"/>
        <v>11412.563099999999</v>
      </c>
      <c r="BE195" s="372">
        <f t="shared" si="312"/>
        <v>13050.344274999999</v>
      </c>
      <c r="BF195" s="372">
        <f t="shared" si="312"/>
        <v>15106.808599999998</v>
      </c>
      <c r="BG195" s="372">
        <f t="shared" si="312"/>
        <v>14474.890500000001</v>
      </c>
      <c r="BH195" s="372">
        <f t="shared" si="312"/>
        <v>16276.630025</v>
      </c>
      <c r="BI195" s="372">
        <f t="shared" si="312"/>
        <v>18137.83655</v>
      </c>
      <c r="BJ195" s="372">
        <f t="shared" si="312"/>
        <v>19994.923175</v>
      </c>
      <c r="BK195" s="372">
        <f t="shared" si="312"/>
        <v>19342.422350000001</v>
      </c>
      <c r="BL195" s="372">
        <f t="shared" si="312"/>
        <v>23697.694775</v>
      </c>
      <c r="BM195" s="372">
        <f t="shared" si="312"/>
        <v>24998.078270000002</v>
      </c>
      <c r="BN195" s="372">
        <f t="shared" si="312"/>
        <v>26899.995793750004</v>
      </c>
      <c r="BO195" s="372">
        <f t="shared" si="312"/>
        <v>27377.651817999998</v>
      </c>
      <c r="BP195" s="372">
        <f t="shared" si="312"/>
        <v>48446.649131999999</v>
      </c>
      <c r="BQ195" s="372">
        <f t="shared" si="312"/>
        <v>49799.466047142851</v>
      </c>
      <c r="BR195" s="372">
        <f t="shared" si="312"/>
        <v>58265.67429599999</v>
      </c>
      <c r="BS195" s="372">
        <f t="shared" si="312"/>
        <v>58712.405304</v>
      </c>
      <c r="BT195" s="372">
        <f t="shared" si="312"/>
        <v>85234.340613571403</v>
      </c>
      <c r="BU195" s="372">
        <f t="shared" si="312"/>
        <v>87632.531854285713</v>
      </c>
      <c r="BV195" s="372">
        <f t="shared" si="312"/>
        <v>99172.772617499984</v>
      </c>
      <c r="BW195" s="372">
        <f t="shared" si="312"/>
        <v>83575.133885714284</v>
      </c>
      <c r="BX195" s="372">
        <f t="shared" ref="BX195:CE195" ca="1" si="313">BX192/BX194</f>
        <v>108206.74117253184</v>
      </c>
      <c r="BY195" s="372">
        <f t="shared" ca="1" si="313"/>
        <v>114311.29435685139</v>
      </c>
      <c r="BZ195" s="372">
        <f t="shared" ca="1" si="313"/>
        <v>142544.33184221998</v>
      </c>
      <c r="CA195" s="372">
        <f t="shared" ca="1" si="313"/>
        <v>131934.64356524928</v>
      </c>
      <c r="CB195" s="372">
        <f t="shared" ca="1" si="313"/>
        <v>141712.52898712759</v>
      </c>
      <c r="CC195" s="372">
        <f t="shared" ca="1" si="313"/>
        <v>147223.85418775535</v>
      </c>
      <c r="CD195" s="372">
        <f t="shared" ca="1" si="313"/>
        <v>168176.39442257554</v>
      </c>
      <c r="CE195" s="372">
        <f t="shared" ca="1" si="313"/>
        <v>152898.4128166849</v>
      </c>
      <c r="CF195" s="462"/>
      <c r="CG195" s="22"/>
      <c r="CH195" s="22"/>
      <c r="CI195" s="116"/>
      <c r="CJ195"/>
      <c r="CK195"/>
      <c r="CL195"/>
      <c r="CM195"/>
      <c r="CN195"/>
      <c r="CO195"/>
      <c r="CP195" s="116"/>
      <c r="CQ195" s="116"/>
      <c r="CR195" s="116"/>
    </row>
    <row r="196" spans="1:96" hidden="1" outlineLevel="2">
      <c r="B196" s="13" t="s">
        <v>574</v>
      </c>
      <c r="C196" s="355"/>
      <c r="D196" s="355"/>
      <c r="E196" s="355"/>
      <c r="F196" s="355"/>
      <c r="G196" s="355"/>
      <c r="H196" s="355"/>
      <c r="I196" s="355"/>
      <c r="J196" s="355"/>
      <c r="K196" s="355"/>
      <c r="L196" s="355"/>
      <c r="M196" s="355"/>
      <c r="N196" s="215"/>
      <c r="O196" s="215"/>
      <c r="P196" s="215"/>
      <c r="Q196" s="215"/>
      <c r="R196" s="215"/>
      <c r="S196" s="215"/>
      <c r="T196" s="215"/>
      <c r="U196" s="215"/>
      <c r="V196" s="215"/>
      <c r="W196" s="215"/>
      <c r="X196" s="215"/>
      <c r="Y196" s="215"/>
      <c r="Z196" s="215"/>
      <c r="AA196" s="215"/>
      <c r="AB196" s="215"/>
      <c r="AC196" s="215"/>
      <c r="AD196" s="215"/>
      <c r="AE196" s="215"/>
      <c r="AF196" s="324"/>
      <c r="AG196" s="324"/>
      <c r="AH196" s="324"/>
      <c r="AI196" s="324"/>
      <c r="AJ196" s="324"/>
      <c r="AK196" s="324"/>
      <c r="AL196" s="324"/>
      <c r="AM196" s="324"/>
      <c r="AN196" s="324"/>
      <c r="AO196" s="324"/>
      <c r="AP196" s="324"/>
      <c r="AQ196" s="324"/>
      <c r="AR196" s="324"/>
      <c r="AS196" s="324"/>
      <c r="AT196" s="324"/>
      <c r="AU196" s="324"/>
      <c r="AV196" s="324"/>
      <c r="AW196" s="324"/>
      <c r="AX196" s="324"/>
      <c r="AY196" s="324"/>
      <c r="AZ196" s="323">
        <f>AZ171</f>
        <v>1</v>
      </c>
      <c r="BA196" s="323">
        <f t="shared" ref="BA196:BK196" si="314">BA171</f>
        <v>1</v>
      </c>
      <c r="BB196" s="323">
        <f t="shared" si="314"/>
        <v>1</v>
      </c>
      <c r="BC196" s="323">
        <f t="shared" si="314"/>
        <v>1</v>
      </c>
      <c r="BD196" s="323">
        <f t="shared" si="314"/>
        <v>1</v>
      </c>
      <c r="BE196" s="323">
        <f t="shared" si="314"/>
        <v>1</v>
      </c>
      <c r="BF196" s="323">
        <f t="shared" si="314"/>
        <v>1</v>
      </c>
      <c r="BG196" s="323">
        <f t="shared" si="314"/>
        <v>1</v>
      </c>
      <c r="BH196" s="323">
        <f t="shared" si="314"/>
        <v>1</v>
      </c>
      <c r="BI196" s="323">
        <f t="shared" si="314"/>
        <v>1</v>
      </c>
      <c r="BJ196" s="323">
        <f t="shared" si="314"/>
        <v>1</v>
      </c>
      <c r="BK196" s="323">
        <f t="shared" si="314"/>
        <v>1</v>
      </c>
      <c r="BL196" s="323">
        <v>0.99</v>
      </c>
      <c r="BM196" s="215"/>
      <c r="BN196" s="215"/>
      <c r="BO196" s="215"/>
      <c r="BP196" s="215"/>
      <c r="BQ196" s="215"/>
      <c r="BR196" s="215"/>
      <c r="BS196" s="215"/>
      <c r="BT196" s="215"/>
      <c r="BU196" s="215"/>
      <c r="BV196" s="215"/>
      <c r="BW196" s="215"/>
      <c r="BX196" s="215"/>
      <c r="BY196" s="215"/>
      <c r="BZ196" s="215"/>
      <c r="CA196" s="215"/>
      <c r="CB196" s="215"/>
      <c r="CC196" s="215"/>
      <c r="CD196" s="215"/>
      <c r="CE196" s="215"/>
      <c r="CF196" s="461"/>
      <c r="CG196" s="22"/>
      <c r="CH196" s="22"/>
    </row>
    <row r="197" spans="1:96" hidden="1" outlineLevel="2">
      <c r="C197" s="355"/>
      <c r="D197" s="355"/>
      <c r="E197" s="355"/>
      <c r="F197" s="355"/>
      <c r="G197" s="355"/>
      <c r="H197" s="355"/>
      <c r="I197" s="355"/>
      <c r="J197" s="355"/>
      <c r="K197" s="355"/>
      <c r="L197" s="355"/>
      <c r="M197" s="355"/>
      <c r="N197" s="355"/>
      <c r="O197" s="355"/>
      <c r="P197" s="355"/>
      <c r="Q197" s="355"/>
      <c r="R197" s="355"/>
      <c r="S197" s="355"/>
      <c r="T197" s="355"/>
      <c r="U197" s="355"/>
      <c r="V197" s="355"/>
      <c r="W197" s="355"/>
      <c r="X197" s="355"/>
      <c r="Y197" s="355"/>
      <c r="Z197" s="355"/>
      <c r="AA197" s="355"/>
      <c r="AB197" s="355"/>
      <c r="AC197" s="355"/>
      <c r="AD197" s="355"/>
      <c r="AE197" s="355"/>
      <c r="AF197" s="324"/>
      <c r="AG197" s="324"/>
      <c r="AH197" s="324"/>
      <c r="AI197" s="324"/>
      <c r="AJ197" s="324"/>
      <c r="AK197" s="324"/>
      <c r="AL197" s="324"/>
      <c r="AM197" s="324"/>
      <c r="AN197" s="324"/>
      <c r="AO197" s="324"/>
      <c r="AP197" s="324"/>
      <c r="AQ197" s="324"/>
      <c r="AR197" s="324"/>
      <c r="AS197" s="324"/>
      <c r="AT197" s="324"/>
      <c r="AU197" s="324"/>
      <c r="AV197" s="324"/>
      <c r="AW197" s="324"/>
      <c r="AX197" s="324"/>
      <c r="AY197" s="324"/>
      <c r="AZ197" s="355"/>
      <c r="BA197" s="355"/>
      <c r="BB197" s="355"/>
      <c r="BC197" s="355"/>
      <c r="BD197" s="355"/>
      <c r="BE197" s="355"/>
      <c r="BF197" s="355"/>
      <c r="BG197" s="355"/>
      <c r="BH197" s="355"/>
      <c r="BI197" s="355"/>
      <c r="BJ197" s="355"/>
      <c r="BK197" s="355"/>
      <c r="BL197" s="355"/>
      <c r="BM197" s="355"/>
      <c r="BN197" s="355"/>
      <c r="BO197" s="355"/>
      <c r="BP197" s="355"/>
      <c r="BQ197" s="355"/>
      <c r="BR197" s="355"/>
      <c r="BS197" s="355"/>
      <c r="BT197" s="355"/>
      <c r="BU197" s="355"/>
      <c r="BV197" s="355"/>
      <c r="BW197" s="355"/>
      <c r="BX197" s="355"/>
      <c r="BY197" s="355"/>
      <c r="BZ197" s="355"/>
      <c r="CA197" s="355"/>
      <c r="CB197" s="355"/>
      <c r="CC197" s="355"/>
      <c r="CD197" s="355"/>
      <c r="CE197" s="355"/>
      <c r="CF197" s="461"/>
      <c r="CG197" s="22"/>
      <c r="CH197" s="22"/>
    </row>
    <row r="198" spans="1:96" hidden="1" outlineLevel="2">
      <c r="B198" s="363" t="s">
        <v>725</v>
      </c>
      <c r="C198" s="367"/>
      <c r="D198" s="367"/>
      <c r="E198" s="367"/>
      <c r="F198" s="367"/>
      <c r="G198" s="367"/>
      <c r="H198" s="367"/>
      <c r="I198" s="366"/>
      <c r="J198" s="366"/>
      <c r="K198" s="366"/>
      <c r="L198" s="366"/>
      <c r="M198" s="366"/>
      <c r="N198" s="366"/>
      <c r="O198" s="366"/>
      <c r="P198" s="366"/>
      <c r="Q198" s="366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6"/>
      <c r="AG198" s="366"/>
      <c r="AH198" s="366"/>
      <c r="AI198" s="366"/>
      <c r="AJ198" s="366"/>
      <c r="AK198" s="366"/>
      <c r="AL198" s="366"/>
      <c r="AM198" s="366"/>
      <c r="AN198" s="366"/>
      <c r="AO198" s="366"/>
      <c r="AP198" s="366"/>
      <c r="AQ198" s="366"/>
      <c r="AR198" s="366"/>
      <c r="AS198" s="366"/>
      <c r="AT198" s="366"/>
      <c r="AU198" s="366"/>
      <c r="AV198" s="366"/>
      <c r="AW198" s="366"/>
      <c r="AX198" s="366"/>
      <c r="AY198" s="366"/>
      <c r="AZ198" s="366"/>
      <c r="BA198" s="366"/>
      <c r="BB198" s="366"/>
      <c r="BC198" s="366"/>
      <c r="BD198" s="366"/>
      <c r="BE198" s="366"/>
      <c r="BF198" s="366"/>
      <c r="BG198" s="366"/>
      <c r="BH198" s="366"/>
      <c r="BI198" s="366"/>
      <c r="BJ198" s="366"/>
      <c r="BK198" s="366"/>
      <c r="BL198" s="366"/>
      <c r="BM198" s="366"/>
      <c r="BN198" s="366"/>
      <c r="BO198" s="366"/>
      <c r="BP198" s="366"/>
      <c r="BQ198" s="366"/>
      <c r="BR198" s="366"/>
      <c r="BS198" s="366"/>
      <c r="BT198" s="366"/>
      <c r="BU198" s="366"/>
      <c r="BV198" s="366"/>
      <c r="BW198" s="366"/>
      <c r="BX198" s="366"/>
      <c r="BY198" s="366"/>
      <c r="BZ198" s="366"/>
      <c r="CA198" s="366"/>
      <c r="CB198" s="366"/>
      <c r="CC198" s="366"/>
      <c r="CD198" s="366"/>
      <c r="CE198" s="366"/>
      <c r="CF198" s="62"/>
      <c r="CG198" s="22"/>
      <c r="CH198" s="22"/>
    </row>
    <row r="199" spans="1:96" hidden="1" outlineLevel="2">
      <c r="B199" s="13" t="s">
        <v>702</v>
      </c>
      <c r="C199" s="324"/>
      <c r="D199" s="324"/>
      <c r="E199" s="324"/>
      <c r="F199" s="324"/>
      <c r="G199" s="324"/>
      <c r="H199" s="324"/>
      <c r="I199" s="324"/>
      <c r="J199" s="324"/>
      <c r="K199" s="324"/>
      <c r="L199" s="324"/>
      <c r="M199" s="324"/>
      <c r="N199" s="324" t="e">
        <f t="shared" ref="N199:AB199" si="315">N186+Rev_Ticket</f>
        <v>#NAME?</v>
      </c>
      <c r="O199" s="324" t="e">
        <f t="shared" si="315"/>
        <v>#NAME?</v>
      </c>
      <c r="P199" s="324" t="e">
        <f t="shared" si="315"/>
        <v>#NAME?</v>
      </c>
      <c r="Q199" s="324" t="e">
        <f t="shared" si="315"/>
        <v>#NAME?</v>
      </c>
      <c r="R199" s="324" t="e">
        <f t="shared" si="315"/>
        <v>#NAME?</v>
      </c>
      <c r="S199" s="324">
        <f t="shared" si="315"/>
        <v>8826.5165710000001</v>
      </c>
      <c r="T199" s="324">
        <f t="shared" si="315"/>
        <v>12221.029997</v>
      </c>
      <c r="U199" s="324">
        <f t="shared" ca="1" si="315"/>
        <v>13487.128704689199</v>
      </c>
      <c r="V199" s="324">
        <f t="shared" ca="1" si="315"/>
        <v>17418.626722106103</v>
      </c>
      <c r="W199" s="324">
        <f t="shared" ca="1" si="315"/>
        <v>22313.260831017913</v>
      </c>
      <c r="X199" s="324">
        <f t="shared" ca="1" si="315"/>
        <v>28114.708647082571</v>
      </c>
      <c r="Y199" s="324">
        <f t="shared" ca="1" si="315"/>
        <v>35129.32845452967</v>
      </c>
      <c r="Z199" s="324">
        <f t="shared" ca="1" si="315"/>
        <v>41659.870614226726</v>
      </c>
      <c r="AA199" s="324">
        <f t="shared" ca="1" si="315"/>
        <v>48985.758861738483</v>
      </c>
      <c r="AB199" s="324">
        <f t="shared" ca="1" si="315"/>
        <v>57107.597681014711</v>
      </c>
      <c r="AC199" s="324">
        <f ca="1">AC186+Rev_Ticket</f>
        <v>66002.106019832732</v>
      </c>
      <c r="AD199" s="324">
        <f ca="1">AD186+Rev_Ticket</f>
        <v>75618.612866922354</v>
      </c>
      <c r="AE199" s="324"/>
      <c r="AF199" s="324"/>
      <c r="AG199" s="324"/>
      <c r="AH199" s="324"/>
      <c r="AI199" s="324"/>
      <c r="AJ199" s="324"/>
      <c r="AK199" s="324"/>
      <c r="AL199" s="324"/>
      <c r="AM199" s="324"/>
      <c r="AN199" s="324"/>
      <c r="AO199" s="324"/>
      <c r="AP199" s="324"/>
      <c r="AQ199" s="324"/>
      <c r="AR199" s="324"/>
      <c r="AS199" s="324"/>
      <c r="AT199" s="324"/>
      <c r="AU199" s="324"/>
      <c r="AV199" s="324"/>
      <c r="AW199" s="324"/>
      <c r="AX199" s="324"/>
      <c r="AY199" s="324"/>
      <c r="AZ199" s="324"/>
      <c r="BA199" s="324"/>
      <c r="BB199" s="324"/>
      <c r="BC199" s="324"/>
      <c r="BD199" s="324" t="e">
        <f t="shared" ref="BD199:BW199" si="316">BD186+Rev_Ticket</f>
        <v>#NAME?</v>
      </c>
      <c r="BE199" s="324" t="e">
        <f t="shared" si="316"/>
        <v>#NAME?</v>
      </c>
      <c r="BF199" s="324" t="e">
        <f t="shared" si="316"/>
        <v>#NAME?</v>
      </c>
      <c r="BG199" s="324" t="e">
        <f t="shared" si="316"/>
        <v>#NAME?</v>
      </c>
      <c r="BH199" s="324" t="e">
        <f t="shared" si="316"/>
        <v>#NAME?</v>
      </c>
      <c r="BI199" s="324" t="e">
        <f t="shared" si="316"/>
        <v>#NAME?</v>
      </c>
      <c r="BJ199" s="324" t="e">
        <f t="shared" si="316"/>
        <v>#NAME?</v>
      </c>
      <c r="BK199" s="324" t="e">
        <f t="shared" si="316"/>
        <v>#NAME?</v>
      </c>
      <c r="BL199" s="324" t="e">
        <f t="shared" si="316"/>
        <v>#NAME?</v>
      </c>
      <c r="BM199" s="324" t="e">
        <f t="shared" si="316"/>
        <v>#NAME?</v>
      </c>
      <c r="BN199" s="324" t="e">
        <f t="shared" si="316"/>
        <v>#NAME?</v>
      </c>
      <c r="BO199" s="324" t="e">
        <f t="shared" si="316"/>
        <v>#NAME?</v>
      </c>
      <c r="BP199" s="324" t="e">
        <f t="shared" si="316"/>
        <v>#NAME?</v>
      </c>
      <c r="BQ199" s="324" t="e">
        <f t="shared" si="316"/>
        <v>#NAME?</v>
      </c>
      <c r="BR199" s="324">
        <f>BR186+Rev_Ticket</f>
        <v>2427.736429</v>
      </c>
      <c r="BS199" s="324">
        <f t="shared" si="316"/>
        <v>2446.3502210000001</v>
      </c>
      <c r="BT199" s="324">
        <f t="shared" si="316"/>
        <v>2875.3753459999998</v>
      </c>
      <c r="BU199" s="324">
        <f t="shared" si="316"/>
        <v>2992.3303559999999</v>
      </c>
      <c r="BV199" s="324">
        <f t="shared" si="316"/>
        <v>3428.1946090000001</v>
      </c>
      <c r="BW199" s="324">
        <f t="shared" si="316"/>
        <v>2925.1296860000002</v>
      </c>
      <c r="BX199" s="324">
        <f t="shared" ref="BX199:CE199" ca="1" si="317">BX186+Rev_Ticket</f>
        <v>2876.3817273710997</v>
      </c>
      <c r="BY199" s="324">
        <f t="shared" ca="1" si="317"/>
        <v>3077.6117711459997</v>
      </c>
      <c r="BZ199" s="324">
        <f t="shared" ca="1" si="317"/>
        <v>3887.5726866059999</v>
      </c>
      <c r="CA199" s="324">
        <f t="shared" ca="1" si="317"/>
        <v>3645.5625195660996</v>
      </c>
      <c r="CB199" s="324">
        <f t="shared" ca="1" si="317"/>
        <v>4038.4399452290245</v>
      </c>
      <c r="CC199" s="324">
        <f t="shared" ca="1" si="317"/>
        <v>4200.9400676142905</v>
      </c>
      <c r="CD199" s="324">
        <f t="shared" ca="1" si="317"/>
        <v>4805.0398406450158</v>
      </c>
      <c r="CE199" s="324">
        <f t="shared" ca="1" si="317"/>
        <v>4374.2068686177736</v>
      </c>
      <c r="CF199" s="62"/>
      <c r="CG199" s="5"/>
      <c r="CH199" s="5"/>
    </row>
    <row r="200" spans="1:96" hidden="1" outlineLevel="2">
      <c r="B200" s="13" t="s">
        <v>722</v>
      </c>
      <c r="C200" s="324"/>
      <c r="D200" s="324"/>
      <c r="E200" s="324"/>
      <c r="F200" s="324"/>
      <c r="G200" s="324"/>
      <c r="H200" s="324"/>
      <c r="I200" s="324"/>
      <c r="J200" s="324"/>
      <c r="K200" s="324"/>
      <c r="L200" s="324"/>
      <c r="M200" s="324"/>
      <c r="N200" s="324" t="e">
        <f t="shared" ref="N200:AB200" si="318">N187+Volume_tickets</f>
        <v>#NAME?</v>
      </c>
      <c r="O200" s="324" t="e">
        <f t="shared" si="318"/>
        <v>#NAME?</v>
      </c>
      <c r="P200" s="324" t="e">
        <f t="shared" si="318"/>
        <v>#NAME?</v>
      </c>
      <c r="Q200" s="324" t="e">
        <f t="shared" si="318"/>
        <v>#NAME?</v>
      </c>
      <c r="R200" s="324" t="e">
        <f t="shared" si="318"/>
        <v>#NAME?</v>
      </c>
      <c r="S200" s="324">
        <f t="shared" si="318"/>
        <v>498</v>
      </c>
      <c r="T200" s="324">
        <f t="shared" si="318"/>
        <v>703.35801550833332</v>
      </c>
      <c r="U200" s="324">
        <f t="shared" ca="1" si="318"/>
        <v>872.16393923033331</v>
      </c>
      <c r="V200" s="324">
        <f t="shared" ca="1" si="318"/>
        <v>1072.76164525331</v>
      </c>
      <c r="W200" s="324">
        <f t="shared" ca="1" si="318"/>
        <v>1308.7692072090381</v>
      </c>
      <c r="X200" s="324">
        <f t="shared" ca="1" si="318"/>
        <v>1570.5230486508456</v>
      </c>
      <c r="Y200" s="324">
        <f t="shared" ca="1" si="318"/>
        <v>1868.9224278945062</v>
      </c>
      <c r="Z200" s="324">
        <f t="shared" ca="1" si="318"/>
        <v>2205.3284649155171</v>
      </c>
      <c r="AA200" s="324">
        <f t="shared" ca="1" si="318"/>
        <v>2580.2343039511547</v>
      </c>
      <c r="AB200" s="324">
        <f t="shared" ca="1" si="318"/>
        <v>2993.0717925833392</v>
      </c>
      <c r="AC200" s="324">
        <f ca="1">AC187+Volume_tickets</f>
        <v>3442.0325614708399</v>
      </c>
      <c r="AD200" s="324">
        <f ca="1">AD187+Volume_tickets</f>
        <v>3923.9171200767573</v>
      </c>
      <c r="AE200" s="324"/>
      <c r="AF200" s="324"/>
      <c r="AG200" s="324"/>
      <c r="AH200" s="324"/>
      <c r="AI200" s="324"/>
      <c r="AJ200" s="324"/>
      <c r="AK200" s="324"/>
      <c r="AL200" s="324"/>
      <c r="AM200" s="324"/>
      <c r="AN200" s="324"/>
      <c r="AO200" s="324"/>
      <c r="AP200" s="324"/>
      <c r="AQ200" s="324"/>
      <c r="AR200" s="324"/>
      <c r="AS200" s="324"/>
      <c r="AT200" s="324"/>
      <c r="AU200" s="324"/>
      <c r="AV200" s="324"/>
      <c r="AW200" s="324"/>
      <c r="AX200" s="324"/>
      <c r="AY200" s="324"/>
      <c r="AZ200" s="324"/>
      <c r="BA200" s="324"/>
      <c r="BB200" s="324"/>
      <c r="BC200" s="324"/>
      <c r="BD200" s="324" t="e">
        <f t="shared" ref="BD200:BW200" si="319">BD187+Volume_tickets</f>
        <v>#NAME?</v>
      </c>
      <c r="BE200" s="324" t="e">
        <f t="shared" si="319"/>
        <v>#NAME?</v>
      </c>
      <c r="BF200" s="324" t="e">
        <f t="shared" si="319"/>
        <v>#NAME?</v>
      </c>
      <c r="BG200" s="324" t="e">
        <f t="shared" si="319"/>
        <v>#NAME?</v>
      </c>
      <c r="BH200" s="324" t="e">
        <f t="shared" si="319"/>
        <v>#NAME?</v>
      </c>
      <c r="BI200" s="324" t="e">
        <f t="shared" si="319"/>
        <v>#NAME?</v>
      </c>
      <c r="BJ200" s="324" t="e">
        <f t="shared" si="319"/>
        <v>#NAME?</v>
      </c>
      <c r="BK200" s="324" t="e">
        <f t="shared" si="319"/>
        <v>#NAME?</v>
      </c>
      <c r="BL200" s="324" t="e">
        <f t="shared" si="319"/>
        <v>#NAME?</v>
      </c>
      <c r="BM200" s="324" t="e">
        <f t="shared" si="319"/>
        <v>#NAME?</v>
      </c>
      <c r="BN200" s="324" t="e">
        <f t="shared" si="319"/>
        <v>#NAME?</v>
      </c>
      <c r="BO200" s="324" t="e">
        <f t="shared" si="319"/>
        <v>#NAME?</v>
      </c>
      <c r="BP200" s="324" t="e">
        <f t="shared" si="319"/>
        <v>#NAME?</v>
      </c>
      <c r="BQ200" s="324" t="e">
        <f t="shared" si="319"/>
        <v>#NAME?</v>
      </c>
      <c r="BR200" s="324">
        <f t="shared" si="319"/>
        <v>140</v>
      </c>
      <c r="BS200" s="324">
        <f t="shared" si="319"/>
        <v>133</v>
      </c>
      <c r="BT200" s="324">
        <f t="shared" si="319"/>
        <v>158.4</v>
      </c>
      <c r="BU200" s="324">
        <f t="shared" si="319"/>
        <v>166.24057533333334</v>
      </c>
      <c r="BV200" s="324">
        <f t="shared" si="319"/>
        <v>195.89683479999999</v>
      </c>
      <c r="BW200" s="324">
        <f t="shared" si="319"/>
        <v>182.82060537500001</v>
      </c>
      <c r="BX200" s="324">
        <f t="shared" ref="BX200:CE200" ca="1" si="320">BX187+Volume_tickets</f>
        <v>185.328</v>
      </c>
      <c r="BY200" s="324">
        <f t="shared" ca="1" si="320"/>
        <v>201.15109615333333</v>
      </c>
      <c r="BZ200" s="324">
        <f t="shared" ca="1" si="320"/>
        <v>246.830011848</v>
      </c>
      <c r="CA200" s="324">
        <f t="shared" ca="1" si="320"/>
        <v>238.85483122899996</v>
      </c>
      <c r="CB200" s="324">
        <f t="shared" ca="1" si="320"/>
        <v>250.19280000000003</v>
      </c>
      <c r="CC200" s="324">
        <f t="shared" ca="1" si="320"/>
        <v>261.49642499933333</v>
      </c>
      <c r="CD200" s="324">
        <f t="shared" ca="1" si="320"/>
        <v>296.19601421760001</v>
      </c>
      <c r="CE200" s="324">
        <f t="shared" ca="1" si="320"/>
        <v>264.87640603637669</v>
      </c>
      <c r="CF200" s="62"/>
      <c r="CG200" s="5"/>
      <c r="CH200" s="5"/>
    </row>
    <row r="201" spans="1:96" hidden="1" outlineLevel="2">
      <c r="B201" s="13" t="s">
        <v>704</v>
      </c>
      <c r="C201" s="323"/>
      <c r="D201" s="323"/>
      <c r="E201" s="323"/>
      <c r="F201" s="323"/>
      <c r="G201" s="323"/>
      <c r="H201" s="323"/>
      <c r="I201" s="323"/>
      <c r="J201" s="323"/>
      <c r="K201" s="323"/>
      <c r="L201" s="323"/>
      <c r="M201" s="323"/>
      <c r="N201" s="323" t="e">
        <f t="shared" ref="N201:AB201" si="321">N199/N202</f>
        <v>#NAME?</v>
      </c>
      <c r="O201" s="323" t="e">
        <f t="shared" si="321"/>
        <v>#NAME?</v>
      </c>
      <c r="P201" s="323" t="e">
        <f t="shared" si="321"/>
        <v>#NAME?</v>
      </c>
      <c r="Q201" s="323" t="e">
        <f t="shared" si="321"/>
        <v>#NAME?</v>
      </c>
      <c r="R201" s="323" t="e">
        <f t="shared" si="321"/>
        <v>#NAME?</v>
      </c>
      <c r="S201" s="323">
        <f t="shared" si="321"/>
        <v>3.5000000000000003E-2</v>
      </c>
      <c r="T201" s="323">
        <f t="shared" si="321"/>
        <v>2.8000000000000004E-2</v>
      </c>
      <c r="U201" s="323">
        <f t="shared" ca="1" si="321"/>
        <v>2.1000000000000005E-2</v>
      </c>
      <c r="V201" s="323">
        <f t="shared" ca="1" si="321"/>
        <v>2.1999999999999999E-2</v>
      </c>
      <c r="W201" s="323">
        <f t="shared" ca="1" si="321"/>
        <v>2.3E-2</v>
      </c>
      <c r="X201" s="323">
        <f t="shared" ca="1" si="321"/>
        <v>2.4E-2</v>
      </c>
      <c r="Y201" s="323">
        <f t="shared" ca="1" si="321"/>
        <v>2.5000000000000001E-2</v>
      </c>
      <c r="Z201" s="323">
        <f t="shared" ca="1" si="321"/>
        <v>2.5000000000000001E-2</v>
      </c>
      <c r="AA201" s="323">
        <f t="shared" ca="1" si="321"/>
        <v>2.5000000000000005E-2</v>
      </c>
      <c r="AB201" s="323">
        <f t="shared" ca="1" si="321"/>
        <v>2.5000000000000001E-2</v>
      </c>
      <c r="AC201" s="323">
        <f ca="1">AC199/AC202</f>
        <v>2.4999999999999998E-2</v>
      </c>
      <c r="AD201" s="323">
        <f ca="1">AD199/AD202</f>
        <v>2.5000000000000001E-2</v>
      </c>
      <c r="AE201" s="323"/>
      <c r="AF201" s="324"/>
      <c r="AG201" s="324"/>
      <c r="AH201" s="324"/>
      <c r="AI201" s="324"/>
      <c r="AJ201" s="324"/>
      <c r="AK201" s="324"/>
      <c r="AL201" s="324"/>
      <c r="AM201" s="324"/>
      <c r="AN201" s="324"/>
      <c r="AO201" s="324"/>
      <c r="AP201" s="324"/>
      <c r="AQ201" s="324"/>
      <c r="AR201" s="324"/>
      <c r="AS201" s="324"/>
      <c r="AT201" s="324"/>
      <c r="AU201" s="324"/>
      <c r="AV201" s="324"/>
      <c r="AW201" s="324"/>
      <c r="AX201" s="324"/>
      <c r="AY201" s="324"/>
      <c r="AZ201" s="323"/>
      <c r="BA201" s="323"/>
      <c r="BB201" s="323"/>
      <c r="BC201" s="323"/>
      <c r="BD201" s="323" t="e">
        <f>BD199/BD202</f>
        <v>#NAME?</v>
      </c>
      <c r="BE201" s="323" t="e">
        <f t="shared" ref="BE201:BW201" si="322">BE199/BE202</f>
        <v>#NAME?</v>
      </c>
      <c r="BF201" s="323" t="e">
        <f t="shared" si="322"/>
        <v>#NAME?</v>
      </c>
      <c r="BG201" s="323" t="e">
        <f t="shared" si="322"/>
        <v>#NAME?</v>
      </c>
      <c r="BH201" s="323" t="e">
        <f t="shared" si="322"/>
        <v>#NAME?</v>
      </c>
      <c r="BI201" s="323" t="e">
        <f t="shared" si="322"/>
        <v>#NAME?</v>
      </c>
      <c r="BJ201" s="323" t="e">
        <f t="shared" si="322"/>
        <v>#NAME?</v>
      </c>
      <c r="BK201" s="323" t="e">
        <f t="shared" si="322"/>
        <v>#NAME?</v>
      </c>
      <c r="BL201" s="323" t="e">
        <f t="shared" si="322"/>
        <v>#NAME?</v>
      </c>
      <c r="BM201" s="323" t="e">
        <f t="shared" si="322"/>
        <v>#NAME?</v>
      </c>
      <c r="BN201" s="323" t="e">
        <f t="shared" si="322"/>
        <v>#NAME?</v>
      </c>
      <c r="BO201" s="323" t="e">
        <f t="shared" si="322"/>
        <v>#NAME?</v>
      </c>
      <c r="BP201" s="323" t="e">
        <f t="shared" si="322"/>
        <v>#NAME?</v>
      </c>
      <c r="BQ201" s="323" t="e">
        <f t="shared" si="322"/>
        <v>#NAME?</v>
      </c>
      <c r="BR201" s="323">
        <f t="shared" si="322"/>
        <v>3.5000000000000003E-2</v>
      </c>
      <c r="BS201" s="323">
        <f t="shared" si="322"/>
        <v>3.5000000000000003E-2</v>
      </c>
      <c r="BT201" s="323">
        <f t="shared" si="322"/>
        <v>2.8000000000000004E-2</v>
      </c>
      <c r="BU201" s="323">
        <f t="shared" si="322"/>
        <v>2.7999999999999997E-2</v>
      </c>
      <c r="BV201" s="323">
        <f t="shared" si="322"/>
        <v>2.8000000000000001E-2</v>
      </c>
      <c r="BW201" s="323">
        <f t="shared" si="322"/>
        <v>2.8000000000000001E-2</v>
      </c>
      <c r="BX201" s="323">
        <f t="shared" ref="BX201:CE201" ca="1" si="323">BX199/BX202</f>
        <v>2.0999999999999998E-2</v>
      </c>
      <c r="BY201" s="323">
        <f t="shared" ca="1" si="323"/>
        <v>2.1000000000000005E-2</v>
      </c>
      <c r="BZ201" s="323">
        <f t="shared" ca="1" si="323"/>
        <v>2.1000000000000001E-2</v>
      </c>
      <c r="CA201" s="323">
        <f t="shared" ca="1" si="323"/>
        <v>2.1000000000000005E-2</v>
      </c>
      <c r="CB201" s="323">
        <f t="shared" ca="1" si="323"/>
        <v>2.1999999999999999E-2</v>
      </c>
      <c r="CC201" s="323">
        <f t="shared" ca="1" si="323"/>
        <v>2.1999999999999999E-2</v>
      </c>
      <c r="CD201" s="323">
        <f t="shared" ca="1" si="323"/>
        <v>2.1999999999999995E-2</v>
      </c>
      <c r="CE201" s="323">
        <f t="shared" ca="1" si="323"/>
        <v>2.1999999999999999E-2</v>
      </c>
      <c r="CF201" s="117"/>
      <c r="CG201" s="5"/>
      <c r="CH201" s="5"/>
    </row>
    <row r="202" spans="1:96" s="115" customFormat="1" hidden="1" outlineLevel="2">
      <c r="A202" s="114"/>
      <c r="B202" s="116" t="s">
        <v>121</v>
      </c>
      <c r="C202" s="220"/>
      <c r="D202" s="220"/>
      <c r="E202" s="220"/>
      <c r="F202" s="220"/>
      <c r="G202" s="220"/>
      <c r="H202" s="220"/>
      <c r="I202" s="220"/>
      <c r="J202" s="220"/>
      <c r="K202" s="220"/>
      <c r="L202" s="220"/>
      <c r="M202" s="220"/>
      <c r="N202" s="220" t="e">
        <f>N195+N189</f>
        <v>#NAME?</v>
      </c>
      <c r="O202" s="220" t="e">
        <f>O195+O189</f>
        <v>#NAME?</v>
      </c>
      <c r="P202" s="220" t="e">
        <f>P195+P189</f>
        <v>#NAME?</v>
      </c>
      <c r="Q202" s="220" t="e">
        <f>Q195+Q189</f>
        <v>#NAME?</v>
      </c>
      <c r="R202" s="220" t="e">
        <f>R195+R189</f>
        <v>#NAME?</v>
      </c>
      <c r="S202" s="220">
        <f t="shared" ref="S202:AB202" si="324">S148</f>
        <v>252186.18774285712</v>
      </c>
      <c r="T202" s="220">
        <f t="shared" si="324"/>
        <v>436465.3570357142</v>
      </c>
      <c r="U202" s="220">
        <f t="shared" ca="1" si="324"/>
        <v>642244.22403281892</v>
      </c>
      <c r="V202" s="220">
        <f t="shared" ca="1" si="324"/>
        <v>791755.76009573194</v>
      </c>
      <c r="W202" s="220">
        <f t="shared" ca="1" si="324"/>
        <v>970141.77526164835</v>
      </c>
      <c r="X202" s="220">
        <f t="shared" ca="1" si="324"/>
        <v>1171446.1936284404</v>
      </c>
      <c r="Y202" s="220">
        <f t="shared" ca="1" si="324"/>
        <v>1405173.1381811867</v>
      </c>
      <c r="Z202" s="220">
        <f t="shared" ca="1" si="324"/>
        <v>1666394.8245690688</v>
      </c>
      <c r="AA202" s="220">
        <f t="shared" ca="1" si="324"/>
        <v>1959430.3544695389</v>
      </c>
      <c r="AB202" s="220">
        <f t="shared" ca="1" si="324"/>
        <v>2284303.9072405882</v>
      </c>
      <c r="AC202" s="220">
        <f ca="1">AC148</f>
        <v>2640084.2407933096</v>
      </c>
      <c r="AD202" s="220">
        <f ca="1">AD148</f>
        <v>3024744.5146768941</v>
      </c>
      <c r="AE202" s="220"/>
      <c r="AF202" s="220"/>
      <c r="AG202" s="220"/>
      <c r="AH202" s="220"/>
      <c r="AI202" s="220"/>
      <c r="AJ202" s="220"/>
      <c r="AK202" s="220"/>
      <c r="AL202" s="220"/>
      <c r="AM202" s="220"/>
      <c r="AN202" s="220"/>
      <c r="AO202" s="220"/>
      <c r="AP202" s="220"/>
      <c r="AQ202" s="220"/>
      <c r="AR202" s="220"/>
      <c r="AS202" s="220"/>
      <c r="AT202" s="220"/>
      <c r="AU202" s="220"/>
      <c r="AV202" s="220"/>
      <c r="AW202" s="220"/>
      <c r="AX202" s="220"/>
      <c r="AY202" s="220"/>
      <c r="AZ202" s="220"/>
      <c r="BA202" s="220"/>
      <c r="BB202" s="220"/>
      <c r="BC202" s="220"/>
      <c r="BD202" s="220" t="e">
        <f>BD195+BD189</f>
        <v>#NAME?</v>
      </c>
      <c r="BE202" s="220" t="e">
        <f t="shared" ref="BE202:BP202" si="325">BE195+BE189</f>
        <v>#NAME?</v>
      </c>
      <c r="BF202" s="220" t="e">
        <f t="shared" si="325"/>
        <v>#NAME?</v>
      </c>
      <c r="BG202" s="220" t="e">
        <f t="shared" si="325"/>
        <v>#NAME?</v>
      </c>
      <c r="BH202" s="220" t="e">
        <f t="shared" si="325"/>
        <v>#NAME?</v>
      </c>
      <c r="BI202" s="220" t="e">
        <f t="shared" si="325"/>
        <v>#NAME?</v>
      </c>
      <c r="BJ202" s="220" t="e">
        <f t="shared" si="325"/>
        <v>#NAME?</v>
      </c>
      <c r="BK202" s="220" t="e">
        <f t="shared" si="325"/>
        <v>#NAME?</v>
      </c>
      <c r="BL202" s="220" t="e">
        <f t="shared" si="325"/>
        <v>#NAME?</v>
      </c>
      <c r="BM202" s="220" t="e">
        <f t="shared" si="325"/>
        <v>#NAME?</v>
      </c>
      <c r="BN202" s="220" t="e">
        <f t="shared" si="325"/>
        <v>#NAME?</v>
      </c>
      <c r="BO202" s="220" t="e">
        <f t="shared" si="325"/>
        <v>#NAME?</v>
      </c>
      <c r="BP202" s="220" t="e">
        <f t="shared" si="325"/>
        <v>#NAME?</v>
      </c>
      <c r="BQ202" s="220" t="e">
        <f>BQ195+BQ189</f>
        <v>#NAME?</v>
      </c>
      <c r="BR202" s="220">
        <f t="shared" ref="BR202:BW202" si="326">BR148</f>
        <v>69363.897971428567</v>
      </c>
      <c r="BS202" s="220">
        <f t="shared" si="326"/>
        <v>69895.720600000001</v>
      </c>
      <c r="BT202" s="220">
        <f t="shared" si="326"/>
        <v>102691.97664285712</v>
      </c>
      <c r="BU202" s="220">
        <f t="shared" si="326"/>
        <v>106868.94128571429</v>
      </c>
      <c r="BV202" s="220">
        <f t="shared" si="326"/>
        <v>122435.52175</v>
      </c>
      <c r="BW202" s="220">
        <f t="shared" si="326"/>
        <v>104468.91735714287</v>
      </c>
      <c r="BX202" s="220">
        <f t="shared" ref="BX202:CE202" ca="1" si="327">BX148</f>
        <v>136970.55844624285</v>
      </c>
      <c r="BY202" s="220">
        <f t="shared" ca="1" si="327"/>
        <v>146552.94148314281</v>
      </c>
      <c r="BZ202" s="220">
        <f t="shared" ca="1" si="327"/>
        <v>185122.508886</v>
      </c>
      <c r="CA202" s="220">
        <f t="shared" ca="1" si="327"/>
        <v>173598.21521743329</v>
      </c>
      <c r="CB202" s="220">
        <f t="shared" ca="1" si="327"/>
        <v>183565.45205586476</v>
      </c>
      <c r="CC202" s="220">
        <f t="shared" ca="1" si="327"/>
        <v>190951.82125519504</v>
      </c>
      <c r="CD202" s="220">
        <f t="shared" ca="1" si="327"/>
        <v>218410.90184750076</v>
      </c>
      <c r="CE202" s="220">
        <f t="shared" ca="1" si="327"/>
        <v>198827.58493717154</v>
      </c>
      <c r="CF202" s="439"/>
      <c r="CG202" s="22"/>
      <c r="CH202" s="22"/>
      <c r="CI202" s="116"/>
      <c r="CJ202"/>
      <c r="CK202"/>
      <c r="CL202"/>
      <c r="CM202"/>
      <c r="CN202"/>
      <c r="CO202"/>
      <c r="CP202" s="116"/>
      <c r="CQ202" s="116"/>
      <c r="CR202" s="116"/>
    </row>
    <row r="203" spans="1:96" hidden="1" outlineLevel="2">
      <c r="B203" s="13" t="s">
        <v>728</v>
      </c>
      <c r="C203" s="324"/>
      <c r="D203" s="324"/>
      <c r="E203" s="324"/>
      <c r="F203" s="324"/>
      <c r="G203" s="324"/>
      <c r="H203" s="324"/>
      <c r="I203" s="324"/>
      <c r="J203" s="324"/>
      <c r="K203" s="324"/>
      <c r="L203" s="324"/>
      <c r="M203" s="324"/>
      <c r="N203" s="324" t="e">
        <f t="shared" ref="N203:AB203" si="328">N195+N189</f>
        <v>#NAME?</v>
      </c>
      <c r="O203" s="324" t="e">
        <f t="shared" si="328"/>
        <v>#NAME?</v>
      </c>
      <c r="P203" s="324" t="e">
        <f t="shared" si="328"/>
        <v>#NAME?</v>
      </c>
      <c r="Q203" s="324" t="e">
        <f t="shared" si="328"/>
        <v>#NAME?</v>
      </c>
      <c r="R203" s="324" t="e">
        <f t="shared" si="328"/>
        <v>#NAME?</v>
      </c>
      <c r="S203" s="324">
        <f t="shared" si="328"/>
        <v>215224.19477914282</v>
      </c>
      <c r="T203" s="324">
        <f t="shared" si="328"/>
        <v>355614.77897107136</v>
      </c>
      <c r="U203" s="324">
        <f t="shared" ca="1" si="328"/>
        <v>510430.40894930938</v>
      </c>
      <c r="V203" s="324">
        <f t="shared" ca="1" si="328"/>
        <v>613421.17281257163</v>
      </c>
      <c r="W203" s="324">
        <f t="shared" ca="1" si="328"/>
        <v>732224.79459058819</v>
      </c>
      <c r="X203" s="324">
        <f t="shared" ca="1" si="328"/>
        <v>860732.51559556648</v>
      </c>
      <c r="Y203" s="324">
        <f t="shared" ca="1" si="328"/>
        <v>1004362.40434357</v>
      </c>
      <c r="Z203" s="324">
        <f t="shared" ca="1" si="328"/>
        <v>1157745.478819658</v>
      </c>
      <c r="AA203" s="324">
        <f t="shared" ca="1" si="328"/>
        <v>1322146.4141807037</v>
      </c>
      <c r="AB203" s="324">
        <f t="shared" ca="1" si="328"/>
        <v>1495672.2115070524</v>
      </c>
      <c r="AC203" s="324">
        <f ca="1">AC195+AC189</f>
        <v>1675821.4736334088</v>
      </c>
      <c r="AD203" s="324">
        <f ca="1">AD195+AD189</f>
        <v>1859493.7720482582</v>
      </c>
      <c r="AE203" s="324"/>
      <c r="AF203" s="324"/>
      <c r="AG203" s="324"/>
      <c r="AH203" s="324"/>
      <c r="AI203" s="324"/>
      <c r="AJ203" s="324"/>
      <c r="AK203" s="324"/>
      <c r="AL203" s="324"/>
      <c r="AM203" s="324"/>
      <c r="AN203" s="324"/>
      <c r="AO203" s="324"/>
      <c r="AP203" s="324"/>
      <c r="AQ203" s="324"/>
      <c r="AR203" s="324"/>
      <c r="AS203" s="324"/>
      <c r="AT203" s="324"/>
      <c r="AU203" s="324"/>
      <c r="AV203" s="324"/>
      <c r="AW203" s="324"/>
      <c r="AX203" s="324"/>
      <c r="AY203" s="324"/>
      <c r="AZ203" s="324"/>
      <c r="BA203" s="324"/>
      <c r="BB203" s="324"/>
      <c r="BC203" s="324"/>
      <c r="BD203" s="324" t="e">
        <f t="shared" ref="BD203:BW203" si="329">BD195+BD189</f>
        <v>#NAME?</v>
      </c>
      <c r="BE203" s="324" t="e">
        <f t="shared" si="329"/>
        <v>#NAME?</v>
      </c>
      <c r="BF203" s="324" t="e">
        <f t="shared" si="329"/>
        <v>#NAME?</v>
      </c>
      <c r="BG203" s="324" t="e">
        <f t="shared" si="329"/>
        <v>#NAME?</v>
      </c>
      <c r="BH203" s="324" t="e">
        <f t="shared" si="329"/>
        <v>#NAME?</v>
      </c>
      <c r="BI203" s="324" t="e">
        <f t="shared" si="329"/>
        <v>#NAME?</v>
      </c>
      <c r="BJ203" s="324" t="e">
        <f t="shared" si="329"/>
        <v>#NAME?</v>
      </c>
      <c r="BK203" s="324" t="e">
        <f t="shared" si="329"/>
        <v>#NAME?</v>
      </c>
      <c r="BL203" s="324" t="e">
        <f t="shared" si="329"/>
        <v>#NAME?</v>
      </c>
      <c r="BM203" s="324" t="e">
        <f t="shared" si="329"/>
        <v>#NAME?</v>
      </c>
      <c r="BN203" s="324" t="e">
        <f t="shared" si="329"/>
        <v>#NAME?</v>
      </c>
      <c r="BO203" s="324" t="e">
        <f t="shared" si="329"/>
        <v>#NAME?</v>
      </c>
      <c r="BP203" s="324" t="e">
        <f t="shared" si="329"/>
        <v>#NAME?</v>
      </c>
      <c r="BQ203" s="324" t="e">
        <f t="shared" si="329"/>
        <v>#NAME?</v>
      </c>
      <c r="BR203" s="324">
        <f t="shared" si="329"/>
        <v>58265.67429599999</v>
      </c>
      <c r="BS203" s="324">
        <f t="shared" si="329"/>
        <v>58712.405304</v>
      </c>
      <c r="BT203" s="324">
        <f t="shared" si="329"/>
        <v>85234.340613571403</v>
      </c>
      <c r="BU203" s="324">
        <f t="shared" si="329"/>
        <v>87632.531854285713</v>
      </c>
      <c r="BV203" s="324">
        <f t="shared" si="329"/>
        <v>99172.772617499984</v>
      </c>
      <c r="BW203" s="324">
        <f t="shared" si="329"/>
        <v>83575.133885714284</v>
      </c>
      <c r="BX203" s="324">
        <f t="shared" ref="BX203:CE203" ca="1" si="330">BX195+BX189</f>
        <v>108206.74117253184</v>
      </c>
      <c r="BY203" s="324">
        <f t="shared" ca="1" si="330"/>
        <v>114311.29435685139</v>
      </c>
      <c r="BZ203" s="324">
        <f t="shared" ca="1" si="330"/>
        <v>142544.33184221998</v>
      </c>
      <c r="CA203" s="324">
        <f t="shared" ca="1" si="330"/>
        <v>131934.64356524928</v>
      </c>
      <c r="CB203" s="324">
        <f t="shared" ca="1" si="330"/>
        <v>141712.52898712759</v>
      </c>
      <c r="CC203" s="324">
        <f t="shared" ca="1" si="330"/>
        <v>147223.85418775535</v>
      </c>
      <c r="CD203" s="324">
        <f t="shared" ca="1" si="330"/>
        <v>168176.39442257554</v>
      </c>
      <c r="CE203" s="324">
        <f t="shared" ca="1" si="330"/>
        <v>152898.4128166849</v>
      </c>
      <c r="CF203" s="117"/>
      <c r="CG203" s="22"/>
      <c r="CH203" s="22"/>
    </row>
    <row r="204" spans="1:96" outlineLevel="1">
      <c r="C204" s="6"/>
      <c r="D204" s="6"/>
      <c r="E204" s="6"/>
      <c r="F204" s="6"/>
      <c r="G204" s="6"/>
      <c r="H204" s="6"/>
      <c r="I204" s="324"/>
      <c r="J204" s="324"/>
      <c r="K204" s="324"/>
      <c r="L204" s="324"/>
      <c r="M204" s="324"/>
      <c r="N204" s="324"/>
      <c r="O204" s="324"/>
      <c r="P204" s="324"/>
      <c r="Q204" s="324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324"/>
      <c r="AG204" s="324"/>
      <c r="AH204" s="324"/>
      <c r="AI204" s="324"/>
      <c r="AJ204" s="324"/>
      <c r="AK204" s="324"/>
      <c r="AL204" s="324"/>
      <c r="AM204" s="324"/>
      <c r="AN204" s="324"/>
      <c r="AO204" s="324"/>
      <c r="AP204" s="324"/>
      <c r="AQ204" s="324"/>
      <c r="AR204" s="324"/>
      <c r="AS204" s="324"/>
      <c r="AT204" s="324"/>
      <c r="AU204" s="324"/>
      <c r="AV204" s="324"/>
      <c r="AW204" s="324"/>
      <c r="AX204" s="324"/>
      <c r="AY204" s="324"/>
      <c r="AZ204" s="324"/>
      <c r="BA204" s="324"/>
      <c r="BB204" s="324"/>
      <c r="BC204" s="324"/>
      <c r="BD204" s="324"/>
      <c r="BE204" s="324"/>
      <c r="BF204" s="324"/>
      <c r="BG204" s="324"/>
      <c r="BH204" s="324"/>
      <c r="BI204" s="324"/>
      <c r="BJ204" s="324"/>
      <c r="BK204" s="324"/>
      <c r="BL204" s="324"/>
      <c r="BM204" s="324"/>
      <c r="BN204" s="324"/>
      <c r="BO204" s="324"/>
      <c r="BP204" s="324"/>
      <c r="BQ204" s="324"/>
      <c r="BR204" s="324"/>
      <c r="BS204" s="324"/>
      <c r="BT204" s="324"/>
      <c r="BU204" s="324"/>
      <c r="BV204" s="324"/>
      <c r="BW204" s="324"/>
      <c r="BX204" s="324"/>
      <c r="BY204" s="324"/>
      <c r="BZ204" s="324"/>
      <c r="CA204" s="324"/>
      <c r="CB204" s="324"/>
      <c r="CC204" s="324"/>
      <c r="CD204" s="324"/>
      <c r="CE204" s="324"/>
      <c r="CF204" s="117"/>
      <c r="CG204" s="22"/>
      <c r="CH204" s="22"/>
    </row>
    <row r="205" spans="1:96" s="115" customFormat="1" outlineLevel="1">
      <c r="A205" s="3" t="s">
        <v>120</v>
      </c>
      <c r="B205" s="189" t="s">
        <v>119</v>
      </c>
      <c r="C205" s="196">
        <f t="shared" ref="C205:R205" si="331">Rev_Package</f>
        <v>0.31075000000000003</v>
      </c>
      <c r="D205" s="196">
        <f t="shared" si="331"/>
        <v>0.59480200000000005</v>
      </c>
      <c r="E205" s="196">
        <f t="shared" si="331"/>
        <v>0.43229500000000004</v>
      </c>
      <c r="F205" s="196">
        <f t="shared" si="331"/>
        <v>4.7887269999999997</v>
      </c>
      <c r="G205" s="196">
        <f t="shared" si="331"/>
        <v>10.47978</v>
      </c>
      <c r="H205" s="196">
        <f t="shared" si="331"/>
        <v>22.755600000000001</v>
      </c>
      <c r="I205" s="196">
        <f t="shared" si="331"/>
        <v>41.702488000000002</v>
      </c>
      <c r="J205" s="196">
        <f t="shared" si="331"/>
        <v>71.495585000000005</v>
      </c>
      <c r="K205" s="196">
        <f t="shared" si="331"/>
        <v>109.244749</v>
      </c>
      <c r="L205" s="196">
        <f t="shared" si="331"/>
        <v>175.86738600000001</v>
      </c>
      <c r="M205" s="196">
        <f t="shared" si="331"/>
        <v>380.30748699999998</v>
      </c>
      <c r="N205" s="539">
        <f t="shared" si="331"/>
        <v>534.64018299999998</v>
      </c>
      <c r="O205" s="539">
        <f t="shared" si="331"/>
        <v>689.66063099999997</v>
      </c>
      <c r="P205" s="539">
        <f t="shared" si="331"/>
        <v>935.68472899999995</v>
      </c>
      <c r="Q205" s="539">
        <f t="shared" si="331"/>
        <v>1055.369205</v>
      </c>
      <c r="R205" s="539">
        <f t="shared" si="331"/>
        <v>1667.94535</v>
      </c>
      <c r="S205" s="539">
        <f>Rev_Package</f>
        <v>2310.1988940000001</v>
      </c>
      <c r="T205" s="539">
        <f>Rev_Package</f>
        <v>2970.383429</v>
      </c>
      <c r="U205" s="548">
        <f t="shared" ref="U205:AD205" ca="1" si="332">U209*U213</f>
        <v>3742.6831205399999</v>
      </c>
      <c r="V205" s="548">
        <f t="shared" ca="1" si="332"/>
        <v>4566.0734070588005</v>
      </c>
      <c r="W205" s="548">
        <f t="shared" ca="1" si="332"/>
        <v>5369.7023267011482</v>
      </c>
      <c r="X205" s="548">
        <f t="shared" ca="1" si="332"/>
        <v>6125.7564143006703</v>
      </c>
      <c r="Y205" s="548">
        <f t="shared" ca="1" si="332"/>
        <v>6815.7616168074983</v>
      </c>
      <c r="Z205" s="548">
        <f t="shared" ca="1" si="332"/>
        <v>7429.9435276212562</v>
      </c>
      <c r="AA205" s="548">
        <f t="shared" ca="1" si="332"/>
        <v>7965.5651845500606</v>
      </c>
      <c r="AB205" s="548">
        <f t="shared" ca="1" si="332"/>
        <v>8424.952710892574</v>
      </c>
      <c r="AC205" s="548">
        <f t="shared" ca="1" si="332"/>
        <v>8813.6576522987561</v>
      </c>
      <c r="AD205" s="563">
        <f t="shared" ca="1" si="332"/>
        <v>9138.9686563006308</v>
      </c>
      <c r="AE205" s="562"/>
      <c r="AF205" s="539">
        <f t="shared" ref="AF205:BW205" si="333">Rev_Package</f>
        <v>15.996276999999999</v>
      </c>
      <c r="AG205" s="539">
        <f t="shared" si="333"/>
        <v>12.858352999999999</v>
      </c>
      <c r="AH205" s="539">
        <f t="shared" si="333"/>
        <v>20.683731000000002</v>
      </c>
      <c r="AI205" s="539">
        <f t="shared" si="333"/>
        <v>21.957224</v>
      </c>
      <c r="AJ205" s="539">
        <f t="shared" si="333"/>
        <v>26.793008</v>
      </c>
      <c r="AK205" s="539">
        <f t="shared" si="333"/>
        <v>23.831610999999999</v>
      </c>
      <c r="AL205" s="539">
        <f t="shared" si="333"/>
        <v>28.371044999999999</v>
      </c>
      <c r="AM205" s="539">
        <f t="shared" si="333"/>
        <v>30.249085000000001</v>
      </c>
      <c r="AN205" s="539">
        <f t="shared" si="333"/>
        <v>37.717241000000001</v>
      </c>
      <c r="AO205" s="539">
        <f t="shared" si="333"/>
        <v>35.689993999999999</v>
      </c>
      <c r="AP205" s="539">
        <f t="shared" si="333"/>
        <v>54.001697999999998</v>
      </c>
      <c r="AQ205" s="539">
        <f t="shared" si="333"/>
        <v>48.458452999999999</v>
      </c>
      <c r="AR205" s="539">
        <f t="shared" si="333"/>
        <v>71.781013000000002</v>
      </c>
      <c r="AS205" s="539">
        <f t="shared" si="333"/>
        <v>67.042613000000003</v>
      </c>
      <c r="AT205" s="539">
        <f t="shared" si="333"/>
        <v>140.858679</v>
      </c>
      <c r="AU205" s="539">
        <f t="shared" si="333"/>
        <v>100.625182</v>
      </c>
      <c r="AV205" s="539">
        <f t="shared" si="333"/>
        <v>124.834012</v>
      </c>
      <c r="AW205" s="539">
        <f t="shared" si="333"/>
        <v>108.282983</v>
      </c>
      <c r="AX205" s="539">
        <f t="shared" si="333"/>
        <v>171.36770200000001</v>
      </c>
      <c r="AY205" s="539">
        <f t="shared" si="333"/>
        <v>130.155486</v>
      </c>
      <c r="AZ205" s="539">
        <f t="shared" si="333"/>
        <v>166.37998099999999</v>
      </c>
      <c r="BA205" s="539">
        <f t="shared" si="333"/>
        <v>133.776555</v>
      </c>
      <c r="BB205" s="539">
        <f t="shared" si="333"/>
        <v>223.779798</v>
      </c>
      <c r="BC205" s="539">
        <f t="shared" si="333"/>
        <v>165.72429700000001</v>
      </c>
      <c r="BD205" s="539">
        <f t="shared" si="333"/>
        <v>235.208743</v>
      </c>
      <c r="BE205" s="539">
        <f t="shared" si="333"/>
        <v>187.02442500000001</v>
      </c>
      <c r="BF205" s="539">
        <f t="shared" si="333"/>
        <v>319.56615599999998</v>
      </c>
      <c r="BG205" s="539">
        <f t="shared" si="333"/>
        <v>193.88540499999999</v>
      </c>
      <c r="BH205" s="539">
        <f t="shared" si="333"/>
        <v>259.22054800000001</v>
      </c>
      <c r="BI205" s="539">
        <f t="shared" si="333"/>
        <v>205.141896</v>
      </c>
      <c r="BJ205" s="539">
        <f t="shared" si="333"/>
        <v>357.64316100000002</v>
      </c>
      <c r="BK205" s="539">
        <f t="shared" si="333"/>
        <v>233.36359999999999</v>
      </c>
      <c r="BL205" s="539">
        <f t="shared" si="333"/>
        <v>395.91224399999999</v>
      </c>
      <c r="BM205" s="539">
        <f t="shared" si="333"/>
        <v>329.37398899999999</v>
      </c>
      <c r="BN205" s="539">
        <f t="shared" si="333"/>
        <v>593.10435199999995</v>
      </c>
      <c r="BO205" s="539">
        <f t="shared" si="333"/>
        <v>349.55476499999997</v>
      </c>
      <c r="BP205" s="539">
        <f t="shared" si="333"/>
        <v>556.49554000000001</v>
      </c>
      <c r="BQ205" s="539">
        <f t="shared" si="333"/>
        <v>473.93145299999998</v>
      </c>
      <c r="BR205" s="539">
        <f t="shared" si="333"/>
        <v>813.26097600000003</v>
      </c>
      <c r="BS205" s="539">
        <f t="shared" si="333"/>
        <v>466.51092499999999</v>
      </c>
      <c r="BT205" s="539">
        <f t="shared" si="333"/>
        <v>701.832134</v>
      </c>
      <c r="BU205" s="539">
        <f t="shared" si="333"/>
        <v>612.297777</v>
      </c>
      <c r="BV205" s="539">
        <f t="shared" si="333"/>
        <v>1033.08854</v>
      </c>
      <c r="BW205" s="539">
        <f t="shared" si="333"/>
        <v>623.16497800000002</v>
      </c>
      <c r="BX205" s="543">
        <f t="shared" ref="BX205:CE205" ca="1" si="334">BX209*BX213</f>
        <v>786.05199008000011</v>
      </c>
      <c r="BY205" s="543">
        <f t="shared" ca="1" si="334"/>
        <v>795.9871101</v>
      </c>
      <c r="BZ205" s="543">
        <f t="shared" ca="1" si="334"/>
        <v>1239.706248</v>
      </c>
      <c r="CA205" s="543">
        <f t="shared" ca="1" si="334"/>
        <v>920.9377723599996</v>
      </c>
      <c r="CB205" s="543">
        <f t="shared" ca="1" si="334"/>
        <v>1021.8675871040001</v>
      </c>
      <c r="CC205" s="543">
        <f t="shared" ca="1" si="334"/>
        <v>994.98388762499997</v>
      </c>
      <c r="CD205" s="543">
        <f t="shared" ca="1" si="334"/>
        <v>1450.4563101599999</v>
      </c>
      <c r="CE205" s="543">
        <f t="shared" ca="1" si="334"/>
        <v>1098.7656221698007</v>
      </c>
      <c r="CF205" s="195"/>
      <c r="CG205" s="22"/>
      <c r="CH205" s="22"/>
      <c r="CI205" s="199"/>
      <c r="CJ205"/>
      <c r="CK205"/>
      <c r="CL205"/>
      <c r="CM205"/>
      <c r="CN205"/>
      <c r="CO205"/>
      <c r="CP205" s="202"/>
      <c r="CQ205" s="202"/>
      <c r="CR205" s="202"/>
    </row>
    <row r="206" spans="1:96" outlineLevel="1">
      <c r="B206" s="12" t="s">
        <v>82</v>
      </c>
      <c r="C206" s="5"/>
      <c r="D206" s="323">
        <f t="shared" ref="D206:M206" si="335">(D205/C205-1)*1</f>
        <v>0.91408527755430402</v>
      </c>
      <c r="E206" s="323">
        <f t="shared" si="335"/>
        <v>-0.27321192598545396</v>
      </c>
      <c r="F206" s="323">
        <f t="shared" si="335"/>
        <v>10.077451740131158</v>
      </c>
      <c r="G206" s="323">
        <f t="shared" si="335"/>
        <v>1.1884271122576</v>
      </c>
      <c r="H206" s="323">
        <f t="shared" si="335"/>
        <v>1.1713814602978307</v>
      </c>
      <c r="I206" s="323">
        <f t="shared" si="335"/>
        <v>0.8326252878412348</v>
      </c>
      <c r="J206" s="323">
        <f t="shared" si="335"/>
        <v>0.71442013243910063</v>
      </c>
      <c r="K206" s="323">
        <f t="shared" si="335"/>
        <v>0.52799293830521132</v>
      </c>
      <c r="L206" s="323">
        <f t="shared" si="335"/>
        <v>0.60984749939788885</v>
      </c>
      <c r="M206" s="323">
        <f t="shared" si="335"/>
        <v>1.1624673889222414</v>
      </c>
      <c r="N206" s="323">
        <f t="shared" ref="N206:AD206" si="336">(N205/M205-1)</f>
        <v>0.40581030159945297</v>
      </c>
      <c r="O206" s="323">
        <f t="shared" si="336"/>
        <v>0.28995285601269516</v>
      </c>
      <c r="P206" s="323">
        <f t="shared" si="336"/>
        <v>0.35673211858311804</v>
      </c>
      <c r="Q206" s="323">
        <f t="shared" si="336"/>
        <v>0.12791111395812904</v>
      </c>
      <c r="R206" s="323">
        <f t="shared" si="336"/>
        <v>0.58043776727406038</v>
      </c>
      <c r="S206" s="323">
        <f t="shared" si="336"/>
        <v>0.38505670704378914</v>
      </c>
      <c r="T206" s="323">
        <f t="shared" si="336"/>
        <v>0.28576956586492064</v>
      </c>
      <c r="U206" s="323">
        <f t="shared" ca="1" si="336"/>
        <v>0.26</v>
      </c>
      <c r="V206" s="323">
        <f t="shared" ca="1" si="336"/>
        <v>0.2200000000000002</v>
      </c>
      <c r="W206" s="323">
        <f t="shared" ca="1" si="336"/>
        <v>0.17599999999999971</v>
      </c>
      <c r="X206" s="323">
        <f t="shared" ca="1" si="336"/>
        <v>0.14080000000000004</v>
      </c>
      <c r="Y206" s="323">
        <f t="shared" ca="1" si="336"/>
        <v>0.11264000000000007</v>
      </c>
      <c r="Z206" s="323">
        <f t="shared" ca="1" si="336"/>
        <v>9.0112000000000192E-2</v>
      </c>
      <c r="AA206" s="323">
        <f t="shared" ca="1" si="336"/>
        <v>7.2089599999999976E-2</v>
      </c>
      <c r="AB206" s="323">
        <f t="shared" ca="1" si="336"/>
        <v>5.7671680000000114E-2</v>
      </c>
      <c r="AC206" s="323">
        <f t="shared" ca="1" si="336"/>
        <v>4.6137343999999914E-2</v>
      </c>
      <c r="AD206" s="323">
        <f t="shared" ca="1" si="336"/>
        <v>3.6909875200000331E-2</v>
      </c>
      <c r="AE206" s="328"/>
      <c r="AF206" s="126"/>
      <c r="AG206" s="126"/>
      <c r="AH206" s="126"/>
      <c r="AI206" s="126"/>
      <c r="AJ206" s="323">
        <f t="shared" ref="AJ206:CA206" si="337">(AJ205/AF205-1)</f>
        <v>0.67495274056582044</v>
      </c>
      <c r="AK206" s="323">
        <f t="shared" si="337"/>
        <v>0.85339529876026887</v>
      </c>
      <c r="AL206" s="323">
        <f t="shared" si="337"/>
        <v>0.37165992924584046</v>
      </c>
      <c r="AM206" s="323">
        <f t="shared" si="337"/>
        <v>0.37763703644868762</v>
      </c>
      <c r="AN206" s="323">
        <f t="shared" si="337"/>
        <v>0.40772700847922705</v>
      </c>
      <c r="AO206" s="323">
        <f t="shared" si="337"/>
        <v>0.49759049021067026</v>
      </c>
      <c r="AP206" s="323">
        <f t="shared" si="337"/>
        <v>0.90340884518000664</v>
      </c>
      <c r="AQ206" s="323">
        <f t="shared" si="337"/>
        <v>0.60198078718744696</v>
      </c>
      <c r="AR206" s="323">
        <f t="shared" si="337"/>
        <v>0.9031353062118197</v>
      </c>
      <c r="AS206" s="323">
        <f t="shared" si="337"/>
        <v>0.87847083975413409</v>
      </c>
      <c r="AT206" s="323">
        <f t="shared" si="337"/>
        <v>1.6084120354882177</v>
      </c>
      <c r="AU206" s="323">
        <f t="shared" si="337"/>
        <v>1.0765248531561666</v>
      </c>
      <c r="AV206" s="323">
        <f t="shared" si="337"/>
        <v>0.73909515598505138</v>
      </c>
      <c r="AW206" s="323">
        <f t="shared" si="337"/>
        <v>0.61513667434173547</v>
      </c>
      <c r="AX206" s="323">
        <f t="shared" si="337"/>
        <v>0.21659313587627782</v>
      </c>
      <c r="AY206" s="323">
        <f t="shared" si="337"/>
        <v>0.2934683288324389</v>
      </c>
      <c r="AZ206" s="323">
        <f t="shared" si="337"/>
        <v>0.33280969132034288</v>
      </c>
      <c r="BA206" s="323">
        <f t="shared" si="337"/>
        <v>0.23543470353047069</v>
      </c>
      <c r="BB206" s="323">
        <f t="shared" si="337"/>
        <v>0.30584582385308523</v>
      </c>
      <c r="BC206" s="323">
        <f t="shared" si="337"/>
        <v>0.2732793837057319</v>
      </c>
      <c r="BD206" s="323">
        <f t="shared" si="337"/>
        <v>0.41368415590815588</v>
      </c>
      <c r="BE206" s="323">
        <f t="shared" si="337"/>
        <v>0.39803588902405207</v>
      </c>
      <c r="BF206" s="323">
        <f t="shared" si="337"/>
        <v>0.42803845054860568</v>
      </c>
      <c r="BG206" s="323">
        <f t="shared" si="337"/>
        <v>0.16992745487404282</v>
      </c>
      <c r="BH206" s="323">
        <f t="shared" si="337"/>
        <v>0.10208721280399002</v>
      </c>
      <c r="BI206" s="323">
        <f t="shared" si="337"/>
        <v>9.6872218695499335E-2</v>
      </c>
      <c r="BJ206" s="323">
        <f t="shared" si="337"/>
        <v>0.11915218268607908</v>
      </c>
      <c r="BK206" s="323">
        <f t="shared" si="337"/>
        <v>0.20361612572127341</v>
      </c>
      <c r="BL206" s="323">
        <f t="shared" si="337"/>
        <v>0.52731813528918225</v>
      </c>
      <c r="BM206" s="323">
        <f t="shared" si="337"/>
        <v>0.6055910344125901</v>
      </c>
      <c r="BN206" s="323">
        <f t="shared" si="337"/>
        <v>0.65836905797843537</v>
      </c>
      <c r="BO206" s="323">
        <f t="shared" si="337"/>
        <v>0.49789755128906132</v>
      </c>
      <c r="BP206" s="323">
        <f t="shared" si="337"/>
        <v>0.40560325787752105</v>
      </c>
      <c r="BQ206" s="323">
        <f t="shared" si="337"/>
        <v>0.43888548831340768</v>
      </c>
      <c r="BR206" s="323">
        <f t="shared" si="337"/>
        <v>0.37119374231130253</v>
      </c>
      <c r="BS206" s="323">
        <f t="shared" si="337"/>
        <v>0.33458608410044133</v>
      </c>
      <c r="BT206" s="323">
        <f t="shared" si="337"/>
        <v>0.26116398704650901</v>
      </c>
      <c r="BU206" s="323">
        <f t="shared" si="337"/>
        <v>0.29195429660584282</v>
      </c>
      <c r="BV206" s="323">
        <f t="shared" si="337"/>
        <v>0.27030383909629507</v>
      </c>
      <c r="BW206" s="323">
        <f t="shared" si="337"/>
        <v>0.33579932345635854</v>
      </c>
      <c r="BX206" s="323">
        <f t="shared" ca="1" si="337"/>
        <v>0.12000000000000011</v>
      </c>
      <c r="BY206" s="323">
        <f t="shared" ca="1" si="337"/>
        <v>0.30000000000000004</v>
      </c>
      <c r="BZ206" s="323">
        <f t="shared" ca="1" si="337"/>
        <v>0.19999999999999996</v>
      </c>
      <c r="CA206" s="323">
        <f t="shared" ca="1" si="337"/>
        <v>0.47783942434582638</v>
      </c>
      <c r="CB206" s="323">
        <f ca="1">(CB205/BX205-1)</f>
        <v>0.30000000000000004</v>
      </c>
      <c r="CC206" s="323">
        <f ca="1">(CC205/BY205-1)</f>
        <v>0.25</v>
      </c>
      <c r="CD206" s="323">
        <f ca="1">(CD205/BZ205-1)</f>
        <v>0.16999999999999993</v>
      </c>
      <c r="CE206" s="323">
        <f ca="1">(CE205/CA205-1)</f>
        <v>0.19309431662695142</v>
      </c>
      <c r="CF206" s="62"/>
      <c r="CG206" s="22"/>
      <c r="CH206" s="22"/>
    </row>
    <row r="207" spans="1:96" outlineLevel="1">
      <c r="B207" s="12" t="s">
        <v>83</v>
      </c>
      <c r="C207" s="5"/>
      <c r="D207" s="5"/>
      <c r="E207" s="5"/>
      <c r="F207" s="5"/>
      <c r="G207" s="5"/>
      <c r="H207" s="126"/>
      <c r="I207" s="126"/>
      <c r="J207" s="126"/>
      <c r="K207" s="126"/>
      <c r="L207" s="126"/>
      <c r="M207" s="126"/>
      <c r="N207" s="126"/>
      <c r="O207" s="126"/>
      <c r="P207" s="126"/>
      <c r="Q207" s="126"/>
      <c r="R207" s="323">
        <f t="shared" ref="R207:AB207" si="338">R205/Rev_Net</f>
        <v>0.15305665820700026</v>
      </c>
      <c r="S207" s="323">
        <f t="shared" si="338"/>
        <v>0.12014489559979649</v>
      </c>
      <c r="T207" s="323">
        <f>T205/Rev_Net</f>
        <v>0.11091950546306814</v>
      </c>
      <c r="U207" s="323">
        <f t="shared" ca="1" si="338"/>
        <v>0.11752068681161457</v>
      </c>
      <c r="V207" s="323">
        <f t="shared" ca="1" si="338"/>
        <v>0.11407830799512161</v>
      </c>
      <c r="W207" s="323">
        <f t="shared" ca="1" si="338"/>
        <v>0.10977732211084652</v>
      </c>
      <c r="X207" s="323">
        <f t="shared" ca="1" si="338"/>
        <v>0.10401213236622657</v>
      </c>
      <c r="Y207" s="323">
        <f t="shared" ca="1" si="338"/>
        <v>9.6963938757569007E-2</v>
      </c>
      <c r="Z207" s="323">
        <f t="shared" ca="1" si="338"/>
        <v>9.1302288275492652E-2</v>
      </c>
      <c r="AA207" s="323">
        <f t="shared" ca="1" si="338"/>
        <v>8.5307480109683018E-2</v>
      </c>
      <c r="AB207" s="323">
        <f t="shared" ca="1" si="338"/>
        <v>7.9254005673154285E-2</v>
      </c>
      <c r="AC207" s="323">
        <f ca="1">AC205/Rev_Net</f>
        <v>7.3393490905340572E-2</v>
      </c>
      <c r="AD207" s="323">
        <f ca="1">AD205/Rev_Net</f>
        <v>6.80741886901194E-2</v>
      </c>
      <c r="AE207" s="328"/>
      <c r="AF207" s="126"/>
      <c r="AG207" s="323">
        <f>(AG205/AF205-1)</f>
        <v>-0.19616589535177464</v>
      </c>
      <c r="AH207" s="323">
        <f t="shared" ref="AH207:CA207" si="339">(AH205/AG205-1)</f>
        <v>0.60858322990510549</v>
      </c>
      <c r="AI207" s="323">
        <f t="shared" si="339"/>
        <v>6.1569791252845008E-2</v>
      </c>
      <c r="AJ207" s="323">
        <f t="shared" si="339"/>
        <v>0.22023658364099208</v>
      </c>
      <c r="AK207" s="323">
        <f t="shared" si="339"/>
        <v>-0.11052872450902118</v>
      </c>
      <c r="AL207" s="323">
        <f t="shared" si="339"/>
        <v>0.19047952738067098</v>
      </c>
      <c r="AM207" s="323">
        <f t="shared" si="339"/>
        <v>6.6195658284705416E-2</v>
      </c>
      <c r="AN207" s="323">
        <f t="shared" si="339"/>
        <v>0.24688865795444714</v>
      </c>
      <c r="AO207" s="323">
        <f t="shared" si="339"/>
        <v>-5.3748549635430742E-2</v>
      </c>
      <c r="AP207" s="323">
        <f t="shared" si="339"/>
        <v>0.51307669034631953</v>
      </c>
      <c r="AQ207" s="323">
        <f>(AQ205/AP205-1)</f>
        <v>-0.10264945743002374</v>
      </c>
      <c r="AR207" s="323">
        <f t="shared" si="339"/>
        <v>0.4812898174855067</v>
      </c>
      <c r="AS207" s="323">
        <f t="shared" si="339"/>
        <v>-6.6011885343551735E-2</v>
      </c>
      <c r="AT207" s="323">
        <f t="shared" si="339"/>
        <v>1.1010320555375728</v>
      </c>
      <c r="AU207" s="323">
        <f t="shared" si="339"/>
        <v>-0.28563023085002803</v>
      </c>
      <c r="AV207" s="323">
        <f t="shared" si="339"/>
        <v>0.24058421081911696</v>
      </c>
      <c r="AW207" s="323">
        <f t="shared" si="339"/>
        <v>-0.13258429121063575</v>
      </c>
      <c r="AX207" s="323">
        <f t="shared" si="339"/>
        <v>0.58259125535911771</v>
      </c>
      <c r="AY207" s="323">
        <f t="shared" si="339"/>
        <v>-0.240489984512951</v>
      </c>
      <c r="AZ207" s="323">
        <f t="shared" si="339"/>
        <v>0.27831708146362732</v>
      </c>
      <c r="BA207" s="323">
        <f t="shared" si="339"/>
        <v>-0.19595762545495177</v>
      </c>
      <c r="BB207" s="323">
        <f t="shared" si="339"/>
        <v>0.67278786630437604</v>
      </c>
      <c r="BC207" s="323">
        <f t="shared" si="339"/>
        <v>-0.25943137637473423</v>
      </c>
      <c r="BD207" s="323">
        <f t="shared" si="339"/>
        <v>0.41927736160497941</v>
      </c>
      <c r="BE207" s="323">
        <f t="shared" si="339"/>
        <v>-0.20485768252245617</v>
      </c>
      <c r="BF207" s="323">
        <f t="shared" si="339"/>
        <v>0.70868674506017038</v>
      </c>
      <c r="BG207" s="323">
        <f t="shared" si="339"/>
        <v>-0.3932855486736837</v>
      </c>
      <c r="BH207" s="323">
        <f t="shared" si="339"/>
        <v>0.33697813922610642</v>
      </c>
      <c r="BI207" s="323">
        <f t="shared" si="339"/>
        <v>-0.20862023638650751</v>
      </c>
      <c r="BJ207" s="323">
        <f t="shared" si="339"/>
        <v>0.74339405052588581</v>
      </c>
      <c r="BK207" s="323">
        <f t="shared" si="339"/>
        <v>-0.34749598077733135</v>
      </c>
      <c r="BL207" s="323">
        <f t="shared" si="339"/>
        <v>0.69654669365745137</v>
      </c>
      <c r="BM207" s="323">
        <f t="shared" si="339"/>
        <v>-0.16806314027509595</v>
      </c>
      <c r="BN207" s="323">
        <f t="shared" si="339"/>
        <v>0.80070185202147193</v>
      </c>
      <c r="BO207" s="323">
        <f t="shared" si="339"/>
        <v>-0.41063530587615715</v>
      </c>
      <c r="BP207" s="323">
        <f t="shared" si="339"/>
        <v>0.59201245618837461</v>
      </c>
      <c r="BQ207" s="323">
        <f t="shared" si="339"/>
        <v>-0.14836432831069957</v>
      </c>
      <c r="BR207" s="323">
        <f t="shared" si="339"/>
        <v>0.71598861154294413</v>
      </c>
      <c r="BS207" s="323">
        <f t="shared" si="339"/>
        <v>-0.42636996146732609</v>
      </c>
      <c r="BT207" s="323">
        <f t="shared" si="339"/>
        <v>0.50442807743462814</v>
      </c>
      <c r="BU207" s="323">
        <f t="shared" si="339"/>
        <v>-0.12757232486593439</v>
      </c>
      <c r="BV207" s="323">
        <f t="shared" si="339"/>
        <v>0.68723222393799399</v>
      </c>
      <c r="BW207" s="323">
        <f t="shared" si="339"/>
        <v>-0.39679422056119218</v>
      </c>
      <c r="BX207" s="323">
        <f t="shared" ca="1" si="339"/>
        <v>0.26138665976187148</v>
      </c>
      <c r="BY207" s="323">
        <f t="shared" ca="1" si="339"/>
        <v>1.2639265780611808E-2</v>
      </c>
      <c r="BZ207" s="323">
        <f t="shared" ca="1" si="339"/>
        <v>0.55744512978891758</v>
      </c>
      <c r="CA207" s="323">
        <f t="shared" ca="1" si="339"/>
        <v>-0.2571322651267306</v>
      </c>
      <c r="CB207" s="323">
        <f ca="1">(CB205/CA205-1)</f>
        <v>0.10959460864044845</v>
      </c>
      <c r="CC207" s="323">
        <f ca="1">(CC205/CB205-1)</f>
        <v>-2.6308398287873347E-2</v>
      </c>
      <c r="CD207" s="323">
        <f ca="1">(CD205/CC205-1)</f>
        <v>0.45776864148242691</v>
      </c>
      <c r="CE207" s="323">
        <f ca="1">(CE205/CD205-1)</f>
        <v>-0.24246899787791898</v>
      </c>
      <c r="CF207" s="62"/>
      <c r="CG207" s="22"/>
      <c r="CH207" s="22"/>
    </row>
    <row r="208" spans="1:96" outlineLevel="1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330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5"/>
      <c r="CG208" s="22"/>
      <c r="CH208" s="22"/>
    </row>
    <row r="209" spans="1:96" s="115" customFormat="1" outlineLevel="1">
      <c r="A209" s="114" t="s">
        <v>130</v>
      </c>
      <c r="B209" s="115" t="s">
        <v>162</v>
      </c>
      <c r="C209" s="84"/>
      <c r="D209" s="84"/>
      <c r="E209" s="84"/>
      <c r="F209" s="84"/>
      <c r="G209" s="84"/>
      <c r="H209" s="84">
        <f t="shared" ref="H209:M209" si="340">H205/H213*100</f>
        <v>189.63</v>
      </c>
      <c r="I209" s="84">
        <f t="shared" si="340"/>
        <v>347.52073333333334</v>
      </c>
      <c r="J209" s="84">
        <f t="shared" si="340"/>
        <v>595.79654166666671</v>
      </c>
      <c r="K209" s="84">
        <f t="shared" si="340"/>
        <v>910.37290833333327</v>
      </c>
      <c r="L209" s="84">
        <f t="shared" si="340"/>
        <v>1465.5615500000001</v>
      </c>
      <c r="M209" s="84">
        <f t="shared" si="340"/>
        <v>3169.2290583333333</v>
      </c>
      <c r="N209" s="84">
        <f t="shared" ref="N209:S209" si="341">N205/N213</f>
        <v>4455.3348583333336</v>
      </c>
      <c r="O209" s="84">
        <f t="shared" si="341"/>
        <v>5747.1719249999996</v>
      </c>
      <c r="P209" s="84">
        <f t="shared" si="341"/>
        <v>7797.3727416666661</v>
      </c>
      <c r="Q209" s="84">
        <f t="shared" si="341"/>
        <v>10553.69205</v>
      </c>
      <c r="R209" s="84">
        <f t="shared" si="341"/>
        <v>18532.726111111111</v>
      </c>
      <c r="S209" s="84">
        <f t="shared" si="341"/>
        <v>28877.486175000002</v>
      </c>
      <c r="T209" s="84">
        <f>T205/T213</f>
        <v>42434.048985714282</v>
      </c>
      <c r="U209" s="544">
        <f t="shared" ref="U209:AD209" ca="1" si="342">+VLOOKUP($A209,INDIRECT($T$2),MATCH(U$4,Period_A_CTRP,FALSE),FALSE)</f>
        <v>53466.901721999995</v>
      </c>
      <c r="V209" s="544">
        <f t="shared" ca="1" si="342"/>
        <v>65229.620100839995</v>
      </c>
      <c r="W209" s="544">
        <f t="shared" ca="1" si="342"/>
        <v>76710.033238587828</v>
      </c>
      <c r="X209" s="544">
        <f t="shared" ca="1" si="342"/>
        <v>87510.805918580998</v>
      </c>
      <c r="Y209" s="544">
        <f t="shared" ca="1" si="342"/>
        <v>97368.02309724997</v>
      </c>
      <c r="Z209" s="544">
        <f t="shared" ca="1" si="342"/>
        <v>106142.05039458936</v>
      </c>
      <c r="AA209" s="544">
        <f t="shared" ca="1" si="342"/>
        <v>113793.78835071514</v>
      </c>
      <c r="AB209" s="544">
        <f t="shared" ca="1" si="342"/>
        <v>120356.46729846533</v>
      </c>
      <c r="AC209" s="544">
        <f t="shared" ca="1" si="342"/>
        <v>125909.39503283937</v>
      </c>
      <c r="AD209" s="544">
        <f t="shared" ca="1" si="342"/>
        <v>130556.69509000899</v>
      </c>
      <c r="AE209" s="546"/>
      <c r="AF209" s="84">
        <f t="shared" ref="AF209:BO209" si="343">AF205/AF213</f>
        <v>133.30230833333334</v>
      </c>
      <c r="AG209" s="84">
        <f t="shared" si="343"/>
        <v>107.15294166666666</v>
      </c>
      <c r="AH209" s="84">
        <f t="shared" si="343"/>
        <v>172.36442500000001</v>
      </c>
      <c r="AI209" s="84">
        <f t="shared" si="343"/>
        <v>182.97686666666667</v>
      </c>
      <c r="AJ209" s="84">
        <f t="shared" si="343"/>
        <v>223.27506666666667</v>
      </c>
      <c r="AK209" s="84">
        <f t="shared" si="343"/>
        <v>198.59675833333333</v>
      </c>
      <c r="AL209" s="84">
        <f t="shared" si="343"/>
        <v>236.425375</v>
      </c>
      <c r="AM209" s="84">
        <f t="shared" si="343"/>
        <v>252.07570833333335</v>
      </c>
      <c r="AN209" s="84">
        <f t="shared" si="343"/>
        <v>314.31034166666672</v>
      </c>
      <c r="AO209" s="84">
        <f t="shared" si="343"/>
        <v>297.41661666666664</v>
      </c>
      <c r="AP209" s="84">
        <f t="shared" si="343"/>
        <v>450.01414999999997</v>
      </c>
      <c r="AQ209" s="84">
        <f t="shared" si="343"/>
        <v>403.82044166666668</v>
      </c>
      <c r="AR209" s="84">
        <f t="shared" si="343"/>
        <v>598.17510833333336</v>
      </c>
      <c r="AS209" s="84">
        <f t="shared" si="343"/>
        <v>558.68844166666668</v>
      </c>
      <c r="AT209" s="84">
        <f t="shared" si="343"/>
        <v>1173.8223250000001</v>
      </c>
      <c r="AU209" s="84">
        <f t="shared" si="343"/>
        <v>838.54318333333333</v>
      </c>
      <c r="AV209" s="84">
        <f t="shared" si="343"/>
        <v>1040.2834333333333</v>
      </c>
      <c r="AW209" s="84">
        <f t="shared" si="343"/>
        <v>902.3581916666667</v>
      </c>
      <c r="AX209" s="84">
        <f t="shared" si="343"/>
        <v>1428.0641833333334</v>
      </c>
      <c r="AY209" s="84">
        <f t="shared" si="343"/>
        <v>1084.62905</v>
      </c>
      <c r="AZ209" s="84">
        <f t="shared" si="343"/>
        <v>1386.4998416666665</v>
      </c>
      <c r="BA209" s="84">
        <f t="shared" si="343"/>
        <v>1114.804625</v>
      </c>
      <c r="BB209" s="84">
        <f t="shared" si="343"/>
        <v>1864.8316500000001</v>
      </c>
      <c r="BC209" s="84">
        <f t="shared" si="343"/>
        <v>1381.0358083333335</v>
      </c>
      <c r="BD209" s="84">
        <f t="shared" si="343"/>
        <v>1960.0728583333334</v>
      </c>
      <c r="BE209" s="84">
        <f t="shared" si="343"/>
        <v>1558.5368750000002</v>
      </c>
      <c r="BF209" s="84">
        <f t="shared" si="343"/>
        <v>2663.0513000000001</v>
      </c>
      <c r="BG209" s="84">
        <f t="shared" si="343"/>
        <v>1615.7117083333333</v>
      </c>
      <c r="BH209" s="84">
        <f t="shared" si="343"/>
        <v>2592.2054800000001</v>
      </c>
      <c r="BI209" s="84">
        <f t="shared" si="343"/>
        <v>2051.41896</v>
      </c>
      <c r="BJ209" s="84">
        <f t="shared" si="343"/>
        <v>3576.4316100000001</v>
      </c>
      <c r="BK209" s="84">
        <f t="shared" si="343"/>
        <v>2333.636</v>
      </c>
      <c r="BL209" s="84">
        <f t="shared" si="343"/>
        <v>4399.0249333333331</v>
      </c>
      <c r="BM209" s="84">
        <f t="shared" si="343"/>
        <v>3659.710988888889</v>
      </c>
      <c r="BN209" s="84">
        <f t="shared" si="343"/>
        <v>6590.0483555555556</v>
      </c>
      <c r="BO209" s="84">
        <f t="shared" si="343"/>
        <v>3883.9418333333333</v>
      </c>
      <c r="BP209" s="84">
        <f t="shared" ref="BP209:BV209" si="344">BP205/BP213</f>
        <v>6956.1942499999996</v>
      </c>
      <c r="BQ209" s="84">
        <f t="shared" si="344"/>
        <v>5924.1431624999996</v>
      </c>
      <c r="BR209" s="84">
        <f t="shared" si="344"/>
        <v>10165.762200000001</v>
      </c>
      <c r="BS209" s="84">
        <f t="shared" si="344"/>
        <v>5831.3865624999999</v>
      </c>
      <c r="BT209" s="84">
        <f t="shared" si="344"/>
        <v>10026.173342857142</v>
      </c>
      <c r="BU209" s="84">
        <f t="shared" si="344"/>
        <v>8747.1110999999983</v>
      </c>
      <c r="BV209" s="84">
        <f t="shared" si="344"/>
        <v>14758.407714285713</v>
      </c>
      <c r="BW209" s="84">
        <f>BW205/BW213</f>
        <v>8902.3568285714282</v>
      </c>
      <c r="BX209" s="544">
        <f t="shared" ref="BX209:CE209" ca="1" si="345">+VLOOKUP($A209,INDIRECT($T$2),MATCH(BX$4,Period_A_CTRP,FALSE),FALSE)</f>
        <v>11229.314144</v>
      </c>
      <c r="BY209" s="544">
        <f t="shared" ca="1" si="345"/>
        <v>11371.244429999999</v>
      </c>
      <c r="BZ209" s="544">
        <f t="shared" ca="1" si="345"/>
        <v>17710.089257142856</v>
      </c>
      <c r="CA209" s="544">
        <f t="shared" ca="1" si="345"/>
        <v>13156.253890857144</v>
      </c>
      <c r="CB209" s="544">
        <f t="shared" ca="1" si="345"/>
        <v>14598.1083872</v>
      </c>
      <c r="CC209" s="544">
        <f t="shared" ca="1" si="345"/>
        <v>14214.055537499999</v>
      </c>
      <c r="CD209" s="544">
        <f t="shared" ca="1" si="345"/>
        <v>20720.804430857141</v>
      </c>
      <c r="CE209" s="544">
        <f t="shared" ca="1" si="345"/>
        <v>15696.651745282856</v>
      </c>
      <c r="CF209" s="195"/>
      <c r="CG209" s="22"/>
      <c r="CH209" s="22"/>
      <c r="CI209" s="116"/>
      <c r="CJ209"/>
      <c r="CK209"/>
      <c r="CL209"/>
      <c r="CM209"/>
      <c r="CN209"/>
      <c r="CO209"/>
      <c r="CP209" s="116"/>
      <c r="CQ209" s="116"/>
      <c r="CR209" s="116"/>
    </row>
    <row r="210" spans="1:96" outlineLevel="1">
      <c r="B210" s="12" t="s">
        <v>82</v>
      </c>
      <c r="C210" s="5"/>
      <c r="D210" s="5"/>
      <c r="E210" s="5"/>
      <c r="F210" s="5"/>
      <c r="G210" s="5"/>
      <c r="H210" s="126"/>
      <c r="I210" s="126">
        <f>(I209/H209-1)*1</f>
        <v>0.8326252878412348</v>
      </c>
      <c r="J210" s="126">
        <f>(J209/I209-1)*1</f>
        <v>0.71442013243910063</v>
      </c>
      <c r="K210" s="126">
        <f>(K209/J209-1)*1</f>
        <v>0.5279929383052111</v>
      </c>
      <c r="L210" s="126">
        <f>(L209/K209-1)*1</f>
        <v>0.60984749939788885</v>
      </c>
      <c r="M210" s="126">
        <f>(M209/L209-1)*1</f>
        <v>1.1624673889222414</v>
      </c>
      <c r="N210" s="323">
        <f>(N209/M209-1)</f>
        <v>0.40581030159945297</v>
      </c>
      <c r="O210" s="323">
        <f t="shared" ref="O210:AD210" si="346">(O209/N209-1)</f>
        <v>0.28995285601269494</v>
      </c>
      <c r="P210" s="323">
        <f t="shared" si="346"/>
        <v>0.35673211858311804</v>
      </c>
      <c r="Q210" s="323">
        <f t="shared" si="346"/>
        <v>0.35349333674975481</v>
      </c>
      <c r="R210" s="323">
        <f t="shared" si="346"/>
        <v>0.75604196363784482</v>
      </c>
      <c r="S210" s="323">
        <f t="shared" si="346"/>
        <v>0.55818879542426258</v>
      </c>
      <c r="T210" s="323">
        <f t="shared" si="346"/>
        <v>0.46945093241705194</v>
      </c>
      <c r="U210" s="323">
        <f t="shared" ca="1" si="346"/>
        <v>0.26</v>
      </c>
      <c r="V210" s="323">
        <f t="shared" ca="1" si="346"/>
        <v>0.21999999999999997</v>
      </c>
      <c r="W210" s="323">
        <f t="shared" ca="1" si="346"/>
        <v>0.17599999999999993</v>
      </c>
      <c r="X210" s="323">
        <f t="shared" ca="1" si="346"/>
        <v>0.14080000000000004</v>
      </c>
      <c r="Y210" s="323">
        <f t="shared" ca="1" si="346"/>
        <v>0.11264000000000007</v>
      </c>
      <c r="Z210" s="323">
        <f t="shared" ca="1" si="346"/>
        <v>9.011199999999997E-2</v>
      </c>
      <c r="AA210" s="323">
        <f t="shared" ca="1" si="346"/>
        <v>7.2089599999999976E-2</v>
      </c>
      <c r="AB210" s="323">
        <f t="shared" ca="1" si="346"/>
        <v>5.7671680000000114E-2</v>
      </c>
      <c r="AC210" s="323">
        <f t="shared" ca="1" si="346"/>
        <v>4.6137343999999914E-2</v>
      </c>
      <c r="AD210" s="323">
        <f t="shared" ca="1" si="346"/>
        <v>3.6909875200000108E-2</v>
      </c>
      <c r="AE210" s="328"/>
      <c r="AF210" s="126"/>
      <c r="AG210" s="126"/>
      <c r="AH210" s="126"/>
      <c r="AI210" s="126"/>
      <c r="AJ210" s="323">
        <f>(AJ209/AF209-1)</f>
        <v>0.67495274056582044</v>
      </c>
      <c r="AK210" s="323">
        <f t="shared" ref="AK210:AT210" si="347">(AK209/AG209-1)</f>
        <v>0.85339529876026887</v>
      </c>
      <c r="AL210" s="323">
        <f t="shared" si="347"/>
        <v>0.37165992924584046</v>
      </c>
      <c r="AM210" s="323">
        <f t="shared" si="347"/>
        <v>0.37763703644868785</v>
      </c>
      <c r="AN210" s="323">
        <f t="shared" si="347"/>
        <v>0.40772700847922727</v>
      </c>
      <c r="AO210" s="323">
        <f t="shared" si="347"/>
        <v>0.49759049021067003</v>
      </c>
      <c r="AP210" s="323">
        <f t="shared" si="347"/>
        <v>0.90340884518000641</v>
      </c>
      <c r="AQ210" s="323">
        <f t="shared" si="347"/>
        <v>0.60198078718744719</v>
      </c>
      <c r="AR210" s="323">
        <f t="shared" si="347"/>
        <v>0.90313530621181948</v>
      </c>
      <c r="AS210" s="323">
        <f t="shared" si="347"/>
        <v>0.87847083975413409</v>
      </c>
      <c r="AT210" s="323">
        <f t="shared" si="347"/>
        <v>1.6084120354882177</v>
      </c>
      <c r="AU210" s="323">
        <f t="shared" ref="AU210:CA210" si="348">(AU209/AQ209-1)</f>
        <v>1.0765248531561666</v>
      </c>
      <c r="AV210" s="323">
        <f t="shared" si="348"/>
        <v>0.73909515598505116</v>
      </c>
      <c r="AW210" s="323">
        <f t="shared" si="348"/>
        <v>0.61513667434173547</v>
      </c>
      <c r="AX210" s="323">
        <f t="shared" si="348"/>
        <v>0.21659313587627782</v>
      </c>
      <c r="AY210" s="323">
        <f t="shared" si="348"/>
        <v>0.2934683288324389</v>
      </c>
      <c r="AZ210" s="323">
        <f t="shared" si="348"/>
        <v>0.33280969132034288</v>
      </c>
      <c r="BA210" s="323">
        <f t="shared" si="348"/>
        <v>0.23543470353047069</v>
      </c>
      <c r="BB210" s="323">
        <f t="shared" si="348"/>
        <v>0.30584582385308523</v>
      </c>
      <c r="BC210" s="323">
        <f t="shared" si="348"/>
        <v>0.2732793837057319</v>
      </c>
      <c r="BD210" s="323">
        <f t="shared" si="348"/>
        <v>0.4136841559081561</v>
      </c>
      <c r="BE210" s="323">
        <f t="shared" si="348"/>
        <v>0.39803588902405229</v>
      </c>
      <c r="BF210" s="323">
        <f t="shared" si="348"/>
        <v>0.4280384505486059</v>
      </c>
      <c r="BG210" s="323">
        <f t="shared" si="348"/>
        <v>0.16992745487404282</v>
      </c>
      <c r="BH210" s="323">
        <f t="shared" si="348"/>
        <v>0.3225046553647879</v>
      </c>
      <c r="BI210" s="323">
        <f t="shared" si="348"/>
        <v>0.31624666243459898</v>
      </c>
      <c r="BJ210" s="323">
        <f t="shared" si="348"/>
        <v>0.34298261922329476</v>
      </c>
      <c r="BK210" s="323">
        <f t="shared" si="348"/>
        <v>0.444339350865528</v>
      </c>
      <c r="BL210" s="323">
        <f t="shared" si="348"/>
        <v>0.69702015032131359</v>
      </c>
      <c r="BM210" s="323">
        <f t="shared" si="348"/>
        <v>0.7839900382362115</v>
      </c>
      <c r="BN210" s="323">
        <f t="shared" si="348"/>
        <v>0.84263228664270629</v>
      </c>
      <c r="BO210" s="323">
        <f t="shared" si="348"/>
        <v>0.66433061254340142</v>
      </c>
      <c r="BP210" s="323">
        <f t="shared" si="348"/>
        <v>0.58130366511221099</v>
      </c>
      <c r="BQ210" s="323">
        <f t="shared" si="348"/>
        <v>0.6187461743525835</v>
      </c>
      <c r="BR210" s="323">
        <f t="shared" si="348"/>
        <v>0.54259296010021529</v>
      </c>
      <c r="BS210" s="323">
        <f t="shared" si="348"/>
        <v>0.50140934461299635</v>
      </c>
      <c r="BT210" s="323">
        <f t="shared" si="348"/>
        <v>0.44133027091029597</v>
      </c>
      <c r="BU210" s="323">
        <f t="shared" si="348"/>
        <v>0.47651919612096294</v>
      </c>
      <c r="BV210" s="323">
        <f t="shared" si="348"/>
        <v>0.45177581611005135</v>
      </c>
      <c r="BW210" s="323">
        <f t="shared" si="348"/>
        <v>0.52662779823583827</v>
      </c>
      <c r="BX210" s="323">
        <f t="shared" ca="1" si="348"/>
        <v>0.12000000000000011</v>
      </c>
      <c r="BY210" s="323">
        <f t="shared" ca="1" si="348"/>
        <v>0.30000000000000004</v>
      </c>
      <c r="BZ210" s="323">
        <f t="shared" ca="1" si="348"/>
        <v>0.19999999999999996</v>
      </c>
      <c r="CA210" s="323">
        <f t="shared" ca="1" si="348"/>
        <v>0.47783942434582727</v>
      </c>
      <c r="CB210" s="323">
        <f ca="1">(CB209/BX209-1)</f>
        <v>0.30000000000000004</v>
      </c>
      <c r="CC210" s="323">
        <f ca="1">(CC209/BY209-1)</f>
        <v>0.25</v>
      </c>
      <c r="CD210" s="323">
        <f ca="1">(CD209/BZ209-1)</f>
        <v>0.16999999999999993</v>
      </c>
      <c r="CE210" s="323">
        <f ca="1">(CE209/CA209-1)</f>
        <v>0.19309431662694987</v>
      </c>
      <c r="CF210" s="62"/>
      <c r="CG210" s="22"/>
      <c r="CH210" s="22"/>
    </row>
    <row r="211" spans="1:96" outlineLevel="1">
      <c r="B211" s="12" t="s">
        <v>83</v>
      </c>
      <c r="C211" s="5"/>
      <c r="D211" s="5"/>
      <c r="E211" s="5"/>
      <c r="F211" s="5"/>
      <c r="G211" s="5"/>
      <c r="H211" s="126"/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324"/>
      <c r="T211" s="324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330"/>
      <c r="AF211" s="126"/>
      <c r="AG211" s="323">
        <f>(AG209/AF209-1)</f>
        <v>-0.19616589535177476</v>
      </c>
      <c r="AH211" s="323">
        <f t="shared" ref="AH211:CA211" si="349">(AH209/AG209-1)</f>
        <v>0.60858322990510549</v>
      </c>
      <c r="AI211" s="323">
        <f t="shared" si="349"/>
        <v>6.1569791252845008E-2</v>
      </c>
      <c r="AJ211" s="323">
        <f t="shared" si="349"/>
        <v>0.22023658364099208</v>
      </c>
      <c r="AK211" s="323">
        <f t="shared" si="349"/>
        <v>-0.11052872450902118</v>
      </c>
      <c r="AL211" s="323">
        <f t="shared" si="349"/>
        <v>0.19047952738067098</v>
      </c>
      <c r="AM211" s="323">
        <f t="shared" si="349"/>
        <v>6.6195658284705416E-2</v>
      </c>
      <c r="AN211" s="323">
        <f t="shared" si="349"/>
        <v>0.24688865795444737</v>
      </c>
      <c r="AO211" s="323">
        <f t="shared" si="349"/>
        <v>-5.3748549635430853E-2</v>
      </c>
      <c r="AP211" s="323">
        <f t="shared" si="349"/>
        <v>0.51307669034631953</v>
      </c>
      <c r="AQ211" s="323">
        <f t="shared" si="349"/>
        <v>-0.10264945743002374</v>
      </c>
      <c r="AR211" s="323">
        <f t="shared" si="349"/>
        <v>0.4812898174855067</v>
      </c>
      <c r="AS211" s="323">
        <f t="shared" si="349"/>
        <v>-6.6011885343551846E-2</v>
      </c>
      <c r="AT211" s="323">
        <f t="shared" si="349"/>
        <v>1.1010320555375728</v>
      </c>
      <c r="AU211" s="323">
        <f t="shared" si="349"/>
        <v>-0.28563023085002814</v>
      </c>
      <c r="AV211" s="323">
        <f t="shared" si="349"/>
        <v>0.24058421081911674</v>
      </c>
      <c r="AW211" s="323">
        <f t="shared" si="349"/>
        <v>-0.13258429121063564</v>
      </c>
      <c r="AX211" s="323">
        <f t="shared" si="349"/>
        <v>0.58259125535911771</v>
      </c>
      <c r="AY211" s="323">
        <f t="shared" si="349"/>
        <v>-0.240489984512951</v>
      </c>
      <c r="AZ211" s="323">
        <f t="shared" si="349"/>
        <v>0.2783170814636271</v>
      </c>
      <c r="BA211" s="323">
        <f t="shared" si="349"/>
        <v>-0.19595762545495177</v>
      </c>
      <c r="BB211" s="323">
        <f t="shared" si="349"/>
        <v>0.67278786630437604</v>
      </c>
      <c r="BC211" s="323">
        <f t="shared" si="349"/>
        <v>-0.25943137637473412</v>
      </c>
      <c r="BD211" s="323">
        <f t="shared" si="349"/>
        <v>0.41927736160497919</v>
      </c>
      <c r="BE211" s="323">
        <f t="shared" si="349"/>
        <v>-0.20485768252245617</v>
      </c>
      <c r="BF211" s="323">
        <f t="shared" si="349"/>
        <v>0.70868674506017038</v>
      </c>
      <c r="BG211" s="323">
        <f t="shared" si="349"/>
        <v>-0.3932855486736837</v>
      </c>
      <c r="BH211" s="323">
        <f t="shared" si="349"/>
        <v>0.60437376707132762</v>
      </c>
      <c r="BI211" s="323">
        <f t="shared" si="349"/>
        <v>-0.20862023638650751</v>
      </c>
      <c r="BJ211" s="323">
        <f t="shared" si="349"/>
        <v>0.74339405052588581</v>
      </c>
      <c r="BK211" s="323">
        <f t="shared" si="349"/>
        <v>-0.34749598077733135</v>
      </c>
      <c r="BL211" s="323">
        <f t="shared" si="349"/>
        <v>0.88505188184161243</v>
      </c>
      <c r="BM211" s="323">
        <f t="shared" si="349"/>
        <v>-0.16806314027509583</v>
      </c>
      <c r="BN211" s="323">
        <f t="shared" si="349"/>
        <v>0.80070185202147215</v>
      </c>
      <c r="BO211" s="323">
        <f t="shared" si="349"/>
        <v>-0.41063530587615715</v>
      </c>
      <c r="BP211" s="323">
        <f t="shared" si="349"/>
        <v>0.791014013211921</v>
      </c>
      <c r="BQ211" s="323">
        <f t="shared" si="349"/>
        <v>-0.14836432831069946</v>
      </c>
      <c r="BR211" s="323">
        <f t="shared" si="349"/>
        <v>0.71598861154294435</v>
      </c>
      <c r="BS211" s="323">
        <f t="shared" si="349"/>
        <v>-0.4263699614673262</v>
      </c>
      <c r="BT211" s="323">
        <f t="shared" si="349"/>
        <v>0.71934637421100356</v>
      </c>
      <c r="BU211" s="323">
        <f t="shared" si="349"/>
        <v>-0.12757232486593451</v>
      </c>
      <c r="BV211" s="323">
        <f t="shared" si="349"/>
        <v>0.68723222393799444</v>
      </c>
      <c r="BW211" s="323">
        <f t="shared" si="349"/>
        <v>-0.39679422056119218</v>
      </c>
      <c r="BX211" s="323">
        <f t="shared" ca="1" si="349"/>
        <v>0.26138665976187125</v>
      </c>
      <c r="BY211" s="323">
        <f t="shared" ca="1" si="349"/>
        <v>1.2639265780611808E-2</v>
      </c>
      <c r="BZ211" s="323">
        <f t="shared" ca="1" si="349"/>
        <v>0.5574451297889178</v>
      </c>
      <c r="CA211" s="323">
        <f t="shared" ca="1" si="349"/>
        <v>-0.25713226512673015</v>
      </c>
      <c r="CB211" s="323">
        <f ca="1">(CB209/CA209-1)</f>
        <v>0.10959460864044779</v>
      </c>
      <c r="CC211" s="323">
        <f ca="1">(CC209/CB209-1)</f>
        <v>-2.6308398287873347E-2</v>
      </c>
      <c r="CD211" s="323">
        <f ca="1">(CD209/CC209-1)</f>
        <v>0.45776864148242691</v>
      </c>
      <c r="CE211" s="323">
        <f ca="1">(CE209/CD209-1)</f>
        <v>-0.24246899787791953</v>
      </c>
      <c r="CF211" s="62"/>
      <c r="CG211" s="22"/>
      <c r="CH211" s="22"/>
    </row>
    <row r="212" spans="1:96" outlineLevel="1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330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5"/>
      <c r="CG212" s="22"/>
      <c r="CH212" s="22"/>
    </row>
    <row r="213" spans="1:96" outlineLevel="1">
      <c r="A213" s="3" t="s">
        <v>149</v>
      </c>
      <c r="B213" s="12" t="s">
        <v>122</v>
      </c>
      <c r="C213" s="6"/>
      <c r="D213" s="6"/>
      <c r="E213" s="6"/>
      <c r="F213" s="6"/>
      <c r="G213" s="6"/>
      <c r="H213" s="564">
        <v>12</v>
      </c>
      <c r="I213" s="564">
        <v>12</v>
      </c>
      <c r="J213" s="564">
        <v>12</v>
      </c>
      <c r="K213" s="564">
        <v>12</v>
      </c>
      <c r="L213" s="564">
        <v>12</v>
      </c>
      <c r="M213" s="564">
        <v>12</v>
      </c>
      <c r="N213" s="319">
        <v>0.12</v>
      </c>
      <c r="O213" s="319">
        <v>0.12</v>
      </c>
      <c r="P213" s="319">
        <v>0.12</v>
      </c>
      <c r="Q213" s="327">
        <f>AVERAGE(BH213:BK213)</f>
        <v>0.1</v>
      </c>
      <c r="R213" s="327">
        <f>AVERAGE(BL213:BO213)</f>
        <v>0.09</v>
      </c>
      <c r="S213" s="327">
        <f>AVERAGE(BP213:BS213)</f>
        <v>0.08</v>
      </c>
      <c r="T213" s="327">
        <f>AVERAGE(BT213:BW213)</f>
        <v>7.0000000000000007E-2</v>
      </c>
      <c r="U213" s="545">
        <f t="shared" ref="U213:AD213" ca="1" si="350">+VLOOKUP($A213,INDIRECT($T$2),MATCH(U$4,Period_A_CTRP,FALSE),FALSE)</f>
        <v>7.0000000000000007E-2</v>
      </c>
      <c r="V213" s="545">
        <f t="shared" ca="1" si="350"/>
        <v>7.0000000000000007E-2</v>
      </c>
      <c r="W213" s="545">
        <f t="shared" ca="1" si="350"/>
        <v>7.0000000000000007E-2</v>
      </c>
      <c r="X213" s="545">
        <f t="shared" ca="1" si="350"/>
        <v>7.0000000000000007E-2</v>
      </c>
      <c r="Y213" s="545">
        <f t="shared" ca="1" si="350"/>
        <v>7.0000000000000007E-2</v>
      </c>
      <c r="Z213" s="545">
        <f t="shared" ca="1" si="350"/>
        <v>7.0000000000000007E-2</v>
      </c>
      <c r="AA213" s="545">
        <f t="shared" ca="1" si="350"/>
        <v>7.0000000000000007E-2</v>
      </c>
      <c r="AB213" s="545">
        <f t="shared" ca="1" si="350"/>
        <v>7.0000000000000007E-2</v>
      </c>
      <c r="AC213" s="545">
        <f t="shared" ca="1" si="350"/>
        <v>7.0000000000000007E-2</v>
      </c>
      <c r="AD213" s="545">
        <f t="shared" ca="1" si="350"/>
        <v>7.0000000000000007E-2</v>
      </c>
      <c r="AE213" s="547"/>
      <c r="AF213" s="42">
        <v>0.12</v>
      </c>
      <c r="AG213" s="42">
        <v>0.12</v>
      </c>
      <c r="AH213" s="42">
        <v>0.12</v>
      </c>
      <c r="AI213" s="42">
        <v>0.12</v>
      </c>
      <c r="AJ213" s="42">
        <v>0.12</v>
      </c>
      <c r="AK213" s="42">
        <v>0.12</v>
      </c>
      <c r="AL213" s="42">
        <v>0.12</v>
      </c>
      <c r="AM213" s="42">
        <v>0.12</v>
      </c>
      <c r="AN213" s="42">
        <v>0.12</v>
      </c>
      <c r="AO213" s="42">
        <v>0.12</v>
      </c>
      <c r="AP213" s="42">
        <v>0.12</v>
      </c>
      <c r="AQ213" s="42">
        <v>0.12</v>
      </c>
      <c r="AR213" s="42">
        <v>0.12</v>
      </c>
      <c r="AS213" s="42">
        <v>0.12</v>
      </c>
      <c r="AT213" s="42">
        <v>0.12</v>
      </c>
      <c r="AU213" s="42">
        <v>0.12</v>
      </c>
      <c r="AV213" s="42">
        <v>0.12</v>
      </c>
      <c r="AW213" s="42">
        <v>0.12</v>
      </c>
      <c r="AX213" s="42">
        <v>0.12</v>
      </c>
      <c r="AY213" s="42">
        <v>0.12</v>
      </c>
      <c r="AZ213" s="42">
        <v>0.12</v>
      </c>
      <c r="BA213" s="42">
        <v>0.12</v>
      </c>
      <c r="BB213" s="42">
        <v>0.12</v>
      </c>
      <c r="BC213" s="42">
        <v>0.12</v>
      </c>
      <c r="BD213" s="42">
        <v>0.12</v>
      </c>
      <c r="BE213" s="42">
        <v>0.12</v>
      </c>
      <c r="BF213" s="42">
        <v>0.12</v>
      </c>
      <c r="BG213" s="42">
        <v>0.12</v>
      </c>
      <c r="BH213" s="42">
        <v>0.1</v>
      </c>
      <c r="BI213" s="42">
        <v>0.1</v>
      </c>
      <c r="BJ213" s="42">
        <v>0.1</v>
      </c>
      <c r="BK213" s="42">
        <v>0.1</v>
      </c>
      <c r="BL213" s="42">
        <v>0.09</v>
      </c>
      <c r="BM213" s="42">
        <v>0.09</v>
      </c>
      <c r="BN213" s="42">
        <v>0.09</v>
      </c>
      <c r="BO213" s="42">
        <v>0.09</v>
      </c>
      <c r="BP213" s="42">
        <v>0.08</v>
      </c>
      <c r="BQ213" s="42">
        <v>0.08</v>
      </c>
      <c r="BR213" s="42">
        <v>0.08</v>
      </c>
      <c r="BS213" s="42">
        <v>0.08</v>
      </c>
      <c r="BT213" s="42">
        <v>7.0000000000000007E-2</v>
      </c>
      <c r="BU213" s="42">
        <v>7.0000000000000007E-2</v>
      </c>
      <c r="BV213" s="42">
        <v>7.0000000000000007E-2</v>
      </c>
      <c r="BW213" s="42">
        <v>7.0000000000000007E-2</v>
      </c>
      <c r="BX213" s="545">
        <f t="shared" ref="BX213:CE213" ca="1" si="351">+VLOOKUP($A213,INDIRECT($T$2),MATCH(BX$4,Period_A_CTRP,FALSE),FALSE)</f>
        <v>7.0000000000000007E-2</v>
      </c>
      <c r="BY213" s="545">
        <f t="shared" ca="1" si="351"/>
        <v>7.0000000000000007E-2</v>
      </c>
      <c r="BZ213" s="545">
        <f t="shared" ca="1" si="351"/>
        <v>7.0000000000000007E-2</v>
      </c>
      <c r="CA213" s="545">
        <f t="shared" ca="1" si="351"/>
        <v>6.9999999999999965E-2</v>
      </c>
      <c r="CB213" s="545">
        <f t="shared" ca="1" si="351"/>
        <v>7.0000000000000007E-2</v>
      </c>
      <c r="CC213" s="545">
        <f t="shared" ca="1" si="351"/>
        <v>7.0000000000000007E-2</v>
      </c>
      <c r="CD213" s="545">
        <f t="shared" ca="1" si="351"/>
        <v>7.0000000000000007E-2</v>
      </c>
      <c r="CE213" s="545">
        <f t="shared" ca="1" si="351"/>
        <v>7.0000000000000048E-2</v>
      </c>
      <c r="CF213" s="62"/>
      <c r="CG213" s="22"/>
      <c r="CH213" s="22"/>
    </row>
    <row r="214" spans="1:96" outlineLevel="1">
      <c r="B214" s="12" t="s">
        <v>113</v>
      </c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323"/>
      <c r="O214" s="323"/>
      <c r="P214" s="323"/>
      <c r="Q214" s="323"/>
      <c r="R214" s="323">
        <f t="shared" ref="R214:AD214" si="352">(R213/Q213-1)</f>
        <v>-0.10000000000000009</v>
      </c>
      <c r="S214" s="323">
        <f t="shared" si="352"/>
        <v>-0.11111111111111105</v>
      </c>
      <c r="T214" s="323">
        <f t="shared" si="352"/>
        <v>-0.12499999999999989</v>
      </c>
      <c r="U214" s="117">
        <f t="shared" ca="1" si="352"/>
        <v>0</v>
      </c>
      <c r="V214" s="117">
        <f t="shared" ca="1" si="352"/>
        <v>0</v>
      </c>
      <c r="W214" s="117">
        <f t="shared" ca="1" si="352"/>
        <v>0</v>
      </c>
      <c r="X214" s="117">
        <f t="shared" ca="1" si="352"/>
        <v>0</v>
      </c>
      <c r="Y214" s="117">
        <f t="shared" ca="1" si="352"/>
        <v>0</v>
      </c>
      <c r="Z214" s="117">
        <f t="shared" ca="1" si="352"/>
        <v>0</v>
      </c>
      <c r="AA214" s="117">
        <f t="shared" ca="1" si="352"/>
        <v>0</v>
      </c>
      <c r="AB214" s="117">
        <f t="shared" ca="1" si="352"/>
        <v>0</v>
      </c>
      <c r="AC214" s="117">
        <f t="shared" ca="1" si="352"/>
        <v>0</v>
      </c>
      <c r="AD214" s="117">
        <f t="shared" ca="1" si="352"/>
        <v>0</v>
      </c>
      <c r="AE214" s="328"/>
      <c r="AF214" s="323"/>
      <c r="AG214" s="323"/>
      <c r="AH214" s="323"/>
      <c r="AI214" s="323"/>
      <c r="AJ214" s="323">
        <f t="shared" ref="AJ214:BL214" si="353">AJ213-AF213</f>
        <v>0</v>
      </c>
      <c r="AK214" s="323">
        <f t="shared" si="353"/>
        <v>0</v>
      </c>
      <c r="AL214" s="323">
        <f t="shared" si="353"/>
        <v>0</v>
      </c>
      <c r="AM214" s="323">
        <f t="shared" si="353"/>
        <v>0</v>
      </c>
      <c r="AN214" s="323">
        <f t="shared" si="353"/>
        <v>0</v>
      </c>
      <c r="AO214" s="323">
        <f t="shared" si="353"/>
        <v>0</v>
      </c>
      <c r="AP214" s="323">
        <f t="shared" si="353"/>
        <v>0</v>
      </c>
      <c r="AQ214" s="323">
        <f t="shared" si="353"/>
        <v>0</v>
      </c>
      <c r="AR214" s="323">
        <f t="shared" si="353"/>
        <v>0</v>
      </c>
      <c r="AS214" s="323">
        <f t="shared" si="353"/>
        <v>0</v>
      </c>
      <c r="AT214" s="323">
        <f t="shared" si="353"/>
        <v>0</v>
      </c>
      <c r="AU214" s="323">
        <f t="shared" si="353"/>
        <v>0</v>
      </c>
      <c r="AV214" s="323">
        <f t="shared" si="353"/>
        <v>0</v>
      </c>
      <c r="AW214" s="323">
        <f t="shared" si="353"/>
        <v>0</v>
      </c>
      <c r="AX214" s="323">
        <f t="shared" si="353"/>
        <v>0</v>
      </c>
      <c r="AY214" s="323">
        <f t="shared" si="353"/>
        <v>0</v>
      </c>
      <c r="AZ214" s="323">
        <f t="shared" si="353"/>
        <v>0</v>
      </c>
      <c r="BA214" s="323">
        <f t="shared" si="353"/>
        <v>0</v>
      </c>
      <c r="BB214" s="323">
        <f t="shared" si="353"/>
        <v>0</v>
      </c>
      <c r="BC214" s="323">
        <f t="shared" si="353"/>
        <v>0</v>
      </c>
      <c r="BD214" s="323">
        <f t="shared" si="353"/>
        <v>0</v>
      </c>
      <c r="BE214" s="323">
        <f t="shared" si="353"/>
        <v>0</v>
      </c>
      <c r="BF214" s="323">
        <f t="shared" si="353"/>
        <v>0</v>
      </c>
      <c r="BG214" s="323">
        <f t="shared" si="353"/>
        <v>0</v>
      </c>
      <c r="BH214" s="323">
        <f t="shared" si="353"/>
        <v>-1.999999999999999E-2</v>
      </c>
      <c r="BI214" s="323">
        <f t="shared" si="353"/>
        <v>-1.999999999999999E-2</v>
      </c>
      <c r="BJ214" s="323">
        <f t="shared" si="353"/>
        <v>-1.999999999999999E-2</v>
      </c>
      <c r="BK214" s="323">
        <f t="shared" si="353"/>
        <v>-1.999999999999999E-2</v>
      </c>
      <c r="BL214" s="323">
        <f t="shared" si="353"/>
        <v>-1.0000000000000009E-2</v>
      </c>
      <c r="BM214" s="323">
        <f t="shared" ref="BM214:CA214" si="354">(BM213/BI213-1)</f>
        <v>-0.10000000000000009</v>
      </c>
      <c r="BN214" s="323">
        <f t="shared" si="354"/>
        <v>-0.10000000000000009</v>
      </c>
      <c r="BO214" s="323">
        <f t="shared" si="354"/>
        <v>-0.10000000000000009</v>
      </c>
      <c r="BP214" s="323">
        <f t="shared" si="354"/>
        <v>-0.11111111111111105</v>
      </c>
      <c r="BQ214" s="323">
        <f t="shared" si="354"/>
        <v>-0.11111111111111105</v>
      </c>
      <c r="BR214" s="323">
        <f t="shared" si="354"/>
        <v>-0.11111111111111105</v>
      </c>
      <c r="BS214" s="323">
        <f t="shared" si="354"/>
        <v>-0.11111111111111105</v>
      </c>
      <c r="BT214" s="323">
        <f t="shared" si="354"/>
        <v>-0.12499999999999989</v>
      </c>
      <c r="BU214" s="323">
        <f t="shared" si="354"/>
        <v>-0.12499999999999989</v>
      </c>
      <c r="BV214" s="323">
        <f t="shared" si="354"/>
        <v>-0.12499999999999989</v>
      </c>
      <c r="BW214" s="323">
        <f t="shared" si="354"/>
        <v>-0.12499999999999989</v>
      </c>
      <c r="BX214" s="323">
        <f t="shared" ca="1" si="354"/>
        <v>0</v>
      </c>
      <c r="BY214" s="323">
        <f t="shared" ca="1" si="354"/>
        <v>0</v>
      </c>
      <c r="BZ214" s="323">
        <f t="shared" ca="1" si="354"/>
        <v>0</v>
      </c>
      <c r="CA214" s="323">
        <f t="shared" ca="1" si="354"/>
        <v>-5.5511151231257827E-16</v>
      </c>
      <c r="CB214" s="323">
        <f ca="1">(CB213/BX213-1)</f>
        <v>0</v>
      </c>
      <c r="CC214" s="323">
        <f ca="1">(CC213/BY213-1)</f>
        <v>0</v>
      </c>
      <c r="CD214" s="323">
        <f ca="1">(CD213/BZ213-1)</f>
        <v>0</v>
      </c>
      <c r="CE214" s="323">
        <f ca="1">(CE213/CA213-1)</f>
        <v>1.1102230246251565E-15</v>
      </c>
      <c r="CF214" s="62"/>
      <c r="CG214" s="22"/>
      <c r="CH214" s="22"/>
    </row>
    <row r="215" spans="1:96" outlineLevel="1">
      <c r="B215" s="12" t="s">
        <v>114</v>
      </c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126"/>
      <c r="S215" s="323">
        <f>S216/R216-1</f>
        <v>0.76990459749269013</v>
      </c>
      <c r="T215" s="323">
        <f>T216/S216-1</f>
        <v>0.68964310152966335</v>
      </c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330"/>
      <c r="AF215" s="323"/>
      <c r="AG215" s="323">
        <f t="shared" ref="AG215:BL215" si="355">AG213-AF213</f>
        <v>0</v>
      </c>
      <c r="AH215" s="323">
        <f t="shared" si="355"/>
        <v>0</v>
      </c>
      <c r="AI215" s="323">
        <f t="shared" si="355"/>
        <v>0</v>
      </c>
      <c r="AJ215" s="323">
        <f t="shared" si="355"/>
        <v>0</v>
      </c>
      <c r="AK215" s="323">
        <f t="shared" si="355"/>
        <v>0</v>
      </c>
      <c r="AL215" s="323">
        <f t="shared" si="355"/>
        <v>0</v>
      </c>
      <c r="AM215" s="323">
        <f t="shared" si="355"/>
        <v>0</v>
      </c>
      <c r="AN215" s="323">
        <f t="shared" si="355"/>
        <v>0</v>
      </c>
      <c r="AO215" s="323">
        <f t="shared" si="355"/>
        <v>0</v>
      </c>
      <c r="AP215" s="323">
        <f t="shared" si="355"/>
        <v>0</v>
      </c>
      <c r="AQ215" s="323">
        <f t="shared" si="355"/>
        <v>0</v>
      </c>
      <c r="AR215" s="323">
        <f t="shared" si="355"/>
        <v>0</v>
      </c>
      <c r="AS215" s="323">
        <f t="shared" si="355"/>
        <v>0</v>
      </c>
      <c r="AT215" s="323">
        <f t="shared" si="355"/>
        <v>0</v>
      </c>
      <c r="AU215" s="323">
        <f t="shared" si="355"/>
        <v>0</v>
      </c>
      <c r="AV215" s="323">
        <f t="shared" si="355"/>
        <v>0</v>
      </c>
      <c r="AW215" s="323">
        <f t="shared" si="355"/>
        <v>0</v>
      </c>
      <c r="AX215" s="323">
        <f t="shared" si="355"/>
        <v>0</v>
      </c>
      <c r="AY215" s="323">
        <f t="shared" si="355"/>
        <v>0</v>
      </c>
      <c r="AZ215" s="323">
        <f t="shared" si="355"/>
        <v>0</v>
      </c>
      <c r="BA215" s="323">
        <f t="shared" si="355"/>
        <v>0</v>
      </c>
      <c r="BB215" s="323">
        <f t="shared" si="355"/>
        <v>0</v>
      </c>
      <c r="BC215" s="323">
        <f t="shared" si="355"/>
        <v>0</v>
      </c>
      <c r="BD215" s="323">
        <f t="shared" si="355"/>
        <v>0</v>
      </c>
      <c r="BE215" s="323">
        <f t="shared" si="355"/>
        <v>0</v>
      </c>
      <c r="BF215" s="323">
        <f t="shared" si="355"/>
        <v>0</v>
      </c>
      <c r="BG215" s="323">
        <f t="shared" si="355"/>
        <v>0</v>
      </c>
      <c r="BH215" s="323">
        <f t="shared" si="355"/>
        <v>-1.999999999999999E-2</v>
      </c>
      <c r="BI215" s="323">
        <f t="shared" si="355"/>
        <v>0</v>
      </c>
      <c r="BJ215" s="323">
        <f t="shared" si="355"/>
        <v>0</v>
      </c>
      <c r="BK215" s="323">
        <f t="shared" si="355"/>
        <v>0</v>
      </c>
      <c r="BL215" s="323">
        <f t="shared" si="355"/>
        <v>-1.0000000000000009E-2</v>
      </c>
      <c r="BM215" s="323">
        <f t="shared" ref="BM215:CA215" si="356">(BM213/BL213-1)</f>
        <v>0</v>
      </c>
      <c r="BN215" s="323">
        <f t="shared" si="356"/>
        <v>0</v>
      </c>
      <c r="BO215" s="323">
        <f t="shared" si="356"/>
        <v>0</v>
      </c>
      <c r="BP215" s="323">
        <f t="shared" si="356"/>
        <v>-0.11111111111111105</v>
      </c>
      <c r="BQ215" s="323">
        <f t="shared" si="356"/>
        <v>0</v>
      </c>
      <c r="BR215" s="323">
        <f t="shared" si="356"/>
        <v>0</v>
      </c>
      <c r="BS215" s="323">
        <f t="shared" si="356"/>
        <v>0</v>
      </c>
      <c r="BT215" s="323">
        <f t="shared" si="356"/>
        <v>-0.12499999999999989</v>
      </c>
      <c r="BU215" s="323">
        <f t="shared" si="356"/>
        <v>0</v>
      </c>
      <c r="BV215" s="323">
        <f t="shared" si="356"/>
        <v>0</v>
      </c>
      <c r="BW215" s="323">
        <f t="shared" si="356"/>
        <v>0</v>
      </c>
      <c r="BX215" s="323">
        <f t="shared" ca="1" si="356"/>
        <v>0</v>
      </c>
      <c r="BY215" s="323">
        <f t="shared" ca="1" si="356"/>
        <v>0</v>
      </c>
      <c r="BZ215" s="323">
        <f t="shared" ca="1" si="356"/>
        <v>0</v>
      </c>
      <c r="CA215" s="323">
        <f t="shared" ca="1" si="356"/>
        <v>-5.5511151231257827E-16</v>
      </c>
      <c r="CB215" s="323">
        <f ca="1">(CB213/CA213-1)</f>
        <v>6.6613381477509392E-16</v>
      </c>
      <c r="CC215" s="323">
        <f ca="1">(CC213/CB213-1)</f>
        <v>0</v>
      </c>
      <c r="CD215" s="323">
        <f ca="1">(CD213/CC213-1)</f>
        <v>0</v>
      </c>
      <c r="CE215" s="323">
        <f ca="1">(CE213/CD213-1)</f>
        <v>6.6613381477509392E-16</v>
      </c>
      <c r="CF215" s="62"/>
      <c r="CG215" s="22"/>
      <c r="CH215" s="22"/>
    </row>
    <row r="216" spans="1:96" outlineLevel="1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>
        <f>R217+R221</f>
        <v>758.465915</v>
      </c>
      <c r="S216" s="6">
        <f>S217+S221</f>
        <v>1342.4123099999999</v>
      </c>
      <c r="T216" s="6">
        <f>T217+T221</f>
        <v>2268.1976989999998</v>
      </c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330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5"/>
      <c r="CG216" s="22"/>
      <c r="CH216" s="22"/>
    </row>
    <row r="217" spans="1:96" s="115" customFormat="1" outlineLevel="1">
      <c r="A217" s="3" t="s">
        <v>123</v>
      </c>
      <c r="B217" s="189" t="s">
        <v>16</v>
      </c>
      <c r="C217" s="197">
        <f t="shared" ref="C217:R217" si="357">Rev_Corp</f>
        <v>0</v>
      </c>
      <c r="D217" s="197">
        <f t="shared" si="357"/>
        <v>0</v>
      </c>
      <c r="E217" s="197">
        <f t="shared" si="357"/>
        <v>0</v>
      </c>
      <c r="F217" s="197">
        <f t="shared" si="357"/>
        <v>0</v>
      </c>
      <c r="G217" s="197">
        <f t="shared" si="357"/>
        <v>0</v>
      </c>
      <c r="H217" s="197">
        <f t="shared" si="357"/>
        <v>0</v>
      </c>
      <c r="I217" s="197">
        <f t="shared" si="357"/>
        <v>0</v>
      </c>
      <c r="J217" s="197">
        <f t="shared" si="357"/>
        <v>35.818021999999999</v>
      </c>
      <c r="K217" s="197">
        <f t="shared" si="357"/>
        <v>55.968929000000003</v>
      </c>
      <c r="L217" s="197">
        <f t="shared" si="357"/>
        <v>83.136519000000007</v>
      </c>
      <c r="M217" s="197">
        <f t="shared" si="357"/>
        <v>129.65842699999999</v>
      </c>
      <c r="N217" s="565">
        <f t="shared" si="357"/>
        <v>161.61012299999999</v>
      </c>
      <c r="O217" s="565">
        <f t="shared" si="357"/>
        <v>199.756068</v>
      </c>
      <c r="P217" s="565">
        <f t="shared" si="357"/>
        <v>266.98853400000002</v>
      </c>
      <c r="Q217" s="565">
        <f t="shared" si="357"/>
        <v>373.40701200000001</v>
      </c>
      <c r="R217" s="565">
        <f t="shared" si="357"/>
        <v>473.24543999999997</v>
      </c>
      <c r="S217" s="565">
        <f>Rev_Corp</f>
        <v>608.12212499999998</v>
      </c>
      <c r="T217" s="565">
        <f>Rev_Corp</f>
        <v>753.21890399999995</v>
      </c>
      <c r="U217" s="550">
        <f t="shared" ref="U217:AD217" ca="1" si="358">+VLOOKUP($A217,INDIRECT($T$2),MATCH(U$4,Period_A_CTRP,FALSE),FALSE)</f>
        <v>903.8626847999999</v>
      </c>
      <c r="V217" s="550">
        <f t="shared" ca="1" si="358"/>
        <v>1066.5579680639999</v>
      </c>
      <c r="W217" s="550">
        <f t="shared" ca="1" si="358"/>
        <v>1237.20724295424</v>
      </c>
      <c r="X217" s="550">
        <f t="shared" ca="1" si="358"/>
        <v>1410.4162569678338</v>
      </c>
      <c r="Y217" s="550">
        <f t="shared" ca="1" si="358"/>
        <v>1579.666207803974</v>
      </c>
      <c r="Z217" s="550">
        <f t="shared" ca="1" si="358"/>
        <v>1737.6328285843715</v>
      </c>
      <c r="AA217" s="550">
        <f t="shared" ca="1" si="358"/>
        <v>1876.6434548711213</v>
      </c>
      <c r="AB217" s="550">
        <f t="shared" ca="1" si="358"/>
        <v>1989.2420621633887</v>
      </c>
      <c r="AC217" s="550">
        <f t="shared" ca="1" si="358"/>
        <v>2068.8117446499245</v>
      </c>
      <c r="AD217" s="550">
        <f t="shared" ca="1" si="358"/>
        <v>2151.5642144359217</v>
      </c>
      <c r="AE217" s="536"/>
      <c r="AF217" s="197">
        <f t="shared" ref="AF217:BW217" si="359">Rev_Corp</f>
        <v>5.1000399999999999</v>
      </c>
      <c r="AG217" s="197">
        <f t="shared" si="359"/>
        <v>7.9504570000000001</v>
      </c>
      <c r="AH217" s="197">
        <f t="shared" si="359"/>
        <v>11.909481</v>
      </c>
      <c r="AI217" s="197">
        <f t="shared" si="359"/>
        <v>10.858044</v>
      </c>
      <c r="AJ217" s="197">
        <f t="shared" si="359"/>
        <v>10.136005000000001</v>
      </c>
      <c r="AK217" s="197">
        <f t="shared" si="359"/>
        <v>13.361644</v>
      </c>
      <c r="AL217" s="197">
        <f t="shared" si="359"/>
        <v>16.248985999999999</v>
      </c>
      <c r="AM217" s="197">
        <f t="shared" si="359"/>
        <v>16.222294000000002</v>
      </c>
      <c r="AN217" s="197">
        <f t="shared" si="359"/>
        <v>13.195615999999999</v>
      </c>
      <c r="AO217" s="197">
        <f t="shared" si="359"/>
        <v>18.366313999999999</v>
      </c>
      <c r="AP217" s="197">
        <f t="shared" si="359"/>
        <v>24.776140999999999</v>
      </c>
      <c r="AQ217" s="197">
        <f t="shared" si="359"/>
        <v>26.798448</v>
      </c>
      <c r="AR217" s="197">
        <f t="shared" si="359"/>
        <v>26.274357999999999</v>
      </c>
      <c r="AS217" s="197">
        <f t="shared" si="359"/>
        <v>33.659354999999998</v>
      </c>
      <c r="AT217" s="197">
        <f t="shared" si="359"/>
        <v>33.938560000000003</v>
      </c>
      <c r="AU217" s="197">
        <f t="shared" si="359"/>
        <v>35.786154000000003</v>
      </c>
      <c r="AV217" s="197">
        <f t="shared" si="359"/>
        <v>31.444896</v>
      </c>
      <c r="AW217" s="197">
        <f t="shared" si="359"/>
        <v>39.560735999999999</v>
      </c>
      <c r="AX217" s="197">
        <f t="shared" si="359"/>
        <v>43.367133000000003</v>
      </c>
      <c r="AY217" s="197">
        <f t="shared" si="359"/>
        <v>47.237358</v>
      </c>
      <c r="AZ217" s="197">
        <f t="shared" si="359"/>
        <v>38.801113000000001</v>
      </c>
      <c r="BA217" s="197">
        <f t="shared" si="359"/>
        <v>49.348796</v>
      </c>
      <c r="BB217" s="197">
        <f t="shared" si="359"/>
        <v>54.073605999999998</v>
      </c>
      <c r="BC217" s="197">
        <f t="shared" si="359"/>
        <v>57.532553</v>
      </c>
      <c r="BD217" s="197">
        <f t="shared" si="359"/>
        <v>50.973700999999998</v>
      </c>
      <c r="BE217" s="565">
        <f t="shared" si="359"/>
        <v>65.944002999999995</v>
      </c>
      <c r="BF217" s="565">
        <f t="shared" si="359"/>
        <v>71.852907000000002</v>
      </c>
      <c r="BG217" s="565">
        <f t="shared" si="359"/>
        <v>78.217922999999999</v>
      </c>
      <c r="BH217" s="565">
        <f t="shared" si="359"/>
        <v>70.956328999999997</v>
      </c>
      <c r="BI217" s="565">
        <f t="shared" si="359"/>
        <v>90.442575000000005</v>
      </c>
      <c r="BJ217" s="565">
        <f t="shared" si="359"/>
        <v>103.858502</v>
      </c>
      <c r="BK217" s="565">
        <f t="shared" si="359"/>
        <v>108.14960600000001</v>
      </c>
      <c r="BL217" s="565">
        <f t="shared" si="359"/>
        <v>92.713417000000007</v>
      </c>
      <c r="BM217" s="565">
        <f t="shared" si="359"/>
        <v>120.746346</v>
      </c>
      <c r="BN217" s="565">
        <f t="shared" si="359"/>
        <v>124.01266200000001</v>
      </c>
      <c r="BO217" s="565">
        <f t="shared" si="359"/>
        <v>135.77301499999999</v>
      </c>
      <c r="BP217" s="565">
        <f t="shared" si="359"/>
        <v>115.63206099999999</v>
      </c>
      <c r="BQ217" s="565">
        <f t="shared" si="359"/>
        <v>147.096362</v>
      </c>
      <c r="BR217" s="565">
        <f t="shared" si="359"/>
        <v>166.33779100000001</v>
      </c>
      <c r="BS217" s="565">
        <f t="shared" si="359"/>
        <v>179.05591100000001</v>
      </c>
      <c r="BT217" s="565">
        <f t="shared" si="359"/>
        <v>144.48166599999999</v>
      </c>
      <c r="BU217" s="565">
        <f t="shared" si="359"/>
        <v>199.352936</v>
      </c>
      <c r="BV217" s="565">
        <f t="shared" si="359"/>
        <v>202.879041</v>
      </c>
      <c r="BW217" s="565">
        <f t="shared" si="359"/>
        <v>206.50526099999999</v>
      </c>
      <c r="BX217" s="543">
        <f t="shared" ref="BX217:CE217" ca="1" si="360">+VLOOKUP($A217,INDIRECT($T$2),MATCH(BX$4,Period_A_CTRP,FALSE),FALSE)</f>
        <v>176.26763251999998</v>
      </c>
      <c r="BY217" s="543">
        <f t="shared" ca="1" si="360"/>
        <v>239.22352319999999</v>
      </c>
      <c r="BZ217" s="543">
        <f t="shared" ca="1" si="360"/>
        <v>249.54122043000001</v>
      </c>
      <c r="CA217" s="543">
        <f t="shared" ca="1" si="360"/>
        <v>238.83030865000001</v>
      </c>
      <c r="CB217" s="543">
        <f t="shared" ca="1" si="360"/>
        <v>215.04651167439997</v>
      </c>
      <c r="CC217" s="543">
        <f t="shared" ca="1" si="360"/>
        <v>277.49928691199995</v>
      </c>
      <c r="CD217" s="543">
        <f t="shared" ca="1" si="360"/>
        <v>294.45864010740002</v>
      </c>
      <c r="CE217" s="543">
        <f t="shared" ca="1" si="360"/>
        <v>279.55352937019995</v>
      </c>
      <c r="CF217" s="195"/>
      <c r="CG217" s="22"/>
      <c r="CH217" s="22"/>
      <c r="CI217" s="199"/>
      <c r="CJ217"/>
      <c r="CK217"/>
      <c r="CL217"/>
      <c r="CM217"/>
      <c r="CN217"/>
      <c r="CO217"/>
      <c r="CP217" s="202"/>
      <c r="CQ217" s="202"/>
      <c r="CR217" s="202"/>
    </row>
    <row r="218" spans="1:96" outlineLevel="1">
      <c r="B218" s="12" t="s">
        <v>82</v>
      </c>
      <c r="C218" s="5"/>
      <c r="D218" s="5"/>
      <c r="E218" s="5"/>
      <c r="F218" s="5"/>
      <c r="G218" s="5"/>
      <c r="H218" s="126"/>
      <c r="I218" s="126"/>
      <c r="J218" s="126"/>
      <c r="K218" s="126">
        <f>(K217/J217-1)*1</f>
        <v>0.56259128435400485</v>
      </c>
      <c r="L218" s="126">
        <f>(L217/K217-1)*1</f>
        <v>0.48540485739864714</v>
      </c>
      <c r="M218" s="126">
        <f>(M217/L217-1)*1</f>
        <v>0.55958450702031404</v>
      </c>
      <c r="N218" s="323">
        <f>(N217/M217-1)</f>
        <v>0.24642976734555022</v>
      </c>
      <c r="O218" s="323">
        <f t="shared" ref="O218:AD218" si="361">(O217/N217-1)</f>
        <v>0.23603685395375895</v>
      </c>
      <c r="P218" s="323">
        <f t="shared" si="361"/>
        <v>0.33657283442323283</v>
      </c>
      <c r="Q218" s="323">
        <f t="shared" si="361"/>
        <v>0.39858819555149871</v>
      </c>
      <c r="R218" s="323">
        <f t="shared" si="361"/>
        <v>0.26737159397531607</v>
      </c>
      <c r="S218" s="323">
        <f t="shared" si="361"/>
        <v>0.28500366532850263</v>
      </c>
      <c r="T218" s="323">
        <f t="shared" si="361"/>
        <v>0.23859809244730235</v>
      </c>
      <c r="U218" s="323">
        <f t="shared" ca="1" si="361"/>
        <v>0.19999999999999996</v>
      </c>
      <c r="V218" s="323">
        <f t="shared" ca="1" si="361"/>
        <v>0.17999999999999994</v>
      </c>
      <c r="W218" s="323">
        <f t="shared" ca="1" si="361"/>
        <v>0.16000000000000014</v>
      </c>
      <c r="X218" s="323">
        <f t="shared" ca="1" si="361"/>
        <v>0.14000000000000012</v>
      </c>
      <c r="Y218" s="323">
        <f t="shared" ca="1" si="361"/>
        <v>0.12000000000000011</v>
      </c>
      <c r="Z218" s="323">
        <f t="shared" ca="1" si="361"/>
        <v>0.10000000000000009</v>
      </c>
      <c r="AA218" s="323">
        <f t="shared" ca="1" si="361"/>
        <v>8.0000000000000071E-2</v>
      </c>
      <c r="AB218" s="323">
        <f t="shared" ca="1" si="361"/>
        <v>6.0000000000000053E-2</v>
      </c>
      <c r="AC218" s="323">
        <f t="shared" ca="1" si="361"/>
        <v>4.0000000000000036E-2</v>
      </c>
      <c r="AD218" s="323">
        <f t="shared" ca="1" si="361"/>
        <v>4.0000000000000036E-2</v>
      </c>
      <c r="AE218" s="328"/>
      <c r="AF218" s="126"/>
      <c r="AG218" s="126"/>
      <c r="AH218" s="126"/>
      <c r="AI218" s="126"/>
      <c r="AJ218" s="323">
        <f>(AJ217/AF217-1)</f>
        <v>0.98743637304805465</v>
      </c>
      <c r="AK218" s="323">
        <f t="shared" ref="AK218:AR218" si="362">(AK217/AG217-1)</f>
        <v>0.68061332826528087</v>
      </c>
      <c r="AL218" s="323">
        <f t="shared" si="362"/>
        <v>0.3643739806965558</v>
      </c>
      <c r="AM218" s="323">
        <f t="shared" si="362"/>
        <v>0.49403465301853644</v>
      </c>
      <c r="AN218" s="323">
        <f t="shared" si="362"/>
        <v>0.30185571139714296</v>
      </c>
      <c r="AO218" s="323">
        <f t="shared" si="362"/>
        <v>0.37455495745882761</v>
      </c>
      <c r="AP218" s="323">
        <f t="shared" si="362"/>
        <v>0.5247807463185703</v>
      </c>
      <c r="AQ218" s="323">
        <f t="shared" si="362"/>
        <v>0.65195181396663116</v>
      </c>
      <c r="AR218" s="323">
        <f t="shared" si="362"/>
        <v>0.99114296748253361</v>
      </c>
      <c r="AS218" s="323">
        <f t="shared" ref="AS218:CA218" si="363">(AS217/AO217-1)</f>
        <v>0.83266794850616188</v>
      </c>
      <c r="AT218" s="323">
        <f t="shared" si="363"/>
        <v>0.3698081553539756</v>
      </c>
      <c r="AU218" s="323">
        <f t="shared" si="363"/>
        <v>0.33538158627693671</v>
      </c>
      <c r="AV218" s="323">
        <f t="shared" si="363"/>
        <v>0.19679026981363346</v>
      </c>
      <c r="AW218" s="323">
        <f t="shared" si="363"/>
        <v>0.17532662167768809</v>
      </c>
      <c r="AX218" s="323">
        <f t="shared" si="363"/>
        <v>0.27781299501216306</v>
      </c>
      <c r="AY218" s="323">
        <f t="shared" si="363"/>
        <v>0.31998979270027172</v>
      </c>
      <c r="AZ218" s="323">
        <f t="shared" si="363"/>
        <v>0.2339399373430906</v>
      </c>
      <c r="BA218" s="323">
        <f t="shared" si="363"/>
        <v>0.24741855156587578</v>
      </c>
      <c r="BB218" s="323">
        <f t="shared" si="363"/>
        <v>0.24687988943147321</v>
      </c>
      <c r="BC218" s="323">
        <f t="shared" si="363"/>
        <v>0.21794603754088016</v>
      </c>
      <c r="BD218" s="323">
        <f t="shared" si="363"/>
        <v>0.31371749568111618</v>
      </c>
      <c r="BE218" s="323">
        <f t="shared" si="363"/>
        <v>0.33628392879129199</v>
      </c>
      <c r="BF218" s="323">
        <f t="shared" si="363"/>
        <v>0.32879813859649021</v>
      </c>
      <c r="BG218" s="323">
        <f t="shared" si="363"/>
        <v>0.35954201441399625</v>
      </c>
      <c r="BH218" s="323">
        <f t="shared" si="363"/>
        <v>0.39201838610855422</v>
      </c>
      <c r="BI218" s="323">
        <f t="shared" si="363"/>
        <v>0.37150568490663227</v>
      </c>
      <c r="BJ218" s="323">
        <f t="shared" si="363"/>
        <v>0.44543215210485498</v>
      </c>
      <c r="BK218" s="323">
        <f t="shared" si="363"/>
        <v>0.38267038872919201</v>
      </c>
      <c r="BL218" s="323">
        <f t="shared" si="363"/>
        <v>0.30662646034013408</v>
      </c>
      <c r="BM218" s="323">
        <f t="shared" si="363"/>
        <v>0.33506090466796201</v>
      </c>
      <c r="BN218" s="323">
        <f t="shared" si="363"/>
        <v>0.1940540216919362</v>
      </c>
      <c r="BO218" s="323">
        <f t="shared" si="363"/>
        <v>0.25541848945801959</v>
      </c>
      <c r="BP218" s="323">
        <f t="shared" si="363"/>
        <v>0.24719878461603884</v>
      </c>
      <c r="BQ218" s="323">
        <f t="shared" si="363"/>
        <v>0.21822619791740938</v>
      </c>
      <c r="BR218" s="323">
        <f t="shared" si="363"/>
        <v>0.34129683467322081</v>
      </c>
      <c r="BS218" s="323">
        <f t="shared" si="363"/>
        <v>0.31878864883423286</v>
      </c>
      <c r="BT218" s="323">
        <f t="shared" si="363"/>
        <v>0.24949486111814601</v>
      </c>
      <c r="BU218" s="323">
        <f t="shared" si="363"/>
        <v>0.35525402049032317</v>
      </c>
      <c r="BV218" s="323">
        <f t="shared" si="363"/>
        <v>0.21968098638510836</v>
      </c>
      <c r="BW218" s="323">
        <f t="shared" si="363"/>
        <v>0.15330044033005974</v>
      </c>
      <c r="BX218" s="323">
        <f t="shared" ca="1" si="363"/>
        <v>0.21999999999999997</v>
      </c>
      <c r="BY218" s="323">
        <f t="shared" ca="1" si="363"/>
        <v>0.19999999999999996</v>
      </c>
      <c r="BZ218" s="323">
        <f t="shared" ca="1" si="363"/>
        <v>0.22999999999999998</v>
      </c>
      <c r="CA218" s="323">
        <f t="shared" ca="1" si="363"/>
        <v>0.15653377300639337</v>
      </c>
      <c r="CB218" s="323">
        <f ca="1">(CB217/BX217-1)</f>
        <v>0.21999999999999997</v>
      </c>
      <c r="CC218" s="323">
        <f ca="1">(CC217/BY217-1)</f>
        <v>0.15999999999999992</v>
      </c>
      <c r="CD218" s="323">
        <f ca="1">(CD217/BZ217-1)</f>
        <v>0.17999999999999994</v>
      </c>
      <c r="CE218" s="323">
        <f ca="1">(CE217/CA217-1)</f>
        <v>0.17051110870471153</v>
      </c>
      <c r="CF218" s="62"/>
      <c r="CG218" s="22"/>
      <c r="CH218" s="22"/>
    </row>
    <row r="219" spans="1:96" outlineLevel="1">
      <c r="B219" s="12" t="s">
        <v>83</v>
      </c>
      <c r="C219" s="5"/>
      <c r="D219" s="5"/>
      <c r="E219" s="5"/>
      <c r="F219" s="5"/>
      <c r="G219" s="5"/>
      <c r="H219" s="126"/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323"/>
      <c r="T219" s="323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330"/>
      <c r="AF219" s="126"/>
      <c r="AG219" s="323">
        <f>(AG217/AF217-1)</f>
        <v>0.55890091058109359</v>
      </c>
      <c r="AH219" s="323">
        <f t="shared" ref="AH219:CA219" si="364">(AH217/AG217-1)</f>
        <v>0.49796181527678218</v>
      </c>
      <c r="AI219" s="323">
        <f t="shared" si="364"/>
        <v>-8.8285711190941085E-2</v>
      </c>
      <c r="AJ219" s="323">
        <f t="shared" si="364"/>
        <v>-6.649807276522357E-2</v>
      </c>
      <c r="AK219" s="323">
        <f t="shared" si="364"/>
        <v>0.31823573488766033</v>
      </c>
      <c r="AL219" s="323">
        <f t="shared" si="364"/>
        <v>0.21609182223385082</v>
      </c>
      <c r="AM219" s="323">
        <f t="shared" si="364"/>
        <v>-1.6426871190606818E-3</v>
      </c>
      <c r="AN219" s="323">
        <f t="shared" si="364"/>
        <v>-0.18657521556445733</v>
      </c>
      <c r="AO219" s="323">
        <f t="shared" si="364"/>
        <v>0.39184968704757694</v>
      </c>
      <c r="AP219" s="323">
        <f>(AP217/AO217-1)</f>
        <v>0.34899909693365805</v>
      </c>
      <c r="AQ219" s="323">
        <f t="shared" si="364"/>
        <v>8.1623163187519943E-2</v>
      </c>
      <c r="AR219" s="323">
        <f t="shared" si="364"/>
        <v>-1.955672955389065E-2</v>
      </c>
      <c r="AS219" s="323">
        <f t="shared" si="364"/>
        <v>0.2810724052705682</v>
      </c>
      <c r="AT219" s="323">
        <f t="shared" si="364"/>
        <v>8.2950193192947719E-3</v>
      </c>
      <c r="AU219" s="323">
        <f t="shared" si="364"/>
        <v>5.4439375153218172E-2</v>
      </c>
      <c r="AV219" s="323">
        <f t="shared" si="364"/>
        <v>-0.12131110820123348</v>
      </c>
      <c r="AW219" s="323">
        <f t="shared" si="364"/>
        <v>0.25809721234250538</v>
      </c>
      <c r="AX219" s="323">
        <f t="shared" si="364"/>
        <v>9.6216536517419904E-2</v>
      </c>
      <c r="AY219" s="323">
        <f t="shared" si="364"/>
        <v>8.9243275546944778E-2</v>
      </c>
      <c r="AZ219" s="323">
        <f t="shared" si="364"/>
        <v>-0.17859265118087253</v>
      </c>
      <c r="BA219" s="323">
        <f t="shared" si="364"/>
        <v>0.27183970212400865</v>
      </c>
      <c r="BB219" s="323">
        <f t="shared" si="364"/>
        <v>9.5743166662060064E-2</v>
      </c>
      <c r="BC219" s="323">
        <f t="shared" si="364"/>
        <v>6.3967381794363787E-2</v>
      </c>
      <c r="BD219" s="323">
        <f t="shared" si="364"/>
        <v>-0.11400245005640552</v>
      </c>
      <c r="BE219" s="323">
        <f t="shared" si="364"/>
        <v>0.29368677781509334</v>
      </c>
      <c r="BF219" s="323">
        <f t="shared" si="364"/>
        <v>8.9604872788811463E-2</v>
      </c>
      <c r="BG219" s="323">
        <f t="shared" si="364"/>
        <v>8.8583973366588964E-2</v>
      </c>
      <c r="BH219" s="323">
        <f t="shared" si="364"/>
        <v>-9.2837980369281925E-2</v>
      </c>
      <c r="BI219" s="323">
        <f t="shared" si="364"/>
        <v>0.27462308541920222</v>
      </c>
      <c r="BJ219" s="323">
        <f t="shared" si="364"/>
        <v>0.14833641125321773</v>
      </c>
      <c r="BK219" s="323">
        <f t="shared" si="364"/>
        <v>4.1316829314561154E-2</v>
      </c>
      <c r="BL219" s="323">
        <f t="shared" si="364"/>
        <v>-0.14272996056962051</v>
      </c>
      <c r="BM219" s="323">
        <f t="shared" si="364"/>
        <v>0.30236108113672477</v>
      </c>
      <c r="BN219" s="323">
        <f t="shared" si="364"/>
        <v>2.7051054613280057E-2</v>
      </c>
      <c r="BO219" s="323">
        <f t="shared" si="364"/>
        <v>9.4831872893753166E-2</v>
      </c>
      <c r="BP219" s="323">
        <f t="shared" si="364"/>
        <v>-0.1483428352828432</v>
      </c>
      <c r="BQ219" s="323">
        <f t="shared" si="364"/>
        <v>0.27210706726052392</v>
      </c>
      <c r="BR219" s="323">
        <f t="shared" si="364"/>
        <v>0.13080832685719312</v>
      </c>
      <c r="BS219" s="323">
        <f t="shared" si="364"/>
        <v>7.6459594200093628E-2</v>
      </c>
      <c r="BT219" s="323">
        <f t="shared" si="364"/>
        <v>-0.1930918940732429</v>
      </c>
      <c r="BU219" s="323">
        <f t="shared" si="364"/>
        <v>0.37978015840431967</v>
      </c>
      <c r="BV219" s="323">
        <f t="shared" si="364"/>
        <v>1.7687750533054603E-2</v>
      </c>
      <c r="BW219" s="323">
        <f t="shared" si="364"/>
        <v>1.7873802942512951E-2</v>
      </c>
      <c r="BX219" s="323">
        <f t="shared" ca="1" si="364"/>
        <v>-0.14642546312657867</v>
      </c>
      <c r="BY219" s="323">
        <f t="shared" ca="1" si="364"/>
        <v>0.35716081154523249</v>
      </c>
      <c r="BZ219" s="323">
        <f t="shared" ca="1" si="364"/>
        <v>4.3129944296381062E-2</v>
      </c>
      <c r="CA219" s="323">
        <f t="shared" ca="1" si="364"/>
        <v>-4.2922414828072797E-2</v>
      </c>
      <c r="CB219" s="323">
        <f ca="1">(CB217/CA217-1)</f>
        <v>-9.9584500434802936E-2</v>
      </c>
      <c r="CC219" s="323">
        <f ca="1">(CC217/CB217-1)</f>
        <v>0.29041519786267989</v>
      </c>
      <c r="CD219" s="323">
        <f ca="1">(CD217/CC217-1)</f>
        <v>6.1114943335974115E-2</v>
      </c>
      <c r="CE219" s="323">
        <f ca="1">(CE217/CD217-1)</f>
        <v>-5.0618690393202992E-2</v>
      </c>
      <c r="CF219" s="62"/>
      <c r="CG219" s="22"/>
      <c r="CH219" s="22"/>
    </row>
    <row r="220" spans="1:96" outlineLevel="1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330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5"/>
      <c r="CG220" s="22"/>
      <c r="CH220" s="22"/>
    </row>
    <row r="221" spans="1:96" s="115" customFormat="1" outlineLevel="1">
      <c r="A221" s="3" t="s">
        <v>124</v>
      </c>
      <c r="B221" s="189" t="s">
        <v>17</v>
      </c>
      <c r="C221" s="197"/>
      <c r="D221" s="197"/>
      <c r="E221" s="197"/>
      <c r="F221" s="197"/>
      <c r="G221" s="197"/>
      <c r="H221" s="197"/>
      <c r="I221" s="197"/>
      <c r="J221" s="197"/>
      <c r="K221" s="197">
        <f t="shared" ref="K221:Q221" si="365">Rev_Others</f>
        <v>21.722117000000001</v>
      </c>
      <c r="L221" s="197">
        <f t="shared" si="365"/>
        <v>54.496575</v>
      </c>
      <c r="M221" s="197">
        <f t="shared" si="365"/>
        <v>71.781954999999996</v>
      </c>
      <c r="N221" s="565">
        <f t="shared" si="365"/>
        <v>106.03686399999999</v>
      </c>
      <c r="O221" s="565">
        <f t="shared" si="365"/>
        <v>126.989085</v>
      </c>
      <c r="P221" s="565">
        <f t="shared" si="365"/>
        <v>138.38865300000001</v>
      </c>
      <c r="Q221" s="565">
        <f t="shared" si="365"/>
        <v>192.28147300000001</v>
      </c>
      <c r="R221" s="565">
        <f>Rev_Others</f>
        <v>285.22047500000002</v>
      </c>
      <c r="S221" s="565">
        <f>Rev_Others</f>
        <v>734.29018499999995</v>
      </c>
      <c r="T221" s="565">
        <f>Rev_Others</f>
        <v>1514.978795</v>
      </c>
      <c r="U221" s="549">
        <f t="shared" ref="U221:AD221" ca="1" si="366">+VLOOKUP($A221,INDIRECT($T$2),MATCH(U$4,Period_A_CTRP,FALSE),FALSE)</f>
        <v>1969.4724335000001</v>
      </c>
      <c r="V221" s="549">
        <f t="shared" ca="1" si="366"/>
        <v>2363.3669202000001</v>
      </c>
      <c r="W221" s="549">
        <f t="shared" ca="1" si="366"/>
        <v>2717.87195823</v>
      </c>
      <c r="X221" s="549">
        <f t="shared" ca="1" si="366"/>
        <v>2989.6591540530003</v>
      </c>
      <c r="Y221" s="549">
        <f t="shared" ca="1" si="366"/>
        <v>3228.8318863772406</v>
      </c>
      <c r="Z221" s="549">
        <f t="shared" ca="1" si="366"/>
        <v>3422.561799559875</v>
      </c>
      <c r="AA221" s="549">
        <f t="shared" ca="1" si="366"/>
        <v>3559.4642715422701</v>
      </c>
      <c r="AB221" s="549">
        <f t="shared" ca="1" si="366"/>
        <v>3701.8428424039612</v>
      </c>
      <c r="AC221" s="549">
        <f t="shared" ca="1" si="366"/>
        <v>3849.9165561001196</v>
      </c>
      <c r="AD221" s="549">
        <f t="shared" ca="1" si="366"/>
        <v>4003.9132183441243</v>
      </c>
      <c r="AE221" s="548"/>
      <c r="AF221" s="197"/>
      <c r="AG221" s="197"/>
      <c r="AH221" s="197"/>
      <c r="AI221" s="197"/>
      <c r="AJ221" s="197"/>
      <c r="AK221" s="197"/>
      <c r="AL221" s="197"/>
      <c r="AM221" s="197"/>
      <c r="AN221" s="197">
        <f t="shared" ref="AN221:BW221" si="367">Rev_Others</f>
        <v>8.5579350000000005</v>
      </c>
      <c r="AO221" s="197">
        <f t="shared" si="367"/>
        <v>14.08826</v>
      </c>
      <c r="AP221" s="197">
        <f t="shared" si="367"/>
        <v>14.733525</v>
      </c>
      <c r="AQ221" s="197">
        <f t="shared" si="367"/>
        <v>17.116855000000001</v>
      </c>
      <c r="AR221" s="197">
        <f t="shared" si="367"/>
        <v>12.514360999999999</v>
      </c>
      <c r="AS221" s="197">
        <f t="shared" si="367"/>
        <v>17.559484000000001</v>
      </c>
      <c r="AT221" s="197">
        <f t="shared" si="367"/>
        <v>23.035896000000001</v>
      </c>
      <c r="AU221" s="197">
        <f t="shared" si="367"/>
        <v>18.672214</v>
      </c>
      <c r="AV221" s="197">
        <f t="shared" si="367"/>
        <v>20.959425</v>
      </c>
      <c r="AW221" s="197">
        <f t="shared" si="367"/>
        <v>24.751318000000001</v>
      </c>
      <c r="AX221" s="197">
        <f t="shared" si="367"/>
        <v>28.982115</v>
      </c>
      <c r="AY221" s="197">
        <f t="shared" si="367"/>
        <v>31.344006</v>
      </c>
      <c r="AZ221" s="197">
        <f t="shared" si="367"/>
        <v>31.170117999999999</v>
      </c>
      <c r="BA221" s="197">
        <f t="shared" si="367"/>
        <v>33.187612999999999</v>
      </c>
      <c r="BB221" s="197">
        <f t="shared" si="367"/>
        <v>34.085034999999998</v>
      </c>
      <c r="BC221" s="197">
        <f t="shared" si="367"/>
        <v>28.546319</v>
      </c>
      <c r="BD221" s="197">
        <f t="shared" si="367"/>
        <v>35.198399999999999</v>
      </c>
      <c r="BE221" s="197">
        <f t="shared" si="367"/>
        <v>34.190294000000002</v>
      </c>
      <c r="BF221" s="565">
        <f t="shared" si="367"/>
        <v>34.141393999999998</v>
      </c>
      <c r="BG221" s="565">
        <f t="shared" si="367"/>
        <v>34.858564999999999</v>
      </c>
      <c r="BH221" s="565">
        <f t="shared" si="367"/>
        <v>35.268438000000003</v>
      </c>
      <c r="BI221" s="565">
        <f t="shared" si="367"/>
        <v>45.842407999999999</v>
      </c>
      <c r="BJ221" s="565">
        <f t="shared" si="367"/>
        <v>47.873735000000003</v>
      </c>
      <c r="BK221" s="565">
        <f t="shared" si="367"/>
        <v>63.296892</v>
      </c>
      <c r="BL221" s="565">
        <f t="shared" si="367"/>
        <v>54.989178000000003</v>
      </c>
      <c r="BM221" s="565">
        <f t="shared" si="367"/>
        <v>58.377132000000003</v>
      </c>
      <c r="BN221" s="565">
        <f t="shared" si="367"/>
        <v>56.452092</v>
      </c>
      <c r="BO221" s="565">
        <f t="shared" si="367"/>
        <v>115.402073</v>
      </c>
      <c r="BP221" s="565">
        <f t="shared" si="367"/>
        <v>163.979409</v>
      </c>
      <c r="BQ221" s="565">
        <f t="shared" si="367"/>
        <v>142.11943199999999</v>
      </c>
      <c r="BR221" s="565">
        <f t="shared" si="367"/>
        <v>188.85109399999999</v>
      </c>
      <c r="BS221" s="565">
        <f t="shared" si="367"/>
        <v>239.34025</v>
      </c>
      <c r="BT221" s="565">
        <f t="shared" si="367"/>
        <v>341.64512100000002</v>
      </c>
      <c r="BU221" s="565">
        <f t="shared" si="367"/>
        <v>346.43929400000002</v>
      </c>
      <c r="BV221" s="565">
        <f t="shared" si="367"/>
        <v>472.404223</v>
      </c>
      <c r="BW221" s="565">
        <f t="shared" si="367"/>
        <v>354.49015700000001</v>
      </c>
      <c r="BX221" s="543">
        <f t="shared" ref="BX221:CE221" ca="1" si="368">+VLOOKUP($A221,INDIRECT($T$2),MATCH(BX$4,Period_A_CTRP,FALSE),FALSE)</f>
        <v>444.13865730000003</v>
      </c>
      <c r="BY221" s="543">
        <f t="shared" ca="1" si="368"/>
        <v>485.01501159999998</v>
      </c>
      <c r="BZ221" s="543">
        <f t="shared" ca="1" si="368"/>
        <v>519.64464530000009</v>
      </c>
      <c r="CA221" s="543">
        <f t="shared" ca="1" si="368"/>
        <v>520.67411930000003</v>
      </c>
      <c r="CB221" s="543">
        <f t="shared" ca="1" si="368"/>
        <v>555.17332162500009</v>
      </c>
      <c r="CC221" s="543">
        <f t="shared" ca="1" si="368"/>
        <v>591.71831415199995</v>
      </c>
      <c r="CD221" s="543">
        <f t="shared" ca="1" si="368"/>
        <v>597.59134209500007</v>
      </c>
      <c r="CE221" s="543">
        <f t="shared" ca="1" si="368"/>
        <v>618.8839423280001</v>
      </c>
      <c r="CF221" s="195"/>
      <c r="CG221" s="22"/>
      <c r="CH221" s="22"/>
      <c r="CI221" s="199"/>
      <c r="CJ221"/>
      <c r="CK221"/>
      <c r="CL221"/>
      <c r="CM221"/>
      <c r="CN221"/>
      <c r="CO221"/>
      <c r="CP221" s="202"/>
      <c r="CQ221" s="202"/>
      <c r="CR221" s="202"/>
    </row>
    <row r="222" spans="1:96" outlineLevel="1">
      <c r="B222" s="12" t="s">
        <v>82</v>
      </c>
      <c r="C222" s="5"/>
      <c r="D222" s="5"/>
      <c r="E222" s="5"/>
      <c r="F222" s="5"/>
      <c r="G222" s="5"/>
      <c r="H222" s="126"/>
      <c r="I222" s="126"/>
      <c r="J222" s="126"/>
      <c r="K222" s="126"/>
      <c r="L222" s="126">
        <f>(L221/K221-1)*1</f>
        <v>1.5088058866453946</v>
      </c>
      <c r="M222" s="126">
        <f>(M221/L221-1)*1</f>
        <v>0.31718286883166513</v>
      </c>
      <c r="N222" s="323">
        <f>(N221/M221-1)</f>
        <v>0.4772078024344697</v>
      </c>
      <c r="O222" s="323">
        <f t="shared" ref="O222:AD222" si="369">(O221/N221-1)</f>
        <v>0.19759374437931321</v>
      </c>
      <c r="P222" s="323">
        <f t="shared" si="369"/>
        <v>8.9768093060911491E-2</v>
      </c>
      <c r="Q222" s="323">
        <f t="shared" si="369"/>
        <v>0.38943091670962349</v>
      </c>
      <c r="R222" s="323">
        <f t="shared" si="369"/>
        <v>0.4833487103565095</v>
      </c>
      <c r="S222" s="323">
        <f t="shared" si="369"/>
        <v>1.5744651922341828</v>
      </c>
      <c r="T222" s="323">
        <f t="shared" si="369"/>
        <v>1.0631881318146723</v>
      </c>
      <c r="U222" s="323">
        <f t="shared" ca="1" si="369"/>
        <v>0.30000000000000004</v>
      </c>
      <c r="V222" s="323">
        <f t="shared" ca="1" si="369"/>
        <v>0.19999999999999996</v>
      </c>
      <c r="W222" s="323">
        <f t="shared" ca="1" si="369"/>
        <v>0.14999999999999991</v>
      </c>
      <c r="X222" s="323">
        <f t="shared" ca="1" si="369"/>
        <v>0.10000000000000009</v>
      </c>
      <c r="Y222" s="323">
        <f t="shared" ca="1" si="369"/>
        <v>8.0000000000000071E-2</v>
      </c>
      <c r="Z222" s="323">
        <f t="shared" ca="1" si="369"/>
        <v>6.0000000000000053E-2</v>
      </c>
      <c r="AA222" s="323">
        <f t="shared" ca="1" si="369"/>
        <v>4.0000000000000036E-2</v>
      </c>
      <c r="AB222" s="323">
        <f t="shared" ca="1" si="369"/>
        <v>4.0000000000000036E-2</v>
      </c>
      <c r="AC222" s="323">
        <f t="shared" ca="1" si="369"/>
        <v>4.0000000000000036E-2</v>
      </c>
      <c r="AD222" s="323">
        <f t="shared" ca="1" si="369"/>
        <v>4.0000000000000036E-2</v>
      </c>
      <c r="AE222" s="328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323">
        <f>(AR221/AN221-1)</f>
        <v>0.46231082615140195</v>
      </c>
      <c r="AS222" s="323">
        <f t="shared" ref="AS222:BR222" si="370">(AS221/AO221-1)</f>
        <v>0.24639125058736866</v>
      </c>
      <c r="AT222" s="323">
        <f t="shared" si="370"/>
        <v>0.56350201326566451</v>
      </c>
      <c r="AU222" s="323">
        <f t="shared" si="370"/>
        <v>9.0867101462272171E-2</v>
      </c>
      <c r="AV222" s="323">
        <f t="shared" si="370"/>
        <v>0.6748298215146582</v>
      </c>
      <c r="AW222" s="323">
        <f t="shared" si="370"/>
        <v>0.40956978006870814</v>
      </c>
      <c r="AX222" s="323">
        <f t="shared" si="370"/>
        <v>0.25812840099642753</v>
      </c>
      <c r="AY222" s="323">
        <f t="shared" si="370"/>
        <v>0.67864432145004328</v>
      </c>
      <c r="AZ222" s="323">
        <f t="shared" si="370"/>
        <v>0.48716474807872823</v>
      </c>
      <c r="BA222" s="323">
        <f t="shared" si="370"/>
        <v>0.34084225332970131</v>
      </c>
      <c r="BB222" s="323">
        <f t="shared" si="370"/>
        <v>0.1760713460698089</v>
      </c>
      <c r="BC222" s="323">
        <f t="shared" si="370"/>
        <v>-8.9257480361635944E-2</v>
      </c>
      <c r="BD222" s="323">
        <f t="shared" si="370"/>
        <v>0.12923537857636602</v>
      </c>
      <c r="BE222" s="323">
        <f t="shared" si="370"/>
        <v>3.0212507299033575E-2</v>
      </c>
      <c r="BF222" s="323">
        <f t="shared" si="370"/>
        <v>1.65348223934636E-3</v>
      </c>
      <c r="BG222" s="323">
        <f t="shared" si="370"/>
        <v>0.22112294057948412</v>
      </c>
      <c r="BH222" s="323">
        <f t="shared" si="370"/>
        <v>1.989806354834478E-3</v>
      </c>
      <c r="BI222" s="323">
        <f t="shared" si="370"/>
        <v>0.34080180767091384</v>
      </c>
      <c r="BJ222" s="323">
        <f t="shared" si="370"/>
        <v>0.40221969261126267</v>
      </c>
      <c r="BK222" s="323">
        <f t="shared" si="370"/>
        <v>0.81582035864069558</v>
      </c>
      <c r="BL222" s="323">
        <f t="shared" si="370"/>
        <v>0.55916114005389184</v>
      </c>
      <c r="BM222" s="323">
        <f t="shared" si="370"/>
        <v>0.27343074997282013</v>
      </c>
      <c r="BN222" s="323">
        <f t="shared" si="370"/>
        <v>0.17918712630213607</v>
      </c>
      <c r="BO222" s="323">
        <f t="shared" si="370"/>
        <v>0.82318703736670051</v>
      </c>
      <c r="BP222" s="323">
        <f t="shared" si="370"/>
        <v>1.982030555175784</v>
      </c>
      <c r="BQ222" s="323">
        <f t="shared" si="370"/>
        <v>1.4345052100195668</v>
      </c>
      <c r="BR222" s="323">
        <f t="shared" si="370"/>
        <v>2.3453338452009889</v>
      </c>
      <c r="BS222" s="323">
        <f t="shared" ref="BS222:CA222" si="371">(BS221/BO221-1)</f>
        <v>1.0739683766339274</v>
      </c>
      <c r="BT222" s="323">
        <f t="shared" si="371"/>
        <v>1.0834635463285518</v>
      </c>
      <c r="BU222" s="323">
        <f t="shared" si="371"/>
        <v>1.4376630917016335</v>
      </c>
      <c r="BV222" s="323">
        <f t="shared" si="371"/>
        <v>1.5014640529432146</v>
      </c>
      <c r="BW222" s="323">
        <f t="shared" si="371"/>
        <v>0.48111384106935629</v>
      </c>
      <c r="BX222" s="323">
        <f t="shared" ca="1" si="371"/>
        <v>0.30000000000000004</v>
      </c>
      <c r="BY222" s="323">
        <f t="shared" ca="1" si="371"/>
        <v>0.39999999999999991</v>
      </c>
      <c r="BZ222" s="323">
        <f t="shared" ca="1" si="371"/>
        <v>0.10000000000000009</v>
      </c>
      <c r="CA222" s="323">
        <f t="shared" ca="1" si="371"/>
        <v>0.46879711331448903</v>
      </c>
      <c r="CB222" s="323">
        <f ca="1">(CB221/BX221-1)</f>
        <v>0.25</v>
      </c>
      <c r="CC222" s="323">
        <f ca="1">(CC221/BY221-1)</f>
        <v>0.21999999999999997</v>
      </c>
      <c r="CD222" s="323">
        <f ca="1">(CD221/BZ221-1)</f>
        <v>0.14999999999999991</v>
      </c>
      <c r="CE222" s="323">
        <f ca="1">(CE221/CA221-1)</f>
        <v>0.18862051979851513</v>
      </c>
      <c r="CF222" s="62"/>
      <c r="CG222" s="22"/>
      <c r="CH222" s="22"/>
    </row>
    <row r="223" spans="1:96" outlineLevel="1">
      <c r="B223" s="12" t="s">
        <v>83</v>
      </c>
      <c r="C223" s="5"/>
      <c r="D223" s="5"/>
      <c r="E223" s="5"/>
      <c r="F223" s="5"/>
      <c r="G223" s="5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323"/>
      <c r="T223" s="323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330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323">
        <f>(AO221/AN221-1)</f>
        <v>0.64622189815650621</v>
      </c>
      <c r="AP223" s="323">
        <f t="shared" ref="AP223:CA223" si="372">(AP221/AO221-1)</f>
        <v>4.5801610702812079E-2</v>
      </c>
      <c r="AQ223" s="323">
        <f t="shared" si="372"/>
        <v>0.16176237526321779</v>
      </c>
      <c r="AR223" s="323">
        <f t="shared" si="372"/>
        <v>-0.26888666171443298</v>
      </c>
      <c r="AS223" s="323">
        <f t="shared" si="372"/>
        <v>0.40314667285049577</v>
      </c>
      <c r="AT223" s="323">
        <f t="shared" si="372"/>
        <v>0.31187772943669634</v>
      </c>
      <c r="AU223" s="323">
        <f t="shared" si="372"/>
        <v>-0.1894296622974857</v>
      </c>
      <c r="AV223" s="323">
        <f t="shared" si="372"/>
        <v>0.12249275849130692</v>
      </c>
      <c r="AW223" s="323">
        <f t="shared" si="372"/>
        <v>0.18091588867538122</v>
      </c>
      <c r="AX223" s="323">
        <f t="shared" si="372"/>
        <v>0.17093219035850926</v>
      </c>
      <c r="AY223" s="323">
        <f t="shared" si="372"/>
        <v>8.1494777037493638E-2</v>
      </c>
      <c r="AZ223" s="323">
        <f t="shared" si="372"/>
        <v>-5.5477273709046981E-3</v>
      </c>
      <c r="BA223" s="323">
        <f t="shared" si="372"/>
        <v>6.4725292345701124E-2</v>
      </c>
      <c r="BB223" s="323">
        <f t="shared" si="372"/>
        <v>2.7040872147086947E-2</v>
      </c>
      <c r="BC223" s="323">
        <f t="shared" si="372"/>
        <v>-0.16249700198342165</v>
      </c>
      <c r="BD223" s="323">
        <f t="shared" si="372"/>
        <v>0.2330276278353085</v>
      </c>
      <c r="BE223" s="323">
        <f t="shared" si="372"/>
        <v>-2.8640676848947666E-2</v>
      </c>
      <c r="BF223" s="323">
        <f t="shared" si="372"/>
        <v>-1.4302304624815854E-3</v>
      </c>
      <c r="BG223" s="323">
        <f t="shared" si="372"/>
        <v>2.1005908546089191E-2</v>
      </c>
      <c r="BH223" s="323">
        <f t="shared" si="372"/>
        <v>1.1758171915568161E-2</v>
      </c>
      <c r="BI223" s="323">
        <f t="shared" si="372"/>
        <v>0.29981395830458935</v>
      </c>
      <c r="BJ223" s="323">
        <f t="shared" si="372"/>
        <v>4.4311088544912502E-2</v>
      </c>
      <c r="BK223" s="323">
        <f t="shared" si="372"/>
        <v>0.32216322791610041</v>
      </c>
      <c r="BL223" s="323">
        <f t="shared" si="372"/>
        <v>-0.13124995141941564</v>
      </c>
      <c r="BM223" s="323">
        <f t="shared" si="372"/>
        <v>6.1611286497135875E-2</v>
      </c>
      <c r="BN223" s="323">
        <f t="shared" si="372"/>
        <v>-3.2975926258247856E-2</v>
      </c>
      <c r="BO223" s="323">
        <f t="shared" si="372"/>
        <v>1.0442479439025925</v>
      </c>
      <c r="BP223" s="323">
        <f t="shared" si="372"/>
        <v>0.42093989074182403</v>
      </c>
      <c r="BQ223" s="323">
        <f t="shared" si="372"/>
        <v>-0.13330928031335942</v>
      </c>
      <c r="BR223" s="323">
        <f t="shared" si="372"/>
        <v>0.3288196507849821</v>
      </c>
      <c r="BS223" s="323">
        <f t="shared" si="372"/>
        <v>0.26734902578854003</v>
      </c>
      <c r="BT223" s="323">
        <f t="shared" si="372"/>
        <v>0.42744532522214729</v>
      </c>
      <c r="BU223" s="323">
        <f t="shared" si="372"/>
        <v>1.4032610756937958E-2</v>
      </c>
      <c r="BV223" s="323">
        <f t="shared" si="372"/>
        <v>0.36359885030824479</v>
      </c>
      <c r="BW223" s="323">
        <f t="shared" si="372"/>
        <v>-0.24960417426243031</v>
      </c>
      <c r="BX223" s="323">
        <f t="shared" ca="1" si="372"/>
        <v>0.25289418769390548</v>
      </c>
      <c r="BY223" s="323">
        <f t="shared" ca="1" si="372"/>
        <v>9.2035119276702382E-2</v>
      </c>
      <c r="BZ223" s="323">
        <f t="shared" ca="1" si="372"/>
        <v>7.1399096670764051E-2</v>
      </c>
      <c r="CA223" s="323">
        <f t="shared" ca="1" si="372"/>
        <v>1.9811115332586393E-3</v>
      </c>
      <c r="CB223" s="323">
        <f ca="1">(CB221/CA221-1)</f>
        <v>6.6258723155629751E-2</v>
      </c>
      <c r="CC223" s="323">
        <f ca="1">(CC221/CB221-1)</f>
        <v>6.5826276414061358E-2</v>
      </c>
      <c r="CD223" s="323">
        <f ca="1">(CD221/CC221-1)</f>
        <v>9.9253780093266908E-3</v>
      </c>
      <c r="CE223" s="323">
        <f ca="1">(CE221/CD221-1)</f>
        <v>3.5630704016483383E-2</v>
      </c>
      <c r="CF223" s="62"/>
      <c r="CG223" s="22"/>
      <c r="CH223" s="22"/>
    </row>
    <row r="224" spans="1:96" outlineLevel="1">
      <c r="B224" s="12" t="s">
        <v>575</v>
      </c>
      <c r="C224" s="5"/>
      <c r="D224" s="5"/>
      <c r="E224" s="5"/>
      <c r="F224" s="5"/>
      <c r="G224" s="5"/>
      <c r="H224" s="324"/>
      <c r="I224" s="324"/>
      <c r="J224" s="324"/>
      <c r="K224" s="324"/>
      <c r="L224" s="324"/>
      <c r="M224" s="324"/>
      <c r="N224" s="323">
        <f t="shared" ref="N224:AB224" si="373">N221/Rev_Gross</f>
        <v>2.8456309130008888E-2</v>
      </c>
      <c r="O224" s="323">
        <f t="shared" si="373"/>
        <v>2.8800986114767873E-2</v>
      </c>
      <c r="P224" s="323">
        <f t="shared" si="373"/>
        <v>2.4206443937319144E-2</v>
      </c>
      <c r="Q224" s="323">
        <f t="shared" si="373"/>
        <v>2.4738508878478414E-2</v>
      </c>
      <c r="R224" s="323">
        <f t="shared" si="373"/>
        <v>2.4808367794211257E-2</v>
      </c>
      <c r="S224" s="323">
        <f t="shared" si="373"/>
        <v>3.7107690017381859E-2</v>
      </c>
      <c r="T224" s="323">
        <f>T221/Rev_Gross</f>
        <v>5.6158194436576131E-2</v>
      </c>
      <c r="U224" s="323">
        <f t="shared" ca="1" si="373"/>
        <v>6.1389251706008348E-2</v>
      </c>
      <c r="V224" s="323">
        <f t="shared" ca="1" si="373"/>
        <v>5.8614154570505408E-2</v>
      </c>
      <c r="W224" s="323">
        <f t="shared" ca="1" si="373"/>
        <v>5.5157247459777986E-2</v>
      </c>
      <c r="X224" s="323">
        <f t="shared" ca="1" si="373"/>
        <v>5.0391481347123124E-2</v>
      </c>
      <c r="Y224" s="323">
        <f t="shared" ca="1" si="373"/>
        <v>4.5598699915579854E-2</v>
      </c>
      <c r="Z224" s="323">
        <f t="shared" ca="1" si="373"/>
        <v>4.1750205644783725E-2</v>
      </c>
      <c r="AA224" s="323">
        <f t="shared" ca="1" si="373"/>
        <v>3.7841324291873916E-2</v>
      </c>
      <c r="AB224" s="323">
        <f t="shared" ca="1" si="373"/>
        <v>3.4568688087413056E-2</v>
      </c>
      <c r="AC224" s="323">
        <f ca="1">AC221/Rev_Gross</f>
        <v>3.1824666065357651E-2</v>
      </c>
      <c r="AD224" s="323">
        <f ca="1">AD221/Rev_Gross</f>
        <v>2.9606093957218253E-2</v>
      </c>
      <c r="AE224" s="328"/>
      <c r="AF224" s="324"/>
      <c r="AG224" s="324"/>
      <c r="AH224" s="324"/>
      <c r="AI224" s="324"/>
      <c r="AJ224" s="324"/>
      <c r="AK224" s="324"/>
      <c r="AL224" s="324"/>
      <c r="AM224" s="324"/>
      <c r="AN224" s="324"/>
      <c r="AO224" s="323">
        <f t="shared" ref="AO224:CA224" si="374">AO221/Rev_Gross</f>
        <v>2.7751445011441844E-2</v>
      </c>
      <c r="AP224" s="323">
        <f t="shared" si="374"/>
        <v>2.5254589302684233E-2</v>
      </c>
      <c r="AQ224" s="323">
        <f t="shared" si="374"/>
        <v>2.8390757528453572E-2</v>
      </c>
      <c r="AR224" s="323">
        <f t="shared" si="374"/>
        <v>1.9952581794787295E-2</v>
      </c>
      <c r="AS224" s="323">
        <f t="shared" si="374"/>
        <v>2.3676380896594587E-2</v>
      </c>
      <c r="AT224" s="323">
        <f t="shared" si="374"/>
        <v>2.6701325195789171E-2</v>
      </c>
      <c r="AU224" s="323">
        <f t="shared" si="374"/>
        <v>2.235825142712938E-2</v>
      </c>
      <c r="AV224" s="323">
        <f t="shared" si="374"/>
        <v>2.5745288510588181E-2</v>
      </c>
      <c r="AW224" s="323">
        <f t="shared" si="374"/>
        <v>2.7923800383405969E-2</v>
      </c>
      <c r="AX224" s="323">
        <f t="shared" si="374"/>
        <v>2.7888506216838374E-2</v>
      </c>
      <c r="AY224" s="323">
        <f t="shared" si="374"/>
        <v>3.1769864899891677E-2</v>
      </c>
      <c r="AZ224" s="323">
        <f t="shared" si="374"/>
        <v>3.2347603268307684E-2</v>
      </c>
      <c r="BA224" s="323">
        <f t="shared" si="374"/>
        <v>3.2191240632765225E-2</v>
      </c>
      <c r="BB224" s="323">
        <f t="shared" si="374"/>
        <v>2.7326012618292272E-2</v>
      </c>
      <c r="BC224" s="323">
        <f t="shared" si="374"/>
        <v>2.4455121715651146E-2</v>
      </c>
      <c r="BD224" s="323">
        <f t="shared" si="374"/>
        <v>2.8653666145099028E-2</v>
      </c>
      <c r="BE224" s="323">
        <f t="shared" si="374"/>
        <v>2.5898788104924193E-2</v>
      </c>
      <c r="BF224" s="323">
        <f t="shared" si="374"/>
        <v>2.0811753006259179E-2</v>
      </c>
      <c r="BG224" s="323">
        <f t="shared" si="374"/>
        <v>2.2813611367126885E-2</v>
      </c>
      <c r="BH224" s="323">
        <f t="shared" si="374"/>
        <v>2.1078777832137775E-2</v>
      </c>
      <c r="BI224" s="323">
        <f t="shared" si="374"/>
        <v>2.5194977752293981E-2</v>
      </c>
      <c r="BJ224" s="323">
        <f t="shared" si="374"/>
        <v>2.1188021902955854E-2</v>
      </c>
      <c r="BK224" s="323">
        <f t="shared" si="374"/>
        <v>3.1328785230538628E-2</v>
      </c>
      <c r="BL224" s="323">
        <f t="shared" si="374"/>
        <v>2.2506086188523459E-2</v>
      </c>
      <c r="BM224" s="323">
        <f t="shared" si="374"/>
        <v>2.1901097278395957E-2</v>
      </c>
      <c r="BN224" s="323">
        <f t="shared" si="374"/>
        <v>1.6822402950031276E-2</v>
      </c>
      <c r="BO224" s="323">
        <f t="shared" si="374"/>
        <v>3.8056520905477904E-2</v>
      </c>
      <c r="BP224" s="323">
        <f t="shared" si="374"/>
        <v>3.727532220271107E-2</v>
      </c>
      <c r="BQ224" s="323">
        <f t="shared" si="374"/>
        <v>3.1287353720667779E-2</v>
      </c>
      <c r="BR224" s="323">
        <f t="shared" si="374"/>
        <v>3.3320030681471109E-2</v>
      </c>
      <c r="BS224" s="323">
        <f t="shared" si="374"/>
        <v>4.6215758876032263E-2</v>
      </c>
      <c r="BT224" s="323">
        <f t="shared" si="374"/>
        <v>5.5703580316882335E-2</v>
      </c>
      <c r="BU224" s="323">
        <f t="shared" si="374"/>
        <v>5.3615398508783489E-2</v>
      </c>
      <c r="BV224" s="323">
        <f t="shared" si="374"/>
        <v>5.9370006242339658E-2</v>
      </c>
      <c r="BW224" s="323">
        <f t="shared" si="374"/>
        <v>5.5171840761773019E-2</v>
      </c>
      <c r="BX224" s="323">
        <f t="shared" ca="1" si="374"/>
        <v>6.5800367649777675E-2</v>
      </c>
      <c r="BY224" s="323">
        <f t="shared" ca="1" si="374"/>
        <v>6.4286849546644806E-2</v>
      </c>
      <c r="BZ224" s="323">
        <f t="shared" ca="1" si="374"/>
        <v>5.5414674715482747E-2</v>
      </c>
      <c r="CA224" s="323">
        <f t="shared" ca="1" si="374"/>
        <v>6.1911337084635983E-2</v>
      </c>
      <c r="CB224" s="323">
        <f ca="1">CB221/Rev_Gross</f>
        <v>6.0494903672135086E-2</v>
      </c>
      <c r="CC224" s="323">
        <f ca="1">CC221/Rev_Gross</f>
        <v>6.0059207472305434E-2</v>
      </c>
      <c r="CD224" s="323">
        <f ca="1">CD221/Rev_Gross</f>
        <v>5.3210688778881327E-2</v>
      </c>
      <c r="CE224" s="323">
        <f ca="1">CE221/Rev_Gross</f>
        <v>6.151530819965155E-2</v>
      </c>
      <c r="CF224" s="62"/>
      <c r="CG224" s="22"/>
      <c r="CH224" s="22"/>
    </row>
    <row r="225" spans="1:96" outlineLevel="1">
      <c r="B225" s="12"/>
      <c r="C225" s="5"/>
      <c r="D225" s="5"/>
      <c r="E225" s="5"/>
      <c r="F225" s="5"/>
      <c r="G225" s="5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324"/>
      <c r="BY225" s="324"/>
      <c r="BZ225" s="324"/>
      <c r="CA225" s="324"/>
      <c r="CB225" s="324"/>
      <c r="CC225" s="324"/>
      <c r="CD225" s="324"/>
      <c r="CE225" s="324"/>
      <c r="CF225" s="62"/>
      <c r="CG225" s="22"/>
      <c r="CH225" s="22"/>
    </row>
    <row r="226" spans="1:96" outlineLevel="1">
      <c r="B226" s="189" t="s">
        <v>730</v>
      </c>
      <c r="C226" s="197"/>
      <c r="D226" s="197"/>
      <c r="E226" s="197"/>
      <c r="F226" s="197"/>
      <c r="G226" s="197"/>
      <c r="H226" s="196"/>
      <c r="I226" s="196"/>
      <c r="J226" s="196"/>
      <c r="K226" s="196"/>
      <c r="L226" s="196"/>
      <c r="M226" s="196"/>
      <c r="N226" s="196"/>
      <c r="O226" s="196"/>
      <c r="P226" s="196"/>
      <c r="Q226" s="196"/>
      <c r="R226" s="196"/>
      <c r="S226" s="196"/>
      <c r="T226" s="197"/>
      <c r="U226" s="197"/>
      <c r="V226" s="197"/>
      <c r="W226" s="197"/>
      <c r="X226" s="197"/>
      <c r="Y226" s="197"/>
      <c r="Z226" s="197"/>
      <c r="AA226" s="197"/>
      <c r="AB226" s="197"/>
      <c r="AC226" s="197"/>
      <c r="AD226" s="197"/>
      <c r="AE226" s="197"/>
      <c r="AF226" s="196"/>
      <c r="AG226" s="196"/>
      <c r="AH226" s="196"/>
      <c r="AI226" s="196"/>
      <c r="AJ226" s="196"/>
      <c r="AK226" s="196"/>
      <c r="AL226" s="196"/>
      <c r="AM226" s="196"/>
      <c r="AN226" s="196"/>
      <c r="AO226" s="196"/>
      <c r="AP226" s="196"/>
      <c r="AQ226" s="196"/>
      <c r="AR226" s="196"/>
      <c r="AS226" s="196"/>
      <c r="AT226" s="196"/>
      <c r="AU226" s="196"/>
      <c r="AV226" s="196"/>
      <c r="AW226" s="196"/>
      <c r="AX226" s="196"/>
      <c r="AY226" s="196"/>
      <c r="AZ226" s="196"/>
      <c r="BA226" s="196"/>
      <c r="BB226" s="196"/>
      <c r="BC226" s="196"/>
      <c r="BD226" s="196"/>
      <c r="BE226" s="196"/>
      <c r="BF226" s="196"/>
      <c r="BG226" s="196"/>
      <c r="BH226" s="196"/>
      <c r="BI226" s="196"/>
      <c r="BJ226" s="196"/>
      <c r="BK226" s="196"/>
      <c r="BL226" s="196"/>
      <c r="BM226" s="196"/>
      <c r="BN226" s="196"/>
      <c r="BO226" s="196"/>
      <c r="BP226" s="196"/>
      <c r="BQ226" s="196"/>
      <c r="BR226" s="196"/>
      <c r="BS226" s="196"/>
      <c r="BT226" s="196"/>
      <c r="BU226" s="196"/>
      <c r="BV226" s="196"/>
      <c r="BW226" s="196"/>
      <c r="BX226" s="196"/>
      <c r="BY226" s="196"/>
      <c r="BZ226" s="196"/>
      <c r="CA226" s="196"/>
      <c r="CB226" s="196"/>
      <c r="CC226" s="196"/>
      <c r="CD226" s="196"/>
      <c r="CE226" s="196"/>
      <c r="CF226" s="195"/>
      <c r="CG226" s="22"/>
      <c r="CH226" s="22"/>
    </row>
    <row r="227" spans="1:96" outlineLevel="1">
      <c r="A227" s="51"/>
      <c r="B227" s="115" t="s">
        <v>777</v>
      </c>
      <c r="C227" s="22"/>
      <c r="D227" s="22"/>
      <c r="E227" s="22"/>
      <c r="F227" s="22"/>
      <c r="G227" s="22"/>
      <c r="H227" s="195"/>
      <c r="I227" s="195"/>
      <c r="J227" s="195"/>
      <c r="K227" s="195"/>
      <c r="L227" s="195"/>
      <c r="M227" s="195"/>
      <c r="N227" s="195"/>
      <c r="O227" s="195"/>
      <c r="P227" s="195"/>
      <c r="Q227" s="195"/>
      <c r="R227" s="195"/>
      <c r="S227" s="195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195"/>
      <c r="AG227" s="195"/>
      <c r="AH227" s="195"/>
      <c r="AI227" s="195"/>
      <c r="AJ227" s="195"/>
      <c r="AK227" s="195"/>
      <c r="AL227" s="195"/>
      <c r="AM227" s="195"/>
      <c r="AN227" s="195"/>
      <c r="AO227" s="195"/>
      <c r="AP227" s="195"/>
      <c r="AQ227" s="195"/>
      <c r="AR227" s="195"/>
      <c r="AS227" s="195"/>
      <c r="AT227" s="195"/>
      <c r="AU227" s="195"/>
      <c r="AV227" s="195"/>
      <c r="AW227" s="195"/>
      <c r="AX227" s="195"/>
      <c r="AY227" s="195"/>
      <c r="AZ227" s="195"/>
      <c r="BA227" s="195"/>
      <c r="BB227" s="195"/>
      <c r="BC227" s="195"/>
      <c r="BD227" s="195"/>
      <c r="BE227" s="195"/>
      <c r="BF227" s="195"/>
      <c r="BG227" s="195"/>
      <c r="BH227" s="195"/>
      <c r="BI227" s="195"/>
      <c r="BJ227" s="195"/>
      <c r="BK227" s="195"/>
      <c r="BL227" s="195">
        <f t="shared" ref="BL227:BU227" si="375">Rev_Net-BL230</f>
        <v>2314.7762419999995</v>
      </c>
      <c r="BM227" s="195">
        <f t="shared" si="375"/>
        <v>2527.1362460000005</v>
      </c>
      <c r="BN227" s="195">
        <f t="shared" si="375"/>
        <v>3181.6004550000002</v>
      </c>
      <c r="BO227" s="195">
        <f t="shared" si="375"/>
        <v>2874.0551179999998</v>
      </c>
      <c r="BP227" s="195">
        <f t="shared" si="375"/>
        <v>4178.0065559999994</v>
      </c>
      <c r="BQ227" s="195">
        <f t="shared" si="375"/>
        <v>4411.2847810000012</v>
      </c>
      <c r="BR227" s="195">
        <f t="shared" si="375"/>
        <v>5571.866642</v>
      </c>
      <c r="BS227" s="195">
        <f t="shared" si="375"/>
        <v>5067.2818349999998</v>
      </c>
      <c r="BT227" s="195">
        <f t="shared" si="375"/>
        <v>5577.6742743211007</v>
      </c>
      <c r="BU227" s="600">
        <f t="shared" si="375"/>
        <v>5908.3815863211003</v>
      </c>
      <c r="BV227" s="600">
        <f t="shared" ref="BV227:CA227" si="376">Rev_Net-BV230</f>
        <v>7290.8109193853206</v>
      </c>
      <c r="BW227" s="600">
        <f t="shared" si="376"/>
        <v>5973.2137792568819</v>
      </c>
      <c r="BX227" s="600">
        <f t="shared" ca="1" si="376"/>
        <v>6099.7648893093929</v>
      </c>
      <c r="BY227" s="600">
        <f t="shared" ca="1" si="376"/>
        <v>6814.3637813808764</v>
      </c>
      <c r="BZ227" s="600">
        <f t="shared" ca="1" si="376"/>
        <v>8489.7736819821075</v>
      </c>
      <c r="CA227" s="600">
        <f t="shared" ca="1" si="376"/>
        <v>7703.2199096131862</v>
      </c>
      <c r="CB227" s="600">
        <f ca="1">Rev_Net-CB230</f>
        <v>8510.1747693158541</v>
      </c>
      <c r="CC227" s="600">
        <f ca="1">Rev_Net-CC230</f>
        <v>9105.9149105486376</v>
      </c>
      <c r="CD227" s="600">
        <f ca="1">Rev_Net-CD230</f>
        <v>10330.080953612714</v>
      </c>
      <c r="CE227" s="600">
        <f ca="1">Rev_Net-CE230</f>
        <v>9339.7175487646618</v>
      </c>
      <c r="CF227" s="195"/>
      <c r="CG227" s="22"/>
      <c r="CH227" s="22"/>
      <c r="CI227" s="12"/>
      <c r="CP227" s="12"/>
      <c r="CQ227" s="12"/>
      <c r="CR227" s="12"/>
    </row>
    <row r="228" spans="1:96" outlineLevel="1">
      <c r="A228" s="51"/>
      <c r="B228" s="12" t="s">
        <v>82</v>
      </c>
      <c r="C228" s="22"/>
      <c r="D228" s="22"/>
      <c r="E228" s="22"/>
      <c r="F228" s="22"/>
      <c r="G228" s="22"/>
      <c r="H228" s="195"/>
      <c r="I228" s="195"/>
      <c r="J228" s="195"/>
      <c r="K228" s="195"/>
      <c r="L228" s="195"/>
      <c r="M228" s="195"/>
      <c r="N228" s="195"/>
      <c r="O228" s="195"/>
      <c r="P228" s="195"/>
      <c r="Q228" s="195"/>
      <c r="R228" s="195"/>
      <c r="S228" s="195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195"/>
      <c r="AG228" s="195"/>
      <c r="AH228" s="195"/>
      <c r="AI228" s="195"/>
      <c r="AJ228" s="195"/>
      <c r="AK228" s="195"/>
      <c r="AL228" s="195"/>
      <c r="AM228" s="195"/>
      <c r="AN228" s="195"/>
      <c r="AO228" s="195"/>
      <c r="AP228" s="195"/>
      <c r="AQ228" s="195"/>
      <c r="AR228" s="195"/>
      <c r="AS228" s="195"/>
      <c r="AT228" s="195"/>
      <c r="AU228" s="195"/>
      <c r="AV228" s="195"/>
      <c r="AW228" s="195"/>
      <c r="AX228" s="195"/>
      <c r="AY228" s="195"/>
      <c r="AZ228" s="195"/>
      <c r="BA228" s="195"/>
      <c r="BB228" s="195"/>
      <c r="BC228" s="195"/>
      <c r="BD228" s="195"/>
      <c r="BE228" s="195"/>
      <c r="BF228" s="195"/>
      <c r="BG228" s="195"/>
      <c r="BH228" s="195"/>
      <c r="BI228" s="195"/>
      <c r="BJ228" s="195"/>
      <c r="BK228" s="195"/>
      <c r="BL228" s="195"/>
      <c r="BM228" s="195"/>
      <c r="BN228" s="195"/>
      <c r="BO228" s="195"/>
      <c r="BP228" s="117">
        <f t="shared" ref="BP228:BU228" si="377">BP227/BL227-1</f>
        <v>0.80492890854545074</v>
      </c>
      <c r="BQ228" s="117">
        <f t="shared" si="377"/>
        <v>0.74556666186172871</v>
      </c>
      <c r="BR228" s="117">
        <f t="shared" si="377"/>
        <v>0.75127792468209198</v>
      </c>
      <c r="BS228" s="117">
        <f t="shared" si="377"/>
        <v>0.76311226714615854</v>
      </c>
      <c r="BT228" s="117">
        <f t="shared" si="377"/>
        <v>0.33500850215542388</v>
      </c>
      <c r="BU228" s="328">
        <f t="shared" si="377"/>
        <v>0.33937886118105487</v>
      </c>
      <c r="BV228" s="328">
        <f t="shared" ref="BV228:CA228" si="378">BV227/BR227-1</f>
        <v>0.3085042029592282</v>
      </c>
      <c r="BW228" s="328">
        <f t="shared" si="378"/>
        <v>0.17878065080169003</v>
      </c>
      <c r="BX228" s="328">
        <f t="shared" ca="1" si="378"/>
        <v>9.3603640031819424E-2</v>
      </c>
      <c r="BY228" s="328">
        <f t="shared" ca="1" si="378"/>
        <v>0.15333847041248627</v>
      </c>
      <c r="BZ228" s="328">
        <f t="shared" ca="1" si="378"/>
        <v>0.16444847848253752</v>
      </c>
      <c r="CA228" s="328">
        <f t="shared" ca="1" si="378"/>
        <v>0.2896273587870033</v>
      </c>
      <c r="CB228" s="328">
        <f ca="1">CB227/BX227-1</f>
        <v>0.39516439137367554</v>
      </c>
      <c r="CC228" s="328">
        <f ca="1">CC227/BY227-1</f>
        <v>0.33628247664573552</v>
      </c>
      <c r="CD228" s="328">
        <f ca="1">CD227/BZ227-1</f>
        <v>0.21676753003867466</v>
      </c>
      <c r="CE228" s="328">
        <f ca="1">CE227/CA227-1</f>
        <v>0.21244332348726247</v>
      </c>
      <c r="CF228" s="195"/>
      <c r="CG228" s="22"/>
      <c r="CH228" s="22"/>
      <c r="CI228" s="12"/>
      <c r="CP228" s="12"/>
      <c r="CQ228" s="12"/>
      <c r="CR228" s="12"/>
    </row>
    <row r="229" spans="1:96" outlineLevel="1">
      <c r="A229" s="51"/>
      <c r="B229" s="115"/>
      <c r="C229" s="22"/>
      <c r="D229" s="22"/>
      <c r="E229" s="22"/>
      <c r="F229" s="22"/>
      <c r="G229" s="22"/>
      <c r="H229" s="195"/>
      <c r="I229" s="195"/>
      <c r="J229" s="195"/>
      <c r="K229" s="195"/>
      <c r="L229" s="195"/>
      <c r="M229" s="195"/>
      <c r="N229" s="195"/>
      <c r="O229" s="195"/>
      <c r="P229" s="195"/>
      <c r="Q229" s="195"/>
      <c r="R229" s="195"/>
      <c r="S229" s="195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195"/>
      <c r="AG229" s="195"/>
      <c r="AH229" s="195"/>
      <c r="AI229" s="195"/>
      <c r="AJ229" s="195"/>
      <c r="AK229" s="195"/>
      <c r="AL229" s="195"/>
      <c r="AM229" s="195"/>
      <c r="AN229" s="195"/>
      <c r="AO229" s="195"/>
      <c r="AP229" s="195"/>
      <c r="AQ229" s="195"/>
      <c r="AR229" s="195"/>
      <c r="AS229" s="195"/>
      <c r="AT229" s="195"/>
      <c r="AU229" s="195"/>
      <c r="AV229" s="195"/>
      <c r="AW229" s="195"/>
      <c r="AX229" s="195"/>
      <c r="AY229" s="195"/>
      <c r="AZ229" s="195"/>
      <c r="BA229" s="195"/>
      <c r="BB229" s="195"/>
      <c r="BC229" s="195"/>
      <c r="BD229" s="195"/>
      <c r="BE229" s="195"/>
      <c r="BF229" s="195"/>
      <c r="BG229" s="195"/>
      <c r="BH229" s="195"/>
      <c r="BI229" s="195"/>
      <c r="BJ229" s="195"/>
      <c r="BK229" s="195"/>
      <c r="BL229" s="195"/>
      <c r="BM229" s="195"/>
      <c r="BN229" s="195"/>
      <c r="BO229" s="195"/>
      <c r="BP229" s="195"/>
      <c r="BQ229" s="195"/>
      <c r="BR229" s="195"/>
      <c r="BS229" s="195"/>
      <c r="BT229" s="195"/>
      <c r="BU229" s="600"/>
      <c r="BV229" s="600"/>
      <c r="BW229" s="600"/>
      <c r="BX229" s="600"/>
      <c r="BY229" s="600"/>
      <c r="BZ229" s="600"/>
      <c r="CA229" s="600"/>
      <c r="CB229" s="600"/>
      <c r="CC229" s="600"/>
      <c r="CD229" s="600"/>
      <c r="CE229" s="600"/>
      <c r="CF229" s="195"/>
      <c r="CG229" s="22"/>
      <c r="CH229" s="22"/>
      <c r="CI229" s="12"/>
      <c r="CP229" s="12"/>
      <c r="CQ229" s="12"/>
      <c r="CR229" s="12"/>
    </row>
    <row r="230" spans="1:96" outlineLevel="1">
      <c r="A230" s="51"/>
      <c r="B230" s="90" t="s">
        <v>706</v>
      </c>
      <c r="C230" s="47"/>
      <c r="D230" s="47"/>
      <c r="E230" s="47"/>
      <c r="F230" s="47"/>
      <c r="G230" s="47"/>
      <c r="H230" s="442"/>
      <c r="I230" s="442"/>
      <c r="J230" s="442"/>
      <c r="K230" s="442"/>
      <c r="L230" s="442"/>
      <c r="M230" s="442"/>
      <c r="N230" s="442"/>
      <c r="O230" s="442"/>
      <c r="P230" s="442"/>
      <c r="Q230" s="442">
        <f t="shared" ref="Q230:AB230" si="379">Q239/Q242</f>
        <v>958.76288659793806</v>
      </c>
      <c r="R230" s="442">
        <f t="shared" si="379"/>
        <v>1081.8181818181818</v>
      </c>
      <c r="S230" s="442">
        <f t="shared" si="379"/>
        <v>1419.2660550458718</v>
      </c>
      <c r="T230" s="442">
        <f t="shared" si="379"/>
        <v>2029.5504587155963</v>
      </c>
      <c r="U230" s="442">
        <f>U239/U242</f>
        <v>2739.8931192660557</v>
      </c>
      <c r="V230" s="442">
        <f t="shared" si="379"/>
        <v>3561.8610550458725</v>
      </c>
      <c r="W230" s="442">
        <f t="shared" si="379"/>
        <v>4523.5635399082576</v>
      </c>
      <c r="X230" s="442">
        <f t="shared" si="379"/>
        <v>5654.4544248853226</v>
      </c>
      <c r="Y230" s="442">
        <f t="shared" si="379"/>
        <v>6954.9789426089465</v>
      </c>
      <c r="Z230" s="442">
        <f t="shared" si="379"/>
        <v>8415.5245205568244</v>
      </c>
      <c r="AA230" s="442">
        <f t="shared" si="379"/>
        <v>10014.474179462621</v>
      </c>
      <c r="AB230" s="442">
        <f t="shared" si="379"/>
        <v>11716.934789971265</v>
      </c>
      <c r="AC230" s="442">
        <f>AC239/AC242</f>
        <v>13474.475008466956</v>
      </c>
      <c r="AD230" s="442">
        <f>AD239/AD242</f>
        <v>15226.156759567662</v>
      </c>
      <c r="AE230" s="442"/>
      <c r="AF230" s="442"/>
      <c r="AG230" s="442"/>
      <c r="AH230" s="442"/>
      <c r="AI230" s="442"/>
      <c r="AJ230" s="442"/>
      <c r="AK230" s="442"/>
      <c r="AL230" s="442"/>
      <c r="AM230" s="442"/>
      <c r="AN230" s="442"/>
      <c r="AO230" s="442"/>
      <c r="AP230" s="442"/>
      <c r="AQ230" s="442"/>
      <c r="AR230" s="442"/>
      <c r="AS230" s="442"/>
      <c r="AT230" s="442"/>
      <c r="AU230" s="442"/>
      <c r="AV230" s="442"/>
      <c r="AW230" s="442"/>
      <c r="AX230" s="442"/>
      <c r="AY230" s="442"/>
      <c r="AZ230" s="442"/>
      <c r="BA230" s="442"/>
      <c r="BB230" s="442"/>
      <c r="BC230" s="442"/>
      <c r="BD230" s="442"/>
      <c r="BE230" s="442"/>
      <c r="BF230" s="442"/>
      <c r="BG230" s="442"/>
      <c r="BH230" s="442"/>
      <c r="BI230" s="442"/>
      <c r="BJ230" s="442"/>
      <c r="BK230" s="442"/>
      <c r="BL230" s="442"/>
      <c r="BM230" s="442"/>
      <c r="BN230" s="442"/>
      <c r="BO230" s="442"/>
      <c r="BP230" s="442"/>
      <c r="BQ230" s="442"/>
      <c r="BR230" s="442"/>
      <c r="BS230" s="442"/>
      <c r="BT230" s="442">
        <f>BT233*$T230</f>
        <v>507.38761467889907</v>
      </c>
      <c r="BU230" s="601">
        <f>BU233*$T230</f>
        <v>507.38761467889907</v>
      </c>
      <c r="BV230" s="601">
        <f>BV233*$T230</f>
        <v>608.86513761467882</v>
      </c>
      <c r="BW230" s="601">
        <f>BW233*$T230</f>
        <v>405.91009174311915</v>
      </c>
      <c r="BX230" s="601">
        <f t="shared" ref="BX230:CE230" si="380">BX233*$U230</f>
        <v>602.77648623853224</v>
      </c>
      <c r="BY230" s="601">
        <f t="shared" si="380"/>
        <v>677.36913001882533</v>
      </c>
      <c r="BZ230" s="601">
        <f t="shared" si="380"/>
        <v>821.96793577981668</v>
      </c>
      <c r="CA230" s="601">
        <f t="shared" si="380"/>
        <v>637.77956722888143</v>
      </c>
      <c r="CB230" s="601">
        <f t="shared" si="380"/>
        <v>602.77648623853224</v>
      </c>
      <c r="CC230" s="601">
        <f t="shared" si="380"/>
        <v>677.36913001882533</v>
      </c>
      <c r="CD230" s="601">
        <f t="shared" si="380"/>
        <v>821.96793577981668</v>
      </c>
      <c r="CE230" s="601">
        <f t="shared" si="380"/>
        <v>637.77956722888143</v>
      </c>
      <c r="CF230" s="195"/>
      <c r="CG230" s="22"/>
      <c r="CH230" s="22"/>
      <c r="CI230" s="12"/>
      <c r="CP230" s="12"/>
      <c r="CQ230" s="12"/>
      <c r="CR230" s="12"/>
    </row>
    <row r="231" spans="1:96" outlineLevel="1">
      <c r="B231" s="12" t="s">
        <v>82</v>
      </c>
      <c r="C231" s="5"/>
      <c r="D231" s="5"/>
      <c r="E231" s="5"/>
      <c r="F231" s="5"/>
      <c r="G231" s="5"/>
      <c r="H231" s="324"/>
      <c r="I231" s="324"/>
      <c r="J231" s="324"/>
      <c r="K231" s="324"/>
      <c r="L231" s="324"/>
      <c r="M231" s="324"/>
      <c r="N231" s="324"/>
      <c r="O231" s="324"/>
      <c r="P231" s="324"/>
      <c r="Q231" s="324"/>
      <c r="R231" s="323">
        <f>R230/Q230-1</f>
        <v>0.12834799608993164</v>
      </c>
      <c r="S231" s="323">
        <f t="shared" ref="S231:AD231" si="381">S230/R230-1</f>
        <v>0.31192660550458751</v>
      </c>
      <c r="T231" s="323">
        <f t="shared" si="381"/>
        <v>0.42999999999999972</v>
      </c>
      <c r="U231" s="323">
        <f t="shared" si="381"/>
        <v>0.35000000000000031</v>
      </c>
      <c r="V231" s="323">
        <f t="shared" si="381"/>
        <v>0.30000000000000004</v>
      </c>
      <c r="W231" s="323">
        <f t="shared" si="381"/>
        <v>0.2699999999999998</v>
      </c>
      <c r="X231" s="323">
        <f t="shared" si="381"/>
        <v>0.25000000000000022</v>
      </c>
      <c r="Y231" s="323">
        <f t="shared" si="381"/>
        <v>0.22999999999999998</v>
      </c>
      <c r="Z231" s="323">
        <f t="shared" si="381"/>
        <v>0.20999999999999996</v>
      </c>
      <c r="AA231" s="323">
        <f t="shared" si="381"/>
        <v>0.18999999999999995</v>
      </c>
      <c r="AB231" s="323">
        <f t="shared" si="381"/>
        <v>0.16999999999999993</v>
      </c>
      <c r="AC231" s="323">
        <f t="shared" si="381"/>
        <v>0.15000000000000013</v>
      </c>
      <c r="AD231" s="323">
        <f t="shared" si="381"/>
        <v>0.13000000000000012</v>
      </c>
      <c r="AE231" s="323"/>
      <c r="AF231" s="324"/>
      <c r="AG231" s="324"/>
      <c r="AH231" s="324"/>
      <c r="AI231" s="324"/>
      <c r="AJ231" s="324"/>
      <c r="AK231" s="324"/>
      <c r="AL231" s="324"/>
      <c r="AM231" s="324"/>
      <c r="AN231" s="324"/>
      <c r="AO231" s="324"/>
      <c r="AP231" s="324"/>
      <c r="AQ231" s="324"/>
      <c r="AR231" s="324"/>
      <c r="AS231" s="324"/>
      <c r="AT231" s="324"/>
      <c r="AU231" s="324"/>
      <c r="AV231" s="324"/>
      <c r="AW231" s="324"/>
      <c r="AX231" s="324"/>
      <c r="AY231" s="324"/>
      <c r="AZ231" s="324"/>
      <c r="BA231" s="324"/>
      <c r="BB231" s="324"/>
      <c r="BC231" s="324"/>
      <c r="BD231" s="324"/>
      <c r="BE231" s="324"/>
      <c r="BF231" s="324"/>
      <c r="BG231" s="324"/>
      <c r="BH231" s="324"/>
      <c r="BI231" s="324"/>
      <c r="BJ231" s="324"/>
      <c r="BK231" s="324"/>
      <c r="BL231" s="324"/>
      <c r="BM231" s="324"/>
      <c r="BN231" s="324"/>
      <c r="BO231" s="324"/>
      <c r="BP231" s="324"/>
      <c r="BQ231" s="324"/>
      <c r="BR231" s="324"/>
      <c r="BS231" s="324"/>
      <c r="BT231" s="324"/>
      <c r="BU231" s="324"/>
      <c r="BV231" s="324"/>
      <c r="BW231" s="324"/>
      <c r="BX231" s="323">
        <f t="shared" ref="BX231:CE231" si="382">BX230/BT230-1</f>
        <v>0.18800000000000039</v>
      </c>
      <c r="BY231" s="323">
        <f t="shared" si="382"/>
        <v>0.33501313477566708</v>
      </c>
      <c r="BZ231" s="323">
        <f t="shared" si="382"/>
        <v>0.35000000000000053</v>
      </c>
      <c r="CA231" s="323">
        <f t="shared" si="382"/>
        <v>0.57123358153041748</v>
      </c>
      <c r="CB231" s="323">
        <f t="shared" si="382"/>
        <v>0</v>
      </c>
      <c r="CC231" s="323">
        <f t="shared" si="382"/>
        <v>0</v>
      </c>
      <c r="CD231" s="323">
        <f t="shared" si="382"/>
        <v>0</v>
      </c>
      <c r="CE231" s="323">
        <f t="shared" si="382"/>
        <v>0</v>
      </c>
      <c r="CF231" s="62"/>
      <c r="CG231" s="22"/>
      <c r="CH231" s="22"/>
    </row>
    <row r="232" spans="1:96" outlineLevel="1">
      <c r="B232" s="12" t="s">
        <v>575</v>
      </c>
      <c r="C232" s="5"/>
      <c r="D232" s="5"/>
      <c r="E232" s="5"/>
      <c r="F232" s="5"/>
      <c r="G232" s="5"/>
      <c r="H232" s="324"/>
      <c r="I232" s="324"/>
      <c r="J232" s="324"/>
      <c r="K232" s="324"/>
      <c r="L232" s="324"/>
      <c r="M232" s="324"/>
      <c r="N232" s="324"/>
      <c r="O232" s="324"/>
      <c r="P232" s="324"/>
      <c r="Q232" s="324"/>
      <c r="R232" s="323">
        <f t="shared" ref="R232:AB232" si="383">R230/Rev_Gross</f>
        <v>9.4096131566327262E-2</v>
      </c>
      <c r="S232" s="323">
        <f t="shared" si="383"/>
        <v>7.1723258595421141E-2</v>
      </c>
      <c r="T232" s="323">
        <f t="shared" si="383"/>
        <v>7.5232663094398453E-2</v>
      </c>
      <c r="U232" s="323">
        <f t="shared" ca="1" si="383"/>
        <v>8.5403575843542898E-2</v>
      </c>
      <c r="V232" s="323">
        <f t="shared" ca="1" si="383"/>
        <v>8.8338155474163363E-2</v>
      </c>
      <c r="W232" s="323">
        <f t="shared" ca="1" si="383"/>
        <v>9.1802453318382007E-2</v>
      </c>
      <c r="X232" s="323">
        <f t="shared" ca="1" si="383"/>
        <v>9.5307297587247042E-2</v>
      </c>
      <c r="Y232" s="323">
        <f t="shared" ca="1" si="383"/>
        <v>9.8220659632741694E-2</v>
      </c>
      <c r="Z232" s="323">
        <f t="shared" ca="1" si="383"/>
        <v>0.1026569861754284</v>
      </c>
      <c r="AA232" s="323">
        <f t="shared" ca="1" si="383"/>
        <v>0.1064657308312984</v>
      </c>
      <c r="AB232" s="323">
        <f t="shared" ca="1" si="383"/>
        <v>0.10941552122511083</v>
      </c>
      <c r="AC232" s="323">
        <f ca="1">AC230/Rev_Gross</f>
        <v>0.11138440568822457</v>
      </c>
      <c r="AD232" s="323">
        <f ca="1">AD230/Rev_Gross</f>
        <v>0.11258661290803987</v>
      </c>
      <c r="AE232" s="323"/>
      <c r="AF232" s="324"/>
      <c r="AG232" s="324"/>
      <c r="AH232" s="324"/>
      <c r="AI232" s="324"/>
      <c r="AJ232" s="324"/>
      <c r="AK232" s="324"/>
      <c r="AL232" s="324"/>
      <c r="AM232" s="324"/>
      <c r="AN232" s="324"/>
      <c r="AO232" s="324"/>
      <c r="AP232" s="324"/>
      <c r="AQ232" s="324"/>
      <c r="AR232" s="324"/>
      <c r="AS232" s="324"/>
      <c r="AT232" s="324"/>
      <c r="AU232" s="324"/>
      <c r="AV232" s="324"/>
      <c r="AW232" s="324"/>
      <c r="AX232" s="324"/>
      <c r="AY232" s="324"/>
      <c r="AZ232" s="324"/>
      <c r="BA232" s="324"/>
      <c r="BB232" s="324"/>
      <c r="BC232" s="324"/>
      <c r="BD232" s="324"/>
      <c r="BE232" s="324"/>
      <c r="BF232" s="324"/>
      <c r="BG232" s="324"/>
      <c r="BH232" s="324"/>
      <c r="BI232" s="324"/>
      <c r="BJ232" s="324"/>
      <c r="BK232" s="324"/>
      <c r="BL232" s="324"/>
      <c r="BM232" s="324"/>
      <c r="BN232" s="324"/>
      <c r="BO232" s="324"/>
      <c r="BP232" s="324"/>
      <c r="BQ232" s="324"/>
      <c r="BR232" s="324"/>
      <c r="BS232" s="324"/>
      <c r="BT232" s="323">
        <f t="shared" ref="BT232:CA232" si="384">BT230/Rev_Gross</f>
        <v>8.2727090213758389E-2</v>
      </c>
      <c r="BU232" s="323">
        <f t="shared" si="384"/>
        <v>7.8523971242795157E-2</v>
      </c>
      <c r="BV232" s="323">
        <f t="shared" si="384"/>
        <v>7.6519906598985846E-2</v>
      </c>
      <c r="BW232" s="323">
        <f t="shared" si="384"/>
        <v>6.3174693296908793E-2</v>
      </c>
      <c r="BX232" s="323">
        <f t="shared" ca="1" si="384"/>
        <v>8.9302999757451124E-2</v>
      </c>
      <c r="BY232" s="323">
        <f t="shared" ca="1" si="384"/>
        <v>8.9782638284554725E-2</v>
      </c>
      <c r="BZ232" s="323">
        <f t="shared" ca="1" si="384"/>
        <v>8.7654296450027036E-2</v>
      </c>
      <c r="CA232" s="323">
        <f t="shared" ca="1" si="384"/>
        <v>7.583589102812649E-2</v>
      </c>
      <c r="CB232" s="323">
        <f ca="1">CB230/Rev_Gross</f>
        <v>6.5682020461816829E-2</v>
      </c>
      <c r="CC232" s="323">
        <f ca="1">CC230/Rev_Gross</f>
        <v>6.8752736128233571E-2</v>
      </c>
      <c r="CD232" s="323">
        <f ca="1">CD230/Rev_Gross</f>
        <v>7.3189614601287714E-2</v>
      </c>
      <c r="CE232" s="323">
        <f ca="1">CE230/Rev_Gross</f>
        <v>6.3393479711147449E-2</v>
      </c>
      <c r="CF232" s="62"/>
      <c r="CG232" s="22"/>
      <c r="CH232" s="22"/>
    </row>
    <row r="233" spans="1:96" outlineLevel="1">
      <c r="B233" s="12" t="s">
        <v>756</v>
      </c>
      <c r="C233" s="5"/>
      <c r="D233" s="5"/>
      <c r="E233" s="5"/>
      <c r="F233" s="5"/>
      <c r="G233" s="5"/>
      <c r="H233" s="324"/>
      <c r="I233" s="324"/>
      <c r="J233" s="324"/>
      <c r="K233" s="324"/>
      <c r="L233" s="324"/>
      <c r="M233" s="324"/>
      <c r="N233" s="324"/>
      <c r="O233" s="324"/>
      <c r="P233" s="324"/>
      <c r="Q233" s="324"/>
      <c r="R233" s="323"/>
      <c r="S233" s="323"/>
      <c r="T233" s="323"/>
      <c r="U233" s="323"/>
      <c r="V233" s="323"/>
      <c r="W233" s="323"/>
      <c r="X233" s="323"/>
      <c r="Y233" s="323"/>
      <c r="Z233" s="323"/>
      <c r="AA233" s="323"/>
      <c r="AB233" s="323"/>
      <c r="AC233" s="323"/>
      <c r="AD233" s="323"/>
      <c r="AE233" s="323"/>
      <c r="AF233" s="324"/>
      <c r="AG233" s="324"/>
      <c r="AH233" s="324"/>
      <c r="AI233" s="324"/>
      <c r="AJ233" s="324"/>
      <c r="AK233" s="324"/>
      <c r="AL233" s="324"/>
      <c r="AM233" s="324"/>
      <c r="AN233" s="324"/>
      <c r="AO233" s="324"/>
      <c r="AP233" s="324"/>
      <c r="AQ233" s="324"/>
      <c r="AR233" s="324"/>
      <c r="AS233" s="324"/>
      <c r="AT233" s="324"/>
      <c r="AU233" s="324"/>
      <c r="AV233" s="324"/>
      <c r="AW233" s="324"/>
      <c r="AX233" s="324"/>
      <c r="AY233" s="324"/>
      <c r="AZ233" s="324"/>
      <c r="BA233" s="324"/>
      <c r="BB233" s="324"/>
      <c r="BC233" s="324"/>
      <c r="BD233" s="324"/>
      <c r="BE233" s="324"/>
      <c r="BF233" s="324"/>
      <c r="BG233" s="324"/>
      <c r="BH233" s="324"/>
      <c r="BI233" s="324"/>
      <c r="BJ233" s="324"/>
      <c r="BK233" s="324"/>
      <c r="BL233" s="324"/>
      <c r="BM233" s="324"/>
      <c r="BN233" s="324"/>
      <c r="BO233" s="324"/>
      <c r="BP233" s="12"/>
      <c r="BQ233" s="12"/>
      <c r="BR233" s="12"/>
      <c r="BS233" s="12"/>
      <c r="BT233" s="42">
        <v>0.25</v>
      </c>
      <c r="BU233" s="606">
        <v>0.25</v>
      </c>
      <c r="BV233" s="606">
        <v>0.3</v>
      </c>
      <c r="BW233" s="323">
        <f>1-SUM(BT233:BV233)</f>
        <v>0.19999999999999996</v>
      </c>
      <c r="BX233" s="42">
        <v>0.22</v>
      </c>
      <c r="BY233" s="42">
        <v>0.24722465458808643</v>
      </c>
      <c r="BZ233" s="42">
        <v>0.3</v>
      </c>
      <c r="CA233" s="323">
        <f>1-SUM(BX233:BZ233)</f>
        <v>0.23277534541191358</v>
      </c>
      <c r="CB233" s="42">
        <v>0.22</v>
      </c>
      <c r="CC233" s="42">
        <v>0.24722465458808643</v>
      </c>
      <c r="CD233" s="42">
        <v>0.3</v>
      </c>
      <c r="CE233" s="323">
        <f>1-SUM(CB233:CD233)</f>
        <v>0.23277534541191358</v>
      </c>
      <c r="CF233" s="62"/>
      <c r="CG233" s="22"/>
      <c r="CH233" s="22"/>
    </row>
    <row r="234" spans="1:96" outlineLevel="1">
      <c r="B234" s="12" t="s">
        <v>799</v>
      </c>
      <c r="C234" s="5"/>
      <c r="D234" s="5"/>
      <c r="E234" s="5"/>
      <c r="F234" s="5"/>
      <c r="G234" s="5"/>
      <c r="H234" s="324"/>
      <c r="I234" s="324"/>
      <c r="J234" s="324"/>
      <c r="K234" s="324"/>
      <c r="L234" s="324"/>
      <c r="M234" s="324"/>
      <c r="N234" s="324"/>
      <c r="O234" s="324"/>
      <c r="P234" s="324"/>
      <c r="Q234" s="324"/>
      <c r="R234" s="323"/>
      <c r="S234" s="323"/>
      <c r="T234" s="323"/>
      <c r="U234" s="323"/>
      <c r="V234" s="323"/>
      <c r="W234" s="323"/>
      <c r="X234" s="323"/>
      <c r="Y234" s="323"/>
      <c r="Z234" s="323"/>
      <c r="AA234" s="323"/>
      <c r="AB234" s="323"/>
      <c r="AC234" s="323"/>
      <c r="AD234" s="323"/>
      <c r="AE234" s="323"/>
      <c r="AF234" s="324"/>
      <c r="AG234" s="324"/>
      <c r="AH234" s="324"/>
      <c r="AI234" s="324"/>
      <c r="AJ234" s="324"/>
      <c r="AK234" s="324"/>
      <c r="AL234" s="324"/>
      <c r="AM234" s="324"/>
      <c r="AN234" s="324"/>
      <c r="AO234" s="324"/>
      <c r="AP234" s="324"/>
      <c r="AQ234" s="324"/>
      <c r="AR234" s="324"/>
      <c r="AS234" s="324"/>
      <c r="AT234" s="324"/>
      <c r="AU234" s="324"/>
      <c r="AV234" s="324"/>
      <c r="AW234" s="324"/>
      <c r="AX234" s="324"/>
      <c r="AY234" s="324"/>
      <c r="AZ234" s="324"/>
      <c r="BA234" s="324"/>
      <c r="BB234" s="324"/>
      <c r="BC234" s="324"/>
      <c r="BD234" s="324"/>
      <c r="BE234" s="324"/>
      <c r="BF234" s="324"/>
      <c r="BG234" s="324"/>
      <c r="BH234" s="324"/>
      <c r="BI234" s="324"/>
      <c r="BJ234" s="324"/>
      <c r="BK234" s="324"/>
      <c r="BL234" s="324"/>
      <c r="BM234" s="324"/>
      <c r="BN234" s="324"/>
      <c r="BO234" s="324"/>
      <c r="BP234" s="12"/>
      <c r="BQ234" s="12"/>
      <c r="BR234" s="12"/>
      <c r="BS234" s="12"/>
      <c r="BT234" s="42"/>
      <c r="BU234" s="597">
        <f>BU230*BU236</f>
        <v>304.43256880733941</v>
      </c>
      <c r="BV234" s="42"/>
      <c r="BW234" s="323"/>
      <c r="BX234" s="42"/>
      <c r="BY234" s="42"/>
      <c r="BZ234" s="42"/>
      <c r="CA234" s="323"/>
      <c r="CB234" s="42"/>
      <c r="CC234" s="42"/>
      <c r="CD234" s="42"/>
      <c r="CE234" s="323"/>
      <c r="CF234" s="62"/>
      <c r="CG234" s="22"/>
      <c r="CH234" s="22"/>
    </row>
    <row r="235" spans="1:96" outlineLevel="1">
      <c r="B235" s="12" t="s">
        <v>800</v>
      </c>
      <c r="C235" s="5"/>
      <c r="D235" s="5"/>
      <c r="E235" s="5"/>
      <c r="F235" s="5"/>
      <c r="G235" s="5"/>
      <c r="H235" s="324"/>
      <c r="I235" s="324"/>
      <c r="J235" s="324"/>
      <c r="K235" s="324"/>
      <c r="L235" s="324"/>
      <c r="M235" s="324"/>
      <c r="N235" s="324"/>
      <c r="O235" s="324"/>
      <c r="P235" s="324"/>
      <c r="Q235" s="324"/>
      <c r="R235" s="323"/>
      <c r="S235" s="323"/>
      <c r="T235" s="323"/>
      <c r="U235" s="323"/>
      <c r="V235" s="323"/>
      <c r="W235" s="323"/>
      <c r="X235" s="323"/>
      <c r="Y235" s="323"/>
      <c r="Z235" s="323"/>
      <c r="AA235" s="323"/>
      <c r="AB235" s="323"/>
      <c r="AC235" s="323"/>
      <c r="AD235" s="323"/>
      <c r="AE235" s="323"/>
      <c r="AF235" s="324"/>
      <c r="AG235" s="324"/>
      <c r="AH235" s="324"/>
      <c r="AI235" s="324"/>
      <c r="AJ235" s="324"/>
      <c r="AK235" s="324"/>
      <c r="AL235" s="324"/>
      <c r="AM235" s="324"/>
      <c r="AN235" s="324"/>
      <c r="AO235" s="324"/>
      <c r="AP235" s="324"/>
      <c r="AQ235" s="324"/>
      <c r="AR235" s="324"/>
      <c r="AS235" s="324"/>
      <c r="AT235" s="324"/>
      <c r="AU235" s="324"/>
      <c r="AV235" s="324"/>
      <c r="AW235" s="324"/>
      <c r="AX235" s="324"/>
      <c r="AY235" s="324"/>
      <c r="AZ235" s="324"/>
      <c r="BA235" s="324"/>
      <c r="BB235" s="324"/>
      <c r="BC235" s="324"/>
      <c r="BD235" s="324"/>
      <c r="BE235" s="324"/>
      <c r="BF235" s="324"/>
      <c r="BG235" s="324"/>
      <c r="BH235" s="324"/>
      <c r="BI235" s="324"/>
      <c r="BJ235" s="324"/>
      <c r="BK235" s="324"/>
      <c r="BL235" s="324"/>
      <c r="BM235" s="324"/>
      <c r="BN235" s="324"/>
      <c r="BO235" s="324"/>
      <c r="BP235" s="12"/>
      <c r="BQ235" s="12"/>
      <c r="BR235" s="12"/>
      <c r="BS235" s="12"/>
      <c r="BT235" s="42"/>
      <c r="BU235" s="597">
        <f>BU230*BU237</f>
        <v>202.95504587155963</v>
      </c>
      <c r="BV235" s="42"/>
      <c r="BW235" s="323"/>
      <c r="BX235" s="42"/>
      <c r="BY235" s="42"/>
      <c r="BZ235" s="42"/>
      <c r="CA235" s="323"/>
      <c r="CB235" s="42"/>
      <c r="CC235" s="42"/>
      <c r="CD235" s="42"/>
      <c r="CE235" s="323"/>
      <c r="CF235" s="62"/>
      <c r="CG235" s="22"/>
      <c r="CH235" s="22"/>
    </row>
    <row r="236" spans="1:96" outlineLevel="1">
      <c r="B236" s="12" t="s">
        <v>801</v>
      </c>
      <c r="C236" s="5"/>
      <c r="D236" s="5"/>
      <c r="E236" s="5"/>
      <c r="F236" s="5"/>
      <c r="G236" s="5"/>
      <c r="H236" s="324"/>
      <c r="I236" s="324"/>
      <c r="J236" s="324"/>
      <c r="K236" s="324"/>
      <c r="L236" s="324"/>
      <c r="M236" s="324"/>
      <c r="N236" s="324"/>
      <c r="O236" s="324"/>
      <c r="P236" s="324"/>
      <c r="Q236" s="324"/>
      <c r="R236" s="323"/>
      <c r="S236" s="323"/>
      <c r="T236" s="323"/>
      <c r="U236" s="323"/>
      <c r="V236" s="323"/>
      <c r="W236" s="323"/>
      <c r="X236" s="323"/>
      <c r="Y236" s="323"/>
      <c r="Z236" s="323"/>
      <c r="AA236" s="323"/>
      <c r="AB236" s="323"/>
      <c r="AC236" s="323"/>
      <c r="AD236" s="323"/>
      <c r="AE236" s="323"/>
      <c r="AF236" s="324"/>
      <c r="AG236" s="324"/>
      <c r="AH236" s="324"/>
      <c r="AI236" s="324"/>
      <c r="AJ236" s="324"/>
      <c r="AK236" s="324"/>
      <c r="AL236" s="324"/>
      <c r="AM236" s="324"/>
      <c r="AN236" s="324"/>
      <c r="AO236" s="324"/>
      <c r="AP236" s="324"/>
      <c r="AQ236" s="324"/>
      <c r="AR236" s="324"/>
      <c r="AS236" s="324"/>
      <c r="AT236" s="324"/>
      <c r="AU236" s="324"/>
      <c r="AV236" s="324"/>
      <c r="AW236" s="324"/>
      <c r="AX236" s="324"/>
      <c r="AY236" s="324"/>
      <c r="AZ236" s="324"/>
      <c r="BA236" s="324"/>
      <c r="BB236" s="324"/>
      <c r="BC236" s="324"/>
      <c r="BD236" s="324"/>
      <c r="BE236" s="324"/>
      <c r="BF236" s="324"/>
      <c r="BG236" s="324"/>
      <c r="BH236" s="324"/>
      <c r="BI236" s="324"/>
      <c r="BJ236" s="324"/>
      <c r="BK236" s="324"/>
      <c r="BL236" s="324"/>
      <c r="BM236" s="324"/>
      <c r="BN236" s="324"/>
      <c r="BO236" s="324"/>
      <c r="BP236" s="12"/>
      <c r="BQ236" s="12"/>
      <c r="BR236" s="12"/>
      <c r="BS236" s="12"/>
      <c r="BT236" s="42"/>
      <c r="BU236" s="42">
        <v>0.6</v>
      </c>
      <c r="BV236" s="42"/>
      <c r="BW236" s="323"/>
      <c r="BX236" s="42"/>
      <c r="BY236" s="42"/>
      <c r="BZ236" s="42"/>
      <c r="CA236" s="323"/>
      <c r="CB236" s="42"/>
      <c r="CC236" s="42"/>
      <c r="CD236" s="42"/>
      <c r="CE236" s="323"/>
      <c r="CF236" s="62"/>
      <c r="CG236" s="22"/>
      <c r="CH236" s="22"/>
    </row>
    <row r="237" spans="1:96" outlineLevel="1">
      <c r="B237" s="12" t="s">
        <v>802</v>
      </c>
      <c r="C237" s="5"/>
      <c r="D237" s="5"/>
      <c r="E237" s="5"/>
      <c r="F237" s="5"/>
      <c r="G237" s="5"/>
      <c r="H237" s="324"/>
      <c r="I237" s="324"/>
      <c r="J237" s="324"/>
      <c r="K237" s="324"/>
      <c r="L237" s="324"/>
      <c r="M237" s="324"/>
      <c r="N237" s="324"/>
      <c r="O237" s="324"/>
      <c r="P237" s="324"/>
      <c r="Q237" s="324"/>
      <c r="R237" s="323"/>
      <c r="S237" s="323"/>
      <c r="T237" s="323"/>
      <c r="U237" s="323"/>
      <c r="V237" s="323"/>
      <c r="W237" s="323"/>
      <c r="X237" s="323"/>
      <c r="Y237" s="323"/>
      <c r="Z237" s="323"/>
      <c r="AA237" s="323"/>
      <c r="AB237" s="323"/>
      <c r="AC237" s="323"/>
      <c r="AD237" s="323"/>
      <c r="AE237" s="323"/>
      <c r="AF237" s="324"/>
      <c r="AG237" s="324"/>
      <c r="AH237" s="324"/>
      <c r="AI237" s="324"/>
      <c r="AJ237" s="324"/>
      <c r="AK237" s="324"/>
      <c r="AL237" s="324"/>
      <c r="AM237" s="324"/>
      <c r="AN237" s="324"/>
      <c r="AO237" s="324"/>
      <c r="AP237" s="324"/>
      <c r="AQ237" s="324"/>
      <c r="AR237" s="324"/>
      <c r="AS237" s="324"/>
      <c r="AT237" s="324"/>
      <c r="AU237" s="324"/>
      <c r="AV237" s="324"/>
      <c r="AW237" s="324"/>
      <c r="AX237" s="324"/>
      <c r="AY237" s="324"/>
      <c r="AZ237" s="324"/>
      <c r="BA237" s="324"/>
      <c r="BB237" s="324"/>
      <c r="BC237" s="324"/>
      <c r="BD237" s="324"/>
      <c r="BE237" s="324"/>
      <c r="BF237" s="324"/>
      <c r="BG237" s="324"/>
      <c r="BH237" s="324"/>
      <c r="BI237" s="324"/>
      <c r="BJ237" s="324"/>
      <c r="BK237" s="324"/>
      <c r="BL237" s="324"/>
      <c r="BM237" s="324"/>
      <c r="BN237" s="324"/>
      <c r="BO237" s="324"/>
      <c r="BP237" s="12"/>
      <c r="BQ237" s="12"/>
      <c r="BR237" s="12"/>
      <c r="BS237" s="12"/>
      <c r="BT237" s="42"/>
      <c r="BU237" s="560">
        <f>1-BU236</f>
        <v>0.4</v>
      </c>
      <c r="BV237" s="42"/>
      <c r="BW237" s="323"/>
      <c r="BX237" s="42"/>
      <c r="BY237" s="42"/>
      <c r="BZ237" s="42"/>
      <c r="CA237" s="323"/>
      <c r="CB237" s="42"/>
      <c r="CC237" s="42"/>
      <c r="CD237" s="42"/>
      <c r="CE237" s="323"/>
      <c r="CF237" s="62"/>
      <c r="CG237" s="22"/>
      <c r="CH237" s="22"/>
    </row>
    <row r="238" spans="1:96" outlineLevel="1">
      <c r="B238" s="12"/>
      <c r="C238" s="5"/>
      <c r="D238" s="5"/>
      <c r="E238" s="5"/>
      <c r="F238" s="5"/>
      <c r="G238" s="5"/>
      <c r="H238" s="324"/>
      <c r="I238" s="324"/>
      <c r="J238" s="324"/>
      <c r="K238" s="324"/>
      <c r="L238" s="324"/>
      <c r="M238" s="324"/>
      <c r="N238" s="324"/>
      <c r="O238" s="324"/>
      <c r="P238" s="324"/>
      <c r="Q238" s="324"/>
      <c r="R238" s="324"/>
      <c r="S238" s="324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324"/>
      <c r="AG238" s="324"/>
      <c r="AH238" s="324"/>
      <c r="AI238" s="324"/>
      <c r="AJ238" s="324"/>
      <c r="AK238" s="324"/>
      <c r="AL238" s="324"/>
      <c r="AM238" s="324"/>
      <c r="AN238" s="324"/>
      <c r="AO238" s="324"/>
      <c r="AP238" s="324"/>
      <c r="AQ238" s="324"/>
      <c r="AR238" s="324"/>
      <c r="AS238" s="324"/>
      <c r="AT238" s="324"/>
      <c r="AU238" s="324"/>
      <c r="AV238" s="324"/>
      <c r="AW238" s="324"/>
      <c r="AX238" s="324"/>
      <c r="AY238" s="324"/>
      <c r="AZ238" s="324"/>
      <c r="BA238" s="324"/>
      <c r="BB238" s="324"/>
      <c r="BC238" s="324"/>
      <c r="BD238" s="324"/>
      <c r="BE238" s="324"/>
      <c r="BF238" s="324"/>
      <c r="BG238" s="324"/>
      <c r="BH238" s="324"/>
      <c r="BI238" s="324"/>
      <c r="BJ238" s="324"/>
      <c r="BK238" s="324"/>
      <c r="BL238" s="324"/>
      <c r="BM238" s="324"/>
      <c r="BN238" s="324"/>
      <c r="BO238" s="324"/>
      <c r="BP238" s="324"/>
      <c r="BQ238" s="324"/>
      <c r="BR238" s="324"/>
      <c r="BS238" s="324"/>
      <c r="BT238" s="324"/>
      <c r="BU238" s="324"/>
      <c r="BV238" s="324"/>
      <c r="BW238" s="324"/>
      <c r="BX238" s="324"/>
      <c r="BY238" s="324"/>
      <c r="BZ238" s="324"/>
      <c r="CA238" s="324"/>
      <c r="CB238" s="324"/>
      <c r="CC238" s="324"/>
      <c r="CD238" s="324"/>
      <c r="CE238" s="324"/>
      <c r="CF238" s="62"/>
      <c r="CG238" s="22"/>
      <c r="CH238" s="22"/>
    </row>
    <row r="239" spans="1:96" outlineLevel="2">
      <c r="B239" s="90" t="s">
        <v>747</v>
      </c>
      <c r="C239" s="47"/>
      <c r="D239" s="47"/>
      <c r="E239" s="47"/>
      <c r="F239" s="47"/>
      <c r="G239" s="47"/>
      <c r="H239" s="379"/>
      <c r="I239" s="379"/>
      <c r="J239" s="379"/>
      <c r="K239" s="379"/>
      <c r="L239" s="379"/>
      <c r="M239" s="379"/>
      <c r="N239" s="379"/>
      <c r="O239" s="379"/>
      <c r="P239" s="379"/>
      <c r="Q239" s="380">
        <v>93</v>
      </c>
      <c r="R239" s="380">
        <v>119</v>
      </c>
      <c r="S239" s="379">
        <f>R239*(1+S240)</f>
        <v>154.70000000000002</v>
      </c>
      <c r="T239" s="379">
        <f>S239*(1+T240)</f>
        <v>221.221</v>
      </c>
      <c r="U239" s="379">
        <f>T239*(1+U240)</f>
        <v>298.64835000000005</v>
      </c>
      <c r="V239" s="20">
        <f>U239*(1+V240)</f>
        <v>388.24285500000008</v>
      </c>
      <c r="W239" s="20">
        <f t="shared" ref="W239:AD239" si="385">V239*(1+W240)</f>
        <v>493.0684258500001</v>
      </c>
      <c r="X239" s="20">
        <f t="shared" si="385"/>
        <v>616.33553231250016</v>
      </c>
      <c r="Y239" s="20">
        <f t="shared" si="385"/>
        <v>758.09270474437517</v>
      </c>
      <c r="Z239" s="20">
        <f t="shared" si="385"/>
        <v>917.2921727406939</v>
      </c>
      <c r="AA239" s="20">
        <f t="shared" si="385"/>
        <v>1091.5776855614256</v>
      </c>
      <c r="AB239" s="20">
        <f t="shared" si="385"/>
        <v>1277.1458921068679</v>
      </c>
      <c r="AC239" s="20">
        <f t="shared" si="385"/>
        <v>1468.7177759228982</v>
      </c>
      <c r="AD239" s="20">
        <f t="shared" si="385"/>
        <v>1659.6510867928753</v>
      </c>
      <c r="AE239" s="20"/>
      <c r="AF239" s="379"/>
      <c r="AG239" s="379"/>
      <c r="AH239" s="379"/>
      <c r="AI239" s="379"/>
      <c r="AJ239" s="379"/>
      <c r="AK239" s="379"/>
      <c r="AL239" s="379"/>
      <c r="AM239" s="379"/>
      <c r="AN239" s="379"/>
      <c r="AO239" s="379"/>
      <c r="AP239" s="379"/>
      <c r="AQ239" s="379"/>
      <c r="AR239" s="379"/>
      <c r="AS239" s="379"/>
      <c r="AT239" s="379"/>
      <c r="AU239" s="379"/>
      <c r="AV239" s="379"/>
      <c r="AW239" s="379"/>
      <c r="AX239" s="379"/>
      <c r="AY239" s="379"/>
      <c r="AZ239" s="379"/>
      <c r="BA239" s="379"/>
      <c r="BB239" s="379"/>
      <c r="BC239" s="379"/>
      <c r="BD239" s="379"/>
      <c r="BE239" s="379"/>
      <c r="BF239" s="379"/>
      <c r="BG239" s="379"/>
      <c r="BH239" s="379"/>
      <c r="BI239" s="379"/>
      <c r="BJ239" s="379"/>
      <c r="BK239" s="379"/>
      <c r="BL239" s="379"/>
      <c r="BM239" s="379"/>
      <c r="BN239" s="379"/>
      <c r="BO239" s="379"/>
      <c r="BP239" s="379"/>
      <c r="BQ239" s="379"/>
      <c r="BR239" s="379"/>
      <c r="BS239" s="379"/>
      <c r="BT239" s="379"/>
      <c r="BU239" s="379"/>
      <c r="BV239" s="379"/>
      <c r="BW239" s="379"/>
      <c r="BX239" s="379"/>
      <c r="BY239" s="379"/>
      <c r="BZ239" s="379"/>
      <c r="CA239" s="379"/>
      <c r="CB239" s="379"/>
      <c r="CC239" s="379"/>
      <c r="CD239" s="379"/>
      <c r="CE239" s="379"/>
      <c r="CF239" s="195"/>
      <c r="CG239" s="22"/>
      <c r="CH239" s="22"/>
    </row>
    <row r="240" spans="1:96" outlineLevel="2">
      <c r="A240" s="3" t="s">
        <v>766</v>
      </c>
      <c r="B240" s="12" t="s">
        <v>82</v>
      </c>
      <c r="C240" s="5"/>
      <c r="D240" s="5"/>
      <c r="E240" s="5"/>
      <c r="F240" s="5"/>
      <c r="G240" s="5"/>
      <c r="H240" s="324"/>
      <c r="I240" s="324"/>
      <c r="J240" s="324"/>
      <c r="K240" s="324"/>
      <c r="L240" s="324"/>
      <c r="M240" s="324"/>
      <c r="N240" s="324"/>
      <c r="O240" s="324"/>
      <c r="P240" s="324"/>
      <c r="Q240" s="324"/>
      <c r="R240" s="323">
        <f>R239/Q239-1</f>
        <v>0.27956989247311825</v>
      </c>
      <c r="S240" s="42">
        <v>0.3</v>
      </c>
      <c r="T240" s="42">
        <v>0.43</v>
      </c>
      <c r="U240" s="42">
        <v>0.35</v>
      </c>
      <c r="V240" s="457">
        <f>U240-5%</f>
        <v>0.3</v>
      </c>
      <c r="W240" s="42">
        <f>V240-3%</f>
        <v>0.27</v>
      </c>
      <c r="X240" s="42">
        <f t="shared" ref="X240:AD240" si="386">W240-2%</f>
        <v>0.25</v>
      </c>
      <c r="Y240" s="42">
        <f t="shared" si="386"/>
        <v>0.23</v>
      </c>
      <c r="Z240" s="42">
        <f t="shared" si="386"/>
        <v>0.21000000000000002</v>
      </c>
      <c r="AA240" s="42">
        <f t="shared" si="386"/>
        <v>0.19000000000000003</v>
      </c>
      <c r="AB240" s="42">
        <f t="shared" si="386"/>
        <v>0.17000000000000004</v>
      </c>
      <c r="AC240" s="42">
        <f t="shared" si="386"/>
        <v>0.15000000000000005</v>
      </c>
      <c r="AD240" s="42">
        <f t="shared" si="386"/>
        <v>0.13000000000000006</v>
      </c>
      <c r="AE240" s="42"/>
      <c r="AF240" s="324"/>
      <c r="AG240" s="324"/>
      <c r="AH240" s="324"/>
      <c r="AI240" s="324"/>
      <c r="AJ240" s="324"/>
      <c r="AK240" s="324"/>
      <c r="AL240" s="324"/>
      <c r="AM240" s="324"/>
      <c r="AN240" s="324"/>
      <c r="AO240" s="324"/>
      <c r="AP240" s="324"/>
      <c r="AQ240" s="324"/>
      <c r="AR240" s="324"/>
      <c r="AS240" s="324"/>
      <c r="AT240" s="324"/>
      <c r="AU240" s="324"/>
      <c r="AV240" s="324"/>
      <c r="AW240" s="324"/>
      <c r="AX240" s="324"/>
      <c r="AY240" s="324"/>
      <c r="AZ240" s="324"/>
      <c r="BA240" s="324"/>
      <c r="BB240" s="324"/>
      <c r="BC240" s="324"/>
      <c r="BD240" s="324"/>
      <c r="BE240" s="324"/>
      <c r="BF240" s="324"/>
      <c r="BG240" s="324"/>
      <c r="BH240" s="324"/>
      <c r="BI240" s="324"/>
      <c r="BJ240" s="324"/>
      <c r="BK240" s="324"/>
      <c r="BL240" s="324"/>
      <c r="BM240" s="324"/>
      <c r="BN240" s="324"/>
      <c r="BO240" s="324"/>
      <c r="BP240" s="324"/>
      <c r="BQ240" s="324"/>
      <c r="BR240" s="324"/>
      <c r="BS240" s="324"/>
      <c r="BT240" s="324"/>
      <c r="BU240" s="324"/>
      <c r="BV240" s="324"/>
      <c r="BW240" s="324"/>
      <c r="BX240" s="324"/>
      <c r="BY240" s="324"/>
      <c r="BZ240" s="324"/>
      <c r="CA240" s="324"/>
      <c r="CB240" s="324"/>
      <c r="CC240" s="324"/>
      <c r="CD240" s="324"/>
      <c r="CE240" s="324"/>
      <c r="CF240" s="62"/>
      <c r="CG240" s="22"/>
      <c r="CH240" s="22"/>
    </row>
    <row r="241" spans="2:86" outlineLevel="2">
      <c r="B241" s="12" t="s">
        <v>575</v>
      </c>
      <c r="C241" s="5"/>
      <c r="D241" s="5"/>
      <c r="E241" s="5"/>
      <c r="F241" s="5"/>
      <c r="G241" s="5"/>
      <c r="H241" s="324"/>
      <c r="I241" s="324"/>
      <c r="J241" s="324"/>
      <c r="K241" s="324"/>
      <c r="L241" s="324"/>
      <c r="M241" s="324"/>
      <c r="N241" s="324"/>
      <c r="O241" s="324"/>
      <c r="P241" s="324"/>
      <c r="Q241" s="324"/>
      <c r="R241" s="324"/>
      <c r="S241" s="324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324"/>
      <c r="AG241" s="324"/>
      <c r="AH241" s="324"/>
      <c r="AI241" s="324"/>
      <c r="AJ241" s="324"/>
      <c r="AK241" s="324"/>
      <c r="AL241" s="324"/>
      <c r="AM241" s="324"/>
      <c r="AN241" s="324"/>
      <c r="AO241" s="324"/>
      <c r="AP241" s="324"/>
      <c r="AQ241" s="324"/>
      <c r="AR241" s="324"/>
      <c r="AS241" s="324"/>
      <c r="AT241" s="324"/>
      <c r="AU241" s="324"/>
      <c r="AV241" s="324"/>
      <c r="AW241" s="324"/>
      <c r="AX241" s="324"/>
      <c r="AY241" s="324"/>
      <c r="AZ241" s="324"/>
      <c r="BA241" s="324"/>
      <c r="BB241" s="324"/>
      <c r="BC241" s="324"/>
      <c r="BD241" s="324"/>
      <c r="BE241" s="324"/>
      <c r="BF241" s="324"/>
      <c r="BG241" s="324"/>
      <c r="BH241" s="324"/>
      <c r="BI241" s="324"/>
      <c r="BJ241" s="324"/>
      <c r="BK241" s="324"/>
      <c r="BL241" s="324"/>
      <c r="BM241" s="324"/>
      <c r="BN241" s="324"/>
      <c r="BO241" s="324"/>
      <c r="BP241" s="324"/>
      <c r="BQ241" s="324"/>
      <c r="BR241" s="324"/>
      <c r="BS241" s="324"/>
      <c r="BT241" s="324"/>
      <c r="BU241" s="324"/>
      <c r="BV241" s="324"/>
      <c r="BW241" s="324"/>
      <c r="BX241" s="324"/>
      <c r="BY241" s="324"/>
      <c r="BZ241" s="324"/>
      <c r="CA241" s="324"/>
      <c r="CB241" s="324"/>
      <c r="CC241" s="324"/>
      <c r="CD241" s="324"/>
      <c r="CE241" s="324"/>
      <c r="CF241" s="62"/>
      <c r="CG241" s="22"/>
      <c r="CH241" s="22"/>
    </row>
    <row r="242" spans="2:86" outlineLevel="2">
      <c r="B242" s="12" t="s">
        <v>748</v>
      </c>
      <c r="C242" s="5"/>
      <c r="D242" s="5"/>
      <c r="E242" s="5"/>
      <c r="F242" s="5"/>
      <c r="G242" s="5"/>
      <c r="H242" s="324"/>
      <c r="I242" s="324"/>
      <c r="J242" s="324"/>
      <c r="K242" s="324"/>
      <c r="L242" s="324"/>
      <c r="M242" s="324"/>
      <c r="N242" s="324"/>
      <c r="O242" s="324"/>
      <c r="P242" s="324"/>
      <c r="Q242" s="381">
        <v>9.7000000000000003E-2</v>
      </c>
      <c r="R242" s="381">
        <v>0.11</v>
      </c>
      <c r="S242" s="381">
        <v>0.109</v>
      </c>
      <c r="T242" s="382">
        <f>S242</f>
        <v>0.109</v>
      </c>
      <c r="U242" s="383">
        <f>T242</f>
        <v>0.109</v>
      </c>
      <c r="V242" s="383">
        <f t="shared" ref="V242:AD242" si="387">U242</f>
        <v>0.109</v>
      </c>
      <c r="W242" s="383">
        <f t="shared" si="387"/>
        <v>0.109</v>
      </c>
      <c r="X242" s="383">
        <f t="shared" si="387"/>
        <v>0.109</v>
      </c>
      <c r="Y242" s="383">
        <f t="shared" si="387"/>
        <v>0.109</v>
      </c>
      <c r="Z242" s="383">
        <f t="shared" si="387"/>
        <v>0.109</v>
      </c>
      <c r="AA242" s="383">
        <f t="shared" si="387"/>
        <v>0.109</v>
      </c>
      <c r="AB242" s="383">
        <f t="shared" si="387"/>
        <v>0.109</v>
      </c>
      <c r="AC242" s="383">
        <f t="shared" si="387"/>
        <v>0.109</v>
      </c>
      <c r="AD242" s="383">
        <f t="shared" si="387"/>
        <v>0.109</v>
      </c>
      <c r="AE242" s="383"/>
      <c r="AF242" s="324"/>
      <c r="AG242" s="324"/>
      <c r="AH242" s="324"/>
      <c r="AI242" s="324"/>
      <c r="AJ242" s="324"/>
      <c r="AK242" s="324"/>
      <c r="AL242" s="324"/>
      <c r="AM242" s="324"/>
      <c r="AN242" s="324"/>
      <c r="AO242" s="324"/>
      <c r="AP242" s="324"/>
      <c r="AQ242" s="324"/>
      <c r="AR242" s="324"/>
      <c r="AS242" s="324"/>
      <c r="AT242" s="324"/>
      <c r="AU242" s="324"/>
      <c r="AV242" s="324"/>
      <c r="AW242" s="324"/>
      <c r="AX242" s="324"/>
      <c r="AY242" s="324"/>
      <c r="AZ242" s="324"/>
      <c r="BA242" s="324"/>
      <c r="BB242" s="324"/>
      <c r="BC242" s="324"/>
      <c r="BD242" s="324"/>
      <c r="BE242" s="324"/>
      <c r="BF242" s="324"/>
      <c r="BG242" s="324"/>
      <c r="BH242" s="324"/>
      <c r="BI242" s="324"/>
      <c r="BJ242" s="324"/>
      <c r="BK242" s="324"/>
      <c r="BL242" s="324"/>
      <c r="BM242" s="324"/>
      <c r="BN242" s="324"/>
      <c r="BO242" s="324"/>
      <c r="BP242" s="324"/>
      <c r="BQ242" s="324"/>
      <c r="BR242" s="324"/>
      <c r="BS242" s="324"/>
      <c r="BT242" s="324"/>
      <c r="BU242" s="324"/>
      <c r="BV242" s="324"/>
      <c r="BW242" s="324"/>
      <c r="BX242" s="324"/>
      <c r="BY242" s="324"/>
      <c r="BZ242" s="324"/>
      <c r="CA242" s="324"/>
      <c r="CB242" s="324"/>
      <c r="CC242" s="324"/>
      <c r="CD242" s="324"/>
      <c r="CE242" s="324"/>
      <c r="CF242" s="62"/>
      <c r="CG242" s="22"/>
      <c r="CH242" s="22"/>
    </row>
    <row r="243" spans="2:86" outlineLevel="2">
      <c r="B243" s="12"/>
      <c r="C243" s="5"/>
      <c r="D243" s="5"/>
      <c r="E243" s="5"/>
      <c r="F243" s="5"/>
      <c r="G243" s="5"/>
      <c r="H243" s="324"/>
      <c r="I243" s="324"/>
      <c r="J243" s="324"/>
      <c r="K243" s="324"/>
      <c r="L243" s="324"/>
      <c r="M243" s="324"/>
      <c r="N243" s="324"/>
      <c r="O243" s="324"/>
      <c r="P243" s="324"/>
      <c r="Q243" s="381"/>
      <c r="R243" s="381"/>
      <c r="S243" s="381"/>
      <c r="T243" s="382"/>
      <c r="U243" s="383"/>
      <c r="V243" s="383"/>
      <c r="W243" s="383"/>
      <c r="X243" s="383"/>
      <c r="Y243" s="383"/>
      <c r="Z243" s="383"/>
      <c r="AA243" s="383"/>
      <c r="AB243" s="383"/>
      <c r="AC243" s="383"/>
      <c r="AD243" s="383"/>
      <c r="AE243" s="383"/>
      <c r="AF243" s="324"/>
      <c r="AG243" s="324"/>
      <c r="AH243" s="324"/>
      <c r="AI243" s="324"/>
      <c r="AJ243" s="324"/>
      <c r="AK243" s="324"/>
      <c r="AL243" s="324"/>
      <c r="AM243" s="324"/>
      <c r="AN243" s="324"/>
      <c r="AO243" s="324"/>
      <c r="AP243" s="324"/>
      <c r="AQ243" s="324"/>
      <c r="AR243" s="324"/>
      <c r="AS243" s="324"/>
      <c r="AT243" s="324"/>
      <c r="AU243" s="324"/>
      <c r="AV243" s="324"/>
      <c r="AW243" s="324"/>
      <c r="AX243" s="324"/>
      <c r="AY243" s="324"/>
      <c r="AZ243" s="324"/>
      <c r="BA243" s="324"/>
      <c r="BB243" s="324"/>
      <c r="BC243" s="324"/>
      <c r="BD243" s="324"/>
      <c r="BE243" s="324"/>
      <c r="BF243" s="324"/>
      <c r="BG243" s="324"/>
      <c r="BH243" s="324"/>
      <c r="BI243" s="324"/>
      <c r="BJ243" s="324"/>
      <c r="BK243" s="324"/>
      <c r="BL243" s="324"/>
      <c r="BM243" s="324"/>
      <c r="BN243" s="324"/>
      <c r="BO243" s="324"/>
      <c r="BP243" s="324"/>
      <c r="BQ243" s="324"/>
      <c r="BR243" s="324"/>
      <c r="BS243" s="324"/>
      <c r="BT243" s="324"/>
      <c r="BU243" s="324"/>
      <c r="BV243" s="324"/>
      <c r="BW243" s="324"/>
      <c r="BX243" s="324"/>
      <c r="BY243" s="324"/>
      <c r="BZ243" s="324"/>
      <c r="CA243" s="324"/>
      <c r="CB243" s="324"/>
      <c r="CC243" s="324"/>
      <c r="CD243" s="324"/>
      <c r="CE243" s="324"/>
      <c r="CF243" s="62"/>
      <c r="CG243" s="22"/>
      <c r="CH243" s="22"/>
    </row>
    <row r="244" spans="2:86" outlineLevel="1">
      <c r="B244" s="90" t="s">
        <v>157</v>
      </c>
      <c r="C244" s="47"/>
      <c r="D244" s="47"/>
      <c r="E244" s="47"/>
      <c r="F244" s="47"/>
      <c r="G244" s="47"/>
      <c r="H244" s="379"/>
      <c r="I244" s="379"/>
      <c r="J244" s="379"/>
      <c r="K244" s="379"/>
      <c r="L244" s="379"/>
      <c r="M244" s="379"/>
      <c r="N244" s="379"/>
      <c r="O244" s="379"/>
      <c r="P244" s="379"/>
      <c r="Q244" s="379"/>
      <c r="R244" s="379"/>
      <c r="S244" s="444"/>
      <c r="T244" s="444"/>
      <c r="U244" s="444"/>
      <c r="V244" s="444"/>
      <c r="W244" s="444"/>
      <c r="X244" s="444"/>
      <c r="Y244" s="444"/>
      <c r="Z244" s="444"/>
      <c r="AA244" s="444"/>
      <c r="AB244" s="444"/>
      <c r="AC244" s="444"/>
      <c r="AD244" s="444"/>
      <c r="AE244" s="444"/>
      <c r="AF244" s="379"/>
      <c r="AG244" s="379"/>
      <c r="AH244" s="379"/>
      <c r="AI244" s="379"/>
      <c r="AJ244" s="379"/>
      <c r="AK244" s="379"/>
      <c r="AL244" s="379"/>
      <c r="AM244" s="379"/>
      <c r="AN244" s="379"/>
      <c r="AO244" s="379"/>
      <c r="AP244" s="379"/>
      <c r="AQ244" s="379"/>
      <c r="AR244" s="379"/>
      <c r="AS244" s="379"/>
      <c r="AT244" s="379"/>
      <c r="AU244" s="379"/>
      <c r="AV244" s="379"/>
      <c r="AW244" s="379"/>
      <c r="AX244" s="379"/>
      <c r="AY244" s="379"/>
      <c r="AZ244" s="379"/>
      <c r="BA244" s="379"/>
      <c r="BB244" s="379"/>
      <c r="BC244" s="379"/>
      <c r="BD244" s="379"/>
      <c r="BE244" s="379"/>
      <c r="BF244" s="379"/>
      <c r="BG244" s="379"/>
      <c r="BH244" s="379"/>
      <c r="BI244" s="379"/>
      <c r="BJ244" s="379"/>
      <c r="BK244" s="379"/>
      <c r="BL244" s="379"/>
      <c r="BM244" s="379"/>
      <c r="BN244" s="379"/>
      <c r="BO244" s="379"/>
      <c r="BP244" s="379"/>
      <c r="BQ244" s="379"/>
      <c r="BR244" s="379"/>
      <c r="BS244" s="379"/>
      <c r="BT244" s="445">
        <f>BT230*BT245</f>
        <v>400.83621559633031</v>
      </c>
      <c r="BU244" s="443"/>
      <c r="BV244" s="443"/>
      <c r="BW244" s="443"/>
      <c r="BX244" s="443"/>
      <c r="BY244" s="443"/>
      <c r="BZ244" s="443"/>
      <c r="CA244" s="443"/>
      <c r="CB244" s="443"/>
      <c r="CC244" s="443"/>
      <c r="CD244" s="443"/>
      <c r="CE244" s="443"/>
      <c r="CF244" s="195"/>
      <c r="CG244" s="5"/>
      <c r="CH244" s="5"/>
    </row>
    <row r="245" spans="2:86" outlineLevel="1">
      <c r="B245" s="12" t="s">
        <v>47</v>
      </c>
      <c r="C245" s="5"/>
      <c r="D245" s="5"/>
      <c r="E245" s="5"/>
      <c r="F245" s="5"/>
      <c r="G245" s="5"/>
      <c r="H245" s="324"/>
      <c r="I245" s="324"/>
      <c r="J245" s="324"/>
      <c r="K245" s="324"/>
      <c r="L245" s="324"/>
      <c r="M245" s="324"/>
      <c r="N245" s="324"/>
      <c r="O245" s="324"/>
      <c r="P245" s="324"/>
      <c r="Q245" s="324"/>
      <c r="R245" s="324"/>
      <c r="S245" s="157"/>
      <c r="T245" s="157"/>
      <c r="U245" s="157"/>
      <c r="V245" s="157"/>
      <c r="W245" s="157"/>
      <c r="X245" s="157"/>
      <c r="Y245" s="157"/>
      <c r="Z245" s="157"/>
      <c r="AA245" s="157"/>
      <c r="AB245" s="157"/>
      <c r="AC245" s="157"/>
      <c r="AD245" s="157"/>
      <c r="AE245" s="157"/>
      <c r="AF245" s="324"/>
      <c r="AG245" s="324"/>
      <c r="AH245" s="324"/>
      <c r="AI245" s="324"/>
      <c r="AJ245" s="324"/>
      <c r="AK245" s="324"/>
      <c r="AL245" s="324"/>
      <c r="AM245" s="324"/>
      <c r="AN245" s="324"/>
      <c r="AO245" s="324"/>
      <c r="AP245" s="324"/>
      <c r="AQ245" s="324"/>
      <c r="AR245" s="324"/>
      <c r="AS245" s="324"/>
      <c r="AT245" s="324"/>
      <c r="AU245" s="324"/>
      <c r="AV245" s="324"/>
      <c r="AW245" s="324"/>
      <c r="AX245" s="324"/>
      <c r="AY245" s="324"/>
      <c r="AZ245" s="324"/>
      <c r="BA245" s="324"/>
      <c r="BB245" s="324"/>
      <c r="BC245" s="324"/>
      <c r="BD245" s="324"/>
      <c r="BE245" s="324"/>
      <c r="BF245" s="324"/>
      <c r="BG245" s="324"/>
      <c r="BH245" s="324"/>
      <c r="BI245" s="324"/>
      <c r="BJ245" s="324"/>
      <c r="BK245" s="324"/>
      <c r="BL245" s="324"/>
      <c r="BM245" s="324"/>
      <c r="BN245" s="324"/>
      <c r="BO245" s="324"/>
      <c r="BP245" s="324"/>
      <c r="BQ245" s="324"/>
      <c r="BR245" s="324"/>
      <c r="BS245" s="324"/>
      <c r="BT245" s="357">
        <v>0.79</v>
      </c>
      <c r="BU245" s="42"/>
      <c r="BV245" s="42"/>
      <c r="BW245" s="42"/>
      <c r="BX245" s="42"/>
      <c r="BY245" s="42"/>
      <c r="BZ245" s="42"/>
      <c r="CA245" s="42"/>
      <c r="CB245" s="42"/>
      <c r="CC245" s="42"/>
      <c r="CD245" s="42"/>
      <c r="CE245" s="42"/>
      <c r="CF245" s="62"/>
      <c r="CG245" s="5"/>
      <c r="CH245" s="5"/>
    </row>
    <row r="246" spans="2:86" outlineLevel="1">
      <c r="B246" s="49" t="s">
        <v>778</v>
      </c>
      <c r="C246" s="5"/>
      <c r="D246" s="5"/>
      <c r="E246" s="5"/>
      <c r="F246" s="5"/>
      <c r="G246" s="5"/>
      <c r="H246" s="324"/>
      <c r="I246" s="324"/>
      <c r="J246" s="324"/>
      <c r="K246" s="324"/>
      <c r="L246" s="324"/>
      <c r="M246" s="324"/>
      <c r="N246" s="324"/>
      <c r="O246" s="324"/>
      <c r="P246" s="324"/>
      <c r="Q246" s="324"/>
      <c r="R246" s="324"/>
      <c r="S246" s="157"/>
      <c r="T246" s="157"/>
      <c r="U246" s="157"/>
      <c r="V246" s="157"/>
      <c r="W246" s="157"/>
      <c r="X246" s="157"/>
      <c r="Y246" s="157"/>
      <c r="Z246" s="157"/>
      <c r="AA246" s="157"/>
      <c r="AB246" s="157"/>
      <c r="AC246" s="157"/>
      <c r="AD246" s="157"/>
      <c r="AE246" s="157"/>
      <c r="AF246" s="324"/>
      <c r="AG246" s="324"/>
      <c r="AH246" s="324"/>
      <c r="AI246" s="324"/>
      <c r="AJ246" s="324"/>
      <c r="AK246" s="324"/>
      <c r="AL246" s="324"/>
      <c r="AM246" s="324"/>
      <c r="AN246" s="324"/>
      <c r="AO246" s="324"/>
      <c r="AP246" s="324"/>
      <c r="AQ246" s="324"/>
      <c r="AR246" s="324"/>
      <c r="AS246" s="324"/>
      <c r="AT246" s="324"/>
      <c r="AU246" s="324"/>
      <c r="AV246" s="324"/>
      <c r="AW246" s="324"/>
      <c r="AX246" s="324"/>
      <c r="AY246" s="324"/>
      <c r="AZ246" s="324"/>
      <c r="BA246" s="324"/>
      <c r="BB246" s="324"/>
      <c r="BC246" s="324"/>
      <c r="BD246" s="324"/>
      <c r="BE246" s="324"/>
      <c r="BF246" s="324"/>
      <c r="BG246" s="324"/>
      <c r="BH246" s="324"/>
      <c r="BI246" s="324"/>
      <c r="BJ246" s="324"/>
      <c r="BK246" s="324"/>
      <c r="BL246" s="324"/>
      <c r="BM246" s="324"/>
      <c r="BN246" s="324"/>
      <c r="BO246" s="324"/>
      <c r="BP246" s="324"/>
      <c r="BQ246" s="324"/>
      <c r="BR246" s="324"/>
      <c r="BS246" s="355">
        <f>GP-BS244</f>
        <v>3940.9218229999997</v>
      </c>
      <c r="BT246" s="355">
        <f>GP-BT244</f>
        <v>4494.9188834036695</v>
      </c>
      <c r="BU246" s="42"/>
      <c r="BV246" s="42"/>
      <c r="BW246" s="42"/>
      <c r="BX246" s="42"/>
      <c r="BY246" s="42"/>
      <c r="BZ246" s="42"/>
      <c r="CA246" s="42"/>
      <c r="CB246" s="42"/>
      <c r="CC246" s="42"/>
      <c r="CD246" s="42"/>
      <c r="CE246" s="42"/>
      <c r="CF246" s="62"/>
      <c r="CG246" s="5"/>
      <c r="CH246" s="5"/>
    </row>
    <row r="247" spans="2:86" outlineLevel="1">
      <c r="B247" s="49" t="s">
        <v>779</v>
      </c>
      <c r="C247" s="5"/>
      <c r="D247" s="5"/>
      <c r="E247" s="5"/>
      <c r="F247" s="5"/>
      <c r="G247" s="5"/>
      <c r="H247" s="324"/>
      <c r="I247" s="324"/>
      <c r="J247" s="324"/>
      <c r="K247" s="324"/>
      <c r="L247" s="324"/>
      <c r="M247" s="324"/>
      <c r="N247" s="324"/>
      <c r="O247" s="324"/>
      <c r="P247" s="324"/>
      <c r="Q247" s="324"/>
      <c r="R247" s="324"/>
      <c r="S247" s="157"/>
      <c r="T247" s="157"/>
      <c r="U247" s="157"/>
      <c r="V247" s="157"/>
      <c r="W247" s="157"/>
      <c r="X247" s="157"/>
      <c r="Y247" s="157"/>
      <c r="Z247" s="157"/>
      <c r="AA247" s="157"/>
      <c r="AB247" s="157"/>
      <c r="AC247" s="157"/>
      <c r="AD247" s="157"/>
      <c r="AE247" s="157"/>
      <c r="AF247" s="324"/>
      <c r="AG247" s="324"/>
      <c r="AH247" s="324"/>
      <c r="AI247" s="324"/>
      <c r="AJ247" s="324"/>
      <c r="AK247" s="324"/>
      <c r="AL247" s="324"/>
      <c r="AM247" s="324"/>
      <c r="AN247" s="324"/>
      <c r="AO247" s="324"/>
      <c r="AP247" s="324"/>
      <c r="AQ247" s="324"/>
      <c r="AR247" s="324"/>
      <c r="AS247" s="324"/>
      <c r="AT247" s="324"/>
      <c r="AU247" s="324"/>
      <c r="AV247" s="324"/>
      <c r="AW247" s="324"/>
      <c r="AX247" s="324"/>
      <c r="AY247" s="324"/>
      <c r="AZ247" s="324"/>
      <c r="BA247" s="324"/>
      <c r="BB247" s="324"/>
      <c r="BC247" s="324"/>
      <c r="BD247" s="324"/>
      <c r="BE247" s="324"/>
      <c r="BF247" s="324"/>
      <c r="BG247" s="324"/>
      <c r="BH247" s="324"/>
      <c r="BI247" s="324"/>
      <c r="BJ247" s="324"/>
      <c r="BK247" s="324"/>
      <c r="BL247" s="324"/>
      <c r="BM247" s="324"/>
      <c r="BN247" s="324"/>
      <c r="BO247" s="324"/>
      <c r="BP247" s="324"/>
      <c r="BQ247" s="324"/>
      <c r="BR247" s="324"/>
      <c r="BS247" s="446">
        <f>GPM</f>
        <v>0.77771909108742121</v>
      </c>
      <c r="BT247" s="157">
        <f>BT246/BT227</f>
        <v>0.80587690537930856</v>
      </c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62"/>
      <c r="CG247" s="5"/>
      <c r="CH247" s="5"/>
    </row>
    <row r="248" spans="2:86" outlineLevel="1">
      <c r="B248" s="12"/>
      <c r="C248" s="5"/>
      <c r="D248" s="5"/>
      <c r="E248" s="5"/>
      <c r="F248" s="5"/>
      <c r="G248" s="5"/>
      <c r="H248" s="324"/>
      <c r="I248" s="324"/>
      <c r="J248" s="324"/>
      <c r="K248" s="324"/>
      <c r="L248" s="324"/>
      <c r="M248" s="324"/>
      <c r="N248" s="324"/>
      <c r="O248" s="324"/>
      <c r="P248" s="324"/>
      <c r="Q248" s="324"/>
      <c r="R248" s="324"/>
      <c r="S248" s="157"/>
      <c r="T248" s="157"/>
      <c r="U248" s="157"/>
      <c r="V248" s="157"/>
      <c r="W248" s="157"/>
      <c r="X248" s="157"/>
      <c r="Y248" s="157"/>
      <c r="Z248" s="157"/>
      <c r="AA248" s="157"/>
      <c r="AB248" s="157"/>
      <c r="AC248" s="157"/>
      <c r="AD248" s="157"/>
      <c r="AE248" s="157"/>
      <c r="AF248" s="324"/>
      <c r="AG248" s="324"/>
      <c r="AH248" s="324"/>
      <c r="AI248" s="324"/>
      <c r="AJ248" s="324"/>
      <c r="AK248" s="324"/>
      <c r="AL248" s="324"/>
      <c r="AM248" s="324"/>
      <c r="AN248" s="324"/>
      <c r="AO248" s="324"/>
      <c r="AP248" s="324"/>
      <c r="AQ248" s="324"/>
      <c r="AR248" s="324"/>
      <c r="AS248" s="324"/>
      <c r="AT248" s="324"/>
      <c r="AU248" s="324"/>
      <c r="AV248" s="324"/>
      <c r="AW248" s="324"/>
      <c r="AX248" s="324"/>
      <c r="AY248" s="324"/>
      <c r="AZ248" s="324"/>
      <c r="BA248" s="324"/>
      <c r="BB248" s="324"/>
      <c r="BC248" s="324"/>
      <c r="BD248" s="324"/>
      <c r="BE248" s="324"/>
      <c r="BF248" s="324"/>
      <c r="BG248" s="324"/>
      <c r="BH248" s="324"/>
      <c r="BI248" s="324"/>
      <c r="BJ248" s="324"/>
      <c r="BK248" s="324"/>
      <c r="BL248" s="324"/>
      <c r="BM248" s="324"/>
      <c r="BN248" s="324"/>
      <c r="BO248" s="324"/>
      <c r="BP248" s="324"/>
      <c r="BQ248" s="324"/>
      <c r="BR248" s="324"/>
      <c r="BS248" s="324"/>
      <c r="BT248" s="357">
        <f>BS247+0.25%</f>
        <v>0.78021909108742116</v>
      </c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62"/>
      <c r="CG248" s="5"/>
      <c r="CH248" s="5"/>
    </row>
    <row r="249" spans="2:86" outlineLevel="1">
      <c r="B249" s="12"/>
      <c r="C249" s="5"/>
      <c r="D249" s="5"/>
      <c r="E249" s="5"/>
      <c r="F249" s="5"/>
      <c r="G249" s="5"/>
      <c r="H249" s="324"/>
      <c r="I249" s="324"/>
      <c r="J249" s="324"/>
      <c r="K249" s="324"/>
      <c r="L249" s="324"/>
      <c r="M249" s="324"/>
      <c r="N249" s="324"/>
      <c r="O249" s="324"/>
      <c r="P249" s="324"/>
      <c r="Q249" s="324"/>
      <c r="R249" s="324"/>
      <c r="S249" s="157"/>
      <c r="T249" s="157"/>
      <c r="U249" s="157"/>
      <c r="V249" s="157"/>
      <c r="W249" s="157"/>
      <c r="X249" s="157"/>
      <c r="Y249" s="157"/>
      <c r="Z249" s="157"/>
      <c r="AA249" s="157"/>
      <c r="AB249" s="157"/>
      <c r="AC249" s="157"/>
      <c r="AD249" s="157"/>
      <c r="AE249" s="157"/>
      <c r="AF249" s="324"/>
      <c r="AG249" s="324"/>
      <c r="AH249" s="324"/>
      <c r="AI249" s="324"/>
      <c r="AJ249" s="324"/>
      <c r="AK249" s="324"/>
      <c r="AL249" s="324"/>
      <c r="AM249" s="324"/>
      <c r="AN249" s="324"/>
      <c r="AO249" s="324"/>
      <c r="AP249" s="324"/>
      <c r="AQ249" s="324"/>
      <c r="AR249" s="324"/>
      <c r="AS249" s="324"/>
      <c r="AT249" s="324"/>
      <c r="AU249" s="324"/>
      <c r="AV249" s="324"/>
      <c r="AW249" s="324"/>
      <c r="AX249" s="324"/>
      <c r="AY249" s="324"/>
      <c r="AZ249" s="324"/>
      <c r="BA249" s="324"/>
      <c r="BB249" s="324"/>
      <c r="BC249" s="324"/>
      <c r="BD249" s="324"/>
      <c r="BE249" s="324"/>
      <c r="BF249" s="324"/>
      <c r="BG249" s="324"/>
      <c r="BH249" s="324"/>
      <c r="BI249" s="324"/>
      <c r="BJ249" s="324"/>
      <c r="BK249" s="324"/>
      <c r="BL249" s="324"/>
      <c r="BM249" s="324"/>
      <c r="BN249" s="324"/>
      <c r="BO249" s="324"/>
      <c r="BP249" s="324"/>
      <c r="BQ249" s="324"/>
      <c r="BR249" s="324"/>
      <c r="BS249" s="324"/>
      <c r="BT249" s="42"/>
      <c r="BU249" s="42"/>
      <c r="BV249" s="42"/>
      <c r="BW249" s="42"/>
      <c r="BX249" s="42"/>
      <c r="BY249" s="42"/>
      <c r="BZ249" s="42"/>
      <c r="CA249" s="42"/>
      <c r="CB249" s="42"/>
      <c r="CC249" s="42"/>
      <c r="CD249" s="42"/>
      <c r="CE249" s="42"/>
      <c r="CF249" s="62"/>
      <c r="CG249" s="5"/>
      <c r="CH249" s="5"/>
    </row>
    <row r="250" spans="2:86" outlineLevel="1">
      <c r="B250" s="90" t="s">
        <v>750</v>
      </c>
      <c r="C250" s="47"/>
      <c r="D250" s="47"/>
      <c r="E250" s="47"/>
      <c r="F250" s="47"/>
      <c r="G250" s="47"/>
      <c r="H250" s="379"/>
      <c r="I250" s="379"/>
      <c r="J250" s="379"/>
      <c r="K250" s="379"/>
      <c r="L250" s="379"/>
      <c r="M250" s="379"/>
      <c r="N250" s="379"/>
      <c r="O250" s="379"/>
      <c r="P250" s="379"/>
      <c r="Q250" s="379">
        <f t="shared" ref="Q250:AD250" si="388">Q256-Q230</f>
        <v>-747.8350515463917</v>
      </c>
      <c r="R250" s="379">
        <f t="shared" si="388"/>
        <v>-876.27272727272725</v>
      </c>
      <c r="S250" s="379">
        <f t="shared" si="388"/>
        <v>-1135.4128440366974</v>
      </c>
      <c r="T250" s="379">
        <f t="shared" si="388"/>
        <v>-1542.4583486238532</v>
      </c>
      <c r="U250" s="379">
        <f t="shared" si="388"/>
        <v>-2054.9198394495415</v>
      </c>
      <c r="V250" s="379">
        <f t="shared" si="388"/>
        <v>-2635.7771807339454</v>
      </c>
      <c r="W250" s="379">
        <f t="shared" si="388"/>
        <v>-3302.2013841330281</v>
      </c>
      <c r="X250" s="379">
        <f t="shared" si="388"/>
        <v>-4099.4794580418584</v>
      </c>
      <c r="Y250" s="379">
        <f t="shared" si="388"/>
        <v>-5007.584838678441</v>
      </c>
      <c r="Z250" s="379">
        <f t="shared" si="388"/>
        <v>-6059.1776548009129</v>
      </c>
      <c r="AA250" s="379">
        <f t="shared" si="388"/>
        <v>-7210.421409213086</v>
      </c>
      <c r="AB250" s="379">
        <f t="shared" si="388"/>
        <v>-8436.1930487793106</v>
      </c>
      <c r="AC250" s="379">
        <f t="shared" si="388"/>
        <v>-9701.6220060962078</v>
      </c>
      <c r="AD250" s="379">
        <f t="shared" si="388"/>
        <v>-10962.832866888715</v>
      </c>
      <c r="AE250" s="379"/>
      <c r="AF250" s="379"/>
      <c r="AG250" s="379"/>
      <c r="AH250" s="379"/>
      <c r="AI250" s="379"/>
      <c r="AJ250" s="379"/>
      <c r="AK250" s="379"/>
      <c r="AL250" s="379"/>
      <c r="AM250" s="379"/>
      <c r="AN250" s="379"/>
      <c r="AO250" s="379"/>
      <c r="AP250" s="379"/>
      <c r="AQ250" s="379"/>
      <c r="AR250" s="379"/>
      <c r="AS250" s="379"/>
      <c r="AT250" s="379"/>
      <c r="AU250" s="379"/>
      <c r="AV250" s="379"/>
      <c r="AW250" s="379"/>
      <c r="AX250" s="379"/>
      <c r="AY250" s="379"/>
      <c r="AZ250" s="379"/>
      <c r="BA250" s="379"/>
      <c r="BB250" s="379"/>
      <c r="BC250" s="379"/>
      <c r="BD250" s="379"/>
      <c r="BE250" s="379"/>
      <c r="BF250" s="379"/>
      <c r="BG250" s="379"/>
      <c r="BH250" s="379"/>
      <c r="BI250" s="379"/>
      <c r="BJ250" s="379"/>
      <c r="BK250" s="379"/>
      <c r="BL250" s="379"/>
      <c r="BM250" s="379"/>
      <c r="BN250" s="379"/>
      <c r="BO250" s="379"/>
      <c r="BP250" s="379"/>
      <c r="BQ250" s="379"/>
      <c r="BR250" s="379"/>
      <c r="BS250" s="379"/>
      <c r="BT250" s="379">
        <f>BT252*$T$250</f>
        <v>-423.14166103042402</v>
      </c>
      <c r="BU250" s="379">
        <f>BU252*$T$250</f>
        <v>-432.57793350233663</v>
      </c>
      <c r="BV250" s="379">
        <f>BV252*$T$250</f>
        <v>-389.3163642046581</v>
      </c>
      <c r="BW250" s="379">
        <f>BW252*$T$250</f>
        <v>-297.42238988643447</v>
      </c>
      <c r="BX250" s="379">
        <f>BX252*$U$250</f>
        <v>-563.72491025434783</v>
      </c>
      <c r="BY250" s="379">
        <f>BY252*$U$250</f>
        <v>-576.29626009357355</v>
      </c>
      <c r="BZ250" s="379">
        <f>BZ252*$U$250</f>
        <v>-518.66160362791629</v>
      </c>
      <c r="CA250" s="379">
        <f>CA252*$U$250</f>
        <v>-396.23706547370386</v>
      </c>
      <c r="CB250" s="379">
        <f>CB252*$V$250</f>
        <v>-723.07115155291024</v>
      </c>
      <c r="CC250" s="379">
        <f>CC252*$V$250</f>
        <v>-739.19600294669033</v>
      </c>
      <c r="CD250" s="379">
        <f>CD252*$V$250</f>
        <v>-665.26995025340739</v>
      </c>
      <c r="CE250" s="379">
        <f>CE252*$V$250</f>
        <v>-508.24007598093749</v>
      </c>
      <c r="CF250" s="195"/>
      <c r="CG250" s="5"/>
      <c r="CH250" s="5"/>
    </row>
    <row r="251" spans="2:86" outlineLevel="1">
      <c r="B251" s="12" t="s">
        <v>749</v>
      </c>
      <c r="C251" s="5"/>
      <c r="D251" s="5"/>
      <c r="E251" s="5"/>
      <c r="F251" s="5"/>
      <c r="G251" s="5"/>
      <c r="H251" s="324"/>
      <c r="I251" s="324"/>
      <c r="J251" s="324"/>
      <c r="K251" s="324"/>
      <c r="L251" s="324"/>
      <c r="M251" s="324"/>
      <c r="N251" s="324"/>
      <c r="O251" s="324"/>
      <c r="P251" s="324"/>
      <c r="Q251" s="324"/>
      <c r="R251" s="323">
        <f t="shared" ref="R251:AD251" si="389">R250/Q250-1</f>
        <v>0.17174599593954443</v>
      </c>
      <c r="S251" s="323">
        <f t="shared" si="389"/>
        <v>0.29572998074527135</v>
      </c>
      <c r="T251" s="323">
        <f t="shared" si="389"/>
        <v>0.35849999999999982</v>
      </c>
      <c r="U251" s="323">
        <f t="shared" si="389"/>
        <v>0.33223684210526327</v>
      </c>
      <c r="V251" s="323">
        <f t="shared" si="389"/>
        <v>0.28266666666666684</v>
      </c>
      <c r="W251" s="323">
        <f t="shared" si="389"/>
        <v>0.25283783783783775</v>
      </c>
      <c r="X251" s="323">
        <f t="shared" si="389"/>
        <v>0.24143835616438358</v>
      </c>
      <c r="Y251" s="323">
        <f t="shared" si="389"/>
        <v>0.22151724137931028</v>
      </c>
      <c r="Z251" s="323">
        <f t="shared" si="389"/>
        <v>0.20999999999999996</v>
      </c>
      <c r="AA251" s="323">
        <f t="shared" si="389"/>
        <v>0.18999999999999995</v>
      </c>
      <c r="AB251" s="323">
        <f t="shared" si="389"/>
        <v>0.16999999999999993</v>
      </c>
      <c r="AC251" s="323">
        <f t="shared" si="389"/>
        <v>0.15000000000000013</v>
      </c>
      <c r="AD251" s="323">
        <f t="shared" si="389"/>
        <v>0.13000000000000012</v>
      </c>
      <c r="AE251" s="323"/>
      <c r="AF251" s="324"/>
      <c r="AG251" s="324"/>
      <c r="AH251" s="324"/>
      <c r="AI251" s="324"/>
      <c r="AJ251" s="324"/>
      <c r="AK251" s="324"/>
      <c r="AL251" s="324"/>
      <c r="AM251" s="324"/>
      <c r="AN251" s="324"/>
      <c r="AO251" s="324"/>
      <c r="AP251" s="324"/>
      <c r="AQ251" s="324"/>
      <c r="AR251" s="324"/>
      <c r="AS251" s="324"/>
      <c r="AT251" s="324"/>
      <c r="AU251" s="324"/>
      <c r="AV251" s="324"/>
      <c r="AW251" s="324"/>
      <c r="AX251" s="324"/>
      <c r="AY251" s="324"/>
      <c r="AZ251" s="324"/>
      <c r="BA251" s="324"/>
      <c r="BB251" s="324"/>
      <c r="BC251" s="324"/>
      <c r="BD251" s="324"/>
      <c r="BE251" s="324"/>
      <c r="BF251" s="324"/>
      <c r="BG251" s="324"/>
      <c r="BH251" s="324"/>
      <c r="BI251" s="324"/>
      <c r="BJ251" s="324"/>
      <c r="BK251" s="324"/>
      <c r="BL251" s="324"/>
      <c r="BM251" s="324"/>
      <c r="BN251" s="324"/>
      <c r="BO251" s="324"/>
      <c r="BP251" s="324"/>
      <c r="BQ251" s="324"/>
      <c r="BR251" s="324"/>
      <c r="BS251" s="324"/>
      <c r="BT251" s="324"/>
      <c r="BU251" s="324"/>
      <c r="BV251" s="324"/>
      <c r="BW251" s="324"/>
      <c r="BX251" s="323">
        <f t="shared" ref="BX251:CE251" si="390">BX250/BT250-1</f>
        <v>0.33223684210526327</v>
      </c>
      <c r="BY251" s="323">
        <f t="shared" si="390"/>
        <v>0.33223684210526327</v>
      </c>
      <c r="BZ251" s="323">
        <f t="shared" si="390"/>
        <v>0.33223684210526327</v>
      </c>
      <c r="CA251" s="323">
        <f t="shared" si="390"/>
        <v>0.33223684210526327</v>
      </c>
      <c r="CB251" s="323">
        <f t="shared" si="390"/>
        <v>0.28266666666666684</v>
      </c>
      <c r="CC251" s="323">
        <f t="shared" si="390"/>
        <v>0.28266666666666662</v>
      </c>
      <c r="CD251" s="323">
        <f t="shared" si="390"/>
        <v>0.28266666666666684</v>
      </c>
      <c r="CE251" s="323">
        <f t="shared" si="390"/>
        <v>0.28266666666666662</v>
      </c>
      <c r="CF251" s="62"/>
      <c r="CG251" s="5"/>
      <c r="CH251" s="5"/>
    </row>
    <row r="252" spans="2:86" outlineLevel="1">
      <c r="B252" s="12" t="s">
        <v>756</v>
      </c>
      <c r="C252" s="5"/>
      <c r="D252" s="5"/>
      <c r="E252" s="5"/>
      <c r="F252" s="5"/>
      <c r="G252" s="5"/>
      <c r="H252" s="324"/>
      <c r="I252" s="324"/>
      <c r="J252" s="324"/>
      <c r="K252" s="324"/>
      <c r="L252" s="324"/>
      <c r="M252" s="324"/>
      <c r="N252" s="324"/>
      <c r="O252" s="324"/>
      <c r="P252" s="324"/>
      <c r="Q252" s="324"/>
      <c r="R252" s="324"/>
      <c r="S252" s="157"/>
      <c r="T252" s="157"/>
      <c r="U252" s="157"/>
      <c r="V252" s="157"/>
      <c r="W252" s="157"/>
      <c r="X252" s="157"/>
      <c r="Y252" s="157"/>
      <c r="Z252" s="157"/>
      <c r="AA252" s="157"/>
      <c r="AB252" s="157"/>
      <c r="AC252" s="157"/>
      <c r="AD252" s="157"/>
      <c r="AE252" s="157"/>
      <c r="AF252" s="324"/>
      <c r="AG252" s="324"/>
      <c r="AH252" s="324"/>
      <c r="AI252" s="324"/>
      <c r="AJ252" s="324"/>
      <c r="AK252" s="324"/>
      <c r="AL252" s="324"/>
      <c r="AM252" s="324"/>
      <c r="AN252" s="324"/>
      <c r="AO252" s="324"/>
      <c r="AP252" s="324"/>
      <c r="AQ252" s="324"/>
      <c r="AR252" s="324"/>
      <c r="AS252" s="324"/>
      <c r="AT252" s="324"/>
      <c r="AU252" s="324"/>
      <c r="AV252" s="324"/>
      <c r="AW252" s="324"/>
      <c r="AX252" s="324"/>
      <c r="AY252" s="324"/>
      <c r="AZ252" s="324"/>
      <c r="BA252" s="324"/>
      <c r="BB252" s="324"/>
      <c r="BC252" s="324"/>
      <c r="BD252" s="324"/>
      <c r="BE252" s="324"/>
      <c r="BF252" s="324"/>
      <c r="BG252" s="324"/>
      <c r="BH252" s="324"/>
      <c r="BI252" s="324"/>
      <c r="BJ252" s="324"/>
      <c r="BK252" s="324"/>
      <c r="BL252" s="324"/>
      <c r="BM252" s="324"/>
      <c r="BN252" s="324"/>
      <c r="BO252" s="324"/>
      <c r="BP252" s="324"/>
      <c r="BQ252" s="324"/>
      <c r="BR252" s="324"/>
      <c r="BS252" s="324"/>
      <c r="BT252" s="42">
        <v>0.27432939204351386</v>
      </c>
      <c r="BU252" s="42">
        <v>0.28044707585671469</v>
      </c>
      <c r="BV252" s="42">
        <v>0.25239992026494423</v>
      </c>
      <c r="BW252" s="42">
        <v>0.19282361183482721</v>
      </c>
      <c r="BX252" s="42">
        <v>0.27432939204351386</v>
      </c>
      <c r="BY252" s="42">
        <v>0.28044707585671469</v>
      </c>
      <c r="BZ252" s="42">
        <v>0.25239992026494423</v>
      </c>
      <c r="CA252" s="42">
        <v>0.19282361183482721</v>
      </c>
      <c r="CB252" s="42">
        <v>0.27432939204351386</v>
      </c>
      <c r="CC252" s="42">
        <v>0.28044707585671469</v>
      </c>
      <c r="CD252" s="42">
        <v>0.25239992026494423</v>
      </c>
      <c r="CE252" s="42">
        <v>0.19282361183482721</v>
      </c>
      <c r="CF252" s="62"/>
      <c r="CG252" s="5"/>
      <c r="CH252" s="5"/>
    </row>
    <row r="253" spans="2:86" outlineLevel="1">
      <c r="B253" s="12"/>
      <c r="C253" s="5"/>
      <c r="D253" s="5"/>
      <c r="E253" s="5"/>
      <c r="F253" s="5"/>
      <c r="G253" s="5"/>
      <c r="H253" s="324"/>
      <c r="I253" s="324"/>
      <c r="J253" s="324"/>
      <c r="K253" s="324"/>
      <c r="L253" s="324"/>
      <c r="M253" s="324"/>
      <c r="N253" s="324"/>
      <c r="O253" s="324"/>
      <c r="P253" s="324"/>
      <c r="Q253" s="324"/>
      <c r="R253" s="324"/>
      <c r="S253" s="157"/>
      <c r="T253" s="157"/>
      <c r="U253" s="157"/>
      <c r="V253" s="157"/>
      <c r="W253" s="157"/>
      <c r="X253" s="157"/>
      <c r="Y253" s="157"/>
      <c r="Z253" s="157"/>
      <c r="AA253" s="157"/>
      <c r="AB253" s="157"/>
      <c r="AC253" s="157"/>
      <c r="AD253" s="157"/>
      <c r="AE253" s="157"/>
      <c r="AF253" s="324"/>
      <c r="AG253" s="324"/>
      <c r="AH253" s="324"/>
      <c r="AI253" s="324"/>
      <c r="AJ253" s="324"/>
      <c r="AK253" s="324"/>
      <c r="AL253" s="324"/>
      <c r="AM253" s="324"/>
      <c r="AN253" s="324"/>
      <c r="AO253" s="324"/>
      <c r="AP253" s="324"/>
      <c r="AQ253" s="324"/>
      <c r="AR253" s="324"/>
      <c r="AS253" s="324"/>
      <c r="AT253" s="324"/>
      <c r="AU253" s="324"/>
      <c r="AV253" s="324"/>
      <c r="AW253" s="324"/>
      <c r="AX253" s="324"/>
      <c r="AY253" s="324"/>
      <c r="AZ253" s="324"/>
      <c r="BA253" s="324"/>
      <c r="BB253" s="324"/>
      <c r="BC253" s="324"/>
      <c r="BD253" s="324"/>
      <c r="BE253" s="324"/>
      <c r="BF253" s="324"/>
      <c r="BG253" s="324"/>
      <c r="BH253" s="324"/>
      <c r="BI253" s="324"/>
      <c r="BJ253" s="324"/>
      <c r="BK253" s="324"/>
      <c r="BL253" s="324"/>
      <c r="BM253" s="324"/>
      <c r="BN253" s="324"/>
      <c r="BO253" s="324"/>
      <c r="BP253" s="324"/>
      <c r="BQ253" s="324"/>
      <c r="BR253" s="324"/>
      <c r="BS253" s="324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62"/>
      <c r="CG253" s="5"/>
      <c r="CH253" s="5"/>
    </row>
    <row r="254" spans="2:86" outlineLevel="1">
      <c r="B254" s="12"/>
      <c r="C254" s="5"/>
      <c r="D254" s="5"/>
      <c r="E254" s="5"/>
      <c r="F254" s="5"/>
      <c r="G254" s="5"/>
      <c r="H254" s="324"/>
      <c r="I254" s="324"/>
      <c r="J254" s="324"/>
      <c r="K254" s="324"/>
      <c r="L254" s="324"/>
      <c r="M254" s="324"/>
      <c r="N254" s="324"/>
      <c r="O254" s="324"/>
      <c r="P254" s="324"/>
      <c r="Q254" s="324"/>
      <c r="R254" s="324"/>
      <c r="S254" s="157"/>
      <c r="T254" s="157"/>
      <c r="U254" s="157"/>
      <c r="V254" s="157"/>
      <c r="W254" s="157"/>
      <c r="X254" s="157"/>
      <c r="Y254" s="157"/>
      <c r="Z254" s="157"/>
      <c r="AA254" s="157"/>
      <c r="AB254" s="157"/>
      <c r="AC254" s="157"/>
      <c r="AD254" s="157"/>
      <c r="AE254" s="157"/>
      <c r="AF254" s="324"/>
      <c r="AG254" s="324"/>
      <c r="AH254" s="324"/>
      <c r="AI254" s="324"/>
      <c r="AJ254" s="324"/>
      <c r="AK254" s="324"/>
      <c r="AL254" s="324"/>
      <c r="AM254" s="324"/>
      <c r="AN254" s="324"/>
      <c r="AO254" s="324"/>
      <c r="AP254" s="324"/>
      <c r="AQ254" s="324"/>
      <c r="AR254" s="324"/>
      <c r="AS254" s="324"/>
      <c r="AT254" s="324"/>
      <c r="AU254" s="324"/>
      <c r="AV254" s="324"/>
      <c r="AW254" s="324"/>
      <c r="AX254" s="324"/>
      <c r="AY254" s="324"/>
      <c r="AZ254" s="324"/>
      <c r="BA254" s="324"/>
      <c r="BB254" s="324"/>
      <c r="BC254" s="324"/>
      <c r="BD254" s="324"/>
      <c r="BE254" s="324"/>
      <c r="BF254" s="324"/>
      <c r="BG254" s="324"/>
      <c r="BH254" s="324"/>
      <c r="BI254" s="324"/>
      <c r="BJ254" s="324"/>
      <c r="BK254" s="324"/>
      <c r="BL254" s="324"/>
      <c r="BM254" s="324"/>
      <c r="BN254" s="324"/>
      <c r="BO254" s="324"/>
      <c r="BP254" s="324"/>
      <c r="BQ254" s="324"/>
      <c r="BR254" s="324"/>
      <c r="BS254" s="324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62"/>
      <c r="CG254" s="5"/>
      <c r="CH254" s="5"/>
    </row>
    <row r="255" spans="2:86" outlineLevel="1">
      <c r="B255" s="12"/>
      <c r="C255" s="5"/>
      <c r="D255" s="5"/>
      <c r="E255" s="5"/>
      <c r="F255" s="5"/>
      <c r="G255" s="5"/>
      <c r="H255" s="324"/>
      <c r="I255" s="324"/>
      <c r="J255" s="324"/>
      <c r="K255" s="324"/>
      <c r="L255" s="324"/>
      <c r="M255" s="324"/>
      <c r="N255" s="324"/>
      <c r="O255" s="324"/>
      <c r="P255" s="324"/>
      <c r="Q255" s="324"/>
      <c r="R255" s="324"/>
      <c r="S255" s="324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324"/>
      <c r="AG255" s="324"/>
      <c r="AH255" s="324"/>
      <c r="AI255" s="324"/>
      <c r="AJ255" s="324"/>
      <c r="AK255" s="324"/>
      <c r="AL255" s="324"/>
      <c r="AM255" s="324"/>
      <c r="AN255" s="324"/>
      <c r="AO255" s="324"/>
      <c r="AP255" s="324"/>
      <c r="AQ255" s="324"/>
      <c r="AR255" s="324"/>
      <c r="AS255" s="324"/>
      <c r="AT255" s="324"/>
      <c r="AU255" s="324"/>
      <c r="AV255" s="324"/>
      <c r="AW255" s="324"/>
      <c r="AX255" s="324"/>
      <c r="AY255" s="324"/>
      <c r="AZ255" s="324"/>
      <c r="BA255" s="324"/>
      <c r="BB255" s="324"/>
      <c r="BC255" s="324"/>
      <c r="BD255" s="324"/>
      <c r="BE255" s="324"/>
      <c r="BF255" s="324"/>
      <c r="BG255" s="324"/>
      <c r="BH255" s="324"/>
      <c r="BI255" s="324"/>
      <c r="BJ255" s="324"/>
      <c r="BK255" s="324"/>
      <c r="BL255" s="324"/>
      <c r="BM255" s="324"/>
      <c r="BN255" s="324"/>
      <c r="BO255" s="324"/>
      <c r="BP255" s="324"/>
      <c r="BQ255" s="324"/>
      <c r="BR255" s="324"/>
      <c r="BS255" s="324"/>
      <c r="BT255" s="324"/>
      <c r="BU255" s="324"/>
      <c r="BV255" s="324"/>
      <c r="BW255" s="324"/>
      <c r="BX255" s="324"/>
      <c r="BY255" s="324"/>
      <c r="BZ255" s="324"/>
      <c r="CA255" s="324"/>
      <c r="CB255" s="324"/>
      <c r="CC255" s="324"/>
      <c r="CD255" s="324"/>
      <c r="CE255" s="324"/>
      <c r="CF255" s="62"/>
      <c r="CG255" s="5"/>
      <c r="CH255" s="5"/>
    </row>
    <row r="256" spans="2:86" outlineLevel="1">
      <c r="B256" s="90" t="s">
        <v>752</v>
      </c>
      <c r="C256" s="47"/>
      <c r="D256" s="47"/>
      <c r="E256" s="47"/>
      <c r="F256" s="47"/>
      <c r="G256" s="47"/>
      <c r="H256" s="379"/>
      <c r="I256" s="379"/>
      <c r="J256" s="379"/>
      <c r="K256" s="379"/>
      <c r="L256" s="379"/>
      <c r="M256" s="379"/>
      <c r="N256" s="379"/>
      <c r="O256" s="379"/>
      <c r="P256" s="379"/>
      <c r="Q256" s="379">
        <f t="shared" ref="Q256:AD256" si="391">Q230*Q258</f>
        <v>210.92783505154637</v>
      </c>
      <c r="R256" s="379">
        <f t="shared" si="391"/>
        <v>205.54545454545453</v>
      </c>
      <c r="S256" s="379">
        <f t="shared" si="391"/>
        <v>283.85321100917434</v>
      </c>
      <c r="T256" s="379">
        <f t="shared" si="391"/>
        <v>487.09211009174311</v>
      </c>
      <c r="U256" s="379">
        <f t="shared" si="391"/>
        <v>684.97327981651392</v>
      </c>
      <c r="V256" s="379">
        <f t="shared" si="391"/>
        <v>926.08387431192693</v>
      </c>
      <c r="W256" s="379">
        <f t="shared" si="391"/>
        <v>1221.3621557752297</v>
      </c>
      <c r="X256" s="379">
        <f t="shared" si="391"/>
        <v>1554.9749668434638</v>
      </c>
      <c r="Y256" s="379">
        <f t="shared" si="391"/>
        <v>1947.3941039305053</v>
      </c>
      <c r="Z256" s="379">
        <f t="shared" si="391"/>
        <v>2356.346865755911</v>
      </c>
      <c r="AA256" s="379">
        <f t="shared" si="391"/>
        <v>2804.0527702495342</v>
      </c>
      <c r="AB256" s="379">
        <f t="shared" si="391"/>
        <v>3280.7417411919546</v>
      </c>
      <c r="AC256" s="379">
        <f t="shared" si="391"/>
        <v>3772.8530023707481</v>
      </c>
      <c r="AD256" s="379">
        <f t="shared" si="391"/>
        <v>4263.3238926789463</v>
      </c>
      <c r="AE256" s="379"/>
      <c r="AF256" s="379"/>
      <c r="AG256" s="379"/>
      <c r="AH256" s="379"/>
      <c r="AI256" s="379"/>
      <c r="AJ256" s="379"/>
      <c r="AK256" s="379"/>
      <c r="AL256" s="379"/>
      <c r="AM256" s="379"/>
      <c r="AN256" s="379"/>
      <c r="AO256" s="379"/>
      <c r="AP256" s="379"/>
      <c r="AQ256" s="379"/>
      <c r="AR256" s="379"/>
      <c r="AS256" s="379"/>
      <c r="AT256" s="379"/>
      <c r="AU256" s="379"/>
      <c r="AV256" s="379"/>
      <c r="AW256" s="379"/>
      <c r="AX256" s="379"/>
      <c r="AY256" s="379"/>
      <c r="AZ256" s="379"/>
      <c r="BA256" s="379"/>
      <c r="BB256" s="379"/>
      <c r="BC256" s="379"/>
      <c r="BD256" s="379"/>
      <c r="BE256" s="379"/>
      <c r="BF256" s="379"/>
      <c r="BG256" s="379"/>
      <c r="BH256" s="379"/>
      <c r="BI256" s="379"/>
      <c r="BJ256" s="379"/>
      <c r="BK256" s="379"/>
      <c r="BL256" s="379"/>
      <c r="BM256" s="379"/>
      <c r="BN256" s="379"/>
      <c r="BO256" s="379"/>
      <c r="BP256" s="379"/>
      <c r="BQ256" s="379"/>
      <c r="BR256" s="379"/>
      <c r="BS256" s="379"/>
      <c r="BT256" s="379">
        <f t="shared" ref="BT256:CA256" si="392">BT230+BT250</f>
        <v>84.245953648475052</v>
      </c>
      <c r="BU256" s="379">
        <f t="shared" si="392"/>
        <v>74.809681176562435</v>
      </c>
      <c r="BV256" s="379">
        <f t="shared" si="392"/>
        <v>219.54877341002071</v>
      </c>
      <c r="BW256" s="379">
        <f t="shared" si="392"/>
        <v>108.48770185668468</v>
      </c>
      <c r="BX256" s="379">
        <f t="shared" si="392"/>
        <v>39.05157598418441</v>
      </c>
      <c r="BY256" s="379">
        <f t="shared" si="392"/>
        <v>101.07286992525178</v>
      </c>
      <c r="BZ256" s="379">
        <f t="shared" si="392"/>
        <v>303.30633215190039</v>
      </c>
      <c r="CA256" s="379">
        <f t="shared" si="392"/>
        <v>241.54250175517757</v>
      </c>
      <c r="CB256" s="379">
        <f>CB230+CB250</f>
        <v>-120.29466531437799</v>
      </c>
      <c r="CC256" s="379">
        <f>CC230+CC250</f>
        <v>-61.826872927864997</v>
      </c>
      <c r="CD256" s="379">
        <f>CD230+CD250</f>
        <v>156.6979855264093</v>
      </c>
      <c r="CE256" s="379">
        <f>CE230+CE250</f>
        <v>129.53949124794394</v>
      </c>
      <c r="CF256" s="195"/>
      <c r="CG256" s="22"/>
      <c r="CH256" s="22"/>
    </row>
    <row r="257" spans="1:96" outlineLevel="1">
      <c r="B257" s="12" t="s">
        <v>749</v>
      </c>
      <c r="C257" s="22"/>
      <c r="D257" s="22"/>
      <c r="E257" s="22"/>
      <c r="F257" s="22"/>
      <c r="G257" s="22"/>
      <c r="H257" s="220"/>
      <c r="I257" s="220"/>
      <c r="J257" s="220"/>
      <c r="K257" s="220"/>
      <c r="L257" s="220"/>
      <c r="M257" s="220"/>
      <c r="N257" s="220"/>
      <c r="O257" s="220"/>
      <c r="P257" s="220"/>
      <c r="Q257" s="220"/>
      <c r="R257" s="323">
        <f>R256/Q256-1</f>
        <v>-2.5517639740513576E-2</v>
      </c>
      <c r="S257" s="323">
        <f t="shared" ref="S257:AD257" si="393">S256/R256-1</f>
        <v>0.38097537421535521</v>
      </c>
      <c r="T257" s="323">
        <f t="shared" si="393"/>
        <v>0.71599999999999975</v>
      </c>
      <c r="U257" s="323">
        <f t="shared" si="393"/>
        <v>0.40625000000000044</v>
      </c>
      <c r="V257" s="323">
        <f t="shared" si="393"/>
        <v>0.35200000000000009</v>
      </c>
      <c r="W257" s="323">
        <f t="shared" si="393"/>
        <v>0.31884615384615378</v>
      </c>
      <c r="X257" s="323">
        <f t="shared" si="393"/>
        <v>0.27314814814814814</v>
      </c>
      <c r="Y257" s="323">
        <f t="shared" si="393"/>
        <v>0.25236363636363635</v>
      </c>
      <c r="Z257" s="323">
        <f t="shared" si="393"/>
        <v>0.20999999999999974</v>
      </c>
      <c r="AA257" s="323">
        <f t="shared" si="393"/>
        <v>0.18999999999999995</v>
      </c>
      <c r="AB257" s="323">
        <f t="shared" si="393"/>
        <v>0.16999999999999993</v>
      </c>
      <c r="AC257" s="323">
        <f t="shared" si="393"/>
        <v>0.15000000000000013</v>
      </c>
      <c r="AD257" s="323">
        <f t="shared" si="393"/>
        <v>0.13000000000000034</v>
      </c>
      <c r="AE257" s="323"/>
      <c r="AF257" s="220"/>
      <c r="AG257" s="220"/>
      <c r="AH257" s="220"/>
      <c r="AI257" s="220"/>
      <c r="AJ257" s="220"/>
      <c r="AK257" s="220"/>
      <c r="AL257" s="220"/>
      <c r="AM257" s="220"/>
      <c r="AN257" s="220"/>
      <c r="AO257" s="220"/>
      <c r="AP257" s="220"/>
      <c r="AQ257" s="220"/>
      <c r="AR257" s="220"/>
      <c r="AS257" s="220"/>
      <c r="AT257" s="220"/>
      <c r="AU257" s="220"/>
      <c r="AV257" s="220"/>
      <c r="AW257" s="220"/>
      <c r="AX257" s="220"/>
      <c r="AY257" s="220"/>
      <c r="AZ257" s="220"/>
      <c r="BA257" s="220"/>
      <c r="BB257" s="220"/>
      <c r="BC257" s="220"/>
      <c r="BD257" s="220"/>
      <c r="BE257" s="220"/>
      <c r="BF257" s="220"/>
      <c r="BG257" s="220"/>
      <c r="BH257" s="220"/>
      <c r="BI257" s="220"/>
      <c r="BJ257" s="220"/>
      <c r="BK257" s="220"/>
      <c r="BL257" s="220"/>
      <c r="BM257" s="220"/>
      <c r="BN257" s="220"/>
      <c r="BO257" s="220"/>
      <c r="BP257" s="220"/>
      <c r="BQ257" s="220"/>
      <c r="BR257" s="220"/>
      <c r="BS257" s="220"/>
      <c r="BT257" s="220"/>
      <c r="BU257" s="220"/>
      <c r="BV257" s="220"/>
      <c r="BW257" s="220"/>
      <c r="BX257" s="323">
        <f t="shared" ref="BX257:CE257" si="394">BX256/BT256-1</f>
        <v>-0.5364575473009523</v>
      </c>
      <c r="BY257" s="323">
        <f t="shared" si="394"/>
        <v>0.35106671136191792</v>
      </c>
      <c r="BZ257" s="323">
        <f t="shared" si="394"/>
        <v>0.38149864124021926</v>
      </c>
      <c r="CA257" s="323">
        <f t="shared" si="394"/>
        <v>1.2264505342205703</v>
      </c>
      <c r="CB257" s="323">
        <f t="shared" si="394"/>
        <v>-4.0804048820743217</v>
      </c>
      <c r="CC257" s="323">
        <f t="shared" si="394"/>
        <v>-1.6117059204273998</v>
      </c>
      <c r="CD257" s="323">
        <f t="shared" si="394"/>
        <v>-0.48336724652377983</v>
      </c>
      <c r="CE257" s="323">
        <f t="shared" si="394"/>
        <v>-0.46369897510110891</v>
      </c>
      <c r="CF257" s="195"/>
      <c r="CG257" s="5"/>
      <c r="CH257" s="5"/>
    </row>
    <row r="258" spans="1:96" outlineLevel="1">
      <c r="B258" s="12" t="s">
        <v>334</v>
      </c>
      <c r="C258" s="5"/>
      <c r="D258" s="5"/>
      <c r="E258" s="5"/>
      <c r="F258" s="5"/>
      <c r="G258" s="5"/>
      <c r="H258" s="324"/>
      <c r="I258" s="324"/>
      <c r="J258" s="324"/>
      <c r="K258" s="324"/>
      <c r="L258" s="324"/>
      <c r="M258" s="324"/>
      <c r="N258" s="324"/>
      <c r="O258" s="324"/>
      <c r="P258" s="324"/>
      <c r="Q258" s="42">
        <v>0.22</v>
      </c>
      <c r="R258" s="42">
        <v>0.19</v>
      </c>
      <c r="S258" s="42">
        <f>R258+1%</f>
        <v>0.2</v>
      </c>
      <c r="T258" s="42">
        <v>0.24</v>
      </c>
      <c r="U258" s="42">
        <f>T258+1%</f>
        <v>0.25</v>
      </c>
      <c r="V258" s="42">
        <f>U258+1%</f>
        <v>0.26</v>
      </c>
      <c r="W258" s="42">
        <f>V258+1%</f>
        <v>0.27</v>
      </c>
      <c r="X258" s="42">
        <f>W258+0.5%</f>
        <v>0.27500000000000002</v>
      </c>
      <c r="Y258" s="42">
        <f>X258+0.5%</f>
        <v>0.28000000000000003</v>
      </c>
      <c r="Z258" s="42">
        <f>Y258</f>
        <v>0.28000000000000003</v>
      </c>
      <c r="AA258" s="42">
        <f>Z258</f>
        <v>0.28000000000000003</v>
      </c>
      <c r="AB258" s="42">
        <f>AA258</f>
        <v>0.28000000000000003</v>
      </c>
      <c r="AC258" s="42">
        <f>AB258</f>
        <v>0.28000000000000003</v>
      </c>
      <c r="AD258" s="42">
        <f>AC258</f>
        <v>0.28000000000000003</v>
      </c>
      <c r="AE258" s="42"/>
      <c r="AF258" s="324"/>
      <c r="AG258" s="324"/>
      <c r="AH258" s="324"/>
      <c r="AI258" s="324"/>
      <c r="AJ258" s="324"/>
      <c r="AK258" s="324"/>
      <c r="AL258" s="324"/>
      <c r="AM258" s="324"/>
      <c r="AN258" s="324"/>
      <c r="AO258" s="324"/>
      <c r="AP258" s="324"/>
      <c r="AQ258" s="324"/>
      <c r="AR258" s="324"/>
      <c r="AS258" s="324"/>
      <c r="AT258" s="324"/>
      <c r="AU258" s="324"/>
      <c r="AV258" s="324"/>
      <c r="AW258" s="324"/>
      <c r="AX258" s="324"/>
      <c r="AY258" s="324"/>
      <c r="AZ258" s="324"/>
      <c r="BA258" s="324"/>
      <c r="BB258" s="324"/>
      <c r="BC258" s="324"/>
      <c r="BD258" s="324"/>
      <c r="BE258" s="324"/>
      <c r="BF258" s="324"/>
      <c r="BG258" s="324"/>
      <c r="BH258" s="324"/>
      <c r="BI258" s="324"/>
      <c r="BJ258" s="324"/>
      <c r="BK258" s="324"/>
      <c r="BL258" s="324"/>
      <c r="BM258" s="324"/>
      <c r="BN258" s="324"/>
      <c r="BO258" s="324"/>
      <c r="BP258" s="324"/>
      <c r="BQ258" s="324"/>
      <c r="BR258" s="324"/>
      <c r="BS258" s="324"/>
      <c r="BT258" s="323">
        <f t="shared" ref="BT258:CA258" si="395">BT256/BT230</f>
        <v>0.16603864818771782</v>
      </c>
      <c r="BU258" s="323">
        <f t="shared" si="395"/>
        <v>0.14744088939558733</v>
      </c>
      <c r="BV258" s="323">
        <f t="shared" si="395"/>
        <v>0.36058686866214118</v>
      </c>
      <c r="BW258" s="323">
        <f t="shared" si="395"/>
        <v>0.26727027502765638</v>
      </c>
      <c r="BX258" s="323">
        <f t="shared" si="395"/>
        <v>6.4786163488021034E-2</v>
      </c>
      <c r="BY258" s="323">
        <f t="shared" si="395"/>
        <v>0.14921387091030083</v>
      </c>
      <c r="BZ258" s="323">
        <f t="shared" si="395"/>
        <v>0.36900019933763945</v>
      </c>
      <c r="CA258" s="323">
        <f t="shared" si="395"/>
        <v>0.37872411435924014</v>
      </c>
      <c r="CB258" s="323">
        <f>CB256/CB230</f>
        <v>-0.19956761429936515</v>
      </c>
      <c r="CC258" s="323">
        <f>CC256/CC230</f>
        <v>-9.1275008245720782E-2</v>
      </c>
      <c r="CD258" s="323">
        <f>CD256/CD230</f>
        <v>0.19063758901707878</v>
      </c>
      <c r="CE258" s="323">
        <f>CE256/CE230</f>
        <v>0.20311013068478534</v>
      </c>
      <c r="CF258" s="62"/>
      <c r="CG258" s="5"/>
      <c r="CH258" s="5"/>
    </row>
    <row r="259" spans="1:96" outlineLevel="1">
      <c r="B259" s="12"/>
      <c r="C259" s="5"/>
      <c r="D259" s="5"/>
      <c r="E259" s="5"/>
      <c r="F259" s="5"/>
      <c r="G259" s="5"/>
      <c r="H259" s="324"/>
      <c r="I259" s="324"/>
      <c r="J259" s="324"/>
      <c r="K259" s="324"/>
      <c r="L259" s="324"/>
      <c r="M259" s="324"/>
      <c r="N259" s="324"/>
      <c r="O259" s="324"/>
      <c r="P259" s="324"/>
      <c r="Q259" s="324"/>
      <c r="R259" s="324"/>
      <c r="S259" s="323"/>
      <c r="T259" s="323"/>
      <c r="U259" s="323"/>
      <c r="V259" s="323"/>
      <c r="W259" s="6"/>
      <c r="X259" s="6"/>
      <c r="Y259" s="6"/>
      <c r="Z259" s="6"/>
      <c r="AA259" s="6"/>
      <c r="AB259" s="6"/>
      <c r="AC259" s="6"/>
      <c r="AD259" s="6"/>
      <c r="AE259" s="6"/>
      <c r="AF259" s="324"/>
      <c r="AG259" s="324"/>
      <c r="AH259" s="324"/>
      <c r="AI259" s="324"/>
      <c r="AJ259" s="324"/>
      <c r="AK259" s="324"/>
      <c r="AL259" s="324"/>
      <c r="AM259" s="324"/>
      <c r="AN259" s="324"/>
      <c r="AO259" s="324"/>
      <c r="AP259" s="324"/>
      <c r="AQ259" s="324"/>
      <c r="AR259" s="324"/>
      <c r="AS259" s="324"/>
      <c r="AT259" s="324"/>
      <c r="AU259" s="324"/>
      <c r="AV259" s="324"/>
      <c r="AW259" s="324"/>
      <c r="AX259" s="324"/>
      <c r="AY259" s="324"/>
      <c r="AZ259" s="324"/>
      <c r="BA259" s="324"/>
      <c r="BB259" s="324"/>
      <c r="BC259" s="324"/>
      <c r="BD259" s="324"/>
      <c r="BE259" s="324"/>
      <c r="BF259" s="324"/>
      <c r="BG259" s="324"/>
      <c r="BH259" s="324"/>
      <c r="BI259" s="324"/>
      <c r="BJ259" s="324"/>
      <c r="BK259" s="324"/>
      <c r="BL259" s="324"/>
      <c r="BM259" s="324"/>
      <c r="BN259" s="324"/>
      <c r="BO259" s="324"/>
      <c r="BP259" s="324"/>
      <c r="BQ259" s="324"/>
      <c r="BR259" s="324"/>
      <c r="BS259" s="324"/>
      <c r="BT259" s="323"/>
      <c r="BU259" s="324"/>
      <c r="BV259" s="324"/>
      <c r="BW259" s="324"/>
      <c r="BX259" s="324"/>
      <c r="BY259" s="324"/>
      <c r="BZ259" s="324"/>
      <c r="CA259" s="324"/>
      <c r="CB259" s="324"/>
      <c r="CC259" s="324"/>
      <c r="CD259" s="324"/>
      <c r="CE259" s="324"/>
      <c r="CF259" s="62"/>
      <c r="CG259" s="5"/>
      <c r="CH259" s="5"/>
    </row>
    <row r="260" spans="1:96" outlineLevel="1">
      <c r="A260" s="3" t="s">
        <v>757</v>
      </c>
      <c r="B260" s="90" t="s">
        <v>753</v>
      </c>
      <c r="C260" s="47"/>
      <c r="D260" s="47"/>
      <c r="E260" s="47"/>
      <c r="F260" s="47"/>
      <c r="G260" s="47"/>
      <c r="H260" s="379"/>
      <c r="I260" s="379"/>
      <c r="J260" s="379"/>
      <c r="K260" s="379"/>
      <c r="L260" s="379"/>
      <c r="M260" s="379"/>
      <c r="N260" s="379"/>
      <c r="O260" s="379"/>
      <c r="P260" s="379"/>
      <c r="Q260" s="385">
        <f>R260/(1+R261)</f>
        <v>52.348993288590606</v>
      </c>
      <c r="R260" s="386">
        <f>12*6.5</f>
        <v>78</v>
      </c>
      <c r="S260" s="379">
        <f t="shared" ref="S260:AD260" si="396">S230/S262/1000</f>
        <v>118.27217125382265</v>
      </c>
      <c r="T260" s="379">
        <f t="shared" si="396"/>
        <v>156.11926605504587</v>
      </c>
      <c r="U260" s="379">
        <f t="shared" si="396"/>
        <v>195.70665137614685</v>
      </c>
      <c r="V260" s="379">
        <f t="shared" si="396"/>
        <v>237.45740366972484</v>
      </c>
      <c r="W260" s="379">
        <f t="shared" si="396"/>
        <v>282.7227212442661</v>
      </c>
      <c r="X260" s="379">
        <f t="shared" si="396"/>
        <v>332.61496616972482</v>
      </c>
      <c r="Y260" s="379">
        <f t="shared" si="396"/>
        <v>386.38771903383031</v>
      </c>
      <c r="Z260" s="379">
        <f t="shared" si="396"/>
        <v>442.92234318720125</v>
      </c>
      <c r="AA260" s="379">
        <f t="shared" si="396"/>
        <v>500.7237089731309</v>
      </c>
      <c r="AB260" s="379">
        <f t="shared" si="396"/>
        <v>557.94927571291726</v>
      </c>
      <c r="AC260" s="379">
        <f t="shared" si="396"/>
        <v>612.47613674849788</v>
      </c>
      <c r="AD260" s="379">
        <f t="shared" si="396"/>
        <v>662.0068156333765</v>
      </c>
      <c r="AE260" s="379"/>
      <c r="AF260" s="379"/>
      <c r="AG260" s="379"/>
      <c r="AH260" s="379"/>
      <c r="AI260" s="379"/>
      <c r="AJ260" s="379"/>
      <c r="AK260" s="379"/>
      <c r="AL260" s="379"/>
      <c r="AM260" s="379"/>
      <c r="AN260" s="379"/>
      <c r="AO260" s="379"/>
      <c r="AP260" s="379"/>
      <c r="AQ260" s="379"/>
      <c r="AR260" s="379"/>
      <c r="AS260" s="379"/>
      <c r="AT260" s="379"/>
      <c r="AU260" s="379"/>
      <c r="AV260" s="379"/>
      <c r="AW260" s="379"/>
      <c r="AX260" s="379"/>
      <c r="AY260" s="379"/>
      <c r="AZ260" s="379"/>
      <c r="BA260" s="379"/>
      <c r="BB260" s="379"/>
      <c r="BC260" s="379"/>
      <c r="BD260" s="379"/>
      <c r="BE260" s="379"/>
      <c r="BF260" s="379"/>
      <c r="BG260" s="379"/>
      <c r="BH260" s="379"/>
      <c r="BI260" s="379"/>
      <c r="BJ260" s="379"/>
      <c r="BK260" s="379"/>
      <c r="BL260" s="379"/>
      <c r="BM260" s="379"/>
      <c r="BN260" s="379"/>
      <c r="BO260" s="379"/>
      <c r="BP260" s="379"/>
      <c r="BQ260" s="379"/>
      <c r="BR260" s="379"/>
      <c r="BS260" s="379"/>
      <c r="BT260" s="379">
        <f t="shared" ref="BT260:CA260" si="397">BT230/BT262/1000</f>
        <v>39.029816513761467</v>
      </c>
      <c r="BU260" s="379">
        <f t="shared" si="397"/>
        <v>39.029816513761467</v>
      </c>
      <c r="BV260" s="379">
        <f t="shared" si="397"/>
        <v>46.835779816513757</v>
      </c>
      <c r="BW260" s="379">
        <f t="shared" si="397"/>
        <v>31.223853211009164</v>
      </c>
      <c r="BX260" s="379">
        <f t="shared" si="397"/>
        <v>43.055463302752308</v>
      </c>
      <c r="BY260" s="379">
        <f t="shared" si="397"/>
        <v>48.383509287058956</v>
      </c>
      <c r="BZ260" s="379">
        <f t="shared" si="397"/>
        <v>58.711995412844061</v>
      </c>
      <c r="CA260" s="379">
        <f t="shared" si="397"/>
        <v>45.555683373491533</v>
      </c>
      <c r="CB260" s="379">
        <f>CB230/CB262/1000</f>
        <v>40.185099082568819</v>
      </c>
      <c r="CC260" s="379">
        <f>CC230/CC262/1000</f>
        <v>45.157942001255023</v>
      </c>
      <c r="CD260" s="379">
        <f>CD230/CD262/1000</f>
        <v>54.797862385321118</v>
      </c>
      <c r="CE260" s="379">
        <f>CE230/CE262/1000</f>
        <v>42.518637815258764</v>
      </c>
      <c r="CF260" s="195"/>
      <c r="CG260" s="5"/>
      <c r="CH260" s="5"/>
    </row>
    <row r="261" spans="1:96" outlineLevel="1">
      <c r="B261" s="12" t="s">
        <v>82</v>
      </c>
      <c r="C261" s="5"/>
      <c r="D261" s="5"/>
      <c r="E261" s="5"/>
      <c r="F261" s="5"/>
      <c r="G261" s="5"/>
      <c r="H261" s="324"/>
      <c r="I261" s="324"/>
      <c r="J261" s="324"/>
      <c r="K261" s="324"/>
      <c r="L261" s="324"/>
      <c r="M261" s="324"/>
      <c r="N261" s="324"/>
      <c r="O261" s="324"/>
      <c r="P261" s="324"/>
      <c r="Q261" s="324"/>
      <c r="R261" s="326">
        <v>0.49</v>
      </c>
      <c r="S261" s="323">
        <f>S260/R260-1</f>
        <v>0.51630988786952114</v>
      </c>
      <c r="T261" s="323">
        <f t="shared" ref="T261:AD261" si="398">T260/S260-1</f>
        <v>0.31999999999999984</v>
      </c>
      <c r="U261" s="323">
        <f t="shared" si="398"/>
        <v>0.253571428571429</v>
      </c>
      <c r="V261" s="323">
        <f t="shared" si="398"/>
        <v>0.21333333333333337</v>
      </c>
      <c r="W261" s="323">
        <f t="shared" si="398"/>
        <v>0.19062499999999982</v>
      </c>
      <c r="X261" s="323">
        <f t="shared" si="398"/>
        <v>0.17647058823529416</v>
      </c>
      <c r="Y261" s="323">
        <f t="shared" si="398"/>
        <v>0.16166666666666663</v>
      </c>
      <c r="Z261" s="323">
        <f t="shared" si="398"/>
        <v>0.14631578947368418</v>
      </c>
      <c r="AA261" s="323">
        <f t="shared" si="398"/>
        <v>0.13049999999999984</v>
      </c>
      <c r="AB261" s="323">
        <f t="shared" si="398"/>
        <v>0.11428571428571432</v>
      </c>
      <c r="AC261" s="323">
        <f t="shared" si="398"/>
        <v>9.7727272727272885E-2</v>
      </c>
      <c r="AD261" s="323">
        <f t="shared" si="398"/>
        <v>8.0869565217391415E-2</v>
      </c>
      <c r="AE261" s="323"/>
      <c r="AF261" s="324"/>
      <c r="AG261" s="324"/>
      <c r="AH261" s="324"/>
      <c r="AI261" s="324"/>
      <c r="AJ261" s="324"/>
      <c r="AK261" s="324"/>
      <c r="AL261" s="324"/>
      <c r="AM261" s="324"/>
      <c r="AN261" s="324"/>
      <c r="AO261" s="324"/>
      <c r="AP261" s="324"/>
      <c r="AQ261" s="324"/>
      <c r="AR261" s="324"/>
      <c r="AS261" s="324"/>
      <c r="AT261" s="324"/>
      <c r="AU261" s="324"/>
      <c r="AV261" s="324"/>
      <c r="AW261" s="324"/>
      <c r="AX261" s="324"/>
      <c r="AY261" s="324"/>
      <c r="AZ261" s="324"/>
      <c r="BA261" s="324"/>
      <c r="BB261" s="324"/>
      <c r="BC261" s="324"/>
      <c r="BD261" s="324"/>
      <c r="BE261" s="324"/>
      <c r="BF261" s="324"/>
      <c r="BG261" s="324"/>
      <c r="BH261" s="324"/>
      <c r="BI261" s="324"/>
      <c r="BJ261" s="324"/>
      <c r="BK261" s="324"/>
      <c r="BL261" s="324"/>
      <c r="BM261" s="324"/>
      <c r="BN261" s="324"/>
      <c r="BO261" s="324"/>
      <c r="BP261" s="324"/>
      <c r="BQ261" s="324"/>
      <c r="BR261" s="324"/>
      <c r="BS261" s="324"/>
      <c r="BT261" s="324"/>
      <c r="BU261" s="324"/>
      <c r="BV261" s="324"/>
      <c r="BW261" s="324"/>
      <c r="BX261" s="157">
        <f t="shared" ref="BX261:CE261" si="399">BX260/BT260-1</f>
        <v>0.10314285714285742</v>
      </c>
      <c r="BY261" s="157">
        <f t="shared" si="399"/>
        <v>0.23965505372026241</v>
      </c>
      <c r="BZ261" s="157">
        <f t="shared" si="399"/>
        <v>0.25357142857142922</v>
      </c>
      <c r="CA261" s="157">
        <f t="shared" si="399"/>
        <v>0.4590026114211021</v>
      </c>
      <c r="CB261" s="157">
        <f t="shared" si="399"/>
        <v>-6.6666666666666763E-2</v>
      </c>
      <c r="CC261" s="157">
        <f t="shared" si="399"/>
        <v>-6.6666666666666763E-2</v>
      </c>
      <c r="CD261" s="157">
        <f t="shared" si="399"/>
        <v>-6.6666666666666763E-2</v>
      </c>
      <c r="CE261" s="157">
        <f t="shared" si="399"/>
        <v>-6.6666666666666652E-2</v>
      </c>
      <c r="CF261" s="62"/>
      <c r="CG261" s="5"/>
      <c r="CH261" s="5"/>
    </row>
    <row r="262" spans="1:96" outlineLevel="1">
      <c r="B262" s="12" t="s">
        <v>490</v>
      </c>
      <c r="C262" s="5"/>
      <c r="D262" s="5"/>
      <c r="E262" s="5"/>
      <c r="F262" s="5"/>
      <c r="G262" s="5"/>
      <c r="H262" s="324"/>
      <c r="I262" s="324"/>
      <c r="J262" s="324"/>
      <c r="K262" s="324"/>
      <c r="L262" s="324"/>
      <c r="M262" s="324"/>
      <c r="N262" s="324"/>
      <c r="O262" s="324"/>
      <c r="P262" s="324"/>
      <c r="Q262" s="157">
        <f>Q230/Q260/1000</f>
        <v>1.831482950039651E-2</v>
      </c>
      <c r="R262" s="157">
        <f>R230/R260/1000</f>
        <v>1.3869463869463869E-2</v>
      </c>
      <c r="S262" s="357">
        <v>1.2E-2</v>
      </c>
      <c r="T262" s="357">
        <v>1.2999999999999999E-2</v>
      </c>
      <c r="U262" s="357">
        <f>T262+0.1%</f>
        <v>1.3999999999999999E-2</v>
      </c>
      <c r="V262" s="357">
        <f t="shared" ref="V262:AD262" si="400">U262+0.1%</f>
        <v>1.4999999999999999E-2</v>
      </c>
      <c r="W262" s="357">
        <f t="shared" si="400"/>
        <v>1.6E-2</v>
      </c>
      <c r="X262" s="357">
        <f t="shared" si="400"/>
        <v>1.7000000000000001E-2</v>
      </c>
      <c r="Y262" s="357">
        <f t="shared" si="400"/>
        <v>1.8000000000000002E-2</v>
      </c>
      <c r="Z262" s="357">
        <f t="shared" si="400"/>
        <v>1.9000000000000003E-2</v>
      </c>
      <c r="AA262" s="357">
        <f t="shared" si="400"/>
        <v>2.0000000000000004E-2</v>
      </c>
      <c r="AB262" s="357">
        <f t="shared" si="400"/>
        <v>2.1000000000000005E-2</v>
      </c>
      <c r="AC262" s="357">
        <f t="shared" si="400"/>
        <v>2.2000000000000006E-2</v>
      </c>
      <c r="AD262" s="357">
        <f t="shared" si="400"/>
        <v>2.3000000000000007E-2</v>
      </c>
      <c r="AE262" s="357"/>
      <c r="AF262" s="324"/>
      <c r="AG262" s="324"/>
      <c r="AH262" s="324"/>
      <c r="AI262" s="324"/>
      <c r="AJ262" s="324"/>
      <c r="AK262" s="324"/>
      <c r="AL262" s="324"/>
      <c r="AM262" s="324"/>
      <c r="AN262" s="324"/>
      <c r="AO262" s="324"/>
      <c r="AP262" s="324"/>
      <c r="AQ262" s="324"/>
      <c r="AR262" s="324"/>
      <c r="AS262" s="324"/>
      <c r="AT262" s="324"/>
      <c r="AU262" s="324"/>
      <c r="AV262" s="324"/>
      <c r="AW262" s="324"/>
      <c r="AX262" s="324"/>
      <c r="AY262" s="324"/>
      <c r="AZ262" s="324"/>
      <c r="BA262" s="324"/>
      <c r="BB262" s="324"/>
      <c r="BC262" s="324"/>
      <c r="BD262" s="324"/>
      <c r="BE262" s="324"/>
      <c r="BF262" s="324"/>
      <c r="BG262" s="324"/>
      <c r="BH262" s="324"/>
      <c r="BI262" s="324"/>
      <c r="BJ262" s="324"/>
      <c r="BK262" s="324"/>
      <c r="BL262" s="324"/>
      <c r="BM262" s="324"/>
      <c r="BN262" s="324"/>
      <c r="BO262" s="324"/>
      <c r="BP262" s="324"/>
      <c r="BQ262" s="324"/>
      <c r="BR262" s="324"/>
      <c r="BS262" s="324"/>
      <c r="BT262" s="357">
        <f>BU262</f>
        <v>1.2999999999999999E-2</v>
      </c>
      <c r="BU262" s="357">
        <f>BV262</f>
        <v>1.2999999999999999E-2</v>
      </c>
      <c r="BV262" s="357">
        <f>BW262</f>
        <v>1.2999999999999999E-2</v>
      </c>
      <c r="BW262" s="357">
        <f>T262</f>
        <v>1.2999999999999999E-2</v>
      </c>
      <c r="BX262" s="357">
        <f>BY262</f>
        <v>1.3999999999999999E-2</v>
      </c>
      <c r="BY262" s="357">
        <f>BZ262</f>
        <v>1.3999999999999999E-2</v>
      </c>
      <c r="BZ262" s="357">
        <f>CA262</f>
        <v>1.3999999999999999E-2</v>
      </c>
      <c r="CA262" s="357">
        <f>U262</f>
        <v>1.3999999999999999E-2</v>
      </c>
      <c r="CB262" s="357">
        <f>CC262</f>
        <v>1.4999999999999999E-2</v>
      </c>
      <c r="CC262" s="357">
        <f>CD262</f>
        <v>1.4999999999999999E-2</v>
      </c>
      <c r="CD262" s="357">
        <f>CE262</f>
        <v>1.4999999999999999E-2</v>
      </c>
      <c r="CE262" s="357">
        <f>V262</f>
        <v>1.4999999999999999E-2</v>
      </c>
      <c r="CF262" s="62"/>
      <c r="CG262" s="5"/>
      <c r="CH262" s="5"/>
    </row>
    <row r="263" spans="1:96" outlineLevel="1">
      <c r="B263" s="12"/>
      <c r="C263" s="5"/>
      <c r="D263" s="5"/>
      <c r="E263" s="5"/>
      <c r="F263" s="5"/>
      <c r="G263" s="5"/>
      <c r="H263" s="324"/>
      <c r="I263" s="324"/>
      <c r="J263" s="324"/>
      <c r="K263" s="324"/>
      <c r="L263" s="324"/>
      <c r="M263" s="324"/>
      <c r="N263" s="324"/>
      <c r="O263" s="324"/>
      <c r="P263" s="324"/>
      <c r="Q263" s="324"/>
      <c r="R263" s="357"/>
      <c r="S263" s="357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324"/>
      <c r="AG263" s="324"/>
      <c r="AH263" s="324"/>
      <c r="AI263" s="324"/>
      <c r="AJ263" s="324"/>
      <c r="AK263" s="324"/>
      <c r="AL263" s="324"/>
      <c r="AM263" s="324"/>
      <c r="AN263" s="324"/>
      <c r="AO263" s="324"/>
      <c r="AP263" s="324"/>
      <c r="AQ263" s="324"/>
      <c r="AR263" s="324"/>
      <c r="AS263" s="324"/>
      <c r="AT263" s="324"/>
      <c r="AU263" s="324"/>
      <c r="AV263" s="324"/>
      <c r="AW263" s="324"/>
      <c r="AX263" s="324"/>
      <c r="AY263" s="324"/>
      <c r="AZ263" s="324"/>
      <c r="BA263" s="324"/>
      <c r="BB263" s="324"/>
      <c r="BC263" s="324"/>
      <c r="BD263" s="324"/>
      <c r="BE263" s="324"/>
      <c r="BF263" s="324"/>
      <c r="BG263" s="324"/>
      <c r="BH263" s="324"/>
      <c r="BI263" s="324"/>
      <c r="BJ263" s="324"/>
      <c r="BK263" s="324"/>
      <c r="BL263" s="324"/>
      <c r="BM263" s="324"/>
      <c r="BN263" s="324"/>
      <c r="BO263" s="324"/>
      <c r="BP263" s="324"/>
      <c r="BQ263" s="324"/>
      <c r="BR263" s="324"/>
      <c r="BS263" s="324"/>
      <c r="BT263" s="324"/>
      <c r="BU263" s="324"/>
      <c r="BV263" s="324"/>
      <c r="BW263" s="324"/>
      <c r="BX263" s="324"/>
      <c r="BY263" s="324"/>
      <c r="BZ263" s="324"/>
      <c r="CA263" s="324"/>
      <c r="CB263" s="324"/>
      <c r="CC263" s="324"/>
      <c r="CD263" s="324"/>
      <c r="CE263" s="324"/>
      <c r="CF263" s="62"/>
      <c r="CG263" s="5"/>
      <c r="CH263" s="5"/>
    </row>
    <row r="264" spans="1:96" outlineLevel="1">
      <c r="B264" s="12" t="s">
        <v>754</v>
      </c>
      <c r="C264" s="5"/>
      <c r="D264" s="5"/>
      <c r="E264" s="5"/>
      <c r="F264" s="5"/>
      <c r="G264" s="5"/>
      <c r="H264" s="324"/>
      <c r="I264" s="324"/>
      <c r="J264" s="324"/>
      <c r="K264" s="324"/>
      <c r="L264" s="324"/>
      <c r="M264" s="324"/>
      <c r="N264" s="324"/>
      <c r="O264" s="324"/>
      <c r="P264" s="324"/>
      <c r="Q264" s="210">
        <v>35</v>
      </c>
      <c r="R264" s="387"/>
      <c r="S264" s="357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324"/>
      <c r="AG264" s="324"/>
      <c r="AH264" s="324"/>
      <c r="AI264" s="324"/>
      <c r="AJ264" s="324"/>
      <c r="AK264" s="324"/>
      <c r="AL264" s="324"/>
      <c r="AM264" s="324"/>
      <c r="AN264" s="324"/>
      <c r="AO264" s="324"/>
      <c r="AP264" s="324"/>
      <c r="AQ264" s="324"/>
      <c r="AR264" s="324"/>
      <c r="AS264" s="324"/>
      <c r="AT264" s="324"/>
      <c r="AU264" s="324"/>
      <c r="AV264" s="324"/>
      <c r="AW264" s="324"/>
      <c r="AX264" s="324"/>
      <c r="AY264" s="324"/>
      <c r="AZ264" s="324"/>
      <c r="BA264" s="324"/>
      <c r="BB264" s="324"/>
      <c r="BC264" s="324"/>
      <c r="BD264" s="324"/>
      <c r="BE264" s="324"/>
      <c r="BF264" s="324"/>
      <c r="BG264" s="324"/>
      <c r="BH264" s="324"/>
      <c r="BI264" s="324"/>
      <c r="BJ264" s="324"/>
      <c r="BK264" s="324"/>
      <c r="BL264" s="324"/>
      <c r="BM264" s="324"/>
      <c r="BN264" s="324"/>
      <c r="BO264" s="324"/>
      <c r="BP264" s="324"/>
      <c r="BQ264" s="324"/>
      <c r="BR264" s="324"/>
      <c r="BS264" s="324"/>
      <c r="BT264" s="324"/>
      <c r="BU264" s="324"/>
      <c r="BV264" s="324"/>
      <c r="BW264" s="324"/>
      <c r="BX264" s="324"/>
      <c r="BY264" s="324"/>
      <c r="BZ264" s="324"/>
      <c r="CA264" s="324"/>
      <c r="CB264" s="324"/>
      <c r="CC264" s="324"/>
      <c r="CD264" s="324"/>
      <c r="CE264" s="324"/>
      <c r="CF264" s="62"/>
      <c r="CG264" s="5"/>
      <c r="CH264" s="5"/>
    </row>
    <row r="265" spans="1:96" outlineLevel="1">
      <c r="B265" s="12" t="s">
        <v>751</v>
      </c>
      <c r="C265" s="5"/>
      <c r="D265" s="5"/>
      <c r="E265" s="5"/>
      <c r="F265" s="5"/>
      <c r="G265" s="5"/>
      <c r="H265" s="324"/>
      <c r="I265" s="324"/>
      <c r="J265" s="324"/>
      <c r="K265" s="324"/>
      <c r="L265" s="324"/>
      <c r="M265" s="324"/>
      <c r="N265" s="324"/>
      <c r="O265" s="324"/>
      <c r="P265" s="324"/>
      <c r="Q265" s="324"/>
      <c r="R265" s="324"/>
      <c r="S265" s="326">
        <v>0.6</v>
      </c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324"/>
      <c r="AG265" s="324"/>
      <c r="AH265" s="324"/>
      <c r="AI265" s="324"/>
      <c r="AJ265" s="324"/>
      <c r="AK265" s="324"/>
      <c r="AL265" s="324"/>
      <c r="AM265" s="324"/>
      <c r="AN265" s="324"/>
      <c r="AO265" s="324"/>
      <c r="AP265" s="324"/>
      <c r="AQ265" s="324"/>
      <c r="AR265" s="324"/>
      <c r="AS265" s="324"/>
      <c r="AT265" s="324"/>
      <c r="AU265" s="324"/>
      <c r="AV265" s="324"/>
      <c r="AW265" s="324"/>
      <c r="AX265" s="324"/>
      <c r="AY265" s="324"/>
      <c r="AZ265" s="324"/>
      <c r="BA265" s="324"/>
      <c r="BB265" s="324"/>
      <c r="BC265" s="324"/>
      <c r="BD265" s="324"/>
      <c r="BE265" s="324"/>
      <c r="BF265" s="324"/>
      <c r="BG265" s="324"/>
      <c r="BH265" s="324"/>
      <c r="BI265" s="324"/>
      <c r="BJ265" s="324"/>
      <c r="BK265" s="324"/>
      <c r="BL265" s="324"/>
      <c r="BM265" s="324"/>
      <c r="BN265" s="324"/>
      <c r="BO265" s="324"/>
      <c r="BP265" s="324"/>
      <c r="BQ265" s="324"/>
      <c r="BR265" s="324"/>
      <c r="BS265" s="324"/>
      <c r="BT265" s="324"/>
      <c r="BU265" s="324"/>
      <c r="BV265" s="324"/>
      <c r="BW265" s="324"/>
      <c r="BX265" s="324"/>
      <c r="BY265" s="324"/>
      <c r="BZ265" s="324"/>
      <c r="CA265" s="324"/>
      <c r="CB265" s="324"/>
      <c r="CC265" s="324"/>
      <c r="CD265" s="324"/>
      <c r="CE265" s="324"/>
      <c r="CF265" s="62"/>
      <c r="CG265" s="5"/>
      <c r="CH265" s="5"/>
    </row>
    <row r="266" spans="1:96" outlineLevel="1">
      <c r="B266" s="12"/>
      <c r="C266" s="5"/>
      <c r="D266" s="5"/>
      <c r="E266" s="5"/>
      <c r="F266" s="5"/>
      <c r="G266" s="5"/>
      <c r="H266" s="324"/>
      <c r="I266" s="324"/>
      <c r="J266" s="324"/>
      <c r="K266" s="324"/>
      <c r="L266" s="324"/>
      <c r="M266" s="324"/>
      <c r="N266" s="324"/>
      <c r="O266" s="324"/>
      <c r="P266" s="324"/>
      <c r="Q266" s="324"/>
      <c r="R266" s="324"/>
      <c r="S266" s="324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324"/>
      <c r="AG266" s="324"/>
      <c r="AH266" s="324"/>
      <c r="AI266" s="324"/>
      <c r="AJ266" s="324"/>
      <c r="AK266" s="324"/>
      <c r="AL266" s="324"/>
      <c r="AM266" s="324"/>
      <c r="AN266" s="324"/>
      <c r="AO266" s="324"/>
      <c r="AP266" s="324"/>
      <c r="AQ266" s="324"/>
      <c r="AR266" s="324"/>
      <c r="AS266" s="324"/>
      <c r="AT266" s="324"/>
      <c r="AU266" s="324"/>
      <c r="AV266" s="324"/>
      <c r="AW266" s="324"/>
      <c r="AX266" s="324"/>
      <c r="AY266" s="324"/>
      <c r="AZ266" s="324"/>
      <c r="BA266" s="324"/>
      <c r="BB266" s="324"/>
      <c r="BC266" s="324"/>
      <c r="BD266" s="324"/>
      <c r="BE266" s="324"/>
      <c r="BF266" s="324"/>
      <c r="BG266" s="324"/>
      <c r="BH266" s="324"/>
      <c r="BI266" s="324"/>
      <c r="BJ266" s="324"/>
      <c r="BK266" s="324"/>
      <c r="BL266" s="324"/>
      <c r="BM266" s="324"/>
      <c r="BN266" s="324"/>
      <c r="BO266" s="324"/>
      <c r="BP266" s="324"/>
      <c r="BQ266" s="324"/>
      <c r="BR266" s="324"/>
      <c r="BS266" s="324"/>
      <c r="BT266" s="324"/>
      <c r="BU266" s="324"/>
      <c r="BV266" s="324"/>
      <c r="BW266" s="324"/>
      <c r="BX266" s="324"/>
      <c r="BY266" s="324"/>
      <c r="BZ266" s="324"/>
      <c r="CA266" s="324"/>
      <c r="CB266" s="324"/>
      <c r="CC266" s="324"/>
      <c r="CD266" s="324"/>
      <c r="CE266" s="324"/>
      <c r="CF266" s="62"/>
      <c r="CG266" s="5"/>
      <c r="CH266" s="5"/>
    </row>
    <row r="267" spans="1:96" s="55" customFormat="1" outlineLevel="1">
      <c r="A267" s="3"/>
      <c r="B267" s="517" t="s">
        <v>596</v>
      </c>
      <c r="C267" s="526"/>
      <c r="D267" s="526"/>
      <c r="E267" s="526"/>
      <c r="F267" s="526"/>
      <c r="G267" s="526"/>
      <c r="H267" s="526"/>
      <c r="I267" s="526"/>
      <c r="J267" s="526"/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G267" s="5"/>
      <c r="CH267" s="5"/>
      <c r="CI267" s="384"/>
      <c r="CJ267"/>
      <c r="CK267"/>
      <c r="CL267"/>
      <c r="CM267"/>
      <c r="CN267"/>
      <c r="CO267"/>
      <c r="CP267" s="384"/>
      <c r="CQ267" s="384"/>
      <c r="CR267" s="384"/>
    </row>
    <row r="268" spans="1:96" outlineLevel="1">
      <c r="B268" s="192" t="s">
        <v>121</v>
      </c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10"/>
      <c r="BJ268" s="161"/>
      <c r="BK268" s="6"/>
      <c r="BL268" s="6"/>
      <c r="BM268" s="6">
        <f t="shared" ref="BM268:BR269" si="401">BM276+BM289+BM295</f>
        <v>6470.8657384259259</v>
      </c>
      <c r="BN268" s="6">
        <f t="shared" si="401"/>
        <v>9408.515034541666</v>
      </c>
      <c r="BO268" s="6">
        <f t="shared" si="401"/>
        <v>8518.1073929066661</v>
      </c>
      <c r="BP268" s="6">
        <f t="shared" si="401"/>
        <v>14855.95426026</v>
      </c>
      <c r="BQ268" s="6">
        <f t="shared" si="401"/>
        <v>14697.78296467857</v>
      </c>
      <c r="BR268" s="6">
        <f>BR276+BR289+BR295</f>
        <v>18807.624390199999</v>
      </c>
      <c r="BS268" s="6"/>
      <c r="BT268" s="6"/>
      <c r="BU268" s="6"/>
      <c r="BV268" s="6"/>
      <c r="BW268" s="6"/>
      <c r="BX268" s="6"/>
      <c r="BY268" s="6"/>
      <c r="BZ268" s="6"/>
      <c r="CA268" s="6"/>
      <c r="CB268" s="6"/>
      <c r="CC268" s="6"/>
      <c r="CD268" s="6"/>
      <c r="CE268" s="6"/>
      <c r="CF268" s="5"/>
      <c r="CG268" s="5"/>
      <c r="CH268" s="5"/>
    </row>
    <row r="269" spans="1:96" outlineLevel="1">
      <c r="B269" s="192" t="s">
        <v>12</v>
      </c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10"/>
      <c r="BJ269" s="161"/>
      <c r="BK269" s="6"/>
      <c r="BL269" s="6"/>
      <c r="BM269" s="6">
        <f t="shared" si="401"/>
        <v>596.82934939500001</v>
      </c>
      <c r="BN269" s="6">
        <f t="shared" si="401"/>
        <v>799.53640844999995</v>
      </c>
      <c r="BO269" s="6">
        <f t="shared" si="401"/>
        <v>634.28927950000002</v>
      </c>
      <c r="BP269" s="6">
        <f t="shared" si="401"/>
        <v>1034.0572852700002</v>
      </c>
      <c r="BQ269" s="6">
        <f t="shared" si="401"/>
        <v>1069.4496658099999</v>
      </c>
      <c r="BR269" s="6">
        <f t="shared" si="401"/>
        <v>1410.1676900950001</v>
      </c>
      <c r="BS269" s="6"/>
      <c r="BT269" s="6"/>
      <c r="BU269" s="6"/>
      <c r="BV269" s="6"/>
      <c r="BW269" s="6"/>
      <c r="BX269" s="6"/>
      <c r="BY269" s="6"/>
      <c r="BZ269" s="6"/>
      <c r="CA269" s="6"/>
      <c r="CB269" s="6"/>
      <c r="CC269" s="6"/>
      <c r="CD269" s="6"/>
      <c r="CE269" s="6"/>
      <c r="CF269" s="5"/>
      <c r="CG269" s="5"/>
      <c r="CH269" s="5"/>
    </row>
    <row r="270" spans="1:96" outlineLevel="1">
      <c r="A270" s="3" t="s">
        <v>512</v>
      </c>
      <c r="B270" s="49" t="s">
        <v>504</v>
      </c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10"/>
      <c r="BJ270" s="161"/>
      <c r="BK270" s="6"/>
      <c r="BL270" s="6"/>
      <c r="BM270" s="323">
        <f t="shared" ref="BM270:BR270" si="402">BM268/Rev_GMV_Gross</f>
        <v>0.16959630644522489</v>
      </c>
      <c r="BN270" s="323">
        <f t="shared" si="402"/>
        <v>0.20023785256774734</v>
      </c>
      <c r="BO270" s="323">
        <f t="shared" si="402"/>
        <v>0.1945256792564112</v>
      </c>
      <c r="BP270" s="323">
        <f t="shared" si="402"/>
        <v>0.19792732359924076</v>
      </c>
      <c r="BQ270" s="323">
        <f t="shared" si="402"/>
        <v>0.19131498443749798</v>
      </c>
      <c r="BR270" s="323">
        <f t="shared" si="402"/>
        <v>0.19701045189173161</v>
      </c>
      <c r="BS270" s="6"/>
      <c r="BT270" s="6"/>
      <c r="BU270" s="6"/>
      <c r="BV270" s="6"/>
      <c r="BW270" s="6"/>
      <c r="BX270" s="6"/>
      <c r="BY270" s="6"/>
      <c r="BZ270" s="6"/>
      <c r="CA270" s="6"/>
      <c r="CB270" s="6"/>
      <c r="CC270" s="6"/>
      <c r="CD270" s="6"/>
      <c r="CE270" s="6"/>
      <c r="CF270" s="5"/>
      <c r="CG270" s="5"/>
      <c r="CH270" s="5"/>
    </row>
    <row r="271" spans="1:96" outlineLevel="1">
      <c r="B271" s="49" t="s">
        <v>505</v>
      </c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10"/>
      <c r="BJ271" s="161"/>
      <c r="BK271" s="6"/>
      <c r="BL271" s="6"/>
      <c r="BM271" s="323">
        <f t="shared" ref="BM271:BR271" si="403">BM269/Rev_Gross</f>
        <v>0.22390989745268169</v>
      </c>
      <c r="BN271" s="323">
        <f t="shared" si="403"/>
        <v>0.23825731092776314</v>
      </c>
      <c r="BO271" s="323">
        <f t="shared" si="403"/>
        <v>0.2091716604207991</v>
      </c>
      <c r="BP271" s="323">
        <f t="shared" si="403"/>
        <v>0.23505889379379316</v>
      </c>
      <c r="BQ271" s="323">
        <f t="shared" si="403"/>
        <v>0.2354375436896442</v>
      </c>
      <c r="BR271" s="323">
        <f t="shared" si="403"/>
        <v>0.24880359284540152</v>
      </c>
      <c r="BS271" s="6"/>
      <c r="BT271" s="6"/>
      <c r="BU271" s="6"/>
      <c r="BV271" s="6"/>
      <c r="BW271" s="6"/>
      <c r="BX271" s="6"/>
      <c r="BY271" s="6"/>
      <c r="BZ271" s="6"/>
      <c r="CA271" s="6"/>
      <c r="CB271" s="6"/>
      <c r="CC271" s="6"/>
      <c r="CD271" s="6"/>
      <c r="CE271" s="6"/>
      <c r="CF271" s="5"/>
      <c r="CG271" s="5"/>
      <c r="CH271" s="5"/>
    </row>
    <row r="272" spans="1:96" outlineLevel="1">
      <c r="B272" s="49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10"/>
      <c r="BJ272" s="161"/>
      <c r="BK272" s="6"/>
      <c r="BL272" s="6"/>
      <c r="BM272" s="217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  <c r="CC272" s="6"/>
      <c r="CD272" s="6"/>
      <c r="CE272" s="6"/>
      <c r="CF272" s="5"/>
      <c r="CG272" s="5"/>
      <c r="CH272" s="5"/>
    </row>
    <row r="273" spans="1:86" outlineLevel="1">
      <c r="B273" s="192" t="s">
        <v>119</v>
      </c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10"/>
      <c r="BJ273" s="161"/>
      <c r="BK273" s="6"/>
      <c r="BL273" s="6"/>
      <c r="BM273" s="217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  <c r="CC273" s="6"/>
      <c r="CD273" s="6"/>
      <c r="CE273" s="6"/>
      <c r="CF273" s="5"/>
      <c r="CG273" s="5"/>
      <c r="CH273" s="5"/>
    </row>
    <row r="274" spans="1:86" outlineLevel="1">
      <c r="B274" s="49" t="s">
        <v>504</v>
      </c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10"/>
      <c r="BJ274" s="161"/>
      <c r="BK274" s="6"/>
      <c r="BL274" s="6"/>
      <c r="BM274" s="354">
        <v>0.52</v>
      </c>
      <c r="BN274" s="326">
        <v>0.5</v>
      </c>
      <c r="BO274" s="354">
        <v>0.63</v>
      </c>
      <c r="BP274" s="326">
        <v>0.65</v>
      </c>
      <c r="BQ274" s="326">
        <v>0.5</v>
      </c>
      <c r="BR274" s="326">
        <v>0.5</v>
      </c>
      <c r="BS274" s="6"/>
      <c r="BT274" s="6"/>
      <c r="BU274" s="6"/>
      <c r="BV274" s="6"/>
      <c r="BW274" s="6"/>
      <c r="BX274" s="6"/>
      <c r="BY274" s="6"/>
      <c r="BZ274" s="6"/>
      <c r="CA274" s="6"/>
      <c r="CB274" s="6"/>
      <c r="CC274" s="6"/>
      <c r="CD274" s="6"/>
      <c r="CE274" s="6"/>
      <c r="CF274" s="5"/>
      <c r="CG274" s="5"/>
      <c r="CH274" s="5"/>
    </row>
    <row r="275" spans="1:86" outlineLevel="1">
      <c r="B275" s="49" t="s">
        <v>505</v>
      </c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10"/>
      <c r="BJ275" s="161"/>
      <c r="BK275" s="6"/>
      <c r="BL275" s="6"/>
      <c r="BM275" s="354">
        <v>0.65</v>
      </c>
      <c r="BN275" s="326">
        <v>0.6</v>
      </c>
      <c r="BO275" s="326">
        <v>0.5</v>
      </c>
      <c r="BP275" s="326">
        <v>0.55000000000000004</v>
      </c>
      <c r="BQ275" s="326">
        <v>0.52</v>
      </c>
      <c r="BR275" s="326">
        <v>0.52</v>
      </c>
      <c r="BS275" s="6"/>
      <c r="BT275" s="6"/>
      <c r="BU275" s="6"/>
      <c r="BV275" s="6"/>
      <c r="BW275" s="6"/>
      <c r="BX275" s="6"/>
      <c r="BY275" s="6"/>
      <c r="BZ275" s="6"/>
      <c r="CA275" s="6"/>
      <c r="CB275" s="6"/>
      <c r="CC275" s="6"/>
      <c r="CD275" s="6"/>
      <c r="CE275" s="6"/>
      <c r="CF275" s="5"/>
      <c r="CG275" s="5"/>
      <c r="CH275" s="5"/>
    </row>
    <row r="276" spans="1:86" outlineLevel="1">
      <c r="A276" s="3" t="s">
        <v>511</v>
      </c>
      <c r="B276" s="49" t="s">
        <v>121</v>
      </c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10"/>
      <c r="BJ276" s="161"/>
      <c r="BK276" s="6"/>
      <c r="BL276" s="6"/>
      <c r="BM276" s="118">
        <f t="shared" ref="BM276:BR276" si="404">BM274*GMV_Package</f>
        <v>1903.0497142222223</v>
      </c>
      <c r="BN276" s="118">
        <f t="shared" si="404"/>
        <v>3295.0241777777778</v>
      </c>
      <c r="BO276" s="118">
        <f t="shared" si="404"/>
        <v>2446.8833549999999</v>
      </c>
      <c r="BP276" s="118">
        <f t="shared" si="404"/>
        <v>4521.5262624999996</v>
      </c>
      <c r="BQ276" s="118">
        <f t="shared" si="404"/>
        <v>2962.0715812499998</v>
      </c>
      <c r="BR276" s="118">
        <f t="shared" si="404"/>
        <v>5082.8811000000005</v>
      </c>
      <c r="BS276" s="6"/>
      <c r="BT276" s="6"/>
      <c r="BU276" s="6"/>
      <c r="BV276" s="6"/>
      <c r="BW276" s="6"/>
      <c r="BX276" s="6"/>
      <c r="BY276" s="6"/>
      <c r="BZ276" s="6"/>
      <c r="CA276" s="6"/>
      <c r="CB276" s="6"/>
      <c r="CC276" s="6"/>
      <c r="CD276" s="6"/>
      <c r="CE276" s="6"/>
      <c r="CF276" s="5"/>
      <c r="CG276" s="5"/>
      <c r="CH276" s="5"/>
    </row>
    <row r="277" spans="1:86" outlineLevel="1">
      <c r="B277" s="49" t="s">
        <v>12</v>
      </c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10"/>
      <c r="BJ277" s="161"/>
      <c r="BK277" s="6"/>
      <c r="BL277" s="6"/>
      <c r="BM277" s="118">
        <f t="shared" ref="BM277:BR277" si="405">BM275*Rev_Package</f>
        <v>214.09309285000001</v>
      </c>
      <c r="BN277" s="118">
        <f t="shared" si="405"/>
        <v>355.86261119999995</v>
      </c>
      <c r="BO277" s="118">
        <f t="shared" si="405"/>
        <v>174.77738249999999</v>
      </c>
      <c r="BP277" s="118">
        <f t="shared" si="405"/>
        <v>306.07254700000004</v>
      </c>
      <c r="BQ277" s="118">
        <f t="shared" si="405"/>
        <v>246.44435555999999</v>
      </c>
      <c r="BR277" s="118">
        <f t="shared" si="405"/>
        <v>422.89570752000003</v>
      </c>
      <c r="BS277" s="6"/>
      <c r="BT277" s="6"/>
      <c r="BU277" s="6"/>
      <c r="BV277" s="6"/>
      <c r="BW277" s="6"/>
      <c r="BX277" s="6"/>
      <c r="BY277" s="6"/>
      <c r="BZ277" s="6"/>
      <c r="CA277" s="6"/>
      <c r="CB277" s="6"/>
      <c r="CC277" s="6"/>
      <c r="CD277" s="6"/>
      <c r="CE277" s="6"/>
      <c r="CF277" s="5"/>
      <c r="CG277" s="5"/>
      <c r="CH277" s="5"/>
    </row>
    <row r="278" spans="1:86" outlineLevel="1" collapsed="1">
      <c r="B278" s="49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10"/>
      <c r="BJ278" s="161"/>
      <c r="BK278" s="6"/>
      <c r="BL278" s="6"/>
      <c r="BM278" s="118"/>
      <c r="BN278" s="118"/>
      <c r="BO278" s="118"/>
      <c r="BP278" s="118"/>
      <c r="BQ278" s="118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  <c r="CC278" s="6"/>
      <c r="CD278" s="6"/>
      <c r="CE278" s="6"/>
      <c r="CF278" s="5"/>
      <c r="CG278" s="5"/>
      <c r="CH278" s="5"/>
    </row>
    <row r="279" spans="1:86" hidden="1" outlineLevel="2">
      <c r="B279" s="192" t="s">
        <v>506</v>
      </c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10"/>
      <c r="BJ279" s="161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  <c r="CC279" s="6"/>
      <c r="CD279" s="6"/>
      <c r="CE279" s="6"/>
      <c r="CF279" s="5"/>
      <c r="CG279" s="5"/>
      <c r="CH279" s="5"/>
    </row>
    <row r="280" spans="1:86" hidden="1" outlineLevel="2">
      <c r="B280" s="49" t="s">
        <v>504</v>
      </c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10"/>
      <c r="BJ280" s="161"/>
      <c r="BK280" s="6"/>
      <c r="BL280" s="6"/>
      <c r="BM280" s="217">
        <v>50</v>
      </c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5"/>
      <c r="CG280" s="5"/>
      <c r="CH280" s="5"/>
    </row>
    <row r="281" spans="1:86" hidden="1" outlineLevel="2">
      <c r="B281" s="49" t="s">
        <v>505</v>
      </c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10"/>
      <c r="BJ281" s="161"/>
      <c r="BK281" s="6"/>
      <c r="BL281" s="6"/>
      <c r="BM281" s="217">
        <v>60</v>
      </c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5"/>
      <c r="CG281" s="5"/>
      <c r="CH281" s="5"/>
    </row>
    <row r="282" spans="1:86" hidden="1" outlineLevel="2">
      <c r="B282" s="192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10"/>
      <c r="BJ282" s="161"/>
      <c r="BK282" s="6"/>
      <c r="BL282" s="6"/>
      <c r="BM282" s="217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5"/>
      <c r="CG282" s="5"/>
      <c r="CH282" s="5"/>
    </row>
    <row r="283" spans="1:86" hidden="1" outlineLevel="2">
      <c r="B283" s="192" t="s">
        <v>507</v>
      </c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10"/>
      <c r="BJ283" s="161"/>
      <c r="BK283" s="6"/>
      <c r="BL283" s="6"/>
      <c r="BM283" s="217"/>
      <c r="BN283" s="6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  <c r="BZ283" s="6"/>
      <c r="CA283" s="6"/>
      <c r="CB283" s="6"/>
      <c r="CC283" s="6"/>
      <c r="CD283" s="6"/>
      <c r="CE283" s="6"/>
      <c r="CF283" s="5"/>
      <c r="CG283" s="5"/>
      <c r="CH283" s="5"/>
    </row>
    <row r="284" spans="1:86" hidden="1" outlineLevel="2">
      <c r="B284" s="49" t="s">
        <v>504</v>
      </c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10"/>
      <c r="BJ284" s="161"/>
      <c r="BK284" s="6"/>
      <c r="BL284" s="6"/>
      <c r="BM284" s="217">
        <v>70</v>
      </c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  <c r="CC284" s="6"/>
      <c r="CD284" s="6"/>
      <c r="CE284" s="6"/>
      <c r="CF284" s="5"/>
      <c r="CG284" s="5"/>
      <c r="CH284" s="5"/>
    </row>
    <row r="285" spans="1:86" hidden="1" outlineLevel="2"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10"/>
      <c r="BJ285" s="161"/>
      <c r="BK285" s="6"/>
      <c r="BL285" s="6"/>
      <c r="BM285" s="217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  <c r="CC285" s="6"/>
      <c r="CD285" s="6"/>
      <c r="CE285" s="6"/>
      <c r="CF285" s="5"/>
      <c r="CG285" s="5"/>
      <c r="CH285" s="5"/>
    </row>
    <row r="286" spans="1:86" outlineLevel="1">
      <c r="B286" s="192" t="s">
        <v>84</v>
      </c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10"/>
      <c r="BJ286" s="161"/>
      <c r="BK286" s="6"/>
      <c r="BL286" s="6"/>
      <c r="BM286" s="217"/>
      <c r="BN286" s="6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  <c r="BZ286" s="6"/>
      <c r="CA286" s="6"/>
      <c r="CB286" s="6"/>
      <c r="CC286" s="6"/>
      <c r="CD286" s="6"/>
      <c r="CE286" s="6"/>
      <c r="CF286" s="5"/>
      <c r="CG286" s="5"/>
      <c r="CH286" s="5"/>
    </row>
    <row r="287" spans="1:86" outlineLevel="1">
      <c r="B287" s="49" t="s">
        <v>504</v>
      </c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10"/>
      <c r="BJ287" s="161"/>
      <c r="BK287" s="6"/>
      <c r="BL287" s="6"/>
      <c r="BM287" s="354">
        <v>0.1</v>
      </c>
      <c r="BN287" s="354">
        <v>0.125</v>
      </c>
      <c r="BO287" s="326">
        <v>0.13</v>
      </c>
      <c r="BP287" s="326">
        <v>0.13</v>
      </c>
      <c r="BQ287" s="326">
        <v>0.13</v>
      </c>
      <c r="BR287" s="326">
        <v>0.13</v>
      </c>
      <c r="BS287" s="6"/>
      <c r="BT287" s="6"/>
      <c r="BU287" s="6"/>
      <c r="BV287" s="6"/>
      <c r="BW287" s="6"/>
      <c r="BX287" s="6"/>
      <c r="BY287" s="6"/>
      <c r="BZ287" s="6"/>
      <c r="CA287" s="6"/>
      <c r="CB287" s="6"/>
      <c r="CC287" s="6"/>
      <c r="CD287" s="6"/>
      <c r="CE287" s="6"/>
      <c r="CF287" s="5"/>
      <c r="CG287" s="5"/>
      <c r="CH287" s="5"/>
    </row>
    <row r="288" spans="1:86" outlineLevel="1">
      <c r="B288" s="49" t="s">
        <v>505</v>
      </c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10"/>
      <c r="BJ288" s="161"/>
      <c r="BK288" s="6"/>
      <c r="BL288" s="6"/>
      <c r="BM288" s="354">
        <v>0.17499999999999999</v>
      </c>
      <c r="BN288" s="354">
        <v>0.125</v>
      </c>
      <c r="BO288" s="326">
        <v>0.16</v>
      </c>
      <c r="BP288" s="354">
        <v>0.17</v>
      </c>
      <c r="BQ288" s="354">
        <v>0.17</v>
      </c>
      <c r="BR288" s="354">
        <v>0.17</v>
      </c>
      <c r="BS288" s="6"/>
      <c r="BT288" s="6"/>
      <c r="BU288" s="6"/>
      <c r="BV288" s="6"/>
      <c r="BW288" s="6"/>
      <c r="BX288" s="6"/>
      <c r="BY288" s="6"/>
      <c r="BZ288" s="6"/>
      <c r="CA288" s="6"/>
      <c r="CB288" s="6"/>
      <c r="CC288" s="6"/>
      <c r="CD288" s="6"/>
      <c r="CE288" s="6"/>
      <c r="CF288" s="5"/>
      <c r="CG288" s="5"/>
      <c r="CH288" s="5"/>
    </row>
    <row r="289" spans="1:96" outlineLevel="1">
      <c r="A289" s="3" t="s">
        <v>510</v>
      </c>
      <c r="B289" s="49" t="s">
        <v>121</v>
      </c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10"/>
      <c r="BJ289" s="161"/>
      <c r="BK289" s="6"/>
      <c r="BL289" s="6"/>
      <c r="BM289" s="118">
        <f t="shared" ref="BM289:BR289" si="406">BM287*GMV_hotel</f>
        <v>818.1042837037038</v>
      </c>
      <c r="BN289" s="118">
        <f t="shared" si="406"/>
        <v>1271.4916138888889</v>
      </c>
      <c r="BO289" s="118">
        <f t="shared" si="406"/>
        <v>1143.2467106666666</v>
      </c>
      <c r="BP289" s="118">
        <f t="shared" si="406"/>
        <v>1614.0311539999998</v>
      </c>
      <c r="BQ289" s="118">
        <f t="shared" si="406"/>
        <v>1775.818174</v>
      </c>
      <c r="BR289" s="118">
        <f t="shared" si="406"/>
        <v>2071.6084310000001</v>
      </c>
      <c r="BS289" s="6"/>
      <c r="BT289" s="6"/>
      <c r="BU289" s="6"/>
      <c r="BV289" s="6"/>
      <c r="BW289" s="6"/>
      <c r="BX289" s="6"/>
      <c r="BY289" s="6"/>
      <c r="BZ289" s="6"/>
      <c r="CA289" s="6"/>
      <c r="CB289" s="6"/>
      <c r="CC289" s="6"/>
      <c r="CD289" s="6"/>
      <c r="CE289" s="6"/>
      <c r="CF289" s="5"/>
      <c r="CG289" s="5"/>
      <c r="CH289" s="5"/>
    </row>
    <row r="290" spans="1:96" outlineLevel="1">
      <c r="B290" s="49" t="s">
        <v>12</v>
      </c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10"/>
      <c r="BJ290" s="161"/>
      <c r="BK290" s="6"/>
      <c r="BL290" s="6"/>
      <c r="BM290" s="118">
        <f>BM288*Rev_Hotel</f>
        <v>193.277137025</v>
      </c>
      <c r="BN290" s="118">
        <f>12.5%*Rev_Hotel</f>
        <v>171.65136787500001</v>
      </c>
      <c r="BO290" s="118">
        <f>12.5%*Rev_Hotel</f>
        <v>148.40221725000001</v>
      </c>
      <c r="BP290" s="118">
        <f>12.5%*Rev_Hotel</f>
        <v>201.75389425</v>
      </c>
      <c r="BQ290" s="118">
        <f>12.5%*Rev_Hotel</f>
        <v>221.97727175</v>
      </c>
      <c r="BR290" s="118">
        <f>12.5%*Rev_Hotel</f>
        <v>258.95105387500001</v>
      </c>
      <c r="BS290" s="6"/>
      <c r="BT290" s="6"/>
      <c r="BU290" s="6"/>
      <c r="BV290" s="6"/>
      <c r="BW290" s="6"/>
      <c r="BX290" s="6"/>
      <c r="BY290" s="6"/>
      <c r="BZ290" s="6"/>
      <c r="CA290" s="6"/>
      <c r="CB290" s="6"/>
      <c r="CC290" s="6"/>
      <c r="CD290" s="6"/>
      <c r="CE290" s="6"/>
      <c r="CF290" s="5"/>
      <c r="CG290" s="5"/>
      <c r="CH290" s="5"/>
    </row>
    <row r="291" spans="1:96" outlineLevel="1">
      <c r="B291" s="192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10"/>
      <c r="BJ291" s="161"/>
      <c r="BK291" s="6"/>
      <c r="BL291" s="6"/>
      <c r="BM291" s="217"/>
      <c r="BN291" s="215"/>
      <c r="BO291" s="6"/>
      <c r="BP291" s="6"/>
      <c r="BQ291" s="218">
        <f>BQ290/BM290-1</f>
        <v>0.14849213500760672</v>
      </c>
      <c r="BR291" s="218">
        <f>BR290/BN290-1</f>
        <v>0.50858718506439993</v>
      </c>
      <c r="BS291" s="6"/>
      <c r="BT291" s="6"/>
      <c r="BU291" s="6"/>
      <c r="BV291" s="6"/>
      <c r="BW291" s="6"/>
      <c r="BX291" s="6"/>
      <c r="BY291" s="6"/>
      <c r="BZ291" s="6"/>
      <c r="CA291" s="6"/>
      <c r="CB291" s="6"/>
      <c r="CC291" s="6"/>
      <c r="CD291" s="6"/>
      <c r="CE291" s="6"/>
      <c r="CF291" s="5"/>
      <c r="CG291" s="5"/>
      <c r="CH291" s="5"/>
    </row>
    <row r="292" spans="1:96" outlineLevel="1">
      <c r="B292" s="192" t="s">
        <v>168</v>
      </c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10"/>
      <c r="BJ292" s="161"/>
      <c r="BK292" s="6"/>
      <c r="BL292" s="6"/>
      <c r="BM292" s="217"/>
      <c r="BN292" s="41"/>
      <c r="BO292" s="41"/>
      <c r="BP292" s="355"/>
      <c r="BQ292" s="41"/>
      <c r="BR292" s="6"/>
      <c r="BS292" s="6"/>
      <c r="BT292" s="6"/>
      <c r="BU292" s="6"/>
      <c r="BV292" s="6"/>
      <c r="BW292" s="6"/>
      <c r="BX292" s="6"/>
      <c r="BY292" s="6"/>
      <c r="BZ292" s="6"/>
      <c r="CA292" s="6"/>
      <c r="CB292" s="6"/>
      <c r="CC292" s="6"/>
      <c r="CD292" s="6"/>
      <c r="CE292" s="6"/>
      <c r="CF292" s="5"/>
      <c r="CG292" s="5"/>
      <c r="CH292" s="5"/>
    </row>
    <row r="293" spans="1:96" outlineLevel="1">
      <c r="B293" s="49" t="s">
        <v>504</v>
      </c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10"/>
      <c r="BJ293" s="161"/>
      <c r="BK293" s="6"/>
      <c r="BL293" s="6"/>
      <c r="BM293" s="354">
        <v>0.15</v>
      </c>
      <c r="BN293" s="326">
        <v>0.18</v>
      </c>
      <c r="BO293" s="326">
        <v>0.18</v>
      </c>
      <c r="BP293" s="326">
        <v>0.18</v>
      </c>
      <c r="BQ293" s="326">
        <v>0.2</v>
      </c>
      <c r="BR293" s="326">
        <v>0.2</v>
      </c>
      <c r="BS293" s="6"/>
      <c r="BT293" s="6"/>
      <c r="BU293" s="6"/>
      <c r="BV293" s="6"/>
      <c r="BW293" s="6"/>
      <c r="BX293" s="6"/>
      <c r="BY293" s="6"/>
      <c r="BZ293" s="6"/>
      <c r="CA293" s="6"/>
      <c r="CB293" s="6"/>
      <c r="CC293" s="6"/>
      <c r="CD293" s="6"/>
      <c r="CE293" s="6"/>
      <c r="CF293" s="5"/>
      <c r="CG293" s="5"/>
      <c r="CH293" s="5"/>
    </row>
    <row r="294" spans="1:96" outlineLevel="1">
      <c r="B294" s="49" t="s">
        <v>505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10"/>
      <c r="BJ294" s="161"/>
      <c r="BK294" s="6"/>
      <c r="BL294" s="6"/>
      <c r="BM294" s="354">
        <v>0.18</v>
      </c>
      <c r="BN294" s="326">
        <v>0.22500000000000001</v>
      </c>
      <c r="BO294" s="326">
        <v>0.25</v>
      </c>
      <c r="BP294" s="326">
        <v>0.27</v>
      </c>
      <c r="BQ294" s="326">
        <v>0.3</v>
      </c>
      <c r="BR294" s="326">
        <v>0.3</v>
      </c>
      <c r="BS294" s="6"/>
      <c r="BT294" s="6"/>
      <c r="BU294" s="6"/>
      <c r="BV294" s="6"/>
      <c r="BW294" s="6"/>
      <c r="BX294" s="6"/>
      <c r="BY294" s="6"/>
      <c r="BZ294" s="6"/>
      <c r="CA294" s="6"/>
      <c r="CB294" s="6"/>
      <c r="CC294" s="6"/>
      <c r="CD294" s="6"/>
      <c r="CE294" s="6"/>
      <c r="CF294" s="5"/>
      <c r="CG294" s="5"/>
      <c r="CH294" s="5"/>
    </row>
    <row r="295" spans="1:96" outlineLevel="1">
      <c r="A295" s="3" t="s">
        <v>509</v>
      </c>
      <c r="B295" s="49" t="s">
        <v>121</v>
      </c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10"/>
      <c r="BJ295" s="161"/>
      <c r="BK295" s="6"/>
      <c r="BL295" s="6"/>
      <c r="BM295" s="6">
        <f t="shared" ref="BM295:BR295" si="407">BM293*GMV_Air</f>
        <v>3749.7117404999999</v>
      </c>
      <c r="BN295" s="6">
        <f t="shared" si="407"/>
        <v>4841.9992428750002</v>
      </c>
      <c r="BO295" s="6">
        <f t="shared" si="407"/>
        <v>4927.9773272399998</v>
      </c>
      <c r="BP295" s="6">
        <f t="shared" si="407"/>
        <v>8720.3968437599997</v>
      </c>
      <c r="BQ295" s="6">
        <f t="shared" si="407"/>
        <v>9959.8932094285701</v>
      </c>
      <c r="BR295" s="6">
        <f t="shared" si="407"/>
        <v>11653.134859199999</v>
      </c>
      <c r="BS295" s="6"/>
      <c r="BT295" s="6"/>
      <c r="BU295" s="6"/>
      <c r="BV295" s="6"/>
      <c r="BW295" s="6"/>
      <c r="BX295" s="6"/>
      <c r="BY295" s="6"/>
      <c r="BZ295" s="6"/>
      <c r="CA295" s="6"/>
      <c r="CB295" s="6"/>
      <c r="CC295" s="6"/>
      <c r="CD295" s="6"/>
      <c r="CE295" s="6"/>
      <c r="CF295" s="5"/>
      <c r="CG295" s="5"/>
      <c r="CH295" s="5"/>
    </row>
    <row r="296" spans="1:96" outlineLevel="1">
      <c r="B296" s="49" t="s">
        <v>12</v>
      </c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10"/>
      <c r="BJ296" s="6">
        <f>BN296/(1+1)</f>
        <v>136.0112146875</v>
      </c>
      <c r="BK296" s="6"/>
      <c r="BL296" s="6"/>
      <c r="BM296" s="6">
        <f t="shared" ref="BM296:BR296" si="408">BM294*Rev_Ticket</f>
        <v>189.45911952</v>
      </c>
      <c r="BN296" s="6">
        <f t="shared" si="408"/>
        <v>272.022429375</v>
      </c>
      <c r="BO296" s="6">
        <f t="shared" si="408"/>
        <v>311.10967975</v>
      </c>
      <c r="BP296" s="6">
        <f t="shared" si="408"/>
        <v>526.23084402000006</v>
      </c>
      <c r="BQ296" s="6">
        <f t="shared" si="408"/>
        <v>601.02803849999998</v>
      </c>
      <c r="BR296" s="6">
        <f t="shared" si="408"/>
        <v>728.32092869999997</v>
      </c>
      <c r="BS296" s="6"/>
      <c r="BT296" s="6"/>
      <c r="BU296" s="6"/>
      <c r="BV296" s="6"/>
      <c r="BW296" s="6"/>
      <c r="BX296" s="6"/>
      <c r="BY296" s="6"/>
      <c r="BZ296" s="6"/>
      <c r="CA296" s="6"/>
      <c r="CB296" s="6"/>
      <c r="CC296" s="6"/>
      <c r="CD296" s="6"/>
      <c r="CE296" s="6"/>
      <c r="CF296" s="5"/>
      <c r="CG296" s="5"/>
      <c r="CH296" s="5"/>
    </row>
    <row r="297" spans="1:96">
      <c r="B297" s="49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10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  <c r="CC297" s="6"/>
      <c r="CD297" s="6"/>
      <c r="CE297" s="6"/>
      <c r="CF297" s="5"/>
      <c r="CG297" s="5"/>
      <c r="CH297" s="5"/>
    </row>
    <row r="298" spans="1:96" s="9" customFormat="1">
      <c r="A298" s="3"/>
      <c r="B298" s="470" t="s">
        <v>592</v>
      </c>
      <c r="C298" s="474"/>
      <c r="D298" s="474"/>
      <c r="E298" s="474"/>
      <c r="F298" s="474"/>
      <c r="G298" s="474"/>
      <c r="H298" s="471"/>
      <c r="I298" s="471"/>
      <c r="J298" s="471"/>
      <c r="K298" s="471"/>
      <c r="L298" s="471"/>
      <c r="M298" s="471"/>
      <c r="N298" s="471"/>
      <c r="O298" s="471"/>
      <c r="P298" s="471"/>
      <c r="Q298" s="475"/>
      <c r="R298" s="476"/>
      <c r="S298" s="475"/>
      <c r="T298" s="476"/>
      <c r="U298" s="476"/>
      <c r="V298" s="476"/>
      <c r="W298" s="472"/>
      <c r="X298" s="472"/>
      <c r="Y298" s="472"/>
      <c r="Z298" s="472"/>
      <c r="AA298" s="472"/>
      <c r="AB298" s="472"/>
      <c r="AC298" s="472"/>
      <c r="AD298" s="472"/>
      <c r="AE298" s="472"/>
      <c r="AF298" s="471"/>
      <c r="AG298" s="471"/>
      <c r="AH298" s="471"/>
      <c r="AI298" s="471"/>
      <c r="AJ298" s="471"/>
      <c r="AK298" s="471"/>
      <c r="AL298" s="471"/>
      <c r="AM298" s="471"/>
      <c r="AN298" s="471"/>
      <c r="AO298" s="471"/>
      <c r="AP298" s="471"/>
      <c r="AQ298" s="471"/>
      <c r="AR298" s="471"/>
      <c r="AS298" s="471"/>
      <c r="AT298" s="471"/>
      <c r="AU298" s="471"/>
      <c r="AV298" s="471"/>
      <c r="AW298" s="471"/>
      <c r="AX298" s="471"/>
      <c r="AY298" s="471"/>
      <c r="AZ298" s="471"/>
      <c r="BA298" s="471"/>
      <c r="BB298" s="471"/>
      <c r="BC298" s="471"/>
      <c r="BD298" s="471"/>
      <c r="BE298" s="471"/>
      <c r="BF298" s="471"/>
      <c r="BG298" s="471"/>
      <c r="BH298" s="472"/>
      <c r="BI298" s="472"/>
      <c r="BJ298" s="472"/>
      <c r="BK298" s="472"/>
      <c r="BL298" s="472"/>
      <c r="BM298" s="473"/>
      <c r="BN298" s="472"/>
      <c r="BO298" s="472"/>
      <c r="BP298" s="472"/>
      <c r="BQ298" s="473"/>
      <c r="BR298" s="472"/>
      <c r="BS298" s="472"/>
      <c r="BT298" s="472"/>
      <c r="BU298" s="472"/>
      <c r="BV298" s="472"/>
      <c r="BW298" s="472"/>
      <c r="BX298" s="472"/>
      <c r="BY298" s="472"/>
      <c r="BZ298" s="472"/>
      <c r="CA298" s="472"/>
      <c r="CB298" s="472"/>
      <c r="CC298" s="472"/>
      <c r="CD298" s="472"/>
      <c r="CE298" s="472"/>
      <c r="CF298" s="458"/>
      <c r="CG298" s="5"/>
      <c r="CH298" s="5"/>
      <c r="CI298" s="469"/>
      <c r="CJ298"/>
      <c r="CK298"/>
      <c r="CL298"/>
      <c r="CM298"/>
      <c r="CN298"/>
      <c r="CO298"/>
    </row>
    <row r="299" spans="1:96" outlineLevel="1">
      <c r="A299" s="3" t="s">
        <v>54</v>
      </c>
      <c r="B299" s="13" t="s">
        <v>13</v>
      </c>
      <c r="C299" s="10">
        <v>5.3389899999999999</v>
      </c>
      <c r="D299" s="10">
        <v>43.379536000000002</v>
      </c>
      <c r="E299" s="10">
        <v>96.762837000000005</v>
      </c>
      <c r="F299" s="10">
        <v>153.38868599999998</v>
      </c>
      <c r="G299" s="10">
        <v>276.04294399999998</v>
      </c>
      <c r="H299" s="10">
        <v>362.85680000000002</v>
      </c>
      <c r="I299" s="10">
        <v>476.49460599999998</v>
      </c>
      <c r="J299" s="10">
        <v>676.51123800000005</v>
      </c>
      <c r="K299" s="10">
        <v>755.73315200000002</v>
      </c>
      <c r="L299" s="10">
        <v>940.68213200000002</v>
      </c>
      <c r="M299" s="10">
        <v>1278.0436729999999</v>
      </c>
      <c r="N299" s="10">
        <v>1486.898858</v>
      </c>
      <c r="O299" s="10">
        <v>1702.500571</v>
      </c>
      <c r="P299" s="10">
        <v>2214.1708870000002</v>
      </c>
      <c r="Q299" s="10">
        <v>3201.4269330000002</v>
      </c>
      <c r="R299" s="10">
        <v>4616.649394</v>
      </c>
      <c r="S299" s="16">
        <v>7308.9588629999998</v>
      </c>
      <c r="T299" s="16">
        <v>9517.374339</v>
      </c>
      <c r="U299" s="6">
        <f t="shared" ref="U299:AD299" ca="1" si="409">U61</f>
        <v>11978.567343065401</v>
      </c>
      <c r="V299" s="6">
        <f t="shared" ca="1" si="409"/>
        <v>14906.129201710584</v>
      </c>
      <c r="W299" s="6">
        <f t="shared" ca="1" si="409"/>
        <v>17636.932071463965</v>
      </c>
      <c r="X299" s="6">
        <f t="shared" ca="1" si="409"/>
        <v>20688.121319827231</v>
      </c>
      <c r="Y299" s="6">
        <f t="shared" ca="1" si="409"/>
        <v>24056.147470695101</v>
      </c>
      <c r="Z299" s="6">
        <f t="shared" ca="1" si="409"/>
        <v>27727.115574723171</v>
      </c>
      <c r="AA299" s="6">
        <f t="shared" ca="1" si="409"/>
        <v>31675.456832563745</v>
      </c>
      <c r="AB299" s="6">
        <f t="shared" ca="1" si="409"/>
        <v>35862.952225828667</v>
      </c>
      <c r="AC299" s="6">
        <f t="shared" ca="1" si="409"/>
        <v>40238.232397379768</v>
      </c>
      <c r="AD299" s="6">
        <f t="shared" ca="1" si="409"/>
        <v>44326.436808953556</v>
      </c>
      <c r="AE299" s="6"/>
      <c r="AF299" s="10">
        <v>133.46826999999999</v>
      </c>
      <c r="AG299" s="10">
        <v>171.42890199999999</v>
      </c>
      <c r="AH299" s="10">
        <v>175.57871399999999</v>
      </c>
      <c r="AI299" s="10">
        <v>196.03535199999999</v>
      </c>
      <c r="AJ299" s="10">
        <v>171.19156000000001</v>
      </c>
      <c r="AK299" s="10">
        <v>195.87316100000001</v>
      </c>
      <c r="AL299" s="10">
        <v>186.00562099999999</v>
      </c>
      <c r="AM299" s="10">
        <v>210.656475</v>
      </c>
      <c r="AN299" s="10">
        <v>185.041484</v>
      </c>
      <c r="AO299" s="10">
        <v>223.271782</v>
      </c>
      <c r="AP299" s="10">
        <v>257.89537200000001</v>
      </c>
      <c r="AQ299" s="10">
        <v>274.47367400000002</v>
      </c>
      <c r="AR299" s="10">
        <v>251.91229200000001</v>
      </c>
      <c r="AS299" s="10">
        <v>316.15046799999999</v>
      </c>
      <c r="AT299" s="10">
        <v>349.65558399999998</v>
      </c>
      <c r="AU299" s="10">
        <v>360.32532900000001</v>
      </c>
      <c r="AV299" s="10">
        <v>310.39395400000001</v>
      </c>
      <c r="AW299" s="10">
        <v>366.45369399999998</v>
      </c>
      <c r="AX299" s="10">
        <v>410.42842899999999</v>
      </c>
      <c r="AY299" s="10">
        <v>399.62278099999997</v>
      </c>
      <c r="AZ299" s="10">
        <v>366.78436299999998</v>
      </c>
      <c r="BA299" s="10">
        <v>410.370431</v>
      </c>
      <c r="BB299" s="10">
        <v>457.04117300000001</v>
      </c>
      <c r="BC299" s="10">
        <v>468.30460399999998</v>
      </c>
      <c r="BD299" s="10">
        <v>450.52488599999998</v>
      </c>
      <c r="BE299" s="10">
        <v>510.97784999999999</v>
      </c>
      <c r="BF299" s="10">
        <v>610.65341799999999</v>
      </c>
      <c r="BG299" s="10">
        <v>642.01473299999998</v>
      </c>
      <c r="BH299" s="10">
        <v>656.66229699999997</v>
      </c>
      <c r="BI299" s="10">
        <v>752.56545300000005</v>
      </c>
      <c r="BJ299" s="10">
        <v>950.29933400000004</v>
      </c>
      <c r="BK299" s="10">
        <v>841.89984900000002</v>
      </c>
      <c r="BL299" s="10">
        <v>951.77993000000004</v>
      </c>
      <c r="BM299" s="10">
        <v>1104.440783</v>
      </c>
      <c r="BN299" s="10">
        <v>1373.210943</v>
      </c>
      <c r="BO299" s="10">
        <v>1187.2177380000001</v>
      </c>
      <c r="BP299" s="16">
        <v>1614.031154</v>
      </c>
      <c r="BQ299" s="16">
        <v>1775.818174</v>
      </c>
      <c r="BR299" s="10">
        <v>2071.6084310000001</v>
      </c>
      <c r="BS299" s="16">
        <v>1847.5011039999999</v>
      </c>
      <c r="BT299" s="16">
        <v>2069.9361450000001</v>
      </c>
      <c r="BU299" s="16">
        <v>2311.1429870000002</v>
      </c>
      <c r="BV299" s="16">
        <v>2820.3844600000002</v>
      </c>
      <c r="BW299" s="16">
        <v>2315.9107469999999</v>
      </c>
      <c r="BX299" s="6">
        <f t="shared" ref="BX299:CE299" ca="1" si="410">BX61</f>
        <v>2466.9498976109999</v>
      </c>
      <c r="BY299" s="6">
        <f t="shared" ca="1" si="410"/>
        <v>2946.7073084250005</v>
      </c>
      <c r="BZ299" s="6">
        <f t="shared" ca="1" si="410"/>
        <v>3480.9185005319996</v>
      </c>
      <c r="CA299" s="6">
        <f t="shared" ca="1" si="410"/>
        <v>3083.9916364973992</v>
      </c>
      <c r="CB299" s="6">
        <f t="shared" ca="1" si="410"/>
        <v>3346.6642310990828</v>
      </c>
      <c r="CC299" s="6">
        <f t="shared" ca="1" si="410"/>
        <v>3787.1082327878112</v>
      </c>
      <c r="CD299" s="6">
        <f t="shared" ca="1" si="410"/>
        <v>4083.117401124035</v>
      </c>
      <c r="CE299" s="6">
        <f t="shared" ca="1" si="410"/>
        <v>3689.2393366996548</v>
      </c>
      <c r="CF299" s="5"/>
      <c r="CG299" s="463">
        <f ca="1">(U299/R299)^(1/3)-1</f>
        <v>0.37412422169989279</v>
      </c>
      <c r="CH299" s="463"/>
      <c r="CI299" s="12"/>
      <c r="CP299" s="12"/>
      <c r="CQ299" s="12"/>
      <c r="CR299" s="12"/>
    </row>
    <row r="300" spans="1:96" outlineLevel="1">
      <c r="A300" s="3" t="s">
        <v>55</v>
      </c>
      <c r="B300" s="13" t="s">
        <v>14</v>
      </c>
      <c r="C300" s="10">
        <v>0.84576600000000002</v>
      </c>
      <c r="D300" s="10">
        <v>1.831855</v>
      </c>
      <c r="E300" s="10">
        <v>5.6002409999999996</v>
      </c>
      <c r="F300" s="10">
        <v>20.322986</v>
      </c>
      <c r="G300" s="10">
        <v>63.005651</v>
      </c>
      <c r="H300" s="10">
        <v>162.64500000000001</v>
      </c>
      <c r="I300" s="10">
        <v>292.70119899999997</v>
      </c>
      <c r="J300" s="10">
        <v>503.45338299999997</v>
      </c>
      <c r="K300" s="10">
        <v>645.48944300000005</v>
      </c>
      <c r="L300" s="10">
        <v>868.37918400000001</v>
      </c>
      <c r="M300" s="10">
        <v>1206.9214790000001</v>
      </c>
      <c r="N300" s="10">
        <v>1437.118164</v>
      </c>
      <c r="O300" s="10">
        <v>1690.285903</v>
      </c>
      <c r="P300" s="10">
        <v>2161.784259</v>
      </c>
      <c r="Q300" s="10">
        <v>2950.0724840000003</v>
      </c>
      <c r="R300" s="10">
        <v>4453.885749</v>
      </c>
      <c r="S300" s="16">
        <v>8826.5165710000001</v>
      </c>
      <c r="T300" s="16">
        <v>12221.029997</v>
      </c>
      <c r="U300" s="6">
        <f t="shared" ref="U300:AD300" ca="1" si="411">U128</f>
        <v>13487.128704689199</v>
      </c>
      <c r="V300" s="6">
        <f t="shared" ca="1" si="411"/>
        <v>17418.626722106103</v>
      </c>
      <c r="W300" s="6">
        <f t="shared" ca="1" si="411"/>
        <v>22313.260831017913</v>
      </c>
      <c r="X300" s="6">
        <f t="shared" ca="1" si="411"/>
        <v>28114.708647082571</v>
      </c>
      <c r="Y300" s="6">
        <f t="shared" ca="1" si="411"/>
        <v>35129.32845452967</v>
      </c>
      <c r="Z300" s="6">
        <f t="shared" ca="1" si="411"/>
        <v>41659.870614226726</v>
      </c>
      <c r="AA300" s="6">
        <f t="shared" ca="1" si="411"/>
        <v>48985.758861738483</v>
      </c>
      <c r="AB300" s="6">
        <f t="shared" ca="1" si="411"/>
        <v>57107.597681014711</v>
      </c>
      <c r="AC300" s="6">
        <f t="shared" ca="1" si="411"/>
        <v>66002.106019832732</v>
      </c>
      <c r="AD300" s="6">
        <f t="shared" ca="1" si="411"/>
        <v>75618.612866922354</v>
      </c>
      <c r="AE300" s="6"/>
      <c r="AF300" s="10">
        <v>94.616770000000002</v>
      </c>
      <c r="AG300" s="10">
        <v>116.940167</v>
      </c>
      <c r="AH300" s="10">
        <v>137.659009</v>
      </c>
      <c r="AI300" s="10">
        <v>154.237437</v>
      </c>
      <c r="AJ300" s="10">
        <v>158.54146399999999</v>
      </c>
      <c r="AK300" s="10">
        <v>168.818839</v>
      </c>
      <c r="AL300" s="10">
        <v>166.42080000000001</v>
      </c>
      <c r="AM300" s="10">
        <v>165.617198</v>
      </c>
      <c r="AN300" s="10">
        <v>184.08881500000001</v>
      </c>
      <c r="AO300" s="10">
        <v>216.24225999999999</v>
      </c>
      <c r="AP300" s="10">
        <v>231.99316899999999</v>
      </c>
      <c r="AQ300" s="10">
        <v>236.05493999999999</v>
      </c>
      <c r="AR300" s="10">
        <v>264.723073</v>
      </c>
      <c r="AS300" s="10">
        <v>307.23369200000002</v>
      </c>
      <c r="AT300" s="10">
        <v>315.23610200000002</v>
      </c>
      <c r="AU300" s="10">
        <v>319.728612</v>
      </c>
      <c r="AV300" s="10">
        <v>326.47492299999999</v>
      </c>
      <c r="AW300" s="10">
        <v>347.33914099999998</v>
      </c>
      <c r="AX300" s="10">
        <v>385.06822299999999</v>
      </c>
      <c r="AY300" s="10">
        <v>378.23587700000002</v>
      </c>
      <c r="AZ300" s="10">
        <v>360.46341999999999</v>
      </c>
      <c r="BA300" s="10">
        <v>404.26826599999998</v>
      </c>
      <c r="BB300" s="10">
        <v>478.36794200000003</v>
      </c>
      <c r="BC300" s="10">
        <v>447.18631499999998</v>
      </c>
      <c r="BD300" s="10">
        <v>456.50252399999999</v>
      </c>
      <c r="BE300" s="10">
        <v>522.01377100000002</v>
      </c>
      <c r="BF300" s="10">
        <v>604.27234399999998</v>
      </c>
      <c r="BG300" s="10">
        <v>578.99562000000003</v>
      </c>
      <c r="BH300" s="10">
        <v>651.065201</v>
      </c>
      <c r="BI300" s="10">
        <v>725.513462</v>
      </c>
      <c r="BJ300" s="10">
        <v>799.79692699999998</v>
      </c>
      <c r="BK300" s="10">
        <v>773.69689400000004</v>
      </c>
      <c r="BL300" s="10">
        <v>947.90779099999997</v>
      </c>
      <c r="BM300" s="10">
        <v>1052.5506640000001</v>
      </c>
      <c r="BN300" s="10">
        <v>1208.9885750000001</v>
      </c>
      <c r="BO300" s="10">
        <v>1244.438719</v>
      </c>
      <c r="BP300" s="16">
        <v>1949.0031260000001</v>
      </c>
      <c r="BQ300" s="16">
        <v>2003.4267950000001</v>
      </c>
      <c r="BR300" s="10">
        <v>2427.736429</v>
      </c>
      <c r="BS300" s="16">
        <v>2446.3502210000001</v>
      </c>
      <c r="BT300" s="16">
        <v>2875.3753459999998</v>
      </c>
      <c r="BU300" s="16">
        <v>2992.3303559999999</v>
      </c>
      <c r="BV300" s="16">
        <v>3428.1946090000001</v>
      </c>
      <c r="BW300" s="16">
        <v>2925.1296860000002</v>
      </c>
      <c r="BX300" s="6">
        <f t="shared" ref="BX300:CE300" ca="1" si="412">BX128</f>
        <v>2876.3817273710997</v>
      </c>
      <c r="BY300" s="6">
        <f t="shared" ca="1" si="412"/>
        <v>3077.6117711459997</v>
      </c>
      <c r="BZ300" s="6">
        <f t="shared" ca="1" si="412"/>
        <v>3887.5726866059999</v>
      </c>
      <c r="CA300" s="6">
        <f t="shared" ca="1" si="412"/>
        <v>3645.5625195660996</v>
      </c>
      <c r="CB300" s="6">
        <f t="shared" ca="1" si="412"/>
        <v>4038.4399452290245</v>
      </c>
      <c r="CC300" s="6">
        <f t="shared" ca="1" si="412"/>
        <v>4200.9400676142905</v>
      </c>
      <c r="CD300" s="6">
        <f t="shared" ca="1" si="412"/>
        <v>4805.0398406450158</v>
      </c>
      <c r="CE300" s="6">
        <f t="shared" ca="1" si="412"/>
        <v>4374.2068686177736</v>
      </c>
      <c r="CF300" s="5"/>
      <c r="CG300" s="463">
        <f ca="1">(U300/R300)^(1/3)-1</f>
        <v>0.44674995166039078</v>
      </c>
      <c r="CH300" s="463"/>
    </row>
    <row r="301" spans="1:96" outlineLevel="1">
      <c r="A301" s="3" t="s">
        <v>56</v>
      </c>
      <c r="B301" s="13" t="s">
        <v>15</v>
      </c>
      <c r="C301" s="10">
        <v>0.31075000000000003</v>
      </c>
      <c r="D301" s="10">
        <v>0.59480200000000005</v>
      </c>
      <c r="E301" s="10">
        <v>0.43229500000000004</v>
      </c>
      <c r="F301" s="10">
        <v>4.7887269999999997</v>
      </c>
      <c r="G301" s="10">
        <v>10.47978</v>
      </c>
      <c r="H301" s="10">
        <v>22.755600000000001</v>
      </c>
      <c r="I301" s="10">
        <v>41.702488000000002</v>
      </c>
      <c r="J301" s="10">
        <v>71.495585000000005</v>
      </c>
      <c r="K301" s="10">
        <v>109.244749</v>
      </c>
      <c r="L301" s="10">
        <v>175.86738600000001</v>
      </c>
      <c r="M301" s="10">
        <v>380.30748699999998</v>
      </c>
      <c r="N301" s="10">
        <v>534.64018299999998</v>
      </c>
      <c r="O301" s="10">
        <v>689.66063099999997</v>
      </c>
      <c r="P301" s="10">
        <v>935.68472899999995</v>
      </c>
      <c r="Q301" s="10">
        <v>1055.369205</v>
      </c>
      <c r="R301" s="10">
        <v>1667.94535</v>
      </c>
      <c r="S301" s="16">
        <v>2310.1988940000001</v>
      </c>
      <c r="T301" s="16">
        <v>2970.383429</v>
      </c>
      <c r="U301" s="6">
        <f t="shared" ref="U301:AD301" ca="1" si="413">U205</f>
        <v>3742.6831205399999</v>
      </c>
      <c r="V301" s="6">
        <f t="shared" ca="1" si="413"/>
        <v>4566.0734070588005</v>
      </c>
      <c r="W301" s="6">
        <f t="shared" ca="1" si="413"/>
        <v>5369.7023267011482</v>
      </c>
      <c r="X301" s="6">
        <f t="shared" ca="1" si="413"/>
        <v>6125.7564143006703</v>
      </c>
      <c r="Y301" s="6">
        <f t="shared" ca="1" si="413"/>
        <v>6815.7616168074983</v>
      </c>
      <c r="Z301" s="6">
        <f t="shared" ca="1" si="413"/>
        <v>7429.9435276212562</v>
      </c>
      <c r="AA301" s="6">
        <f t="shared" ca="1" si="413"/>
        <v>7965.5651845500606</v>
      </c>
      <c r="AB301" s="6">
        <f t="shared" ca="1" si="413"/>
        <v>8424.952710892574</v>
      </c>
      <c r="AC301" s="6">
        <f t="shared" ca="1" si="413"/>
        <v>8813.6576522987561</v>
      </c>
      <c r="AD301" s="6">
        <f t="shared" ca="1" si="413"/>
        <v>9138.9686563006308</v>
      </c>
      <c r="AE301" s="6"/>
      <c r="AF301" s="10">
        <v>15.996276999999999</v>
      </c>
      <c r="AG301" s="10">
        <v>12.858352999999999</v>
      </c>
      <c r="AH301" s="10">
        <v>20.683731000000002</v>
      </c>
      <c r="AI301" s="10">
        <v>21.957224</v>
      </c>
      <c r="AJ301" s="10">
        <v>26.793008</v>
      </c>
      <c r="AK301" s="10">
        <v>23.831610999999999</v>
      </c>
      <c r="AL301" s="10">
        <v>28.371044999999999</v>
      </c>
      <c r="AM301" s="10">
        <v>30.249085000000001</v>
      </c>
      <c r="AN301" s="10">
        <v>37.717241000000001</v>
      </c>
      <c r="AO301" s="10">
        <v>35.689993999999999</v>
      </c>
      <c r="AP301" s="10">
        <v>54.001697999999998</v>
      </c>
      <c r="AQ301" s="10">
        <v>48.458452999999999</v>
      </c>
      <c r="AR301" s="10">
        <v>71.781013000000002</v>
      </c>
      <c r="AS301" s="10">
        <v>67.042613000000003</v>
      </c>
      <c r="AT301" s="10">
        <v>140.858679</v>
      </c>
      <c r="AU301" s="10">
        <v>100.625182</v>
      </c>
      <c r="AV301" s="10">
        <v>124.834012</v>
      </c>
      <c r="AW301" s="10">
        <v>108.282983</v>
      </c>
      <c r="AX301" s="10">
        <v>171.36770200000001</v>
      </c>
      <c r="AY301" s="10">
        <v>130.155486</v>
      </c>
      <c r="AZ301" s="10">
        <v>166.37998099999999</v>
      </c>
      <c r="BA301" s="10">
        <v>133.776555</v>
      </c>
      <c r="BB301" s="10">
        <v>223.779798</v>
      </c>
      <c r="BC301" s="10">
        <v>165.72429700000001</v>
      </c>
      <c r="BD301" s="10">
        <v>235.208743</v>
      </c>
      <c r="BE301" s="10">
        <v>187.02442500000001</v>
      </c>
      <c r="BF301" s="10">
        <v>319.56615599999998</v>
      </c>
      <c r="BG301" s="10">
        <v>193.88540499999999</v>
      </c>
      <c r="BH301" s="10">
        <v>259.22054800000001</v>
      </c>
      <c r="BI301" s="10">
        <v>205.141896</v>
      </c>
      <c r="BJ301" s="10">
        <v>357.64316100000002</v>
      </c>
      <c r="BK301" s="10">
        <v>233.36359999999999</v>
      </c>
      <c r="BL301" s="10">
        <v>395.91224399999999</v>
      </c>
      <c r="BM301" s="10">
        <v>329.37398899999999</v>
      </c>
      <c r="BN301" s="10">
        <v>593.10435199999995</v>
      </c>
      <c r="BO301" s="10">
        <v>349.55476499999997</v>
      </c>
      <c r="BP301" s="16">
        <v>556.49554000000001</v>
      </c>
      <c r="BQ301" s="16">
        <v>473.93145299999998</v>
      </c>
      <c r="BR301" s="10">
        <v>813.26097600000003</v>
      </c>
      <c r="BS301" s="16">
        <v>466.51092499999999</v>
      </c>
      <c r="BT301" s="16">
        <v>701.832134</v>
      </c>
      <c r="BU301" s="16">
        <v>612.297777</v>
      </c>
      <c r="BV301" s="16">
        <v>1033.08854</v>
      </c>
      <c r="BW301" s="16">
        <v>623.16497800000002</v>
      </c>
      <c r="BX301" s="6">
        <f t="shared" ref="BX301:CE301" ca="1" si="414">BX205</f>
        <v>786.05199008000011</v>
      </c>
      <c r="BY301" s="6">
        <f t="shared" ca="1" si="414"/>
        <v>795.9871101</v>
      </c>
      <c r="BZ301" s="6">
        <f t="shared" ca="1" si="414"/>
        <v>1239.706248</v>
      </c>
      <c r="CA301" s="6">
        <f t="shared" ca="1" si="414"/>
        <v>920.9377723599996</v>
      </c>
      <c r="CB301" s="6">
        <f t="shared" ca="1" si="414"/>
        <v>1021.8675871040001</v>
      </c>
      <c r="CC301" s="6">
        <f t="shared" ca="1" si="414"/>
        <v>994.98388762499997</v>
      </c>
      <c r="CD301" s="6">
        <f t="shared" ca="1" si="414"/>
        <v>1450.4563101599999</v>
      </c>
      <c r="CE301" s="6">
        <f t="shared" ca="1" si="414"/>
        <v>1098.7656221698007</v>
      </c>
      <c r="CF301" s="5"/>
      <c r="CG301" s="463">
        <f ca="1">(U301/R301)^(1/3)-1</f>
        <v>0.30918317059227651</v>
      </c>
      <c r="CH301" s="463"/>
    </row>
    <row r="302" spans="1:96" outlineLevel="1">
      <c r="A302" s="3" t="s">
        <v>57</v>
      </c>
      <c r="B302" s="13" t="s">
        <v>16</v>
      </c>
      <c r="C302" s="10"/>
      <c r="D302" s="10"/>
      <c r="E302" s="10"/>
      <c r="F302" s="10"/>
      <c r="G302" s="10"/>
      <c r="H302" s="10"/>
      <c r="I302" s="10"/>
      <c r="J302" s="10">
        <f>SUM(AF302:AI302)</f>
        <v>35.818021999999999</v>
      </c>
      <c r="K302" s="10">
        <f>SUM(AJ302:AM302)</f>
        <v>55.968929000000003</v>
      </c>
      <c r="L302" s="10">
        <v>83.136519000000007</v>
      </c>
      <c r="M302" s="10">
        <v>129.65842699999999</v>
      </c>
      <c r="N302" s="10">
        <v>161.61012299999999</v>
      </c>
      <c r="O302" s="10">
        <v>199.756068</v>
      </c>
      <c r="P302" s="10">
        <v>266.98853400000002</v>
      </c>
      <c r="Q302" s="10">
        <v>373.40701200000001</v>
      </c>
      <c r="R302" s="10">
        <v>473.24543999999997</v>
      </c>
      <c r="S302" s="16">
        <v>608.12212499999998</v>
      </c>
      <c r="T302" s="16">
        <v>753.21890399999995</v>
      </c>
      <c r="U302" s="6">
        <f t="shared" ref="U302:AD302" ca="1" si="415">U217</f>
        <v>903.8626847999999</v>
      </c>
      <c r="V302" s="6">
        <f t="shared" ca="1" si="415"/>
        <v>1066.5579680639999</v>
      </c>
      <c r="W302" s="6">
        <f t="shared" ca="1" si="415"/>
        <v>1237.20724295424</v>
      </c>
      <c r="X302" s="6">
        <f t="shared" ca="1" si="415"/>
        <v>1410.4162569678338</v>
      </c>
      <c r="Y302" s="6">
        <f t="shared" ca="1" si="415"/>
        <v>1579.666207803974</v>
      </c>
      <c r="Z302" s="6">
        <f t="shared" ca="1" si="415"/>
        <v>1737.6328285843715</v>
      </c>
      <c r="AA302" s="6">
        <f t="shared" ca="1" si="415"/>
        <v>1876.6434548711213</v>
      </c>
      <c r="AB302" s="6">
        <f t="shared" ca="1" si="415"/>
        <v>1989.2420621633887</v>
      </c>
      <c r="AC302" s="6">
        <f t="shared" ca="1" si="415"/>
        <v>2068.8117446499245</v>
      </c>
      <c r="AD302" s="6">
        <f t="shared" ca="1" si="415"/>
        <v>2151.5642144359217</v>
      </c>
      <c r="AE302" s="6"/>
      <c r="AF302" s="10">
        <v>5.1000399999999999</v>
      </c>
      <c r="AG302" s="10">
        <v>7.9504570000000001</v>
      </c>
      <c r="AH302" s="10">
        <v>11.909481</v>
      </c>
      <c r="AI302" s="10">
        <v>10.858044</v>
      </c>
      <c r="AJ302" s="10">
        <v>10.136005000000001</v>
      </c>
      <c r="AK302" s="10">
        <v>13.361644</v>
      </c>
      <c r="AL302" s="10">
        <v>16.248985999999999</v>
      </c>
      <c r="AM302" s="10">
        <v>16.222294000000002</v>
      </c>
      <c r="AN302" s="10">
        <v>13.195615999999999</v>
      </c>
      <c r="AO302" s="10">
        <v>18.366313999999999</v>
      </c>
      <c r="AP302" s="10">
        <v>24.776140999999999</v>
      </c>
      <c r="AQ302" s="10">
        <v>26.798448</v>
      </c>
      <c r="AR302" s="10">
        <v>26.274357999999999</v>
      </c>
      <c r="AS302" s="10">
        <v>33.659354999999998</v>
      </c>
      <c r="AT302" s="10">
        <v>33.938560000000003</v>
      </c>
      <c r="AU302" s="10">
        <v>35.786154000000003</v>
      </c>
      <c r="AV302" s="10">
        <v>31.444896</v>
      </c>
      <c r="AW302" s="10">
        <v>39.560735999999999</v>
      </c>
      <c r="AX302" s="10">
        <v>43.367133000000003</v>
      </c>
      <c r="AY302" s="10">
        <v>47.237358</v>
      </c>
      <c r="AZ302" s="10">
        <v>38.801113000000001</v>
      </c>
      <c r="BA302" s="10">
        <v>49.348796</v>
      </c>
      <c r="BB302" s="10">
        <v>54.073605999999998</v>
      </c>
      <c r="BC302" s="10">
        <v>57.532553</v>
      </c>
      <c r="BD302" s="10">
        <v>50.973700999999998</v>
      </c>
      <c r="BE302" s="10">
        <v>65.944002999999995</v>
      </c>
      <c r="BF302" s="10">
        <v>71.852907000000002</v>
      </c>
      <c r="BG302" s="10">
        <v>78.217922999999999</v>
      </c>
      <c r="BH302" s="10">
        <v>70.956328999999997</v>
      </c>
      <c r="BI302" s="10">
        <v>90.442575000000005</v>
      </c>
      <c r="BJ302" s="10">
        <v>103.858502</v>
      </c>
      <c r="BK302" s="10">
        <v>108.14960600000001</v>
      </c>
      <c r="BL302" s="10">
        <v>92.713417000000007</v>
      </c>
      <c r="BM302" s="10">
        <v>120.746346</v>
      </c>
      <c r="BN302" s="10">
        <v>124.01266200000001</v>
      </c>
      <c r="BO302" s="10">
        <v>135.77301499999999</v>
      </c>
      <c r="BP302" s="16">
        <v>115.63206099999999</v>
      </c>
      <c r="BQ302" s="16">
        <v>147.096362</v>
      </c>
      <c r="BR302" s="10">
        <v>166.33779100000001</v>
      </c>
      <c r="BS302" s="16">
        <v>179.05591100000001</v>
      </c>
      <c r="BT302" s="16">
        <v>144.48166599999999</v>
      </c>
      <c r="BU302" s="16">
        <v>199.352936</v>
      </c>
      <c r="BV302" s="16">
        <v>202.879041</v>
      </c>
      <c r="BW302" s="16">
        <v>206.50526099999999</v>
      </c>
      <c r="BX302" s="6">
        <f t="shared" ref="BX302:CE302" ca="1" si="416">BX217</f>
        <v>176.26763251999998</v>
      </c>
      <c r="BY302" s="6">
        <f t="shared" ca="1" si="416"/>
        <v>239.22352319999999</v>
      </c>
      <c r="BZ302" s="6">
        <f t="shared" ca="1" si="416"/>
        <v>249.54122043000001</v>
      </c>
      <c r="CA302" s="6">
        <f t="shared" ca="1" si="416"/>
        <v>238.83030865000001</v>
      </c>
      <c r="CB302" s="6">
        <f t="shared" ca="1" si="416"/>
        <v>215.04651167439997</v>
      </c>
      <c r="CC302" s="6">
        <f t="shared" ca="1" si="416"/>
        <v>277.49928691199995</v>
      </c>
      <c r="CD302" s="6">
        <f t="shared" ca="1" si="416"/>
        <v>294.45864010740002</v>
      </c>
      <c r="CE302" s="6">
        <f t="shared" ca="1" si="416"/>
        <v>279.55352937019995</v>
      </c>
      <c r="CF302" s="5"/>
      <c r="CG302" s="463">
        <f ca="1">(U302/R302)^(1/3)-1</f>
        <v>0.24071492470398104</v>
      </c>
      <c r="CH302" s="463"/>
    </row>
    <row r="303" spans="1:96" outlineLevel="1">
      <c r="A303" s="3" t="s">
        <v>58</v>
      </c>
      <c r="B303" s="13" t="s">
        <v>17</v>
      </c>
      <c r="C303" s="10">
        <v>0.41293999999999997</v>
      </c>
      <c r="D303" s="10">
        <v>0.576075</v>
      </c>
      <c r="E303" s="10">
        <v>2.5173159999999997</v>
      </c>
      <c r="F303" s="10">
        <v>4.1784189999999999</v>
      </c>
      <c r="G303" s="10">
        <v>4.5006979999999999</v>
      </c>
      <c r="H303" s="10">
        <v>7.9569999999999999</v>
      </c>
      <c r="I303" s="10">
        <v>23.128346000000001</v>
      </c>
      <c r="J303" s="10"/>
      <c r="K303" s="10">
        <v>21.722117000000001</v>
      </c>
      <c r="L303" s="10">
        <v>54.496575</v>
      </c>
      <c r="M303" s="10">
        <v>71.781954999999996</v>
      </c>
      <c r="N303" s="10">
        <v>106.03686399999999</v>
      </c>
      <c r="O303" s="10">
        <v>126.989085</v>
      </c>
      <c r="P303" s="10">
        <v>138.38865300000001</v>
      </c>
      <c r="Q303" s="10">
        <v>192.28147300000001</v>
      </c>
      <c r="R303" s="10">
        <v>285.22047500000002</v>
      </c>
      <c r="S303" s="16">
        <v>734.29018499999995</v>
      </c>
      <c r="T303" s="16">
        <v>1514.978795</v>
      </c>
      <c r="U303" s="6">
        <f t="shared" ref="U303:AD303" ca="1" si="417">U221</f>
        <v>1969.4724335000001</v>
      </c>
      <c r="V303" s="6">
        <f t="shared" ca="1" si="417"/>
        <v>2363.3669202000001</v>
      </c>
      <c r="W303" s="6">
        <f t="shared" ca="1" si="417"/>
        <v>2717.87195823</v>
      </c>
      <c r="X303" s="6">
        <f t="shared" ca="1" si="417"/>
        <v>2989.6591540530003</v>
      </c>
      <c r="Y303" s="6">
        <f t="shared" ca="1" si="417"/>
        <v>3228.8318863772406</v>
      </c>
      <c r="Z303" s="6">
        <f t="shared" ca="1" si="417"/>
        <v>3422.561799559875</v>
      </c>
      <c r="AA303" s="6">
        <f t="shared" ca="1" si="417"/>
        <v>3559.4642715422701</v>
      </c>
      <c r="AB303" s="6">
        <f t="shared" ca="1" si="417"/>
        <v>3701.8428424039612</v>
      </c>
      <c r="AC303" s="6">
        <f t="shared" ca="1" si="417"/>
        <v>3849.9165561001196</v>
      </c>
      <c r="AD303" s="6">
        <f t="shared" ca="1" si="417"/>
        <v>4003.9132183441243</v>
      </c>
      <c r="AE303" s="6"/>
      <c r="AF303" s="10">
        <v>0</v>
      </c>
      <c r="AG303" s="10">
        <v>0</v>
      </c>
      <c r="AH303" s="10">
        <v>0</v>
      </c>
      <c r="AI303" s="10">
        <v>0</v>
      </c>
      <c r="AJ303" s="10">
        <v>0</v>
      </c>
      <c r="AK303" s="10">
        <v>0</v>
      </c>
      <c r="AL303" s="10">
        <v>0</v>
      </c>
      <c r="AM303" s="10">
        <v>0</v>
      </c>
      <c r="AN303" s="10">
        <v>8.5579350000000005</v>
      </c>
      <c r="AO303" s="10">
        <v>14.08826</v>
      </c>
      <c r="AP303" s="10">
        <v>14.733525</v>
      </c>
      <c r="AQ303" s="10">
        <v>17.116855000000001</v>
      </c>
      <c r="AR303" s="10">
        <v>12.514360999999999</v>
      </c>
      <c r="AS303" s="10">
        <v>17.559484000000001</v>
      </c>
      <c r="AT303" s="10">
        <v>23.035896000000001</v>
      </c>
      <c r="AU303" s="10">
        <v>18.672214</v>
      </c>
      <c r="AV303" s="10">
        <v>20.959425</v>
      </c>
      <c r="AW303" s="10">
        <v>24.751318000000001</v>
      </c>
      <c r="AX303" s="10">
        <v>28.982115</v>
      </c>
      <c r="AY303" s="10">
        <v>31.344006</v>
      </c>
      <c r="AZ303" s="10">
        <v>31.170117999999999</v>
      </c>
      <c r="BA303" s="10">
        <v>33.187612999999999</v>
      </c>
      <c r="BB303" s="10">
        <v>34.085034999999998</v>
      </c>
      <c r="BC303" s="10">
        <v>28.546319</v>
      </c>
      <c r="BD303" s="10">
        <v>35.198399999999999</v>
      </c>
      <c r="BE303" s="10">
        <v>34.190294000000002</v>
      </c>
      <c r="BF303" s="10">
        <v>34.141393999999998</v>
      </c>
      <c r="BG303" s="10">
        <v>34.858564999999999</v>
      </c>
      <c r="BH303" s="10">
        <v>35.268438000000003</v>
      </c>
      <c r="BI303" s="10">
        <v>45.842407999999999</v>
      </c>
      <c r="BJ303" s="10">
        <v>47.873735000000003</v>
      </c>
      <c r="BK303" s="10">
        <v>63.296892</v>
      </c>
      <c r="BL303" s="10">
        <v>54.989178000000003</v>
      </c>
      <c r="BM303" s="10">
        <v>58.377132000000003</v>
      </c>
      <c r="BN303" s="10">
        <v>56.452092</v>
      </c>
      <c r="BO303" s="10">
        <v>115.402073</v>
      </c>
      <c r="BP303" s="10">
        <v>163.979409</v>
      </c>
      <c r="BQ303" s="10">
        <v>142.11943199999999</v>
      </c>
      <c r="BR303" s="10">
        <v>188.85109399999999</v>
      </c>
      <c r="BS303" s="16">
        <v>239.34025</v>
      </c>
      <c r="BT303" s="16">
        <v>341.64512100000002</v>
      </c>
      <c r="BU303" s="16">
        <v>346.43929400000002</v>
      </c>
      <c r="BV303" s="16">
        <v>472.404223</v>
      </c>
      <c r="BW303" s="16">
        <v>354.49015700000001</v>
      </c>
      <c r="BX303" s="6">
        <f t="shared" ref="BX303:CE303" ca="1" si="418">BX221</f>
        <v>444.13865730000003</v>
      </c>
      <c r="BY303" s="6">
        <f t="shared" ca="1" si="418"/>
        <v>485.01501159999998</v>
      </c>
      <c r="BZ303" s="6">
        <f t="shared" ca="1" si="418"/>
        <v>519.64464530000009</v>
      </c>
      <c r="CA303" s="6">
        <f t="shared" ca="1" si="418"/>
        <v>520.67411930000003</v>
      </c>
      <c r="CB303" s="6">
        <f t="shared" ca="1" si="418"/>
        <v>555.17332162500009</v>
      </c>
      <c r="CC303" s="6">
        <f t="shared" ca="1" si="418"/>
        <v>591.71831415199995</v>
      </c>
      <c r="CD303" s="6">
        <f t="shared" ca="1" si="418"/>
        <v>597.59134209500007</v>
      </c>
      <c r="CE303" s="6">
        <f t="shared" ca="1" si="418"/>
        <v>618.8839423280001</v>
      </c>
      <c r="CF303" s="5"/>
      <c r="CG303" s="463">
        <f ca="1">(U303/R303)^(1/3)-1</f>
        <v>0.9042460754163375</v>
      </c>
      <c r="CH303" s="463"/>
    </row>
    <row r="304" spans="1:96" outlineLevel="1">
      <c r="A304" s="3" t="s">
        <v>759</v>
      </c>
      <c r="B304" s="145" t="s">
        <v>730</v>
      </c>
      <c r="C304" s="149"/>
      <c r="D304" s="149"/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49"/>
      <c r="AG304" s="149"/>
      <c r="AH304" s="149"/>
      <c r="AI304" s="149"/>
      <c r="AJ304" s="149"/>
      <c r="AK304" s="149"/>
      <c r="AL304" s="149"/>
      <c r="AM304" s="149"/>
      <c r="AN304" s="149"/>
      <c r="AO304" s="149"/>
      <c r="AP304" s="149"/>
      <c r="AQ304" s="149"/>
      <c r="AR304" s="149"/>
      <c r="AS304" s="149"/>
      <c r="AT304" s="149"/>
      <c r="AU304" s="149"/>
      <c r="AV304" s="149"/>
      <c r="AW304" s="149"/>
      <c r="AX304" s="149"/>
      <c r="AY304" s="149"/>
      <c r="AZ304" s="149"/>
      <c r="BA304" s="149"/>
      <c r="BB304" s="149"/>
      <c r="BC304" s="149"/>
      <c r="BD304" s="149"/>
      <c r="BE304" s="149"/>
      <c r="BF304" s="149"/>
      <c r="BG304" s="149"/>
      <c r="BH304" s="149"/>
      <c r="BI304" s="149"/>
      <c r="BJ304" s="149"/>
      <c r="BK304" s="149"/>
      <c r="BL304" s="149"/>
      <c r="BM304" s="149"/>
      <c r="BN304" s="149"/>
      <c r="BO304" s="149"/>
      <c r="BP304" s="149"/>
      <c r="BQ304" s="149"/>
      <c r="BR304" s="14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5"/>
      <c r="CG304" s="463"/>
      <c r="CH304" s="463"/>
    </row>
    <row r="305" spans="1:96" outlineLevel="1">
      <c r="A305" s="3" t="s">
        <v>477</v>
      </c>
      <c r="B305" s="116" t="s">
        <v>146</v>
      </c>
      <c r="C305" s="84">
        <f t="shared" ref="C305:R305" si="419">SUM(C299:C303)</f>
        <v>6.9084459999999996</v>
      </c>
      <c r="D305" s="84">
        <f t="shared" si="419"/>
        <v>46.382268000000003</v>
      </c>
      <c r="E305" s="84">
        <f t="shared" si="419"/>
        <v>105.31268899999999</v>
      </c>
      <c r="F305" s="84">
        <f t="shared" si="419"/>
        <v>182.67881799999995</v>
      </c>
      <c r="G305" s="84">
        <f t="shared" si="419"/>
        <v>354.02907299999998</v>
      </c>
      <c r="H305" s="84">
        <f t="shared" si="419"/>
        <v>556.21439999999996</v>
      </c>
      <c r="I305" s="84">
        <f t="shared" si="419"/>
        <v>834.02663899999993</v>
      </c>
      <c r="J305" s="84">
        <f t="shared" si="419"/>
        <v>1287.2782280000001</v>
      </c>
      <c r="K305" s="84">
        <f t="shared" si="419"/>
        <v>1588.1583900000003</v>
      </c>
      <c r="L305" s="84">
        <f t="shared" si="419"/>
        <v>2122.5617960000004</v>
      </c>
      <c r="M305" s="84">
        <f t="shared" si="419"/>
        <v>3066.7130209999996</v>
      </c>
      <c r="N305" s="84">
        <f t="shared" si="419"/>
        <v>3726.3041920000001</v>
      </c>
      <c r="O305" s="84">
        <f t="shared" si="419"/>
        <v>4409.192258</v>
      </c>
      <c r="P305" s="84">
        <f t="shared" si="419"/>
        <v>5717.0170619999999</v>
      </c>
      <c r="Q305" s="84">
        <f t="shared" si="419"/>
        <v>7772.5571070000005</v>
      </c>
      <c r="R305" s="84">
        <f t="shared" si="419"/>
        <v>11496.946408000002</v>
      </c>
      <c r="S305" s="84">
        <f>SUM(BP305:BS305)</f>
        <v>19788.086638000001</v>
      </c>
      <c r="T305" s="84">
        <f>SUM(T299:T304)</f>
        <v>26976.985464000001</v>
      </c>
      <c r="U305" s="84">
        <f t="shared" ref="U305:AA305" ca="1" si="420">SUM(U299:U304)</f>
        <v>32081.714286594601</v>
      </c>
      <c r="V305" s="84">
        <f t="shared" ca="1" si="420"/>
        <v>40320.75421913949</v>
      </c>
      <c r="W305" s="84">
        <f t="shared" ca="1" si="420"/>
        <v>49274.974430367263</v>
      </c>
      <c r="X305" s="84">
        <f t="shared" ca="1" si="420"/>
        <v>59328.661792231309</v>
      </c>
      <c r="Y305" s="84">
        <f t="shared" ca="1" si="420"/>
        <v>70809.735636213503</v>
      </c>
      <c r="Z305" s="84">
        <f t="shared" ca="1" si="420"/>
        <v>81977.124344715412</v>
      </c>
      <c r="AA305" s="84">
        <f t="shared" ca="1" si="420"/>
        <v>94062.888605265674</v>
      </c>
      <c r="AB305" s="84">
        <f ca="1">SUM(AB299:AB304)</f>
        <v>107086.58752230329</v>
      </c>
      <c r="AC305" s="84">
        <f ca="1">SUM(AC299:AC304)</f>
        <v>120972.72437026131</v>
      </c>
      <c r="AD305" s="84">
        <f ca="1">SUM(AD299:AD304)</f>
        <v>135239.49576495658</v>
      </c>
      <c r="AE305" s="84"/>
      <c r="AF305" s="84">
        <f t="shared" ref="AF305:BS305" si="421">SUM(AF299:AF303)</f>
        <v>249.18135699999999</v>
      </c>
      <c r="AG305" s="84">
        <f t="shared" si="421"/>
        <v>309.17787899999996</v>
      </c>
      <c r="AH305" s="84">
        <f t="shared" si="421"/>
        <v>345.83093499999995</v>
      </c>
      <c r="AI305" s="84">
        <f t="shared" si="421"/>
        <v>383.08805699999999</v>
      </c>
      <c r="AJ305" s="84">
        <f t="shared" si="421"/>
        <v>366.662037</v>
      </c>
      <c r="AK305" s="84">
        <f t="shared" si="421"/>
        <v>401.88525500000003</v>
      </c>
      <c r="AL305" s="84">
        <f t="shared" si="421"/>
        <v>397.04645199999999</v>
      </c>
      <c r="AM305" s="84">
        <f t="shared" si="421"/>
        <v>422.74505199999999</v>
      </c>
      <c r="AN305" s="84">
        <f t="shared" si="421"/>
        <v>428.601091</v>
      </c>
      <c r="AO305" s="84">
        <f t="shared" si="421"/>
        <v>507.65861000000001</v>
      </c>
      <c r="AP305" s="84">
        <f t="shared" si="421"/>
        <v>583.3999050000001</v>
      </c>
      <c r="AQ305" s="84">
        <f t="shared" si="421"/>
        <v>602.90237000000002</v>
      </c>
      <c r="AR305" s="84">
        <f t="shared" si="421"/>
        <v>627.20509700000002</v>
      </c>
      <c r="AS305" s="84">
        <f t="shared" si="421"/>
        <v>741.64561200000003</v>
      </c>
      <c r="AT305" s="84">
        <f t="shared" si="421"/>
        <v>862.72482099999991</v>
      </c>
      <c r="AU305" s="84">
        <f t="shared" si="421"/>
        <v>835.13749100000007</v>
      </c>
      <c r="AV305" s="84">
        <f t="shared" si="421"/>
        <v>814.10721000000001</v>
      </c>
      <c r="AW305" s="84">
        <f t="shared" si="421"/>
        <v>886.38787200000002</v>
      </c>
      <c r="AX305" s="84">
        <f t="shared" si="421"/>
        <v>1039.213602</v>
      </c>
      <c r="AY305" s="84">
        <f t="shared" si="421"/>
        <v>986.595508</v>
      </c>
      <c r="AZ305" s="84">
        <f t="shared" si="421"/>
        <v>963.59899500000006</v>
      </c>
      <c r="BA305" s="84">
        <f t="shared" si="421"/>
        <v>1030.9516610000001</v>
      </c>
      <c r="BB305" s="84">
        <f t="shared" si="421"/>
        <v>1247.3475539999999</v>
      </c>
      <c r="BC305" s="84">
        <f t="shared" si="421"/>
        <v>1167.2940880000001</v>
      </c>
      <c r="BD305" s="84">
        <f t="shared" si="421"/>
        <v>1228.4082539999997</v>
      </c>
      <c r="BE305" s="84">
        <f t="shared" si="421"/>
        <v>1320.1503430000002</v>
      </c>
      <c r="BF305" s="84">
        <f t="shared" si="421"/>
        <v>1640.4862189999997</v>
      </c>
      <c r="BG305" s="84">
        <f t="shared" si="421"/>
        <v>1527.972246</v>
      </c>
      <c r="BH305" s="84">
        <f t="shared" si="421"/>
        <v>1673.1728130000001</v>
      </c>
      <c r="BI305" s="84">
        <f t="shared" si="421"/>
        <v>1819.5057940000002</v>
      </c>
      <c r="BJ305" s="84">
        <f t="shared" si="421"/>
        <v>2259.4716590000003</v>
      </c>
      <c r="BK305" s="84">
        <f t="shared" si="421"/>
        <v>2020.406841</v>
      </c>
      <c r="BL305" s="84">
        <f t="shared" si="421"/>
        <v>2443.3025599999996</v>
      </c>
      <c r="BM305" s="84">
        <f t="shared" si="421"/>
        <v>2665.4889140000005</v>
      </c>
      <c r="BN305" s="84">
        <f t="shared" si="421"/>
        <v>3355.7686240000003</v>
      </c>
      <c r="BO305" s="84">
        <f t="shared" si="421"/>
        <v>3032.3863099999999</v>
      </c>
      <c r="BP305" s="84">
        <f t="shared" si="421"/>
        <v>4399.1412899999996</v>
      </c>
      <c r="BQ305" s="84">
        <f t="shared" si="421"/>
        <v>4542.3922160000011</v>
      </c>
      <c r="BR305" s="84">
        <f t="shared" si="421"/>
        <v>5667.7947210000002</v>
      </c>
      <c r="BS305" s="84">
        <f t="shared" si="421"/>
        <v>5178.7584109999998</v>
      </c>
      <c r="BT305" s="84">
        <f t="shared" ref="BT305:CA305" si="422">SUM(BT299:BT304)</f>
        <v>6133.2704119999999</v>
      </c>
      <c r="BU305" s="84">
        <f t="shared" si="422"/>
        <v>6461.5633499999994</v>
      </c>
      <c r="BV305" s="84">
        <f t="shared" si="422"/>
        <v>7956.9508729999998</v>
      </c>
      <c r="BW305" s="84">
        <f t="shared" si="422"/>
        <v>6425.2008290000003</v>
      </c>
      <c r="BX305" s="84">
        <f t="shared" ca="1" si="422"/>
        <v>6749.7899048821</v>
      </c>
      <c r="BY305" s="84">
        <f t="shared" ca="1" si="422"/>
        <v>7544.5447244709994</v>
      </c>
      <c r="BZ305" s="84">
        <f t="shared" ca="1" si="422"/>
        <v>9377.3833008679994</v>
      </c>
      <c r="CA305" s="84">
        <f t="shared" ca="1" si="422"/>
        <v>8409.9963563734982</v>
      </c>
      <c r="CB305" s="84">
        <f ca="1">SUM(CB299:CB304)</f>
        <v>9177.1915967315072</v>
      </c>
      <c r="CC305" s="84">
        <f ca="1">SUM(CC299:CC304)</f>
        <v>9852.2497890911018</v>
      </c>
      <c r="CD305" s="84">
        <f ca="1">SUM(CD299:CD304)</f>
        <v>11230.66353413145</v>
      </c>
      <c r="CE305" s="84">
        <f ca="1">SUM(CE299:CE304)</f>
        <v>10060.64929918543</v>
      </c>
      <c r="CF305" s="22"/>
      <c r="CG305" s="463">
        <f ca="1">(U305/R305)^(1/3)-1</f>
        <v>0.40785637999262492</v>
      </c>
      <c r="CH305" s="463"/>
    </row>
    <row r="306" spans="1:96" outlineLevel="1">
      <c r="A306" s="3" t="s">
        <v>59</v>
      </c>
      <c r="B306" s="13" t="s">
        <v>18</v>
      </c>
      <c r="C306" s="10">
        <v>-0.45555399999999996</v>
      </c>
      <c r="D306" s="10">
        <v>-2.3986900000000002</v>
      </c>
      <c r="E306" s="10">
        <v>-5.2640349999999998</v>
      </c>
      <c r="F306" s="10">
        <v>-9.5322900000000015</v>
      </c>
      <c r="G306" s="10">
        <v>-20.208995999999999</v>
      </c>
      <c r="H306" s="10">
        <v>-34.99</v>
      </c>
      <c r="I306" s="10">
        <v>-54.075096000000002</v>
      </c>
      <c r="J306" s="10">
        <v>-88.167080999999996</v>
      </c>
      <c r="K306" s="10">
        <v>-106.334164</v>
      </c>
      <c r="L306" s="10">
        <v>-134.55501799999999</v>
      </c>
      <c r="M306" s="10">
        <v>-185.479524</v>
      </c>
      <c r="N306" s="10">
        <v>-228.21956399999999</v>
      </c>
      <c r="O306" s="10">
        <v>-250.40100899999999</v>
      </c>
      <c r="P306" s="10">
        <v>-330.27152000000001</v>
      </c>
      <c r="Q306" s="10">
        <v>-425.63873799999999</v>
      </c>
      <c r="R306" s="10">
        <v>-599.37834699999996</v>
      </c>
      <c r="S306" s="16">
        <v>-559.64682400000004</v>
      </c>
      <c r="T306" s="16">
        <v>-197.354446</v>
      </c>
      <c r="U306" s="6">
        <f t="shared" ref="U306:AD306" ca="1" si="423">U415</f>
        <v>-234.69890504297905</v>
      </c>
      <c r="V306" s="6">
        <f t="shared" ca="1" si="423"/>
        <v>-294.97291763156636</v>
      </c>
      <c r="W306" s="6">
        <f t="shared" ca="1" si="423"/>
        <v>-360.478945779414</v>
      </c>
      <c r="X306" s="6">
        <f t="shared" ca="1" si="423"/>
        <v>-434.02830147765007</v>
      </c>
      <c r="Y306" s="6">
        <f t="shared" ca="1" si="423"/>
        <v>-518.0199309719053</v>
      </c>
      <c r="Z306" s="6">
        <f t="shared" ca="1" si="423"/>
        <v>-599.71674675490431</v>
      </c>
      <c r="AA306" s="6">
        <f t="shared" ca="1" si="423"/>
        <v>-688.13208557437497</v>
      </c>
      <c r="AB306" s="6">
        <f t="shared" ca="1" si="423"/>
        <v>-783.40903518287473</v>
      </c>
      <c r="AC306" s="6">
        <f t="shared" ca="1" si="423"/>
        <v>-884.99528722597438</v>
      </c>
      <c r="AD306" s="6">
        <f t="shared" ca="1" si="423"/>
        <v>-989.36613209172424</v>
      </c>
      <c r="AE306" s="6"/>
      <c r="AF306" s="10">
        <v>-16.965212000000001</v>
      </c>
      <c r="AG306" s="10">
        <v>-21.159382000000001</v>
      </c>
      <c r="AH306" s="10">
        <v>-23.160551000000002</v>
      </c>
      <c r="AI306" s="10">
        <v>-26.881936</v>
      </c>
      <c r="AJ306" s="10">
        <v>-26.173023000000001</v>
      </c>
      <c r="AK306" s="10">
        <v>-26.841571999999999</v>
      </c>
      <c r="AL306" s="10">
        <v>-26.909296999999999</v>
      </c>
      <c r="AM306" s="10">
        <v>-26.410271999999999</v>
      </c>
      <c r="AN306" s="10">
        <v>-28.023671</v>
      </c>
      <c r="AO306" s="10">
        <v>-31.371684999999999</v>
      </c>
      <c r="AP306" s="10">
        <v>-37.970770000000002</v>
      </c>
      <c r="AQ306" s="10">
        <v>-37.188892000000003</v>
      </c>
      <c r="AR306" s="10">
        <v>-40.483224</v>
      </c>
      <c r="AS306" s="10">
        <v>-46.465221999999997</v>
      </c>
      <c r="AT306" s="10">
        <v>-50.520117999999997</v>
      </c>
      <c r="AU306" s="10">
        <v>-48.010959999999997</v>
      </c>
      <c r="AV306" s="10">
        <v>-49.584200000000003</v>
      </c>
      <c r="AW306" s="10">
        <v>-53.360163999999997</v>
      </c>
      <c r="AX306" s="10">
        <v>-64.512791000000007</v>
      </c>
      <c r="AY306" s="10">
        <v>-60.762408999999998</v>
      </c>
      <c r="AZ306" s="10">
        <v>-52.790604000000002</v>
      </c>
      <c r="BA306" s="10">
        <v>-57.326573000000003</v>
      </c>
      <c r="BB306" s="10">
        <v>-74.345010000000002</v>
      </c>
      <c r="BC306" s="10">
        <v>-65.938822000000002</v>
      </c>
      <c r="BD306" s="10">
        <v>-67.900120000000001</v>
      </c>
      <c r="BE306" s="10">
        <v>-75.294640000000001</v>
      </c>
      <c r="BF306" s="10">
        <v>-99.510606999999993</v>
      </c>
      <c r="BG306" s="10">
        <v>-87.566153</v>
      </c>
      <c r="BH306" s="10">
        <v>-91.384691000000004</v>
      </c>
      <c r="BI306" s="10">
        <v>-97.244864000000007</v>
      </c>
      <c r="BJ306" s="10">
        <v>-129.901116</v>
      </c>
      <c r="BK306" s="10">
        <v>-107.10806700000001</v>
      </c>
      <c r="BL306" s="10">
        <v>-128.526318</v>
      </c>
      <c r="BM306" s="10">
        <v>-138.35266799999999</v>
      </c>
      <c r="BN306" s="10">
        <v>-174.16816900000001</v>
      </c>
      <c r="BO306" s="10">
        <v>-158.33119199999999</v>
      </c>
      <c r="BP306" s="16">
        <v>-221.13473400000001</v>
      </c>
      <c r="BQ306" s="16">
        <v>-131.10743500000001</v>
      </c>
      <c r="BR306" s="10">
        <v>-95.928078999999997</v>
      </c>
      <c r="BS306" s="16">
        <v>-111.47657599999999</v>
      </c>
      <c r="BT306" s="16">
        <v>-48.208523</v>
      </c>
      <c r="BU306" s="16">
        <v>-45.794148999999997</v>
      </c>
      <c r="BV306" s="16">
        <v>-57.274816000000001</v>
      </c>
      <c r="BW306" s="16">
        <v>-46.076957999999998</v>
      </c>
      <c r="BX306" s="6">
        <f t="shared" ref="BX306:CE306" ca="1" si="424">BX415</f>
        <v>-47.248529334174698</v>
      </c>
      <c r="BY306" s="6">
        <f t="shared" ca="1" si="424"/>
        <v>-52.811813071296996</v>
      </c>
      <c r="BZ306" s="6">
        <f t="shared" ca="1" si="424"/>
        <v>-65.641683106076002</v>
      </c>
      <c r="CA306" s="6">
        <f t="shared" ca="1" si="424"/>
        <v>-68.996879531431375</v>
      </c>
      <c r="CB306" s="6">
        <f t="shared" ca="1" si="424"/>
        <v>-64.240341177120555</v>
      </c>
      <c r="CC306" s="6">
        <f t="shared" ca="1" si="424"/>
        <v>-68.965748523637714</v>
      </c>
      <c r="CD306" s="6">
        <f t="shared" ca="1" si="424"/>
        <v>-78.614644738920148</v>
      </c>
      <c r="CE306" s="6">
        <f t="shared" ca="1" si="424"/>
        <v>-83.152183191887957</v>
      </c>
      <c r="CF306" s="5"/>
      <c r="CG306" s="5"/>
      <c r="CH306" s="5"/>
    </row>
    <row r="307" spans="1:96" outlineLevel="1">
      <c r="A307" s="3" t="s">
        <v>60</v>
      </c>
      <c r="B307" s="144" t="s">
        <v>19</v>
      </c>
      <c r="C307" s="20">
        <f t="shared" ref="C307:R307" si="425">C305+C306</f>
        <v>6.4528919999999994</v>
      </c>
      <c r="D307" s="20">
        <f t="shared" si="425"/>
        <v>43.983578000000001</v>
      </c>
      <c r="E307" s="20">
        <f t="shared" si="425"/>
        <v>100.048654</v>
      </c>
      <c r="F307" s="20">
        <f t="shared" si="425"/>
        <v>173.14652799999996</v>
      </c>
      <c r="G307" s="20">
        <f t="shared" si="425"/>
        <v>333.82007699999997</v>
      </c>
      <c r="H307" s="20">
        <f t="shared" si="425"/>
        <v>521.22439999999995</v>
      </c>
      <c r="I307" s="20">
        <f t="shared" si="425"/>
        <v>779.9515429999999</v>
      </c>
      <c r="J307" s="20">
        <f t="shared" si="425"/>
        <v>1199.1111470000001</v>
      </c>
      <c r="K307" s="20">
        <f t="shared" si="425"/>
        <v>1481.8242260000002</v>
      </c>
      <c r="L307" s="20">
        <f t="shared" si="425"/>
        <v>1988.0067780000004</v>
      </c>
      <c r="M307" s="20">
        <f t="shared" si="425"/>
        <v>2881.2334969999997</v>
      </c>
      <c r="N307" s="20">
        <f t="shared" si="425"/>
        <v>3498.0846280000001</v>
      </c>
      <c r="O307" s="20">
        <f t="shared" si="425"/>
        <v>4158.7912489999999</v>
      </c>
      <c r="P307" s="20">
        <f t="shared" si="425"/>
        <v>5386.7455419999997</v>
      </c>
      <c r="Q307" s="20">
        <f t="shared" si="425"/>
        <v>7346.9183690000009</v>
      </c>
      <c r="R307" s="20">
        <f t="shared" si="425"/>
        <v>10897.568061000002</v>
      </c>
      <c r="S307" s="20">
        <f>SUM(BP307:BS307)</f>
        <v>19228.439813999998</v>
      </c>
      <c r="T307" s="20">
        <f t="shared" ref="T307:AB307" si="426">T305+T306</f>
        <v>26779.631018</v>
      </c>
      <c r="U307" s="20">
        <f t="shared" ca="1" si="426"/>
        <v>31847.015381551621</v>
      </c>
      <c r="V307" s="20">
        <f t="shared" ca="1" si="426"/>
        <v>40025.781301507923</v>
      </c>
      <c r="W307" s="20">
        <f t="shared" ca="1" si="426"/>
        <v>48914.495484587853</v>
      </c>
      <c r="X307" s="20">
        <f t="shared" ca="1" si="426"/>
        <v>58894.633490753658</v>
      </c>
      <c r="Y307" s="20">
        <f t="shared" ca="1" si="426"/>
        <v>70291.715705241601</v>
      </c>
      <c r="Z307" s="20">
        <f t="shared" ca="1" si="426"/>
        <v>81377.407597960511</v>
      </c>
      <c r="AA307" s="20">
        <f t="shared" ca="1" si="426"/>
        <v>93374.756519691306</v>
      </c>
      <c r="AB307" s="20">
        <f t="shared" ca="1" si="426"/>
        <v>106303.17848712041</v>
      </c>
      <c r="AC307" s="20">
        <f ca="1">AC305+AC306</f>
        <v>120087.72908303533</v>
      </c>
      <c r="AD307" s="20">
        <f ca="1">AD305+AD306</f>
        <v>134250.12963286485</v>
      </c>
      <c r="AE307" s="20"/>
      <c r="AF307" s="20">
        <f t="shared" ref="AF307:BW307" si="427">AF305+AF306</f>
        <v>232.21614499999998</v>
      </c>
      <c r="AG307" s="20">
        <f t="shared" si="427"/>
        <v>288.01849699999997</v>
      </c>
      <c r="AH307" s="20">
        <f t="shared" si="427"/>
        <v>322.67038399999996</v>
      </c>
      <c r="AI307" s="20">
        <f t="shared" si="427"/>
        <v>356.206121</v>
      </c>
      <c r="AJ307" s="20">
        <f t="shared" si="427"/>
        <v>340.489014</v>
      </c>
      <c r="AK307" s="20">
        <f t="shared" si="427"/>
        <v>375.04368300000004</v>
      </c>
      <c r="AL307" s="20">
        <f t="shared" si="427"/>
        <v>370.13715500000001</v>
      </c>
      <c r="AM307" s="20">
        <f t="shared" si="427"/>
        <v>396.33477999999997</v>
      </c>
      <c r="AN307" s="20">
        <f t="shared" si="427"/>
        <v>400.57742000000002</v>
      </c>
      <c r="AO307" s="20">
        <f t="shared" si="427"/>
        <v>476.286925</v>
      </c>
      <c r="AP307" s="20">
        <f t="shared" si="427"/>
        <v>545.42913500000009</v>
      </c>
      <c r="AQ307" s="20">
        <f t="shared" si="427"/>
        <v>565.71347800000001</v>
      </c>
      <c r="AR307" s="20">
        <f t="shared" si="427"/>
        <v>586.72187300000007</v>
      </c>
      <c r="AS307" s="20">
        <f t="shared" si="427"/>
        <v>695.18038999999999</v>
      </c>
      <c r="AT307" s="20">
        <f t="shared" si="427"/>
        <v>812.20470299999988</v>
      </c>
      <c r="AU307" s="20">
        <f t="shared" si="427"/>
        <v>787.12653100000011</v>
      </c>
      <c r="AV307" s="20">
        <f t="shared" si="427"/>
        <v>764.52301</v>
      </c>
      <c r="AW307" s="20">
        <f t="shared" si="427"/>
        <v>833.02770800000008</v>
      </c>
      <c r="AX307" s="20">
        <f t="shared" si="427"/>
        <v>974.70081100000004</v>
      </c>
      <c r="AY307" s="20">
        <f t="shared" si="427"/>
        <v>925.83309899999995</v>
      </c>
      <c r="AZ307" s="20">
        <f t="shared" si="427"/>
        <v>910.80839100000003</v>
      </c>
      <c r="BA307" s="20">
        <f t="shared" si="427"/>
        <v>973.62508800000001</v>
      </c>
      <c r="BB307" s="20">
        <f t="shared" si="427"/>
        <v>1173.0025439999999</v>
      </c>
      <c r="BC307" s="20">
        <f t="shared" si="427"/>
        <v>1101.355266</v>
      </c>
      <c r="BD307" s="20">
        <f t="shared" si="427"/>
        <v>1160.5081339999997</v>
      </c>
      <c r="BE307" s="20">
        <f t="shared" si="427"/>
        <v>1244.8557030000002</v>
      </c>
      <c r="BF307" s="20">
        <f t="shared" si="427"/>
        <v>1540.9756119999997</v>
      </c>
      <c r="BG307" s="20">
        <f t="shared" si="427"/>
        <v>1440.4060930000001</v>
      </c>
      <c r="BH307" s="20">
        <f t="shared" si="427"/>
        <v>1581.7881220000002</v>
      </c>
      <c r="BI307" s="20">
        <f t="shared" si="427"/>
        <v>1722.2609300000001</v>
      </c>
      <c r="BJ307" s="20">
        <f t="shared" si="427"/>
        <v>2129.5705430000003</v>
      </c>
      <c r="BK307" s="20">
        <f t="shared" si="427"/>
        <v>1913.2987739999999</v>
      </c>
      <c r="BL307" s="20">
        <f t="shared" si="427"/>
        <v>2314.7762419999995</v>
      </c>
      <c r="BM307" s="20">
        <f t="shared" si="427"/>
        <v>2527.1362460000005</v>
      </c>
      <c r="BN307" s="20">
        <f t="shared" si="427"/>
        <v>3181.6004550000002</v>
      </c>
      <c r="BO307" s="20">
        <f t="shared" si="427"/>
        <v>2874.0551179999998</v>
      </c>
      <c r="BP307" s="20">
        <f t="shared" si="427"/>
        <v>4178.0065559999994</v>
      </c>
      <c r="BQ307" s="20">
        <f t="shared" si="427"/>
        <v>4411.2847810000012</v>
      </c>
      <c r="BR307" s="20">
        <f t="shared" si="427"/>
        <v>5571.866642</v>
      </c>
      <c r="BS307" s="20">
        <f t="shared" si="427"/>
        <v>5067.2818349999998</v>
      </c>
      <c r="BT307" s="20">
        <f t="shared" si="427"/>
        <v>6085.0618889999996</v>
      </c>
      <c r="BU307" s="20">
        <f t="shared" si="427"/>
        <v>6415.7692009999992</v>
      </c>
      <c r="BV307" s="20">
        <f t="shared" si="427"/>
        <v>7899.6760569999997</v>
      </c>
      <c r="BW307" s="20">
        <f t="shared" si="427"/>
        <v>6379.1238710000007</v>
      </c>
      <c r="BX307" s="20">
        <f t="shared" ref="BX307:CE307" ca="1" si="428">BX305+BX306</f>
        <v>6702.5413755479249</v>
      </c>
      <c r="BY307" s="20">
        <f t="shared" ca="1" si="428"/>
        <v>7491.7329113997021</v>
      </c>
      <c r="BZ307" s="20">
        <f t="shared" ca="1" si="428"/>
        <v>9311.7416177619234</v>
      </c>
      <c r="CA307" s="20">
        <f t="shared" ca="1" si="428"/>
        <v>8340.9994768420675</v>
      </c>
      <c r="CB307" s="20">
        <f t="shared" ca="1" si="428"/>
        <v>9112.9512555543861</v>
      </c>
      <c r="CC307" s="20">
        <f t="shared" ca="1" si="428"/>
        <v>9783.2840405674633</v>
      </c>
      <c r="CD307" s="20">
        <f t="shared" ca="1" si="428"/>
        <v>11152.04888939253</v>
      </c>
      <c r="CE307" s="20">
        <f t="shared" ca="1" si="428"/>
        <v>9977.497115993543</v>
      </c>
      <c r="CF307" s="5"/>
      <c r="CG307" s="5"/>
      <c r="CH307" s="5"/>
      <c r="CI307" s="145"/>
      <c r="CP307" s="145"/>
      <c r="CQ307" s="145"/>
      <c r="CR307" s="145"/>
    </row>
    <row r="308" spans="1:96" outlineLevel="1">
      <c r="A308" s="3" t="s">
        <v>478</v>
      </c>
      <c r="B308" s="13" t="s">
        <v>20</v>
      </c>
      <c r="C308" s="10">
        <v>-1.949479</v>
      </c>
      <c r="D308" s="10">
        <v>-7.9398350000000004</v>
      </c>
      <c r="E308" s="10">
        <v>-13.673013000000001</v>
      </c>
      <c r="F308" s="10">
        <v>-25.654057000000002</v>
      </c>
      <c r="G308" s="10">
        <v>-48.475282999999997</v>
      </c>
      <c r="H308" s="10">
        <v>-88.627300000000005</v>
      </c>
      <c r="I308" s="10">
        <v>-153.13186400000001</v>
      </c>
      <c r="J308" s="10">
        <v>-236.22606300000001</v>
      </c>
      <c r="K308" s="10">
        <v>-326.61046299999998</v>
      </c>
      <c r="L308" s="10">
        <v>-450.60277300000001</v>
      </c>
      <c r="M308" s="10">
        <v>-625.26134200000001</v>
      </c>
      <c r="N308" s="10">
        <v>-805.12978399999997</v>
      </c>
      <c r="O308" s="10">
        <v>-1037.791093</v>
      </c>
      <c r="P308" s="10">
        <v>-1386.767067</v>
      </c>
      <c r="Q308" s="10">
        <v>-2100.6064129999995</v>
      </c>
      <c r="R308" s="10">
        <v>-3043.4398190000002</v>
      </c>
      <c r="S308" s="16">
        <v>-4729.7501920000004</v>
      </c>
      <c r="T308" s="16">
        <v>-4678.2091030000001</v>
      </c>
      <c r="U308" s="6">
        <f t="shared" ref="U308:AD308" ca="1" si="429">U381</f>
        <v>-5413.992614863776</v>
      </c>
      <c r="V308" s="6">
        <f t="shared" ca="1" si="429"/>
        <v>-6724.3312586533311</v>
      </c>
      <c r="W308" s="6">
        <f t="shared" ca="1" si="429"/>
        <v>-8119.8062504415839</v>
      </c>
      <c r="X308" s="6">
        <f t="shared" ca="1" si="429"/>
        <v>-9776.5091594651076</v>
      </c>
      <c r="Y308" s="6">
        <f t="shared" ca="1" si="429"/>
        <v>-11668.424807070107</v>
      </c>
      <c r="Z308" s="6">
        <f t="shared" ca="1" si="429"/>
        <v>-13345.894846065525</v>
      </c>
      <c r="AA308" s="6">
        <f t="shared" ca="1" si="429"/>
        <v>-15313.460069229375</v>
      </c>
      <c r="AB308" s="6">
        <f t="shared" ca="1" si="429"/>
        <v>-17433.721271887749</v>
      </c>
      <c r="AC308" s="6">
        <f t="shared" ca="1" si="429"/>
        <v>-19694.387569617797</v>
      </c>
      <c r="AD308" s="6">
        <f t="shared" ca="1" si="429"/>
        <v>-22017.021259789835</v>
      </c>
      <c r="AE308" s="6"/>
      <c r="AF308" s="10">
        <v>-48.559778999999999</v>
      </c>
      <c r="AG308" s="10">
        <v>-57.223269000000002</v>
      </c>
      <c r="AH308" s="10">
        <v>-64.011658999999995</v>
      </c>
      <c r="AI308" s="10">
        <v>-66.431355999999994</v>
      </c>
      <c r="AJ308" s="10">
        <v>-67.996983999999998</v>
      </c>
      <c r="AK308" s="10">
        <v>-79.671771000000007</v>
      </c>
      <c r="AL308" s="10">
        <v>-86.404045999999994</v>
      </c>
      <c r="AM308" s="10">
        <v>-92.537661999999997</v>
      </c>
      <c r="AN308" s="10">
        <v>-89.970448000000005</v>
      </c>
      <c r="AO308" s="10">
        <v>-108.06146099999999</v>
      </c>
      <c r="AP308" s="10">
        <v>-124.352706</v>
      </c>
      <c r="AQ308" s="10">
        <v>-128.21815799999999</v>
      </c>
      <c r="AR308" s="10">
        <v>-128.37750800000001</v>
      </c>
      <c r="AS308" s="10">
        <v>-151.15484900000001</v>
      </c>
      <c r="AT308" s="10">
        <v>-176.19974300000001</v>
      </c>
      <c r="AU308" s="10">
        <v>-169.52924200000001</v>
      </c>
      <c r="AV308" s="10">
        <v>-164.70689899999999</v>
      </c>
      <c r="AW308" s="10">
        <v>-189.76378</v>
      </c>
      <c r="AX308" s="10">
        <v>-226.12606199999999</v>
      </c>
      <c r="AY308" s="10">
        <v>-224.53304299999999</v>
      </c>
      <c r="AZ308" s="10">
        <v>-225.95674</v>
      </c>
      <c r="BA308" s="10">
        <v>-241.16888700000001</v>
      </c>
      <c r="BB308" s="10">
        <v>-285.96071999999998</v>
      </c>
      <c r="BC308" s="10">
        <v>-284.704746</v>
      </c>
      <c r="BD308" s="10">
        <v>-304.17168700000002</v>
      </c>
      <c r="BE308" s="10">
        <v>-309.111062</v>
      </c>
      <c r="BF308" s="10">
        <v>-379.12170900000001</v>
      </c>
      <c r="BG308" s="10">
        <v>-394.36260900000002</v>
      </c>
      <c r="BH308" s="10">
        <v>-449.41188699999998</v>
      </c>
      <c r="BI308" s="10">
        <v>-478.60139299999997</v>
      </c>
      <c r="BJ308" s="10">
        <v>-588.98023000000001</v>
      </c>
      <c r="BK308" s="10">
        <v>-583.61290299999996</v>
      </c>
      <c r="BL308" s="10">
        <v>-704.606314</v>
      </c>
      <c r="BM308" s="10">
        <v>-730.01903100000004</v>
      </c>
      <c r="BN308" s="10">
        <v>-845.57812899999999</v>
      </c>
      <c r="BO308" s="10">
        <v>-763.23634500000003</v>
      </c>
      <c r="BP308" s="10">
        <v>-1135.944483</v>
      </c>
      <c r="BQ308" s="10">
        <v>-1233.1485359999999</v>
      </c>
      <c r="BR308" s="10">
        <v>-1234.297161</v>
      </c>
      <c r="BS308" s="16">
        <v>-1126.3600120000001</v>
      </c>
      <c r="BT308" s="16">
        <v>-1189.3067900000001</v>
      </c>
      <c r="BU308" s="16">
        <v>-1124.0941459999999</v>
      </c>
      <c r="BV308" s="16">
        <v>-1303.4836580000001</v>
      </c>
      <c r="BW308" s="16">
        <v>-1061.324509</v>
      </c>
      <c r="BX308" s="6">
        <f t="shared" ref="BX308:CE308" ca="1" si="430">BX381</f>
        <v>-1152.8371165942431</v>
      </c>
      <c r="BY308" s="6">
        <f t="shared" ca="1" si="430"/>
        <v>-1266.1028620265497</v>
      </c>
      <c r="BZ308" s="6">
        <f t="shared" ca="1" si="430"/>
        <v>-1573.6843334017651</v>
      </c>
      <c r="CA308" s="6">
        <f t="shared" ca="1" si="430"/>
        <v>-1421.3683028412179</v>
      </c>
      <c r="CB308" s="6">
        <f t="shared" ca="1" si="430"/>
        <v>-1530.9758109331369</v>
      </c>
      <c r="CC308" s="6">
        <f t="shared" ca="1" si="430"/>
        <v>-1643.5917188153339</v>
      </c>
      <c r="CD308" s="6">
        <f t="shared" ca="1" si="430"/>
        <v>-1873.5442134179452</v>
      </c>
      <c r="CE308" s="6">
        <f t="shared" ca="1" si="430"/>
        <v>-1676.219515486915</v>
      </c>
      <c r="CF308" s="5"/>
      <c r="CG308" s="5"/>
      <c r="CH308" s="5"/>
    </row>
    <row r="309" spans="1:96" ht="15.75" outlineLevel="1" thickBot="1">
      <c r="A309" s="3" t="s">
        <v>61</v>
      </c>
      <c r="B309" s="146" t="s">
        <v>21</v>
      </c>
      <c r="C309" s="147">
        <f t="shared" ref="C309:R309" si="431">C307+C308</f>
        <v>4.5034129999999992</v>
      </c>
      <c r="D309" s="147">
        <f t="shared" si="431"/>
        <v>36.043742999999999</v>
      </c>
      <c r="E309" s="147">
        <f t="shared" si="431"/>
        <v>86.375641000000002</v>
      </c>
      <c r="F309" s="147">
        <f t="shared" si="431"/>
        <v>147.49247099999997</v>
      </c>
      <c r="G309" s="147">
        <f t="shared" si="431"/>
        <v>285.34479399999998</v>
      </c>
      <c r="H309" s="147">
        <f t="shared" si="431"/>
        <v>432.59709999999995</v>
      </c>
      <c r="I309" s="147">
        <f t="shared" si="431"/>
        <v>626.81967899999995</v>
      </c>
      <c r="J309" s="147">
        <f t="shared" si="431"/>
        <v>962.88508400000001</v>
      </c>
      <c r="K309" s="147">
        <f t="shared" si="431"/>
        <v>1155.2137630000002</v>
      </c>
      <c r="L309" s="147">
        <f t="shared" si="431"/>
        <v>1537.4040050000003</v>
      </c>
      <c r="M309" s="147">
        <f t="shared" si="431"/>
        <v>2255.9721549999995</v>
      </c>
      <c r="N309" s="147">
        <f t="shared" si="431"/>
        <v>2692.9548439999999</v>
      </c>
      <c r="O309" s="147">
        <f t="shared" si="431"/>
        <v>3121.0001560000001</v>
      </c>
      <c r="P309" s="147">
        <f t="shared" si="431"/>
        <v>3999.9784749999999</v>
      </c>
      <c r="Q309" s="147">
        <f t="shared" si="431"/>
        <v>5246.3119560000014</v>
      </c>
      <c r="R309" s="147">
        <f t="shared" si="431"/>
        <v>7854.1282420000016</v>
      </c>
      <c r="S309" s="147">
        <f>SUM(BP309:BS309)</f>
        <v>14498.689622000002</v>
      </c>
      <c r="T309" s="147">
        <f t="shared" ref="T309:AB309" si="432">T307+T308</f>
        <v>22101.421914999999</v>
      </c>
      <c r="U309" s="147">
        <f t="shared" ca="1" si="432"/>
        <v>26433.022766687845</v>
      </c>
      <c r="V309" s="147">
        <f t="shared" ca="1" si="432"/>
        <v>33301.450042854594</v>
      </c>
      <c r="W309" s="147">
        <f t="shared" ca="1" si="432"/>
        <v>40794.689234146266</v>
      </c>
      <c r="X309" s="147">
        <f t="shared" ca="1" si="432"/>
        <v>49118.124331288549</v>
      </c>
      <c r="Y309" s="147">
        <f t="shared" ca="1" si="432"/>
        <v>58623.290898171494</v>
      </c>
      <c r="Z309" s="147">
        <f t="shared" ca="1" si="432"/>
        <v>68031.512751894988</v>
      </c>
      <c r="AA309" s="147">
        <f t="shared" ca="1" si="432"/>
        <v>78061.29645046193</v>
      </c>
      <c r="AB309" s="147">
        <f t="shared" ca="1" si="432"/>
        <v>88869.457215232658</v>
      </c>
      <c r="AC309" s="147">
        <f ca="1">AC307+AC308</f>
        <v>100393.34151341753</v>
      </c>
      <c r="AD309" s="147">
        <f ca="1">AD307+AD308</f>
        <v>112233.10837307501</v>
      </c>
      <c r="AE309" s="147"/>
      <c r="AF309" s="147">
        <f t="shared" ref="AF309:BW309" si="433">AF307+AF308</f>
        <v>183.65636599999999</v>
      </c>
      <c r="AG309" s="147">
        <f t="shared" si="433"/>
        <v>230.79522799999995</v>
      </c>
      <c r="AH309" s="147">
        <f t="shared" si="433"/>
        <v>258.65872499999995</v>
      </c>
      <c r="AI309" s="147">
        <f t="shared" si="433"/>
        <v>289.774765</v>
      </c>
      <c r="AJ309" s="147">
        <f t="shared" si="433"/>
        <v>272.49203</v>
      </c>
      <c r="AK309" s="147">
        <f t="shared" si="433"/>
        <v>295.37191200000007</v>
      </c>
      <c r="AL309" s="147">
        <f t="shared" si="433"/>
        <v>283.73310900000001</v>
      </c>
      <c r="AM309" s="147">
        <f t="shared" si="433"/>
        <v>303.79711799999995</v>
      </c>
      <c r="AN309" s="147">
        <f t="shared" si="433"/>
        <v>310.60697200000004</v>
      </c>
      <c r="AO309" s="147">
        <f t="shared" si="433"/>
        <v>368.22546399999999</v>
      </c>
      <c r="AP309" s="147">
        <f t="shared" si="433"/>
        <v>421.07642900000008</v>
      </c>
      <c r="AQ309" s="147">
        <f t="shared" si="433"/>
        <v>437.49531999999999</v>
      </c>
      <c r="AR309" s="147">
        <f t="shared" si="433"/>
        <v>458.34436500000004</v>
      </c>
      <c r="AS309" s="147">
        <f t="shared" si="433"/>
        <v>544.02554099999998</v>
      </c>
      <c r="AT309" s="147">
        <f t="shared" si="433"/>
        <v>636.00495999999987</v>
      </c>
      <c r="AU309" s="147">
        <f t="shared" si="433"/>
        <v>617.59728900000005</v>
      </c>
      <c r="AV309" s="147">
        <f t="shared" si="433"/>
        <v>599.81611099999998</v>
      </c>
      <c r="AW309" s="147">
        <f t="shared" si="433"/>
        <v>643.26392800000008</v>
      </c>
      <c r="AX309" s="147">
        <f t="shared" si="433"/>
        <v>748.57474900000011</v>
      </c>
      <c r="AY309" s="147">
        <f t="shared" si="433"/>
        <v>701.30005599999993</v>
      </c>
      <c r="AZ309" s="147">
        <f t="shared" si="433"/>
        <v>684.85165100000006</v>
      </c>
      <c r="BA309" s="147">
        <f t="shared" si="433"/>
        <v>732.45620099999996</v>
      </c>
      <c r="BB309" s="147">
        <f t="shared" si="433"/>
        <v>887.04182399999991</v>
      </c>
      <c r="BC309" s="147">
        <f t="shared" si="433"/>
        <v>816.65052000000003</v>
      </c>
      <c r="BD309" s="147">
        <f t="shared" si="433"/>
        <v>856.33644699999968</v>
      </c>
      <c r="BE309" s="147">
        <f t="shared" si="433"/>
        <v>935.74464100000023</v>
      </c>
      <c r="BF309" s="147">
        <f t="shared" si="433"/>
        <v>1161.8539029999997</v>
      </c>
      <c r="BG309" s="147">
        <f t="shared" si="433"/>
        <v>1046.043484</v>
      </c>
      <c r="BH309" s="147">
        <f t="shared" si="433"/>
        <v>1132.3762350000002</v>
      </c>
      <c r="BI309" s="147">
        <f t="shared" si="433"/>
        <v>1243.6595370000002</v>
      </c>
      <c r="BJ309" s="147">
        <f t="shared" si="433"/>
        <v>1540.5903130000002</v>
      </c>
      <c r="BK309" s="147">
        <f t="shared" si="433"/>
        <v>1329.6858709999999</v>
      </c>
      <c r="BL309" s="147">
        <f t="shared" si="433"/>
        <v>1610.1699279999993</v>
      </c>
      <c r="BM309" s="147">
        <f t="shared" si="433"/>
        <v>1797.1172150000004</v>
      </c>
      <c r="BN309" s="147">
        <f t="shared" si="433"/>
        <v>2336.0223260000002</v>
      </c>
      <c r="BO309" s="147">
        <f t="shared" si="433"/>
        <v>2110.818773</v>
      </c>
      <c r="BP309" s="147">
        <f t="shared" si="433"/>
        <v>3042.0620729999991</v>
      </c>
      <c r="BQ309" s="147">
        <f t="shared" si="433"/>
        <v>3178.1362450000015</v>
      </c>
      <c r="BR309" s="147">
        <f t="shared" si="433"/>
        <v>4337.5694810000005</v>
      </c>
      <c r="BS309" s="147">
        <f t="shared" si="433"/>
        <v>3940.9218229999997</v>
      </c>
      <c r="BT309" s="147">
        <f t="shared" si="433"/>
        <v>4895.755099</v>
      </c>
      <c r="BU309" s="147">
        <f t="shared" si="433"/>
        <v>5291.6750549999997</v>
      </c>
      <c r="BV309" s="147">
        <f t="shared" si="433"/>
        <v>6596.1923989999996</v>
      </c>
      <c r="BW309" s="147">
        <f t="shared" si="433"/>
        <v>5317.7993620000007</v>
      </c>
      <c r="BX309" s="147">
        <f t="shared" ref="BX309:CE309" ca="1" si="434">BX307+BX308</f>
        <v>5549.7042589536813</v>
      </c>
      <c r="BY309" s="147">
        <f t="shared" ca="1" si="434"/>
        <v>6225.6300493731524</v>
      </c>
      <c r="BZ309" s="147">
        <f t="shared" ca="1" si="434"/>
        <v>7738.0572843601585</v>
      </c>
      <c r="CA309" s="147">
        <f t="shared" ca="1" si="434"/>
        <v>6919.6311740008496</v>
      </c>
      <c r="CB309" s="147">
        <f t="shared" ca="1" si="434"/>
        <v>7581.9754446212492</v>
      </c>
      <c r="CC309" s="147">
        <f t="shared" ca="1" si="434"/>
        <v>8139.6923217521289</v>
      </c>
      <c r="CD309" s="147">
        <f t="shared" ca="1" si="434"/>
        <v>9278.5046759745856</v>
      </c>
      <c r="CE309" s="147">
        <f t="shared" ca="1" si="434"/>
        <v>8301.277600506628</v>
      </c>
      <c r="CF309" s="5"/>
      <c r="CG309" s="5"/>
      <c r="CH309" s="5"/>
      <c r="CI309" s="148"/>
      <c r="CP309" s="148"/>
      <c r="CQ309" s="148"/>
      <c r="CR309" s="148"/>
    </row>
    <row r="310" spans="1:96" outlineLevel="1">
      <c r="A310" s="3" t="s">
        <v>482</v>
      </c>
      <c r="B310" s="13" t="s">
        <v>22</v>
      </c>
      <c r="C310" s="10">
        <v>-6.8173239999999993</v>
      </c>
      <c r="D310" s="10">
        <v>-7.7590810000000001</v>
      </c>
      <c r="E310" s="10">
        <v>-13.36492</v>
      </c>
      <c r="F310" s="10">
        <v>-20.683820999999998</v>
      </c>
      <c r="G310" s="10">
        <v>-37.959207999999997</v>
      </c>
      <c r="H310" s="10">
        <v>-57.21</v>
      </c>
      <c r="I310" s="10">
        <v>-105.93818400000001</v>
      </c>
      <c r="J310" s="10">
        <v>-177.30199500000001</v>
      </c>
      <c r="K310" s="10">
        <v>-235.80050399999999</v>
      </c>
      <c r="L310" s="10">
        <v>-308.451348</v>
      </c>
      <c r="M310" s="10">
        <v>-453.85300000000001</v>
      </c>
      <c r="N310" s="10">
        <v>-601.485367</v>
      </c>
      <c r="O310" s="10">
        <v>-911.90472199999999</v>
      </c>
      <c r="P310" s="10">
        <v>-1245.719192</v>
      </c>
      <c r="Q310" s="10">
        <v>-2321.3487529999998</v>
      </c>
      <c r="R310" s="10">
        <v>-3296.6929359999999</v>
      </c>
      <c r="S310" s="16">
        <v>-7687.4215059999997</v>
      </c>
      <c r="T310" s="16">
        <v>-8259.2325079999991</v>
      </c>
      <c r="U310" s="6">
        <f t="shared" ref="U310:AD310" ca="1" si="435">U449</f>
        <v>-10013.59965155492</v>
      </c>
      <c r="V310" s="6">
        <f t="shared" ca="1" si="435"/>
        <v>-11895.632401596422</v>
      </c>
      <c r="W310" s="6">
        <f t="shared" ca="1" si="435"/>
        <v>-14115.979127445005</v>
      </c>
      <c r="X310" s="6">
        <f t="shared" ca="1" si="435"/>
        <v>-16488.748978592244</v>
      </c>
      <c r="Y310" s="6">
        <f t="shared" ca="1" si="435"/>
        <v>-19074.067696057329</v>
      </c>
      <c r="Z310" s="6">
        <f t="shared" ca="1" si="435"/>
        <v>-21731.723287086697</v>
      </c>
      <c r="AA310" s="6">
        <f t="shared" ca="1" si="435"/>
        <v>-24533.41152234493</v>
      </c>
      <c r="AB310" s="6">
        <f t="shared" ca="1" si="435"/>
        <v>-27472.36999851952</v>
      </c>
      <c r="AC310" s="6">
        <f t="shared" ca="1" si="435"/>
        <v>-31034.768410530967</v>
      </c>
      <c r="AD310" s="6">
        <f t="shared" ca="1" si="435"/>
        <v>-34694.816148607708</v>
      </c>
      <c r="AE310" s="6"/>
      <c r="AF310" s="10">
        <v>-34.017541000000001</v>
      </c>
      <c r="AG310" s="10">
        <v>-41.554054000000001</v>
      </c>
      <c r="AH310" s="10">
        <v>-47.941336</v>
      </c>
      <c r="AI310" s="10">
        <v>-53.789064000000003</v>
      </c>
      <c r="AJ310" s="10">
        <v>-53.529592000000001</v>
      </c>
      <c r="AK310" s="10">
        <v>-56.890321999999998</v>
      </c>
      <c r="AL310" s="10">
        <v>-61.254022999999997</v>
      </c>
      <c r="AM310" s="10">
        <v>-64.126566999999994</v>
      </c>
      <c r="AN310" s="10">
        <v>-63.322718000000002</v>
      </c>
      <c r="AO310" s="10">
        <v>-76.285781999999998</v>
      </c>
      <c r="AP310" s="10">
        <v>-80.758571000000003</v>
      </c>
      <c r="AQ310" s="10">
        <v>-88.084277</v>
      </c>
      <c r="AR310" s="10">
        <v>-100.72181999999999</v>
      </c>
      <c r="AS310" s="10">
        <v>-109.29397400000001</v>
      </c>
      <c r="AT310" s="10">
        <v>-123.199772</v>
      </c>
      <c r="AU310" s="10">
        <v>-120.637434</v>
      </c>
      <c r="AV310" s="10">
        <v>-130.28671</v>
      </c>
      <c r="AW310" s="10">
        <v>-136.82326900000001</v>
      </c>
      <c r="AX310" s="10">
        <v>-161.57931099999999</v>
      </c>
      <c r="AY310" s="10">
        <v>-172.796077</v>
      </c>
      <c r="AZ310" s="10">
        <v>-196.21615</v>
      </c>
      <c r="BA310" s="10">
        <v>-208.34401399999999</v>
      </c>
      <c r="BB310" s="10">
        <v>-243.244924</v>
      </c>
      <c r="BC310" s="10">
        <v>-264.09963399999998</v>
      </c>
      <c r="BD310" s="10">
        <v>-267.53261700000002</v>
      </c>
      <c r="BE310" s="10">
        <v>-309.85172399999999</v>
      </c>
      <c r="BF310" s="10">
        <v>-335.46182900000002</v>
      </c>
      <c r="BG310" s="10">
        <v>-332.87302199999999</v>
      </c>
      <c r="BH310" s="10">
        <v>-440.653457</v>
      </c>
      <c r="BI310" s="10">
        <v>-479.26219400000002</v>
      </c>
      <c r="BJ310" s="10">
        <v>-612.24550299999999</v>
      </c>
      <c r="BK310" s="10">
        <v>-789.18759899999998</v>
      </c>
      <c r="BL310" s="10">
        <v>-808.44654200000002</v>
      </c>
      <c r="BM310" s="10">
        <v>-796.50387999999998</v>
      </c>
      <c r="BN310" s="10">
        <v>-831.30076799999995</v>
      </c>
      <c r="BO310" s="10">
        <v>-860.44174599999997</v>
      </c>
      <c r="BP310" s="16">
        <v>-2396.9215960000001</v>
      </c>
      <c r="BQ310" s="16">
        <v>-1723.757548</v>
      </c>
      <c r="BR310" s="10">
        <v>-1844.406031</v>
      </c>
      <c r="BS310" s="16">
        <v>-1722.336331</v>
      </c>
      <c r="BT310" s="16">
        <v>-1962.6852369999999</v>
      </c>
      <c r="BU310" s="16">
        <v>-2036.7380209999999</v>
      </c>
      <c r="BV310" s="16">
        <v>-2185.4393690000002</v>
      </c>
      <c r="BW310" s="16">
        <v>-2074.3698810000001</v>
      </c>
      <c r="BX310" s="6">
        <f t="shared" ref="BX310:CE310" ca="1" si="436">BX449</f>
        <v>-2265.3249341076876</v>
      </c>
      <c r="BY310" s="6">
        <f t="shared" ca="1" si="436"/>
        <v>-2448.2983154454228</v>
      </c>
      <c r="BZ310" s="6">
        <f t="shared" ca="1" si="436"/>
        <v>-2842.8747159027148</v>
      </c>
      <c r="CA310" s="6">
        <f t="shared" ca="1" si="436"/>
        <v>-2457.1016860990949</v>
      </c>
      <c r="CB310" s="6">
        <f t="shared" ca="1" si="436"/>
        <v>-2742.99832792187</v>
      </c>
      <c r="CC310" s="6">
        <f t="shared" ca="1" si="436"/>
        <v>-2902.7003748363659</v>
      </c>
      <c r="CD310" s="6">
        <f t="shared" ca="1" si="436"/>
        <v>-3212.9052850339881</v>
      </c>
      <c r="CE310" s="6">
        <f t="shared" ca="1" si="436"/>
        <v>-3037.028413804197</v>
      </c>
      <c r="CF310" s="5"/>
      <c r="CG310" s="5"/>
      <c r="CH310" s="5"/>
    </row>
    <row r="311" spans="1:96" outlineLevel="1">
      <c r="A311" s="3" t="s">
        <v>483</v>
      </c>
      <c r="B311" s="13" t="s">
        <v>23</v>
      </c>
      <c r="C311" s="10">
        <v>-17.378332999999998</v>
      </c>
      <c r="D311" s="10">
        <v>-30.359491000000002</v>
      </c>
      <c r="E311" s="10">
        <v>-32.308004000000004</v>
      </c>
      <c r="F311" s="10">
        <v>-47.57105</v>
      </c>
      <c r="G311" s="10">
        <v>-72.863325000000003</v>
      </c>
      <c r="H311" s="10">
        <v>-112.9928</v>
      </c>
      <c r="I311" s="10">
        <v>-172.491625</v>
      </c>
      <c r="J311" s="10">
        <v>-243.31452899999999</v>
      </c>
      <c r="K311" s="10">
        <v>-286.69318800000002</v>
      </c>
      <c r="L311" s="10">
        <v>-345.28929900000003</v>
      </c>
      <c r="M311" s="10">
        <v>-453.29270100000002</v>
      </c>
      <c r="N311" s="10">
        <v>-624.59968600000002</v>
      </c>
      <c r="O311" s="10">
        <v>-984.00216499999999</v>
      </c>
      <c r="P311" s="10">
        <v>-1269.41272</v>
      </c>
      <c r="Q311" s="10">
        <v>-2214.209719</v>
      </c>
      <c r="R311" s="10">
        <v>-3087.9899529999998</v>
      </c>
      <c r="S311" s="16">
        <v>-5860.9274320000004</v>
      </c>
      <c r="T311" s="16">
        <v>-8294.1864819999992</v>
      </c>
      <c r="U311" s="6">
        <f t="shared" ref="U311:AD311" ca="1" si="437">U461</f>
        <v>-10055.978298908392</v>
      </c>
      <c r="V311" s="6">
        <f t="shared" ca="1" si="437"/>
        <v>-11945.976017092924</v>
      </c>
      <c r="W311" s="6">
        <f t="shared" ca="1" si="437"/>
        <v>-14175.719492778871</v>
      </c>
      <c r="X311" s="6">
        <f t="shared" ca="1" si="437"/>
        <v>-16558.531165076518</v>
      </c>
      <c r="Y311" s="6">
        <f t="shared" ca="1" si="437"/>
        <v>-19154.791233707641</v>
      </c>
      <c r="Z311" s="6">
        <f t="shared" ca="1" si="437"/>
        <v>-21823.694313452193</v>
      </c>
      <c r="AA311" s="6">
        <f t="shared" ca="1" si="437"/>
        <v>-24637.239599306406</v>
      </c>
      <c r="AB311" s="6">
        <f t="shared" ca="1" si="437"/>
        <v>-27588.636068728403</v>
      </c>
      <c r="AC311" s="6">
        <f t="shared" ca="1" si="437"/>
        <v>-31166.110939884267</v>
      </c>
      <c r="AD311" s="6">
        <f t="shared" ca="1" si="437"/>
        <v>-34841.648399718033</v>
      </c>
      <c r="AE311" s="6"/>
      <c r="AF311" s="10">
        <v>-48.394455000000001</v>
      </c>
      <c r="AG311" s="10">
        <v>-58.973708000000002</v>
      </c>
      <c r="AH311" s="10">
        <v>-63.446452000000001</v>
      </c>
      <c r="AI311" s="10">
        <v>-72.479913999999994</v>
      </c>
      <c r="AJ311" s="10">
        <v>-65.921611999999996</v>
      </c>
      <c r="AK311" s="10">
        <v>-68.281458000000001</v>
      </c>
      <c r="AL311" s="10">
        <v>-71.028048999999996</v>
      </c>
      <c r="AM311" s="10">
        <v>-81.462069</v>
      </c>
      <c r="AN311" s="10">
        <v>-70.724070999999995</v>
      </c>
      <c r="AO311" s="10">
        <v>-82.817192000000006</v>
      </c>
      <c r="AP311" s="10">
        <v>-93.931483999999998</v>
      </c>
      <c r="AQ311" s="10">
        <v>-97.816552000000001</v>
      </c>
      <c r="AR311" s="10">
        <v>-94.439323999999999</v>
      </c>
      <c r="AS311" s="10">
        <v>-106.72406700000001</v>
      </c>
      <c r="AT311" s="10">
        <v>-125.160008</v>
      </c>
      <c r="AU311" s="10">
        <v>-126.969302</v>
      </c>
      <c r="AV311" s="10">
        <v>-124.641801</v>
      </c>
      <c r="AW311" s="10">
        <v>-141.44411099999999</v>
      </c>
      <c r="AX311" s="10">
        <v>-173.85534999999999</v>
      </c>
      <c r="AY311" s="10">
        <v>-184.658424</v>
      </c>
      <c r="AZ311" s="10">
        <v>-183.40506400000001</v>
      </c>
      <c r="BA311" s="10">
        <v>-217.23589699999999</v>
      </c>
      <c r="BB311" s="10">
        <v>-302.596451</v>
      </c>
      <c r="BC311" s="10">
        <v>-280.76475299999998</v>
      </c>
      <c r="BD311" s="10">
        <v>-267.49432300000001</v>
      </c>
      <c r="BE311" s="10">
        <v>-271.24414899999999</v>
      </c>
      <c r="BF311" s="10">
        <v>-354.50184999999999</v>
      </c>
      <c r="BG311" s="10">
        <v>-376.17239799999999</v>
      </c>
      <c r="BH311" s="10">
        <v>-429.54855500000002</v>
      </c>
      <c r="BI311" s="10">
        <v>-479.27401099999997</v>
      </c>
      <c r="BJ311" s="10">
        <v>-598.185788</v>
      </c>
      <c r="BK311" s="10">
        <v>-707.20136500000001</v>
      </c>
      <c r="BL311" s="10">
        <v>-722.50460599999997</v>
      </c>
      <c r="BM311" s="10">
        <v>-678.719875</v>
      </c>
      <c r="BN311" s="10">
        <v>-838.091452</v>
      </c>
      <c r="BO311" s="10">
        <v>-848.67402000000004</v>
      </c>
      <c r="BP311" s="16">
        <v>-1543.324251</v>
      </c>
      <c r="BQ311" s="16">
        <v>-1340.1839299999999</v>
      </c>
      <c r="BR311" s="10">
        <v>-1506.558491</v>
      </c>
      <c r="BS311" s="16">
        <v>-1470.86076</v>
      </c>
      <c r="BT311" s="16">
        <v>-1880.630701</v>
      </c>
      <c r="BU311" s="16">
        <v>-2001.4715570000001</v>
      </c>
      <c r="BV311" s="16">
        <v>-2377.8509239999998</v>
      </c>
      <c r="BW311" s="16">
        <v>-2034.2333000000001</v>
      </c>
      <c r="BX311" s="6">
        <f t="shared" ref="BX311:CE311" ca="1" si="438">BX461</f>
        <v>-2265.3249341076876</v>
      </c>
      <c r="BY311" s="6">
        <f t="shared" ca="1" si="438"/>
        <v>-2448.2983154454228</v>
      </c>
      <c r="BZ311" s="6">
        <f t="shared" ca="1" si="438"/>
        <v>-2842.8747159027148</v>
      </c>
      <c r="CA311" s="6">
        <f t="shared" ca="1" si="438"/>
        <v>-2499.4803334525677</v>
      </c>
      <c r="CB311" s="6">
        <f t="shared" ca="1" si="438"/>
        <v>-2742.99832792187</v>
      </c>
      <c r="CC311" s="6">
        <f t="shared" ca="1" si="438"/>
        <v>-2902.7003748363659</v>
      </c>
      <c r="CD311" s="6">
        <f t="shared" ca="1" si="438"/>
        <v>-3212.9052850339881</v>
      </c>
      <c r="CE311" s="6">
        <f t="shared" ca="1" si="438"/>
        <v>-3087.3720293006991</v>
      </c>
      <c r="CF311" s="5"/>
      <c r="CG311" s="5"/>
      <c r="CH311" s="5"/>
    </row>
    <row r="312" spans="1:96" outlineLevel="1">
      <c r="A312" s="3" t="s">
        <v>484</v>
      </c>
      <c r="B312" s="13" t="s">
        <v>24</v>
      </c>
      <c r="C312" s="10">
        <v>-11.677102999999999</v>
      </c>
      <c r="D312" s="10">
        <v>-14.836366999999999</v>
      </c>
      <c r="E312" s="10">
        <v>-16.164277000000002</v>
      </c>
      <c r="F312" s="10">
        <v>-20.774211999999999</v>
      </c>
      <c r="G312" s="10">
        <v>-38.359482999999997</v>
      </c>
      <c r="H312" s="10">
        <v>-42.892499999999998</v>
      </c>
      <c r="I312" s="10">
        <v>-93.173911000000004</v>
      </c>
      <c r="J312" s="10">
        <v>-137.94375600000001</v>
      </c>
      <c r="K312" s="10">
        <v>-171.693601</v>
      </c>
      <c r="L312" s="10">
        <v>-196.297316</v>
      </c>
      <c r="M312" s="10">
        <v>-294.701167</v>
      </c>
      <c r="N312" s="10">
        <v>-400.87562100000002</v>
      </c>
      <c r="O312" s="10">
        <v>-570.48745699999995</v>
      </c>
      <c r="P312" s="10">
        <v>-646.40487900000005</v>
      </c>
      <c r="Q312" s="10">
        <v>-861.55062799999996</v>
      </c>
      <c r="R312" s="10">
        <v>-1088.4024079999999</v>
      </c>
      <c r="S312" s="16">
        <v>-2518.8191700000002</v>
      </c>
      <c r="T312" s="16">
        <v>-2621.8323810000002</v>
      </c>
      <c r="U312" s="6">
        <f t="shared" ref="U312:AD312" ca="1" si="439">U478</f>
        <v>-3178.7432780693684</v>
      </c>
      <c r="V312" s="6">
        <f t="shared" ca="1" si="439"/>
        <v>-3776.1806793511209</v>
      </c>
      <c r="W312" s="6">
        <f t="shared" ca="1" si="439"/>
        <v>-4481.0133544499859</v>
      </c>
      <c r="X312" s="6">
        <f t="shared" ca="1" si="439"/>
        <v>-5234.2316253211147</v>
      </c>
      <c r="Y312" s="6">
        <f t="shared" ca="1" si="439"/>
        <v>-6054.9219645372386</v>
      </c>
      <c r="Z312" s="6">
        <f t="shared" ca="1" si="439"/>
        <v>-6898.575110196628</v>
      </c>
      <c r="AA312" s="6">
        <f t="shared" ca="1" si="439"/>
        <v>-7787.9503553603618</v>
      </c>
      <c r="AB312" s="6">
        <f t="shared" ca="1" si="439"/>
        <v>-8720.9010250243227</v>
      </c>
      <c r="AC312" s="6">
        <f t="shared" ca="1" si="439"/>
        <v>-9851.7580994059608</v>
      </c>
      <c r="AD312" s="6">
        <f t="shared" ca="1" si="439"/>
        <v>-11013.613231393172</v>
      </c>
      <c r="AE312" s="6"/>
      <c r="AF312" s="10">
        <v>-30.166713999999999</v>
      </c>
      <c r="AG312" s="10">
        <v>-35.065801999999998</v>
      </c>
      <c r="AH312" s="10">
        <v>-36.269362000000001</v>
      </c>
      <c r="AI312" s="10">
        <v>-36.441878000000003</v>
      </c>
      <c r="AJ312" s="10">
        <v>-42.723132999999997</v>
      </c>
      <c r="AK312" s="10">
        <v>-42.902709000000002</v>
      </c>
      <c r="AL312" s="10">
        <v>-44.819505999999997</v>
      </c>
      <c r="AM312" s="10">
        <v>-41.248252999999998</v>
      </c>
      <c r="AN312" s="10">
        <v>-41.321278</v>
      </c>
      <c r="AO312" s="10">
        <v>-45.444456000000002</v>
      </c>
      <c r="AP312" s="10">
        <v>-47.188825000000001</v>
      </c>
      <c r="AQ312" s="10">
        <v>-62.342756999999999</v>
      </c>
      <c r="AR312" s="10">
        <v>-66.741488000000004</v>
      </c>
      <c r="AS312" s="10">
        <v>-70.629317</v>
      </c>
      <c r="AT312" s="10">
        <v>-79.623531</v>
      </c>
      <c r="AU312" s="10">
        <v>-77.706830999999994</v>
      </c>
      <c r="AV312" s="10">
        <v>-82.145927999999998</v>
      </c>
      <c r="AW312" s="10">
        <v>-96.617795000000001</v>
      </c>
      <c r="AX312" s="10">
        <v>-108.847827</v>
      </c>
      <c r="AY312" s="10">
        <v>-113.264071</v>
      </c>
      <c r="AZ312" s="10">
        <v>-128.674249</v>
      </c>
      <c r="BA312" s="10">
        <v>-138.82637800000001</v>
      </c>
      <c r="BB312" s="10">
        <v>-151.107619</v>
      </c>
      <c r="BC312" s="10">
        <v>-151.879211</v>
      </c>
      <c r="BD312" s="10">
        <v>-161.29276100000001</v>
      </c>
      <c r="BE312" s="10">
        <v>-158.70809499999999</v>
      </c>
      <c r="BF312" s="10">
        <v>-172.34882500000001</v>
      </c>
      <c r="BG312" s="10">
        <v>-154.05519799999999</v>
      </c>
      <c r="BH312" s="10">
        <v>-191.227092</v>
      </c>
      <c r="BI312" s="10">
        <v>-194.20367300000001</v>
      </c>
      <c r="BJ312" s="10">
        <v>-241.91647599999999</v>
      </c>
      <c r="BK312" s="10">
        <v>-234.20338699999999</v>
      </c>
      <c r="BL312" s="10">
        <v>-259.48613799999998</v>
      </c>
      <c r="BM312" s="10">
        <v>-261.01016800000002</v>
      </c>
      <c r="BN312" s="10">
        <v>-261.39578</v>
      </c>
      <c r="BO312" s="10">
        <v>-306.51032199999997</v>
      </c>
      <c r="BP312" s="16">
        <v>-929.19185700000003</v>
      </c>
      <c r="BQ312" s="16">
        <v>-510.10776900000002</v>
      </c>
      <c r="BR312" s="10">
        <v>-539.18121499999995</v>
      </c>
      <c r="BS312" s="16">
        <v>-540.33832900000004</v>
      </c>
      <c r="BT312" s="16">
        <v>-638.26537499999995</v>
      </c>
      <c r="BU312" s="16">
        <v>-608.20322299999998</v>
      </c>
      <c r="BV312" s="16">
        <v>-673.90383699999995</v>
      </c>
      <c r="BW312" s="16">
        <v>-701.45994599999995</v>
      </c>
      <c r="BX312" s="6">
        <f t="shared" ref="BX312:CE312" ca="1" si="440">BX478</f>
        <v>-737.54765296529411</v>
      </c>
      <c r="BY312" s="6">
        <f t="shared" ca="1" si="440"/>
        <v>-797.12038177292868</v>
      </c>
      <c r="BZ312" s="6">
        <f t="shared" ca="1" si="440"/>
        <v>-925.58711680553552</v>
      </c>
      <c r="CA312" s="6">
        <f t="shared" ca="1" si="440"/>
        <v>-718.48812652561037</v>
      </c>
      <c r="CB312" s="6">
        <f t="shared" ca="1" si="440"/>
        <v>-893.06922304433022</v>
      </c>
      <c r="CC312" s="6">
        <f t="shared" ca="1" si="440"/>
        <v>-945.06523831881736</v>
      </c>
      <c r="CD312" s="6">
        <f t="shared" ca="1" si="440"/>
        <v>-1046.0621858250199</v>
      </c>
      <c r="CE312" s="6">
        <f t="shared" ca="1" si="440"/>
        <v>-891.9840321629531</v>
      </c>
      <c r="CF312" s="5"/>
      <c r="CG312" s="5"/>
      <c r="CH312" s="5"/>
    </row>
    <row r="313" spans="1:96" outlineLevel="1">
      <c r="A313" s="3" t="s">
        <v>539</v>
      </c>
      <c r="B313" s="13" t="s">
        <v>25</v>
      </c>
      <c r="C313" s="10">
        <v>-36.243581999999996</v>
      </c>
      <c r="D313" s="10">
        <v>-55.696122000000003</v>
      </c>
      <c r="E313" s="10">
        <v>-63.105498000000004</v>
      </c>
      <c r="F313" s="10">
        <v>-89.417238999999981</v>
      </c>
      <c r="G313" s="10">
        <v>-149.67491599999997</v>
      </c>
      <c r="H313" s="6">
        <f t="shared" ref="H313:R313" si="441">SUM(H310:H312)</f>
        <v>-213.09530000000001</v>
      </c>
      <c r="I313" s="6">
        <f t="shared" si="441"/>
        <v>-371.60371999999995</v>
      </c>
      <c r="J313" s="6">
        <f t="shared" si="441"/>
        <v>-558.56028000000003</v>
      </c>
      <c r="K313" s="6">
        <f t="shared" si="441"/>
        <v>-694.18729299999995</v>
      </c>
      <c r="L313" s="6">
        <f t="shared" si="441"/>
        <v>-850.0379630000001</v>
      </c>
      <c r="M313" s="6">
        <f t="shared" si="441"/>
        <v>-1201.8468680000001</v>
      </c>
      <c r="N313" s="6">
        <f t="shared" si="441"/>
        <v>-1626.9606739999999</v>
      </c>
      <c r="O313" s="6">
        <f t="shared" si="441"/>
        <v>-2466.3943440000003</v>
      </c>
      <c r="P313" s="6">
        <f t="shared" si="441"/>
        <v>-3161.536791</v>
      </c>
      <c r="Q313" s="6">
        <f t="shared" si="441"/>
        <v>-5397.1090999999997</v>
      </c>
      <c r="R313" s="6">
        <f t="shared" si="441"/>
        <v>-7473.0852969999996</v>
      </c>
      <c r="S313" s="6">
        <f>SUM(BP313:BS313)</f>
        <v>-16067.168108</v>
      </c>
      <c r="T313" s="6">
        <f t="shared" ref="T313:AB313" si="442">SUM(T310:T312)</f>
        <v>-19175.251370999998</v>
      </c>
      <c r="U313" s="6">
        <f t="shared" ca="1" si="442"/>
        <v>-23248.321228532677</v>
      </c>
      <c r="V313" s="6">
        <f t="shared" ca="1" si="442"/>
        <v>-27617.789098040466</v>
      </c>
      <c r="W313" s="6">
        <f t="shared" ca="1" si="442"/>
        <v>-32772.711974673861</v>
      </c>
      <c r="X313" s="6">
        <f t="shared" ca="1" si="442"/>
        <v>-38281.511768989876</v>
      </c>
      <c r="Y313" s="6">
        <f t="shared" ca="1" si="442"/>
        <v>-44283.78089430221</v>
      </c>
      <c r="Z313" s="6">
        <f t="shared" ca="1" si="442"/>
        <v>-50453.992710735518</v>
      </c>
      <c r="AA313" s="6">
        <f t="shared" ca="1" si="442"/>
        <v>-56958.601477011696</v>
      </c>
      <c r="AB313" s="6">
        <f t="shared" ca="1" si="442"/>
        <v>-63781.907092272246</v>
      </c>
      <c r="AC313" s="6">
        <f ca="1">SUM(AC310:AC312)</f>
        <v>-72052.637449821195</v>
      </c>
      <c r="AD313" s="6">
        <f ca="1">SUM(AD310:AD312)</f>
        <v>-80550.077779718922</v>
      </c>
      <c r="AE313" s="6"/>
      <c r="AF313" s="6">
        <f t="shared" ref="AF313:CA313" si="443">SUM(AF310:AF312)</f>
        <v>-112.57871</v>
      </c>
      <c r="AG313" s="6">
        <f t="shared" si="443"/>
        <v>-135.59356399999999</v>
      </c>
      <c r="AH313" s="6">
        <f t="shared" si="443"/>
        <v>-147.65715</v>
      </c>
      <c r="AI313" s="6">
        <f t="shared" si="443"/>
        <v>-162.71085600000001</v>
      </c>
      <c r="AJ313" s="6">
        <f t="shared" si="443"/>
        <v>-162.17433699999998</v>
      </c>
      <c r="AK313" s="6">
        <f t="shared" si="443"/>
        <v>-168.074489</v>
      </c>
      <c r="AL313" s="6">
        <f t="shared" si="443"/>
        <v>-177.10157799999999</v>
      </c>
      <c r="AM313" s="6">
        <f t="shared" si="443"/>
        <v>-186.83688900000001</v>
      </c>
      <c r="AN313" s="6">
        <f t="shared" si="443"/>
        <v>-175.368067</v>
      </c>
      <c r="AO313" s="6">
        <f t="shared" si="443"/>
        <v>-204.54743000000002</v>
      </c>
      <c r="AP313" s="6">
        <f t="shared" si="443"/>
        <v>-221.87888000000001</v>
      </c>
      <c r="AQ313" s="6">
        <f t="shared" si="443"/>
        <v>-248.24358599999999</v>
      </c>
      <c r="AR313" s="6">
        <f t="shared" si="443"/>
        <v>-261.90263199999998</v>
      </c>
      <c r="AS313" s="6">
        <f t="shared" si="443"/>
        <v>-286.647358</v>
      </c>
      <c r="AT313" s="6">
        <f t="shared" si="443"/>
        <v>-327.98331100000001</v>
      </c>
      <c r="AU313" s="6">
        <f t="shared" si="443"/>
        <v>-325.31356700000003</v>
      </c>
      <c r="AV313" s="6">
        <f t="shared" si="443"/>
        <v>-337.07443899999998</v>
      </c>
      <c r="AW313" s="6">
        <f t="shared" si="443"/>
        <v>-374.885175</v>
      </c>
      <c r="AX313" s="6">
        <f t="shared" si="443"/>
        <v>-444.282488</v>
      </c>
      <c r="AY313" s="6">
        <f t="shared" si="443"/>
        <v>-470.71857199999999</v>
      </c>
      <c r="AZ313" s="6">
        <f t="shared" si="443"/>
        <v>-508.29546300000004</v>
      </c>
      <c r="BA313" s="6">
        <f t="shared" si="443"/>
        <v>-564.40628900000002</v>
      </c>
      <c r="BB313" s="6">
        <f t="shared" si="443"/>
        <v>-696.94899399999997</v>
      </c>
      <c r="BC313" s="6">
        <f t="shared" si="443"/>
        <v>-696.74359800000002</v>
      </c>
      <c r="BD313" s="6">
        <f t="shared" si="443"/>
        <v>-696.31970100000001</v>
      </c>
      <c r="BE313" s="6">
        <f t="shared" si="443"/>
        <v>-739.80396799999994</v>
      </c>
      <c r="BF313" s="6">
        <f t="shared" si="443"/>
        <v>-862.31250399999999</v>
      </c>
      <c r="BG313" s="6">
        <f t="shared" si="443"/>
        <v>-863.10061799999994</v>
      </c>
      <c r="BH313" s="6">
        <f t="shared" si="443"/>
        <v>-1061.4291040000001</v>
      </c>
      <c r="BI313" s="6">
        <f t="shared" si="443"/>
        <v>-1152.7398780000001</v>
      </c>
      <c r="BJ313" s="6">
        <f t="shared" si="443"/>
        <v>-1452.3477669999997</v>
      </c>
      <c r="BK313" s="6">
        <f t="shared" si="443"/>
        <v>-1730.592351</v>
      </c>
      <c r="BL313" s="6">
        <f t="shared" si="443"/>
        <v>-1790.4372860000001</v>
      </c>
      <c r="BM313" s="6">
        <f t="shared" si="443"/>
        <v>-1736.233923</v>
      </c>
      <c r="BN313" s="6">
        <f t="shared" si="443"/>
        <v>-1930.788</v>
      </c>
      <c r="BO313" s="6">
        <f t="shared" si="443"/>
        <v>-2015.626088</v>
      </c>
      <c r="BP313" s="6">
        <f t="shared" si="443"/>
        <v>-4869.4377039999999</v>
      </c>
      <c r="BQ313" s="6">
        <f t="shared" si="443"/>
        <v>-3574.0492469999999</v>
      </c>
      <c r="BR313" s="6">
        <f t="shared" si="443"/>
        <v>-3890.1457370000003</v>
      </c>
      <c r="BS313" s="6">
        <f t="shared" si="443"/>
        <v>-3733.5354200000002</v>
      </c>
      <c r="BT313" s="6">
        <f t="shared" si="443"/>
        <v>-4481.5813129999997</v>
      </c>
      <c r="BU313" s="6">
        <f>(SUM(BU310:BU312))</f>
        <v>-4646.4128010000004</v>
      </c>
      <c r="BV313" s="6">
        <f t="shared" si="443"/>
        <v>-5237.1941299999999</v>
      </c>
      <c r="BW313" s="6">
        <f t="shared" si="443"/>
        <v>-4810.0631270000003</v>
      </c>
      <c r="BX313" s="6">
        <f t="shared" ca="1" si="443"/>
        <v>-5268.1975211806694</v>
      </c>
      <c r="BY313" s="6">
        <f t="shared" ca="1" si="443"/>
        <v>-5693.7170126637739</v>
      </c>
      <c r="BZ313" s="6">
        <f t="shared" ca="1" si="443"/>
        <v>-6611.3365486109651</v>
      </c>
      <c r="CA313" s="6">
        <f t="shared" ca="1" si="443"/>
        <v>-5675.0701460772725</v>
      </c>
      <c r="CB313" s="6">
        <f ca="1">SUM(CB310:CB312)</f>
        <v>-6379.0658788880701</v>
      </c>
      <c r="CC313" s="6">
        <f ca="1">SUM(CC310:CC312)</f>
        <v>-6750.4659879915489</v>
      </c>
      <c r="CD313" s="6">
        <f ca="1">SUM(CD310:CD312)</f>
        <v>-7471.8727558929959</v>
      </c>
      <c r="CE313" s="6">
        <f ca="1">SUM(CE310:CE312)</f>
        <v>-7016.3844752678488</v>
      </c>
      <c r="CF313" s="5"/>
      <c r="CG313" s="5"/>
      <c r="CH313" s="5"/>
      <c r="CI313" s="145"/>
      <c r="CP313" s="145"/>
      <c r="CQ313" s="145"/>
      <c r="CR313" s="145"/>
    </row>
    <row r="314" spans="1:96" outlineLevel="1">
      <c r="B314" s="145" t="s">
        <v>755</v>
      </c>
      <c r="C314" s="149"/>
      <c r="D314" s="149"/>
      <c r="E314" s="149"/>
      <c r="F314" s="149"/>
      <c r="G314" s="14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/>
      <c r="AY314" s="19"/>
      <c r="AZ314" s="19"/>
      <c r="BA314" s="19"/>
      <c r="BB314" s="19"/>
      <c r="BC314" s="19"/>
      <c r="BD314" s="19"/>
      <c r="BE314" s="19"/>
      <c r="BF314" s="19"/>
      <c r="BG314" s="19"/>
      <c r="BH314" s="19"/>
      <c r="BI314" s="19"/>
      <c r="BJ314" s="19"/>
      <c r="BK314" s="19"/>
      <c r="BL314" s="19"/>
      <c r="BM314" s="19"/>
      <c r="BN314" s="19"/>
      <c r="BO314" s="19"/>
      <c r="BP314" s="19"/>
      <c r="BQ314" s="19"/>
      <c r="BR314" s="19"/>
      <c r="BS314" s="19"/>
      <c r="BT314" s="19"/>
      <c r="BU314" s="19"/>
      <c r="BV314" s="19"/>
      <c r="BW314" s="19"/>
      <c r="BX314" s="19"/>
      <c r="BY314" s="19"/>
      <c r="BZ314" s="19"/>
      <c r="CA314" s="19"/>
      <c r="CB314" s="19"/>
      <c r="CC314" s="19"/>
      <c r="CD314" s="19"/>
      <c r="CE314" s="19"/>
      <c r="CF314" s="5"/>
      <c r="CG314" s="5"/>
      <c r="CH314" s="5"/>
    </row>
    <row r="315" spans="1:96" ht="15.75" outlineLevel="1" thickBot="1">
      <c r="A315" s="3" t="s">
        <v>62</v>
      </c>
      <c r="B315" s="151" t="s">
        <v>26</v>
      </c>
      <c r="C315" s="151">
        <f t="shared" ref="C315:R315" si="444">C309+C313</f>
        <v>-31.740168999999998</v>
      </c>
      <c r="D315" s="151">
        <f t="shared" si="444"/>
        <v>-19.652379000000003</v>
      </c>
      <c r="E315" s="151">
        <f t="shared" si="444"/>
        <v>23.270142999999997</v>
      </c>
      <c r="F315" s="151">
        <f t="shared" si="444"/>
        <v>58.075231999999986</v>
      </c>
      <c r="G315" s="151">
        <f t="shared" si="444"/>
        <v>135.66987800000001</v>
      </c>
      <c r="H315" s="151">
        <f t="shared" si="444"/>
        <v>219.50179999999995</v>
      </c>
      <c r="I315" s="151">
        <f t="shared" si="444"/>
        <v>255.215959</v>
      </c>
      <c r="J315" s="151">
        <f t="shared" si="444"/>
        <v>404.32480399999997</v>
      </c>
      <c r="K315" s="151">
        <f t="shared" si="444"/>
        <v>461.02647000000024</v>
      </c>
      <c r="L315" s="151">
        <f t="shared" si="444"/>
        <v>687.36604200000022</v>
      </c>
      <c r="M315" s="151">
        <f t="shared" si="444"/>
        <v>1054.1252869999994</v>
      </c>
      <c r="N315" s="151">
        <f t="shared" si="444"/>
        <v>1065.9941699999999</v>
      </c>
      <c r="O315" s="151">
        <f t="shared" si="444"/>
        <v>654.60581199999979</v>
      </c>
      <c r="P315" s="151">
        <f t="shared" si="444"/>
        <v>838.4416839999999</v>
      </c>
      <c r="Q315" s="151">
        <f t="shared" si="444"/>
        <v>-150.7971439999983</v>
      </c>
      <c r="R315" s="151">
        <f t="shared" si="444"/>
        <v>381.04294500000196</v>
      </c>
      <c r="S315" s="151">
        <f>SUM(BP315:BS315)</f>
        <v>-1568.4784859999995</v>
      </c>
      <c r="T315" s="151">
        <f t="shared" ref="T315:AB315" si="445">T309+T313+T314</f>
        <v>2926.1705440000005</v>
      </c>
      <c r="U315" s="151">
        <f t="shared" ca="1" si="445"/>
        <v>3184.7015381551682</v>
      </c>
      <c r="V315" s="151">
        <f t="shared" ca="1" si="445"/>
        <v>5683.660944814128</v>
      </c>
      <c r="W315" s="151">
        <f t="shared" ca="1" si="445"/>
        <v>8021.9772594724054</v>
      </c>
      <c r="X315" s="151">
        <f t="shared" ca="1" si="445"/>
        <v>10836.612562298673</v>
      </c>
      <c r="Y315" s="151">
        <f t="shared" ca="1" si="445"/>
        <v>14339.510003869284</v>
      </c>
      <c r="Z315" s="151">
        <f t="shared" ca="1" si="445"/>
        <v>17577.520041159471</v>
      </c>
      <c r="AA315" s="151">
        <f t="shared" ca="1" si="445"/>
        <v>21102.694973450234</v>
      </c>
      <c r="AB315" s="151">
        <f t="shared" ca="1" si="445"/>
        <v>25087.550122960412</v>
      </c>
      <c r="AC315" s="151">
        <f ca="1">AC309+AC313+AC314</f>
        <v>28340.704063596335</v>
      </c>
      <c r="AD315" s="151">
        <f ca="1">AD309+AD313+AD314</f>
        <v>31683.030593356089</v>
      </c>
      <c r="AE315" s="151"/>
      <c r="AF315" s="151">
        <f t="shared" ref="AF315:BS315" si="446">AF309+AF313</f>
        <v>71.07765599999999</v>
      </c>
      <c r="AG315" s="151">
        <f t="shared" si="446"/>
        <v>95.201663999999965</v>
      </c>
      <c r="AH315" s="151">
        <f t="shared" si="446"/>
        <v>111.00157499999995</v>
      </c>
      <c r="AI315" s="151">
        <f t="shared" si="446"/>
        <v>127.063909</v>
      </c>
      <c r="AJ315" s="151">
        <f t="shared" si="446"/>
        <v>110.31769300000002</v>
      </c>
      <c r="AK315" s="151">
        <f t="shared" si="446"/>
        <v>127.29742300000007</v>
      </c>
      <c r="AL315" s="151">
        <f t="shared" si="446"/>
        <v>106.63153100000002</v>
      </c>
      <c r="AM315" s="151">
        <f t="shared" si="446"/>
        <v>116.96022899999994</v>
      </c>
      <c r="AN315" s="151">
        <f t="shared" si="446"/>
        <v>135.23890500000005</v>
      </c>
      <c r="AO315" s="151">
        <f t="shared" si="446"/>
        <v>163.67803399999997</v>
      </c>
      <c r="AP315" s="151">
        <f t="shared" si="446"/>
        <v>199.19754900000007</v>
      </c>
      <c r="AQ315" s="151">
        <f t="shared" si="446"/>
        <v>189.251734</v>
      </c>
      <c r="AR315" s="151">
        <f t="shared" si="446"/>
        <v>196.44173300000006</v>
      </c>
      <c r="AS315" s="151">
        <f t="shared" si="446"/>
        <v>257.37818299999998</v>
      </c>
      <c r="AT315" s="151">
        <f t="shared" si="446"/>
        <v>308.02164899999985</v>
      </c>
      <c r="AU315" s="151">
        <f t="shared" si="446"/>
        <v>292.28372200000001</v>
      </c>
      <c r="AV315" s="151">
        <f t="shared" si="446"/>
        <v>262.74167199999999</v>
      </c>
      <c r="AW315" s="151">
        <f t="shared" si="446"/>
        <v>268.37875300000007</v>
      </c>
      <c r="AX315" s="151">
        <f t="shared" si="446"/>
        <v>304.29226100000011</v>
      </c>
      <c r="AY315" s="151">
        <f t="shared" si="446"/>
        <v>230.58148399999993</v>
      </c>
      <c r="AZ315" s="151">
        <f t="shared" si="446"/>
        <v>176.55618800000002</v>
      </c>
      <c r="BA315" s="151">
        <f t="shared" si="446"/>
        <v>168.04991199999995</v>
      </c>
      <c r="BB315" s="151">
        <f t="shared" si="446"/>
        <v>190.09282999999994</v>
      </c>
      <c r="BC315" s="151">
        <f t="shared" si="446"/>
        <v>119.90692200000001</v>
      </c>
      <c r="BD315" s="151">
        <f t="shared" si="446"/>
        <v>160.01674599999967</v>
      </c>
      <c r="BE315" s="151">
        <f t="shared" si="446"/>
        <v>195.94067300000029</v>
      </c>
      <c r="BF315" s="151">
        <f t="shared" si="446"/>
        <v>299.54139899999973</v>
      </c>
      <c r="BG315" s="151">
        <f t="shared" si="446"/>
        <v>182.94286600000009</v>
      </c>
      <c r="BH315" s="151">
        <f t="shared" si="446"/>
        <v>70.947131000000127</v>
      </c>
      <c r="BI315" s="151">
        <f t="shared" si="446"/>
        <v>90.919659000000138</v>
      </c>
      <c r="BJ315" s="151">
        <f t="shared" si="446"/>
        <v>88.242546000000402</v>
      </c>
      <c r="BK315" s="151">
        <f t="shared" si="446"/>
        <v>-400.9064800000001</v>
      </c>
      <c r="BL315" s="151">
        <f t="shared" si="446"/>
        <v>-180.26735800000074</v>
      </c>
      <c r="BM315" s="151">
        <f t="shared" si="446"/>
        <v>60.883292000000438</v>
      </c>
      <c r="BN315" s="151">
        <f t="shared" si="446"/>
        <v>405.23432600000024</v>
      </c>
      <c r="BO315" s="151">
        <f t="shared" si="446"/>
        <v>95.192684999999983</v>
      </c>
      <c r="BP315" s="151">
        <f t="shared" si="446"/>
        <v>-1827.3756310000008</v>
      </c>
      <c r="BQ315" s="151">
        <f t="shared" si="446"/>
        <v>-395.91300199999841</v>
      </c>
      <c r="BR315" s="151">
        <f t="shared" si="446"/>
        <v>447.42374400000017</v>
      </c>
      <c r="BS315" s="151">
        <f t="shared" si="446"/>
        <v>207.38640299999952</v>
      </c>
      <c r="BT315" s="151">
        <f t="shared" ref="BT315:CA315" si="447">BT309+BT313+BT314</f>
        <v>414.17378600000029</v>
      </c>
      <c r="BU315" s="151">
        <f t="shared" si="447"/>
        <v>645.2622539999993</v>
      </c>
      <c r="BV315" s="151">
        <f t="shared" si="447"/>
        <v>1358.9982689999997</v>
      </c>
      <c r="BW315" s="151">
        <f t="shared" si="447"/>
        <v>507.73623500000031</v>
      </c>
      <c r="BX315" s="151">
        <f t="shared" ca="1" si="447"/>
        <v>281.50673777301199</v>
      </c>
      <c r="BY315" s="151">
        <f t="shared" ca="1" si="447"/>
        <v>531.9130367093785</v>
      </c>
      <c r="BZ315" s="151">
        <f t="shared" ca="1" si="447"/>
        <v>1126.7207357491934</v>
      </c>
      <c r="CA315" s="151">
        <f t="shared" ca="1" si="447"/>
        <v>1244.5610279235771</v>
      </c>
      <c r="CB315" s="151">
        <f ca="1">CB309+CB313+CB314</f>
        <v>1202.9095657331791</v>
      </c>
      <c r="CC315" s="151">
        <f ca="1">CC309+CC313+CC314</f>
        <v>1389.22633376058</v>
      </c>
      <c r="CD315" s="151">
        <f ca="1">CD309+CD313+CD314</f>
        <v>1806.6319200815897</v>
      </c>
      <c r="CE315" s="151">
        <f ca="1">CE309+CE313+CE314</f>
        <v>1284.8931252387792</v>
      </c>
      <c r="CF315" s="31"/>
      <c r="CG315" s="5"/>
      <c r="CH315" s="5"/>
      <c r="CI315" s="150"/>
      <c r="CP315" s="150"/>
      <c r="CQ315" s="150"/>
      <c r="CR315" s="150"/>
    </row>
    <row r="316" spans="1:96" outlineLevel="1">
      <c r="A316" s="3" t="s">
        <v>63</v>
      </c>
      <c r="B316" s="13" t="s">
        <v>27</v>
      </c>
      <c r="C316" s="10">
        <v>0.735178</v>
      </c>
      <c r="D316" s="10">
        <v>2.1909830000000001</v>
      </c>
      <c r="E316" s="10">
        <v>0.31923000000000001</v>
      </c>
      <c r="F316" s="10">
        <v>0.400557</v>
      </c>
      <c r="G316" s="10">
        <v>5.5425199999999997</v>
      </c>
      <c r="H316" s="10">
        <v>12.661</v>
      </c>
      <c r="I316" s="10">
        <v>15.632481</v>
      </c>
      <c r="J316" s="10">
        <v>16.703552999999999</v>
      </c>
      <c r="K316" s="10">
        <v>31.100097000000002</v>
      </c>
      <c r="L316" s="10">
        <v>17.392472000000001</v>
      </c>
      <c r="M316" s="10">
        <v>37.575865</v>
      </c>
      <c r="N316" s="10">
        <v>106.002655</v>
      </c>
      <c r="O316" s="10">
        <v>177.14414400000001</v>
      </c>
      <c r="P316" s="10">
        <v>200.068533</v>
      </c>
      <c r="Q316" s="10">
        <v>304.58354400000002</v>
      </c>
      <c r="R316" s="10">
        <v>445.76703600000002</v>
      </c>
      <c r="S316" s="16">
        <v>567.14460999999994</v>
      </c>
      <c r="T316" s="16">
        <v>987.61001499999998</v>
      </c>
      <c r="U316" s="6">
        <f t="shared" ref="U316:AD316" ca="1" si="448">U493</f>
        <v>1122.8600000308111</v>
      </c>
      <c r="V316" s="6">
        <f t="shared" ca="1" si="448"/>
        <v>1209.6226265741846</v>
      </c>
      <c r="W316" s="6">
        <f t="shared" ca="1" si="448"/>
        <v>1478.2492329110178</v>
      </c>
      <c r="X316" s="6">
        <f t="shared" ca="1" si="448"/>
        <v>1779.8598537669393</v>
      </c>
      <c r="Y316" s="6">
        <f t="shared" ca="1" si="448"/>
        <v>2124.2920690864048</v>
      </c>
      <c r="Z316" s="6">
        <f t="shared" ca="1" si="448"/>
        <v>2459.3137303414624</v>
      </c>
      <c r="AA316" s="6">
        <f t="shared" ca="1" si="448"/>
        <v>2821.88665815797</v>
      </c>
      <c r="AB316" s="6">
        <f t="shared" ca="1" si="448"/>
        <v>3212.5976256690988</v>
      </c>
      <c r="AC316" s="6">
        <f t="shared" ca="1" si="448"/>
        <v>3629.1817311078389</v>
      </c>
      <c r="AD316" s="6">
        <f t="shared" ca="1" si="448"/>
        <v>4057.1848729486974</v>
      </c>
      <c r="AE316" s="6"/>
      <c r="AF316" s="10">
        <v>3.2665570000000002</v>
      </c>
      <c r="AG316" s="10">
        <v>3.079558</v>
      </c>
      <c r="AH316" s="10">
        <v>4.671322</v>
      </c>
      <c r="AI316" s="10">
        <v>5.6871159999999996</v>
      </c>
      <c r="AJ316" s="10">
        <v>7.4583570000000003</v>
      </c>
      <c r="AK316" s="10">
        <v>9.2728750000000009</v>
      </c>
      <c r="AL316" s="10">
        <v>8.0129549999999998</v>
      </c>
      <c r="AM316" s="10">
        <v>6.3559099999999997</v>
      </c>
      <c r="AN316" s="10">
        <v>3.363165</v>
      </c>
      <c r="AO316" s="10">
        <v>5.0009769999999998</v>
      </c>
      <c r="AP316" s="10">
        <v>4.3405019999999999</v>
      </c>
      <c r="AQ316" s="10">
        <v>4.6878279999999997</v>
      </c>
      <c r="AR316" s="10">
        <v>5.3370509999999998</v>
      </c>
      <c r="AS316" s="10">
        <v>8.9541500000000003</v>
      </c>
      <c r="AT316" s="10">
        <v>9.7679030000000004</v>
      </c>
      <c r="AU316" s="10">
        <v>13.526761</v>
      </c>
      <c r="AV316" s="10">
        <v>19.013573000000001</v>
      </c>
      <c r="AW316" s="10">
        <v>23.045311999999999</v>
      </c>
      <c r="AX316" s="10">
        <v>31.233511</v>
      </c>
      <c r="AY316" s="10">
        <v>32.710259000000001</v>
      </c>
      <c r="AZ316" s="10">
        <v>45.773353</v>
      </c>
      <c r="BA316" s="10">
        <v>31.865563999999999</v>
      </c>
      <c r="BB316" s="10">
        <v>54.099884000000003</v>
      </c>
      <c r="BC316" s="10">
        <v>34.061163000000001</v>
      </c>
      <c r="BD316" s="10">
        <v>26.310337000000001</v>
      </c>
      <c r="BE316" s="10">
        <v>46.994570000000003</v>
      </c>
      <c r="BF316" s="10">
        <v>56.207563999999998</v>
      </c>
      <c r="BG316" s="10">
        <v>70.556061999999997</v>
      </c>
      <c r="BH316" s="10">
        <v>92.166471000000001</v>
      </c>
      <c r="BI316" s="10">
        <v>83.277621999999994</v>
      </c>
      <c r="BJ316" s="10">
        <v>71.980305000000001</v>
      </c>
      <c r="BK316" s="10">
        <v>57.159146</v>
      </c>
      <c r="BL316" s="10">
        <v>62.63391</v>
      </c>
      <c r="BM316" s="10">
        <v>136.364251</v>
      </c>
      <c r="BN316" s="10">
        <v>121.84690000000001</v>
      </c>
      <c r="BO316" s="10">
        <v>124.921975</v>
      </c>
      <c r="BP316" s="10">
        <v>190.69764900000001</v>
      </c>
      <c r="BQ316" s="16">
        <v>150.85829799999999</v>
      </c>
      <c r="BR316" s="10">
        <v>99.167513</v>
      </c>
      <c r="BS316" s="16">
        <v>126.42115</v>
      </c>
      <c r="BT316" s="16">
        <v>130.280136</v>
      </c>
      <c r="BU316" s="16">
        <v>249.426782</v>
      </c>
      <c r="BV316" s="16">
        <v>271.59232100000003</v>
      </c>
      <c r="BW316" s="16">
        <v>336.31077599999998</v>
      </c>
      <c r="BX316" s="6">
        <f t="shared" ref="BX316:CE316" ca="1" si="449">BX493</f>
        <v>269.99159619528399</v>
      </c>
      <c r="BY316" s="6">
        <f t="shared" ca="1" si="449"/>
        <v>226.33634173412997</v>
      </c>
      <c r="BZ316" s="6">
        <f t="shared" ca="1" si="449"/>
        <v>281.32149902603999</v>
      </c>
      <c r="CA316" s="6">
        <f t="shared" ca="1" si="449"/>
        <v>345.21056307535719</v>
      </c>
      <c r="CB316" s="6">
        <f t="shared" ca="1" si="449"/>
        <v>229.4297899182877</v>
      </c>
      <c r="CC316" s="6">
        <f t="shared" ca="1" si="449"/>
        <v>246.30624472727754</v>
      </c>
      <c r="CD316" s="6">
        <f t="shared" ca="1" si="449"/>
        <v>280.76658835328629</v>
      </c>
      <c r="CE316" s="6">
        <f t="shared" ca="1" si="449"/>
        <v>453.12000357533293</v>
      </c>
      <c r="CF316" s="5"/>
      <c r="CG316" s="5"/>
      <c r="CH316" s="5"/>
    </row>
    <row r="317" spans="1:96" outlineLevel="1">
      <c r="A317" s="3" t="s">
        <v>64</v>
      </c>
      <c r="B317" s="13" t="s">
        <v>28</v>
      </c>
      <c r="C317" s="10">
        <v>0</v>
      </c>
      <c r="D317" s="10">
        <v>-6.2058000000000002E-2</v>
      </c>
      <c r="E317" s="10">
        <v>-4.1261000000000006E-2</v>
      </c>
      <c r="F317" s="10">
        <v>0</v>
      </c>
      <c r="G317" s="10">
        <v>0</v>
      </c>
      <c r="H317" s="10">
        <v>0</v>
      </c>
      <c r="I317" s="10">
        <v>0</v>
      </c>
      <c r="J317" s="10">
        <v>0</v>
      </c>
      <c r="K317" s="10">
        <v>0</v>
      </c>
      <c r="L317" s="10">
        <v>0</v>
      </c>
      <c r="M317" s="10">
        <v>0</v>
      </c>
      <c r="N317" s="10">
        <v>0</v>
      </c>
      <c r="O317" s="10">
        <v>-11.34418</v>
      </c>
      <c r="P317" s="10">
        <v>-57.043756000000002</v>
      </c>
      <c r="Q317" s="10">
        <v>-162.35467499999999</v>
      </c>
      <c r="R317" s="10">
        <v>-302.42582900000002</v>
      </c>
      <c r="S317" s="16">
        <v>-731.92283799999996</v>
      </c>
      <c r="T317" s="16">
        <v>-1286.2840100000001</v>
      </c>
      <c r="U317" s="6">
        <f t="shared" ref="U317:AD317" ca="1" si="450">U496</f>
        <v>-1273.8806152620648</v>
      </c>
      <c r="V317" s="6">
        <f t="shared" ca="1" si="450"/>
        <v>-800.5156260301585</v>
      </c>
      <c r="W317" s="6">
        <f t="shared" ca="1" si="450"/>
        <v>-978.28990969175709</v>
      </c>
      <c r="X317" s="6">
        <f t="shared" ca="1" si="450"/>
        <v>-1177.8926698150733</v>
      </c>
      <c r="Y317" s="6">
        <f t="shared" ca="1" si="450"/>
        <v>-1405.8343141048319</v>
      </c>
      <c r="Z317" s="6">
        <f t="shared" ca="1" si="450"/>
        <v>-1627.5481519592104</v>
      </c>
      <c r="AA317" s="6">
        <f t="shared" ca="1" si="450"/>
        <v>-1867.4951303938262</v>
      </c>
      <c r="AB317" s="6">
        <f t="shared" ca="1" si="450"/>
        <v>-2126.0635697424082</v>
      </c>
      <c r="AC317" s="6">
        <f t="shared" ca="1" si="450"/>
        <v>-2401.7545816607067</v>
      </c>
      <c r="AD317" s="6">
        <f t="shared" ca="1" si="450"/>
        <v>-2685.0025926572971</v>
      </c>
      <c r="AE317" s="6"/>
      <c r="AF317" s="10">
        <v>0</v>
      </c>
      <c r="AG317" s="10">
        <v>0</v>
      </c>
      <c r="AH317" s="10">
        <v>0</v>
      </c>
      <c r="AI317" s="10">
        <v>0</v>
      </c>
      <c r="AJ317" s="10">
        <v>0</v>
      </c>
      <c r="AK317" s="10">
        <v>0</v>
      </c>
      <c r="AL317" s="10">
        <v>0</v>
      </c>
      <c r="AM317" s="10">
        <v>0</v>
      </c>
      <c r="AN317" s="10">
        <v>0</v>
      </c>
      <c r="AO317" s="10">
        <v>0</v>
      </c>
      <c r="AP317" s="10">
        <v>0</v>
      </c>
      <c r="AQ317" s="10">
        <v>0</v>
      </c>
      <c r="AR317" s="10">
        <v>0</v>
      </c>
      <c r="AS317" s="10">
        <v>0</v>
      </c>
      <c r="AT317" s="10">
        <v>0</v>
      </c>
      <c r="AU317" s="10">
        <v>0</v>
      </c>
      <c r="AV317" s="10">
        <v>0</v>
      </c>
      <c r="AW317" s="10">
        <v>0</v>
      </c>
      <c r="AX317" s="10">
        <v>0</v>
      </c>
      <c r="AY317" s="10">
        <v>0</v>
      </c>
      <c r="AZ317" s="10">
        <v>0</v>
      </c>
      <c r="BA317" s="10">
        <v>0</v>
      </c>
      <c r="BB317" s="10">
        <v>0</v>
      </c>
      <c r="BC317" s="10">
        <v>0</v>
      </c>
      <c r="BD317" s="10">
        <v>-3.7509169999999998</v>
      </c>
      <c r="BE317" s="10">
        <v>-3.9322339999999998</v>
      </c>
      <c r="BF317" s="10">
        <v>-3.5952980000000001</v>
      </c>
      <c r="BG317" s="10">
        <v>-45.765307</v>
      </c>
      <c r="BH317" s="10">
        <v>-32.998930999999999</v>
      </c>
      <c r="BI317" s="10">
        <v>-33.693033</v>
      </c>
      <c r="BJ317" s="10">
        <v>-45.175680999999997</v>
      </c>
      <c r="BK317" s="10">
        <v>-50.487029999999997</v>
      </c>
      <c r="BL317" s="10">
        <v>-53.078347000000001</v>
      </c>
      <c r="BM317" s="10">
        <v>-58.841079000000001</v>
      </c>
      <c r="BN317" s="10">
        <v>-95.338025999999999</v>
      </c>
      <c r="BO317" s="10">
        <v>-95.168377000000007</v>
      </c>
      <c r="BP317" s="10">
        <v>-158.10772700000001</v>
      </c>
      <c r="BQ317" s="16">
        <v>-162.96486200000001</v>
      </c>
      <c r="BR317" s="10">
        <v>-191.16980100000001</v>
      </c>
      <c r="BS317" s="16">
        <v>-219.68044800000001</v>
      </c>
      <c r="BT317" s="16">
        <v>-260.25797</v>
      </c>
      <c r="BU317" s="16">
        <v>-383.44678800000003</v>
      </c>
      <c r="BV317" s="16">
        <v>-318.77922599999999</v>
      </c>
      <c r="BW317" s="16">
        <v>-323.800026</v>
      </c>
      <c r="BX317" s="6">
        <f t="shared" ref="BX317:CE317" ca="1" si="451">BX496</f>
        <v>-268.101655021917</v>
      </c>
      <c r="BY317" s="6">
        <f t="shared" ca="1" si="451"/>
        <v>-299.66931645598811</v>
      </c>
      <c r="BZ317" s="6">
        <f t="shared" ca="1" si="451"/>
        <v>-372.46966471047693</v>
      </c>
      <c r="CA317" s="6">
        <f t="shared" ca="1" si="451"/>
        <v>-333.63997907368275</v>
      </c>
      <c r="CB317" s="6">
        <f t="shared" ca="1" si="451"/>
        <v>-182.25902511108774</v>
      </c>
      <c r="CC317" s="6">
        <f t="shared" ca="1" si="451"/>
        <v>-195.66568081134926</v>
      </c>
      <c r="CD317" s="6">
        <f t="shared" ca="1" si="451"/>
        <v>-223.04097778785061</v>
      </c>
      <c r="CE317" s="6">
        <f t="shared" ca="1" si="451"/>
        <v>-199.54994231987087</v>
      </c>
      <c r="CF317" s="5"/>
      <c r="CG317" s="5"/>
      <c r="CH317" s="5"/>
    </row>
    <row r="318" spans="1:96" outlineLevel="1">
      <c r="A318" s="3" t="s">
        <v>65</v>
      </c>
      <c r="B318" s="13" t="s">
        <v>29</v>
      </c>
      <c r="C318" s="10">
        <v>-6.0328E-2</v>
      </c>
      <c r="D318" s="10">
        <v>-7.9857999999999998E-2</v>
      </c>
      <c r="E318" s="10">
        <v>1.014872</v>
      </c>
      <c r="F318" s="10">
        <v>5.0932030000000008</v>
      </c>
      <c r="G318" s="10">
        <v>4.4699739999999997</v>
      </c>
      <c r="H318" s="10">
        <v>22.928999999999998</v>
      </c>
      <c r="I318" s="10">
        <v>11.213801</v>
      </c>
      <c r="J318" s="10">
        <v>35.297223000000002</v>
      </c>
      <c r="K318" s="10">
        <v>54.944595</v>
      </c>
      <c r="L318" s="10">
        <v>60.801279999999998</v>
      </c>
      <c r="M318" s="10">
        <v>99.125516000000005</v>
      </c>
      <c r="N318" s="10">
        <v>117.62372499999999</v>
      </c>
      <c r="O318" s="10">
        <v>130.28794300000001</v>
      </c>
      <c r="P318" s="10">
        <v>163.12237400000001</v>
      </c>
      <c r="Q318" s="10">
        <v>144.00643500000001</v>
      </c>
      <c r="R318" s="10">
        <v>2480.9798300000002</v>
      </c>
      <c r="S318" s="16">
        <v>-26.848286999999999</v>
      </c>
      <c r="T318" s="16">
        <v>878.99813700000004</v>
      </c>
      <c r="U318" s="6">
        <f t="shared" ref="U318:AD318" ca="1" si="452">U502</f>
        <v>159.2350769077581</v>
      </c>
      <c r="V318" s="6">
        <f t="shared" ca="1" si="452"/>
        <v>400.25781301507925</v>
      </c>
      <c r="W318" s="6">
        <f t="shared" ca="1" si="452"/>
        <v>489.14495484587854</v>
      </c>
      <c r="X318" s="6">
        <f t="shared" ca="1" si="452"/>
        <v>588.94633490753665</v>
      </c>
      <c r="Y318" s="6">
        <f t="shared" ca="1" si="452"/>
        <v>702.91715705241597</v>
      </c>
      <c r="Z318" s="6">
        <f t="shared" ca="1" si="452"/>
        <v>813.77407597960519</v>
      </c>
      <c r="AA318" s="6">
        <f t="shared" ca="1" si="452"/>
        <v>933.74756519691311</v>
      </c>
      <c r="AB318" s="6">
        <f t="shared" ca="1" si="452"/>
        <v>1063.0317848712041</v>
      </c>
      <c r="AC318" s="6">
        <f t="shared" ca="1" si="452"/>
        <v>1200.8772908303533</v>
      </c>
      <c r="AD318" s="6">
        <f t="shared" ca="1" si="452"/>
        <v>1342.5012963286486</v>
      </c>
      <c r="AE318" s="6"/>
      <c r="AF318" s="10">
        <v>2.8342019999999999</v>
      </c>
      <c r="AG318" s="10">
        <v>5.6716769999999999</v>
      </c>
      <c r="AH318" s="10">
        <v>13.577722</v>
      </c>
      <c r="AI318" s="10">
        <v>13.213622000000001</v>
      </c>
      <c r="AJ318" s="10">
        <v>18.852930000000001</v>
      </c>
      <c r="AK318" s="10">
        <v>24.597708999999998</v>
      </c>
      <c r="AL318" s="10">
        <v>11.442154</v>
      </c>
      <c r="AM318" s="10">
        <v>5.1802000000000001E-2</v>
      </c>
      <c r="AN318" s="10">
        <v>9.5830889999999993</v>
      </c>
      <c r="AO318" s="10">
        <v>18.276381000000001</v>
      </c>
      <c r="AP318" s="10">
        <v>2.6251009999999999</v>
      </c>
      <c r="AQ318" s="10">
        <v>30.225954000000002</v>
      </c>
      <c r="AR318" s="10">
        <v>0.58179700000000001</v>
      </c>
      <c r="AS318" s="10">
        <v>15.980805999999999</v>
      </c>
      <c r="AT318" s="10">
        <v>44.345553000000002</v>
      </c>
      <c r="AU318" s="10">
        <v>38.217359999999999</v>
      </c>
      <c r="AV318" s="10">
        <v>12.924512</v>
      </c>
      <c r="AW318" s="10">
        <v>17.520128</v>
      </c>
      <c r="AX318" s="10">
        <v>54.347194999999999</v>
      </c>
      <c r="AY318" s="10">
        <v>32.831890000000001</v>
      </c>
      <c r="AZ318" s="10">
        <v>9.4377519999999997</v>
      </c>
      <c r="BA318" s="10">
        <v>56.366411999999997</v>
      </c>
      <c r="BB318" s="10">
        <v>6.1049670000000003</v>
      </c>
      <c r="BC318" s="10">
        <v>58.378812000000003</v>
      </c>
      <c r="BD318" s="10">
        <v>7.6891369999999997</v>
      </c>
      <c r="BE318" s="10">
        <v>24.056241</v>
      </c>
      <c r="BF318" s="10">
        <v>67.808944999999994</v>
      </c>
      <c r="BG318" s="10">
        <v>63.568050999999997</v>
      </c>
      <c r="BH318" s="10">
        <v>-14.298252</v>
      </c>
      <c r="BI318" s="10">
        <v>5.2655560000000001</v>
      </c>
      <c r="BJ318" s="10">
        <v>107.538979</v>
      </c>
      <c r="BK318" s="10">
        <v>45.500152</v>
      </c>
      <c r="BL318" s="10">
        <v>-15.496473999999999</v>
      </c>
      <c r="BM318" s="10">
        <v>11.924842999999999</v>
      </c>
      <c r="BN318" s="9">
        <v>2393.6973119999998</v>
      </c>
      <c r="BO318" s="9">
        <v>90.854149000000007</v>
      </c>
      <c r="BP318" s="10">
        <v>318.19586800000002</v>
      </c>
      <c r="BQ318" s="16">
        <v>-30.423034999999999</v>
      </c>
      <c r="BR318" s="10">
        <v>-27.905573</v>
      </c>
      <c r="BS318" s="16">
        <v>-286.71554700000002</v>
      </c>
      <c r="BT318" s="16">
        <v>-88.401073999999994</v>
      </c>
      <c r="BU318" s="655">
        <v>397.10267900000002</v>
      </c>
      <c r="BV318" s="16">
        <v>233.44493600000001</v>
      </c>
      <c r="BW318" s="16">
        <v>336.85159599999997</v>
      </c>
      <c r="BX318" s="6">
        <f t="shared" ref="BX318:CE318" ca="1" si="453">BX502</f>
        <v>33.512706877739625</v>
      </c>
      <c r="BY318" s="6">
        <f t="shared" ca="1" si="453"/>
        <v>37.458664556998514</v>
      </c>
      <c r="BZ318" s="6">
        <f t="shared" ca="1" si="453"/>
        <v>46.558708088809617</v>
      </c>
      <c r="CA318" s="6">
        <f t="shared" ca="1" si="453"/>
        <v>41.704997384210344</v>
      </c>
      <c r="CB318" s="6">
        <f t="shared" ca="1" si="453"/>
        <v>91.129512555543869</v>
      </c>
      <c r="CC318" s="6">
        <f t="shared" ca="1" si="453"/>
        <v>97.832840405674631</v>
      </c>
      <c r="CD318" s="6">
        <f t="shared" ca="1" si="453"/>
        <v>111.5204888939253</v>
      </c>
      <c r="CE318" s="6">
        <f t="shared" ca="1" si="453"/>
        <v>99.774971159935433</v>
      </c>
      <c r="CF318" s="5"/>
      <c r="CG318" s="5"/>
      <c r="CH318" s="5"/>
    </row>
    <row r="319" spans="1:96" outlineLevel="1">
      <c r="A319" s="3" t="s">
        <v>66</v>
      </c>
      <c r="B319" s="144" t="s">
        <v>30</v>
      </c>
      <c r="C319" s="20">
        <f t="shared" ref="C319:R319" si="454">SUM(C315:C318)</f>
        <v>-31.065318999999995</v>
      </c>
      <c r="D319" s="20">
        <f t="shared" si="454"/>
        <v>-17.603312000000006</v>
      </c>
      <c r="E319" s="20">
        <f t="shared" si="454"/>
        <v>24.562984</v>
      </c>
      <c r="F319" s="20">
        <f t="shared" si="454"/>
        <v>63.568991999999987</v>
      </c>
      <c r="G319" s="20">
        <f t="shared" si="454"/>
        <v>145.68237200000002</v>
      </c>
      <c r="H319" s="20">
        <f t="shared" si="454"/>
        <v>255.09179999999995</v>
      </c>
      <c r="I319" s="20">
        <f t="shared" si="454"/>
        <v>282.06224099999997</v>
      </c>
      <c r="J319" s="20">
        <f t="shared" si="454"/>
        <v>456.32557999999995</v>
      </c>
      <c r="K319" s="20">
        <f t="shared" si="454"/>
        <v>547.0711620000003</v>
      </c>
      <c r="L319" s="20">
        <f t="shared" si="454"/>
        <v>765.55979400000024</v>
      </c>
      <c r="M319" s="20">
        <f t="shared" si="454"/>
        <v>1190.8266679999995</v>
      </c>
      <c r="N319" s="20">
        <f t="shared" si="454"/>
        <v>1289.6205499999999</v>
      </c>
      <c r="O319" s="20">
        <f t="shared" si="454"/>
        <v>950.69371899999976</v>
      </c>
      <c r="P319" s="20">
        <f t="shared" si="454"/>
        <v>1144.588835</v>
      </c>
      <c r="Q319" s="20">
        <f t="shared" si="454"/>
        <v>135.43816000000174</v>
      </c>
      <c r="R319" s="20">
        <f t="shared" si="454"/>
        <v>3005.3639820000021</v>
      </c>
      <c r="S319" s="20">
        <f>SUM(BP319:BS319)</f>
        <v>-1760.1050009999997</v>
      </c>
      <c r="T319" s="20">
        <f t="shared" ref="T319:AB319" si="455">SUM(T315:T318)</f>
        <v>3506.4946860000005</v>
      </c>
      <c r="U319" s="20">
        <f t="shared" ca="1" si="455"/>
        <v>3192.9159998316723</v>
      </c>
      <c r="V319" s="20">
        <f t="shared" ca="1" si="455"/>
        <v>6493.0257583732337</v>
      </c>
      <c r="W319" s="20">
        <f t="shared" ca="1" si="455"/>
        <v>9011.0815375375441</v>
      </c>
      <c r="X319" s="20">
        <f t="shared" ca="1" si="455"/>
        <v>12027.526081158074</v>
      </c>
      <c r="Y319" s="20">
        <f t="shared" ca="1" si="455"/>
        <v>15760.884915903272</v>
      </c>
      <c r="Z319" s="20">
        <f t="shared" ca="1" si="455"/>
        <v>19223.059695521326</v>
      </c>
      <c r="AA319" s="20">
        <f t="shared" ca="1" si="455"/>
        <v>22990.834066411295</v>
      </c>
      <c r="AB319" s="20">
        <f t="shared" ca="1" si="455"/>
        <v>27237.115963758308</v>
      </c>
      <c r="AC319" s="20">
        <f ca="1">SUM(AC315:AC318)</f>
        <v>30769.008503873822</v>
      </c>
      <c r="AD319" s="20">
        <f ca="1">SUM(AD315:AD318)</f>
        <v>34397.714169976134</v>
      </c>
      <c r="AE319" s="20"/>
      <c r="AF319" s="20">
        <f t="shared" ref="AF319:BW319" si="456">SUM(AF315:AF318)</f>
        <v>77.178415000000001</v>
      </c>
      <c r="AG319" s="20">
        <f t="shared" si="456"/>
        <v>103.95289899999997</v>
      </c>
      <c r="AH319" s="20">
        <f t="shared" si="456"/>
        <v>129.25061899999994</v>
      </c>
      <c r="AI319" s="20">
        <f t="shared" si="456"/>
        <v>145.96464700000001</v>
      </c>
      <c r="AJ319" s="20">
        <f t="shared" si="456"/>
        <v>136.62898000000001</v>
      </c>
      <c r="AK319" s="20">
        <f t="shared" si="456"/>
        <v>161.16800700000007</v>
      </c>
      <c r="AL319" s="20">
        <f t="shared" si="456"/>
        <v>126.08664000000003</v>
      </c>
      <c r="AM319" s="20">
        <f t="shared" si="456"/>
        <v>123.36794099999993</v>
      </c>
      <c r="AN319" s="20">
        <f t="shared" si="456"/>
        <v>148.18515900000006</v>
      </c>
      <c r="AO319" s="20">
        <f t="shared" si="456"/>
        <v>186.95539199999996</v>
      </c>
      <c r="AP319" s="20">
        <f t="shared" si="456"/>
        <v>206.16315200000005</v>
      </c>
      <c r="AQ319" s="20">
        <f t="shared" si="456"/>
        <v>224.165516</v>
      </c>
      <c r="AR319" s="20">
        <f t="shared" si="456"/>
        <v>202.36058100000005</v>
      </c>
      <c r="AS319" s="20">
        <f t="shared" si="456"/>
        <v>282.31313899999998</v>
      </c>
      <c r="AT319" s="20">
        <f t="shared" si="456"/>
        <v>362.13510499999984</v>
      </c>
      <c r="AU319" s="20">
        <f t="shared" si="456"/>
        <v>344.02784300000002</v>
      </c>
      <c r="AV319" s="20">
        <f t="shared" si="456"/>
        <v>294.679757</v>
      </c>
      <c r="AW319" s="20">
        <f t="shared" si="456"/>
        <v>308.9441930000001</v>
      </c>
      <c r="AX319" s="20">
        <f t="shared" si="456"/>
        <v>389.87296700000013</v>
      </c>
      <c r="AY319" s="20">
        <f t="shared" si="456"/>
        <v>296.12363299999993</v>
      </c>
      <c r="AZ319" s="20">
        <f t="shared" si="456"/>
        <v>231.767293</v>
      </c>
      <c r="BA319" s="20">
        <f t="shared" si="456"/>
        <v>256.28188799999998</v>
      </c>
      <c r="BB319" s="20">
        <f t="shared" si="456"/>
        <v>250.29768099999993</v>
      </c>
      <c r="BC319" s="20">
        <f t="shared" si="456"/>
        <v>212.34689700000001</v>
      </c>
      <c r="BD319" s="20">
        <f t="shared" si="456"/>
        <v>190.26530299999968</v>
      </c>
      <c r="BE319" s="20">
        <f t="shared" si="456"/>
        <v>263.0592500000003</v>
      </c>
      <c r="BF319" s="20">
        <f t="shared" si="456"/>
        <v>419.9626099999997</v>
      </c>
      <c r="BG319" s="20">
        <f t="shared" si="456"/>
        <v>271.30167200000005</v>
      </c>
      <c r="BH319" s="20">
        <f t="shared" si="456"/>
        <v>115.81641900000012</v>
      </c>
      <c r="BI319" s="20">
        <f t="shared" si="456"/>
        <v>145.76980400000014</v>
      </c>
      <c r="BJ319" s="20">
        <f t="shared" si="456"/>
        <v>222.58614900000038</v>
      </c>
      <c r="BK319" s="20">
        <f t="shared" si="456"/>
        <v>-348.73421200000007</v>
      </c>
      <c r="BL319" s="20">
        <f t="shared" si="456"/>
        <v>-186.20826900000074</v>
      </c>
      <c r="BM319" s="20">
        <f t="shared" si="456"/>
        <v>150.33130700000044</v>
      </c>
      <c r="BN319" s="20">
        <f t="shared" si="456"/>
        <v>2825.4405120000001</v>
      </c>
      <c r="BO319" s="47">
        <f t="shared" si="456"/>
        <v>215.800432</v>
      </c>
      <c r="BP319" s="20">
        <f t="shared" si="456"/>
        <v>-1476.5898410000009</v>
      </c>
      <c r="BQ319" s="20">
        <f t="shared" si="456"/>
        <v>-438.44260099999849</v>
      </c>
      <c r="BR319" s="20">
        <f t="shared" si="456"/>
        <v>327.51588300000014</v>
      </c>
      <c r="BS319" s="20">
        <f t="shared" si="456"/>
        <v>-172.5884420000005</v>
      </c>
      <c r="BT319" s="20">
        <f t="shared" si="456"/>
        <v>195.79487800000027</v>
      </c>
      <c r="BU319" s="20">
        <f t="shared" si="456"/>
        <v>908.3449269999993</v>
      </c>
      <c r="BV319" s="20">
        <f t="shared" si="456"/>
        <v>1545.2562999999998</v>
      </c>
      <c r="BW319" s="20">
        <f t="shared" si="456"/>
        <v>857.09858100000031</v>
      </c>
      <c r="BX319" s="20">
        <f t="shared" ref="BX319:CE319" ca="1" si="457">SUM(BX315:BX318)</f>
        <v>316.90938582411866</v>
      </c>
      <c r="BY319" s="20">
        <f t="shared" ca="1" si="457"/>
        <v>496.03872654451891</v>
      </c>
      <c r="BZ319" s="20">
        <f t="shared" ca="1" si="457"/>
        <v>1082.131278153566</v>
      </c>
      <c r="CA319" s="20">
        <f t="shared" ca="1" si="457"/>
        <v>1297.8366093094619</v>
      </c>
      <c r="CB319" s="20">
        <f t="shared" ca="1" si="457"/>
        <v>1341.2098430959229</v>
      </c>
      <c r="CC319" s="20">
        <f t="shared" ca="1" si="457"/>
        <v>1537.6997380821831</v>
      </c>
      <c r="CD319" s="20">
        <f t="shared" ca="1" si="457"/>
        <v>1975.8780195409508</v>
      </c>
      <c r="CE319" s="20">
        <f t="shared" ca="1" si="457"/>
        <v>1638.2381576541766</v>
      </c>
      <c r="CF319" s="22"/>
      <c r="CG319" s="5"/>
      <c r="CH319" s="5"/>
      <c r="CI319" s="145"/>
      <c r="CP319" s="145"/>
      <c r="CQ319" s="145"/>
      <c r="CR319" s="145"/>
    </row>
    <row r="320" spans="1:96" outlineLevel="1">
      <c r="A320" s="3" t="s">
        <v>67</v>
      </c>
      <c r="B320" s="13" t="s">
        <v>31</v>
      </c>
      <c r="C320" s="10">
        <v>7.0878740000000002</v>
      </c>
      <c r="D320" s="10">
        <v>2.3418989999999997</v>
      </c>
      <c r="E320" s="10">
        <v>-10.042624</v>
      </c>
      <c r="F320" s="10">
        <v>-10.249404</v>
      </c>
      <c r="G320" s="10">
        <v>-12.517120999999999</v>
      </c>
      <c r="H320" s="10">
        <v>-30.577400000000001</v>
      </c>
      <c r="I320" s="10">
        <v>-41.27702</v>
      </c>
      <c r="J320" s="10">
        <v>-58.005983000000001</v>
      </c>
      <c r="K320" s="10">
        <v>-102.913404</v>
      </c>
      <c r="L320" s="10">
        <v>-131.658085</v>
      </c>
      <c r="M320" s="10">
        <v>-205.01696100000001</v>
      </c>
      <c r="N320" s="10">
        <v>-262.18622499999998</v>
      </c>
      <c r="O320" s="10">
        <v>-294.52595600000001</v>
      </c>
      <c r="P320" s="10">
        <v>-293.74032199999999</v>
      </c>
      <c r="Q320" s="10">
        <v>-130.821156</v>
      </c>
      <c r="R320" s="10">
        <v>-470.188423</v>
      </c>
      <c r="S320" s="16">
        <v>-478.00903299999999</v>
      </c>
      <c r="T320" s="16">
        <v>-1280.52334</v>
      </c>
      <c r="U320" s="6">
        <f t="shared" ref="U320:AD320" ca="1" si="458">U499</f>
        <v>-894.01647995286828</v>
      </c>
      <c r="V320" s="6">
        <f t="shared" ca="1" si="458"/>
        <v>-1623.2564395933084</v>
      </c>
      <c r="W320" s="6">
        <f t="shared" ca="1" si="458"/>
        <v>-2252.770384384386</v>
      </c>
      <c r="X320" s="6">
        <f t="shared" ca="1" si="458"/>
        <v>-3006.8815202895184</v>
      </c>
      <c r="Y320" s="6">
        <f t="shared" ca="1" si="458"/>
        <v>-3940.2212289758181</v>
      </c>
      <c r="Z320" s="6">
        <f t="shared" ca="1" si="458"/>
        <v>-4805.7649238803315</v>
      </c>
      <c r="AA320" s="6">
        <f t="shared" ca="1" si="458"/>
        <v>-5747.7085166028237</v>
      </c>
      <c r="AB320" s="6">
        <f t="shared" ca="1" si="458"/>
        <v>-6809.2789909395769</v>
      </c>
      <c r="AC320" s="6">
        <f t="shared" ca="1" si="458"/>
        <v>-7692.2521259684554</v>
      </c>
      <c r="AD320" s="6">
        <f t="shared" ca="1" si="458"/>
        <v>-8599.4285424940335</v>
      </c>
      <c r="AE320" s="6"/>
      <c r="AF320" s="10">
        <v>-12.249292000000001</v>
      </c>
      <c r="AG320" s="10">
        <v>-15.737674999999999</v>
      </c>
      <c r="AH320" s="10">
        <v>-19.519480000000001</v>
      </c>
      <c r="AI320" s="10">
        <v>-10.500536</v>
      </c>
      <c r="AJ320" s="10">
        <v>-37.750580999999997</v>
      </c>
      <c r="AK320" s="10">
        <v>-41.600994999999998</v>
      </c>
      <c r="AL320" s="10">
        <v>-21.604489000000001</v>
      </c>
      <c r="AM320" s="10">
        <v>-1.9573389999999999</v>
      </c>
      <c r="AN320" s="10">
        <v>-26.792878999999999</v>
      </c>
      <c r="AO320" s="10">
        <v>-33.393036000000002</v>
      </c>
      <c r="AP320" s="10">
        <v>-26.809546999999998</v>
      </c>
      <c r="AQ320" s="10">
        <v>-44.662623000000004</v>
      </c>
      <c r="AR320" s="10">
        <v>-24.314305999999998</v>
      </c>
      <c r="AS320" s="10">
        <v>-52.389816000000003</v>
      </c>
      <c r="AT320" s="10">
        <v>-62.186715999999997</v>
      </c>
      <c r="AU320" s="10">
        <v>-66.126123000000007</v>
      </c>
      <c r="AV320" s="10">
        <v>-62.849198999999999</v>
      </c>
      <c r="AW320" s="10">
        <v>-47.954022999999999</v>
      </c>
      <c r="AX320" s="10">
        <v>-82.055003999999997</v>
      </c>
      <c r="AY320" s="10">
        <v>-69.327999000000005</v>
      </c>
      <c r="AZ320" s="10">
        <v>-64.797512999999995</v>
      </c>
      <c r="BA320" s="10">
        <v>-116.55771</v>
      </c>
      <c r="BB320" s="10">
        <v>-59.394447999999997</v>
      </c>
      <c r="BC320" s="10">
        <v>-53.776285000000001</v>
      </c>
      <c r="BD320" s="10">
        <v>-61.378155</v>
      </c>
      <c r="BE320" s="10">
        <v>-70.419098000000005</v>
      </c>
      <c r="BF320" s="10">
        <v>-92.166420000000002</v>
      </c>
      <c r="BG320" s="10">
        <v>-69.776649000000006</v>
      </c>
      <c r="BH320" s="10">
        <v>-46.686844999999998</v>
      </c>
      <c r="BI320" s="10">
        <v>-47.090068000000002</v>
      </c>
      <c r="BJ320" s="10">
        <v>-50.423327</v>
      </c>
      <c r="BK320" s="10">
        <v>13.379084000000001</v>
      </c>
      <c r="BL320" s="10">
        <v>-6.2893939999999997</v>
      </c>
      <c r="BM320" s="10">
        <v>-31.322794999999999</v>
      </c>
      <c r="BN320" s="10">
        <v>-361.09354999999999</v>
      </c>
      <c r="BO320" s="10">
        <v>-71.482684000000006</v>
      </c>
      <c r="BP320" s="16">
        <v>-93.531478000000007</v>
      </c>
      <c r="BQ320" s="16">
        <v>-52.984310999999998</v>
      </c>
      <c r="BR320" s="10">
        <v>-221.24646899999999</v>
      </c>
      <c r="BS320" s="16">
        <v>-110.246775</v>
      </c>
      <c r="BT320" s="16">
        <v>-148.445807</v>
      </c>
      <c r="BU320" s="16">
        <v>-529.20230900000001</v>
      </c>
      <c r="BV320" s="16">
        <v>-313.40517999999997</v>
      </c>
      <c r="BW320" s="16">
        <v>-289.47004399999997</v>
      </c>
      <c r="BX320" s="6">
        <f t="shared" ref="BX320:CE320" ca="1" si="459">BX499</f>
        <v>-110.91828503844152</v>
      </c>
      <c r="BY320" s="6">
        <f t="shared" ca="1" si="459"/>
        <v>-148.81161796335567</v>
      </c>
      <c r="BZ320" s="6">
        <f t="shared" ca="1" si="459"/>
        <v>-270.53281953839149</v>
      </c>
      <c r="CA320" s="6">
        <f t="shared" ca="1" si="459"/>
        <v>-363.75375741267965</v>
      </c>
      <c r="CB320" s="6">
        <f t="shared" ca="1" si="459"/>
        <v>-335.30246077398073</v>
      </c>
      <c r="CC320" s="6">
        <f t="shared" ca="1" si="459"/>
        <v>-384.42493452054578</v>
      </c>
      <c r="CD320" s="6">
        <f t="shared" ca="1" si="459"/>
        <v>-493.96950488523771</v>
      </c>
      <c r="CE320" s="6">
        <f t="shared" ca="1" si="459"/>
        <v>-409.55953941354414</v>
      </c>
      <c r="CF320" s="5"/>
      <c r="CG320" s="5"/>
      <c r="CH320" s="5"/>
    </row>
    <row r="321" spans="1:96" outlineLevel="1">
      <c r="A321" s="3" t="s">
        <v>68</v>
      </c>
      <c r="B321" s="13" t="s">
        <v>32</v>
      </c>
      <c r="C321" s="10">
        <v>0</v>
      </c>
      <c r="D321" s="10">
        <v>0</v>
      </c>
      <c r="E321" s="10">
        <v>-0.39782400000000001</v>
      </c>
      <c r="F321" s="10">
        <v>0.57342300000000002</v>
      </c>
      <c r="G321" s="10">
        <v>0</v>
      </c>
      <c r="H321" s="10">
        <v>0</v>
      </c>
      <c r="I321" s="10">
        <v>0</v>
      </c>
      <c r="J321" s="10">
        <v>0</v>
      </c>
      <c r="K321" s="10">
        <v>0</v>
      </c>
      <c r="L321" s="10">
        <v>32.869419000000001</v>
      </c>
      <c r="M321" s="10">
        <v>66.171992000000003</v>
      </c>
      <c r="N321" s="10">
        <v>57.525829999999999</v>
      </c>
      <c r="O321" s="10">
        <v>34.343000000000004</v>
      </c>
      <c r="P321" s="10">
        <v>55.554071999999998</v>
      </c>
      <c r="Q321" s="10">
        <v>87.005341000000001</v>
      </c>
      <c r="R321" s="10">
        <v>-135.78031200000001</v>
      </c>
      <c r="S321" s="16">
        <v>601.88317900000004</v>
      </c>
      <c r="T321" s="16">
        <v>-65.116066000000004</v>
      </c>
      <c r="U321" s="493">
        <f t="shared" ref="U321:AD321" si="460">U505</f>
        <v>-100</v>
      </c>
      <c r="V321" s="493">
        <f t="shared" si="460"/>
        <v>-100</v>
      </c>
      <c r="W321" s="493">
        <f t="shared" si="460"/>
        <v>-100</v>
      </c>
      <c r="X321" s="493">
        <f t="shared" si="460"/>
        <v>-100</v>
      </c>
      <c r="Y321" s="493">
        <f t="shared" si="460"/>
        <v>-100</v>
      </c>
      <c r="Z321" s="493">
        <f t="shared" si="460"/>
        <v>-100</v>
      </c>
      <c r="AA321" s="493">
        <f t="shared" si="460"/>
        <v>-100</v>
      </c>
      <c r="AB321" s="493">
        <f t="shared" si="460"/>
        <v>-100</v>
      </c>
      <c r="AC321" s="493">
        <f t="shared" si="460"/>
        <v>-100</v>
      </c>
      <c r="AD321" s="493">
        <f t="shared" si="460"/>
        <v>-100</v>
      </c>
      <c r="AE321" s="17"/>
      <c r="AF321" s="10">
        <v>0</v>
      </c>
      <c r="AG321" s="10">
        <v>0</v>
      </c>
      <c r="AH321" s="10">
        <v>0</v>
      </c>
      <c r="AI321" s="10">
        <v>0</v>
      </c>
      <c r="AJ321" s="10">
        <v>0</v>
      </c>
      <c r="AK321" s="10">
        <v>0</v>
      </c>
      <c r="AL321" s="10">
        <v>0</v>
      </c>
      <c r="AM321" s="10">
        <v>0</v>
      </c>
      <c r="AN321" s="10">
        <v>0</v>
      </c>
      <c r="AO321" s="10">
        <v>6.581137</v>
      </c>
      <c r="AP321" s="10">
        <v>11.573606</v>
      </c>
      <c r="AQ321" s="10">
        <v>14.714676000000001</v>
      </c>
      <c r="AR321" s="10">
        <v>11.236298</v>
      </c>
      <c r="AS321" s="10">
        <v>7.222181</v>
      </c>
      <c r="AT321" s="10">
        <v>23.192105000000002</v>
      </c>
      <c r="AU321" s="10">
        <v>24.521408000000001</v>
      </c>
      <c r="AV321" s="10">
        <v>4.7968820000000001</v>
      </c>
      <c r="AW321" s="10">
        <v>4.6811100000000003</v>
      </c>
      <c r="AX321" s="10">
        <v>20.372236999999998</v>
      </c>
      <c r="AY321" s="10">
        <v>27.675601</v>
      </c>
      <c r="AZ321" s="10">
        <v>43.475408999999999</v>
      </c>
      <c r="BA321" s="10">
        <v>-18.189503999999999</v>
      </c>
      <c r="BB321" s="10">
        <v>4.7920550000000004</v>
      </c>
      <c r="BC321" s="10">
        <v>4.2650399999999999</v>
      </c>
      <c r="BD321" s="10">
        <v>8.7805999999999995E-2</v>
      </c>
      <c r="BE321" s="10">
        <v>-4.5258729999999998</v>
      </c>
      <c r="BF321" s="10">
        <v>24.740697000000001</v>
      </c>
      <c r="BG321" s="10">
        <v>35.251441999999997</v>
      </c>
      <c r="BH321" s="10">
        <v>19.231991000000001</v>
      </c>
      <c r="BI321" s="10">
        <v>13.215687000000001</v>
      </c>
      <c r="BJ321" s="10">
        <v>16.323840000000001</v>
      </c>
      <c r="BK321" s="10">
        <v>38.233823000000001</v>
      </c>
      <c r="BL321" s="10">
        <v>9.3915600000000001</v>
      </c>
      <c r="BM321" s="10">
        <v>-20.479317000000002</v>
      </c>
      <c r="BN321" s="10">
        <v>-30.123031000000001</v>
      </c>
      <c r="BO321" s="9">
        <v>-94.569524000000001</v>
      </c>
      <c r="BP321" s="16">
        <v>-107.90964200000001</v>
      </c>
      <c r="BQ321" s="16">
        <v>-99.658214999999998</v>
      </c>
      <c r="BR321" s="10">
        <v>-63.833905999999999</v>
      </c>
      <c r="BS321" s="96">
        <v>873.284942</v>
      </c>
      <c r="BT321" s="96">
        <v>27.267588</v>
      </c>
      <c r="BU321" s="96">
        <v>-26.696373000000001</v>
      </c>
      <c r="BV321" s="96">
        <v>32.357292999999999</v>
      </c>
      <c r="BW321" s="96">
        <v>-98.044573999999997</v>
      </c>
      <c r="BX321" s="493">
        <f t="shared" ref="BX321:CE321" si="461">BX505</f>
        <v>-40</v>
      </c>
      <c r="BY321" s="493">
        <f t="shared" si="461"/>
        <v>-30</v>
      </c>
      <c r="BZ321" s="493">
        <f t="shared" si="461"/>
        <v>-30</v>
      </c>
      <c r="CA321" s="493">
        <f t="shared" si="461"/>
        <v>0</v>
      </c>
      <c r="CB321" s="493">
        <f t="shared" si="461"/>
        <v>-25</v>
      </c>
      <c r="CC321" s="493">
        <f t="shared" si="461"/>
        <v>-25</v>
      </c>
      <c r="CD321" s="493">
        <f t="shared" si="461"/>
        <v>-25</v>
      </c>
      <c r="CE321" s="493">
        <f t="shared" si="461"/>
        <v>-25</v>
      </c>
      <c r="CF321" s="5"/>
      <c r="CG321" s="5"/>
      <c r="CH321" s="5"/>
    </row>
    <row r="322" spans="1:96" ht="15.75" outlineLevel="1" thickBot="1">
      <c r="A322" s="3" t="s">
        <v>69</v>
      </c>
      <c r="B322" s="151" t="s">
        <v>33</v>
      </c>
      <c r="C322" s="151">
        <f t="shared" ref="C322:R322" si="462">SUM(C319:C321)</f>
        <v>-23.977444999999996</v>
      </c>
      <c r="D322" s="151">
        <f t="shared" si="462"/>
        <v>-15.261413000000006</v>
      </c>
      <c r="E322" s="151">
        <f t="shared" si="462"/>
        <v>14.122536</v>
      </c>
      <c r="F322" s="151">
        <f t="shared" si="462"/>
        <v>53.893010999999987</v>
      </c>
      <c r="G322" s="151">
        <f t="shared" si="462"/>
        <v>133.16525100000001</v>
      </c>
      <c r="H322" s="151">
        <f t="shared" si="462"/>
        <v>224.51439999999994</v>
      </c>
      <c r="I322" s="151">
        <f t="shared" si="462"/>
        <v>240.78522099999998</v>
      </c>
      <c r="J322" s="151">
        <f t="shared" si="462"/>
        <v>398.31959699999993</v>
      </c>
      <c r="K322" s="151">
        <f t="shared" si="462"/>
        <v>444.15775800000029</v>
      </c>
      <c r="L322" s="151">
        <f t="shared" si="462"/>
        <v>666.7711280000002</v>
      </c>
      <c r="M322" s="151">
        <f t="shared" si="462"/>
        <v>1051.9816989999995</v>
      </c>
      <c r="N322" s="151">
        <f t="shared" si="462"/>
        <v>1084.960155</v>
      </c>
      <c r="O322" s="151">
        <f t="shared" si="462"/>
        <v>690.51076299999966</v>
      </c>
      <c r="P322" s="151">
        <f t="shared" si="462"/>
        <v>906.40258500000004</v>
      </c>
      <c r="Q322" s="151">
        <f t="shared" si="462"/>
        <v>91.622345000001744</v>
      </c>
      <c r="R322" s="151">
        <f t="shared" si="462"/>
        <v>2399.3952470000022</v>
      </c>
      <c r="S322" s="151">
        <f>SUM(BP322:BS322)</f>
        <v>-1636.2308550000002</v>
      </c>
      <c r="T322" s="151">
        <f t="shared" ref="T322:AB322" si="463">SUM(T319:T321)</f>
        <v>2160.8552800000002</v>
      </c>
      <c r="U322" s="151">
        <f t="shared" ca="1" si="463"/>
        <v>2198.8995198788039</v>
      </c>
      <c r="V322" s="151">
        <f t="shared" ca="1" si="463"/>
        <v>4769.769318779925</v>
      </c>
      <c r="W322" s="151">
        <f t="shared" ca="1" si="463"/>
        <v>6658.3111531531576</v>
      </c>
      <c r="X322" s="151">
        <f t="shared" ca="1" si="463"/>
        <v>8920.6445608685553</v>
      </c>
      <c r="Y322" s="151">
        <f t="shared" ca="1" si="463"/>
        <v>11720.663686927455</v>
      </c>
      <c r="Z322" s="151">
        <f t="shared" ca="1" si="463"/>
        <v>14317.294771640994</v>
      </c>
      <c r="AA322" s="151">
        <f t="shared" ca="1" si="463"/>
        <v>17143.125549808472</v>
      </c>
      <c r="AB322" s="151">
        <f t="shared" ca="1" si="463"/>
        <v>20327.836972818732</v>
      </c>
      <c r="AC322" s="151">
        <f ca="1">SUM(AC319:AC321)</f>
        <v>22976.756377905367</v>
      </c>
      <c r="AD322" s="151">
        <f ca="1">SUM(AD319:AD321)</f>
        <v>25698.285627482102</v>
      </c>
      <c r="AE322" s="151"/>
      <c r="AF322" s="151">
        <f t="shared" ref="AF322:BW322" si="464">SUM(AF319:AF321)</f>
        <v>64.929123000000004</v>
      </c>
      <c r="AG322" s="151">
        <f t="shared" si="464"/>
        <v>88.215223999999978</v>
      </c>
      <c r="AH322" s="151">
        <f t="shared" si="464"/>
        <v>109.73113899999994</v>
      </c>
      <c r="AI322" s="151">
        <f t="shared" si="464"/>
        <v>135.464111</v>
      </c>
      <c r="AJ322" s="151">
        <f t="shared" si="464"/>
        <v>98.878399000000016</v>
      </c>
      <c r="AK322" s="151">
        <f t="shared" si="464"/>
        <v>119.56701200000008</v>
      </c>
      <c r="AL322" s="151">
        <f t="shared" si="464"/>
        <v>104.48215100000003</v>
      </c>
      <c r="AM322" s="151">
        <f t="shared" si="464"/>
        <v>121.41060199999993</v>
      </c>
      <c r="AN322" s="151">
        <f t="shared" si="464"/>
        <v>121.39228000000006</v>
      </c>
      <c r="AO322" s="151">
        <f t="shared" si="464"/>
        <v>160.14349299999998</v>
      </c>
      <c r="AP322" s="151">
        <f t="shared" si="464"/>
        <v>190.92721100000006</v>
      </c>
      <c r="AQ322" s="151">
        <f t="shared" si="464"/>
        <v>194.217569</v>
      </c>
      <c r="AR322" s="151">
        <f t="shared" si="464"/>
        <v>189.28257300000007</v>
      </c>
      <c r="AS322" s="151">
        <f t="shared" si="464"/>
        <v>237.14550399999999</v>
      </c>
      <c r="AT322" s="151">
        <f t="shared" si="464"/>
        <v>323.14049399999988</v>
      </c>
      <c r="AU322" s="151">
        <f t="shared" si="464"/>
        <v>302.42312800000002</v>
      </c>
      <c r="AV322" s="151">
        <f t="shared" si="464"/>
        <v>236.62744000000001</v>
      </c>
      <c r="AW322" s="151">
        <f t="shared" si="464"/>
        <v>265.67128000000008</v>
      </c>
      <c r="AX322" s="151">
        <f t="shared" si="464"/>
        <v>328.19020000000012</v>
      </c>
      <c r="AY322" s="151">
        <f t="shared" si="464"/>
        <v>254.47123499999992</v>
      </c>
      <c r="AZ322" s="151">
        <f t="shared" si="464"/>
        <v>210.44518900000003</v>
      </c>
      <c r="BA322" s="151">
        <f t="shared" si="464"/>
        <v>121.534674</v>
      </c>
      <c r="BB322" s="151">
        <f t="shared" si="464"/>
        <v>195.69528799999995</v>
      </c>
      <c r="BC322" s="151">
        <f t="shared" si="464"/>
        <v>162.83565200000001</v>
      </c>
      <c r="BD322" s="151">
        <f t="shared" si="464"/>
        <v>128.97495399999968</v>
      </c>
      <c r="BE322" s="151">
        <f t="shared" si="464"/>
        <v>188.11427900000029</v>
      </c>
      <c r="BF322" s="151">
        <f t="shared" si="464"/>
        <v>352.53688699999969</v>
      </c>
      <c r="BG322" s="151">
        <f t="shared" si="464"/>
        <v>236.77646500000003</v>
      </c>
      <c r="BH322" s="151">
        <f t="shared" si="464"/>
        <v>88.361565000000127</v>
      </c>
      <c r="BI322" s="151">
        <f t="shared" si="464"/>
        <v>111.89542300000014</v>
      </c>
      <c r="BJ322" s="151">
        <f t="shared" si="464"/>
        <v>188.48666200000036</v>
      </c>
      <c r="BK322" s="151">
        <f t="shared" si="464"/>
        <v>-297.12130500000012</v>
      </c>
      <c r="BL322" s="151">
        <f t="shared" si="464"/>
        <v>-183.10610300000073</v>
      </c>
      <c r="BM322" s="151">
        <f t="shared" si="464"/>
        <v>98.529195000000442</v>
      </c>
      <c r="BN322" s="151">
        <f t="shared" si="464"/>
        <v>2434.223931</v>
      </c>
      <c r="BO322" s="151">
        <f t="shared" si="464"/>
        <v>49.748223999999993</v>
      </c>
      <c r="BP322" s="151">
        <f t="shared" si="464"/>
        <v>-1678.0309610000011</v>
      </c>
      <c r="BQ322" s="151">
        <f t="shared" si="464"/>
        <v>-591.08512699999847</v>
      </c>
      <c r="BR322" s="151">
        <f t="shared" si="464"/>
        <v>42.435508000000155</v>
      </c>
      <c r="BS322" s="151">
        <f>SUM(BS319:BS321)</f>
        <v>590.44972499999949</v>
      </c>
      <c r="BT322" s="151">
        <f t="shared" si="464"/>
        <v>74.616659000000269</v>
      </c>
      <c r="BU322" s="151">
        <f t="shared" si="464"/>
        <v>352.44624499999929</v>
      </c>
      <c r="BV322" s="151">
        <f t="shared" si="464"/>
        <v>1264.2084129999998</v>
      </c>
      <c r="BW322" s="151">
        <f t="shared" si="464"/>
        <v>469.58396300000027</v>
      </c>
      <c r="BX322" s="151">
        <f t="shared" ref="BX322:CE322" ca="1" si="465">SUM(BX319:BX321)</f>
        <v>165.99110078567713</v>
      </c>
      <c r="BY322" s="151">
        <f t="shared" ca="1" si="465"/>
        <v>317.22710858116324</v>
      </c>
      <c r="BZ322" s="151">
        <f t="shared" ca="1" si="465"/>
        <v>781.59845861517442</v>
      </c>
      <c r="CA322" s="151">
        <f t="shared" ca="1" si="465"/>
        <v>934.08285189678224</v>
      </c>
      <c r="CB322" s="151">
        <f t="shared" ca="1" si="465"/>
        <v>980.90738232194212</v>
      </c>
      <c r="CC322" s="151">
        <f t="shared" ca="1" si="465"/>
        <v>1128.2748035616373</v>
      </c>
      <c r="CD322" s="151">
        <f t="shared" ca="1" si="465"/>
        <v>1456.9085146557131</v>
      </c>
      <c r="CE322" s="151">
        <f t="shared" ca="1" si="465"/>
        <v>1203.6786182406324</v>
      </c>
      <c r="CF322" s="31"/>
      <c r="CG322" s="5"/>
      <c r="CH322" s="5"/>
      <c r="CI322" s="148"/>
      <c r="CP322" s="148"/>
      <c r="CQ322" s="148"/>
      <c r="CR322" s="148"/>
    </row>
    <row r="323" spans="1:96" outlineLevel="1">
      <c r="A323" s="3" t="s">
        <v>70</v>
      </c>
      <c r="B323" s="13" t="s">
        <v>34</v>
      </c>
      <c r="C323" s="10">
        <v>0</v>
      </c>
      <c r="D323" s="10">
        <v>0</v>
      </c>
      <c r="E323" s="10">
        <v>7.0997000000000005E-2</v>
      </c>
      <c r="F323" s="10">
        <v>-7.9495999999999997E-2</v>
      </c>
      <c r="G323" s="10">
        <v>-3.8961000000000003E-2</v>
      </c>
      <c r="H323" s="10">
        <v>-0.26879999999999998</v>
      </c>
      <c r="I323" s="10">
        <v>-0.22137399999999999</v>
      </c>
      <c r="J323" s="10">
        <v>4.0130000000000001E-3</v>
      </c>
      <c r="K323" s="10">
        <v>-0.230291</v>
      </c>
      <c r="L323" s="10">
        <v>-7.7976859999999997</v>
      </c>
      <c r="M323" s="10">
        <v>-3.9219590000000002</v>
      </c>
      <c r="N323" s="10">
        <v>-8.5452580000000005</v>
      </c>
      <c r="O323" s="10">
        <v>23.895101</v>
      </c>
      <c r="P323" s="10">
        <v>91.917098999999993</v>
      </c>
      <c r="Q323" s="10">
        <v>151.117436</v>
      </c>
      <c r="R323" s="10">
        <v>108.260637</v>
      </c>
      <c r="S323" s="16">
        <v>205.52766</v>
      </c>
      <c r="T323" s="16">
        <v>-18.843743</v>
      </c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0">
        <v>-6.7520000000000002E-3</v>
      </c>
      <c r="AG323" s="10">
        <v>1.2529999999999999E-2</v>
      </c>
      <c r="AH323" s="10">
        <v>-3.2723000000000002E-2</v>
      </c>
      <c r="AI323" s="10">
        <v>3.0957999999999999E-2</v>
      </c>
      <c r="AJ323" s="10">
        <v>-2.8961000000000001E-2</v>
      </c>
      <c r="AK323" s="10">
        <v>-0.251471</v>
      </c>
      <c r="AL323" s="10">
        <v>1.3291000000000001E-2</v>
      </c>
      <c r="AM323" s="10">
        <v>3.6850000000000001E-2</v>
      </c>
      <c r="AN323" s="10">
        <v>0</v>
      </c>
      <c r="AO323" s="10">
        <v>-1.2846850000000001</v>
      </c>
      <c r="AP323" s="10">
        <v>-2.4104899999999998</v>
      </c>
      <c r="AQ323" s="10">
        <v>-4.0117560000000001</v>
      </c>
      <c r="AR323" s="10">
        <v>1.1628579999999999</v>
      </c>
      <c r="AS323" s="10">
        <v>-1.934091</v>
      </c>
      <c r="AT323" s="10">
        <v>-3.0013329999999998</v>
      </c>
      <c r="AU323" s="10">
        <v>-0.149393</v>
      </c>
      <c r="AV323" s="10">
        <v>-1.7191069999999999</v>
      </c>
      <c r="AW323" s="10">
        <v>-1.9689080000000001</v>
      </c>
      <c r="AX323" s="10">
        <v>-2.9099020000000002</v>
      </c>
      <c r="AY323" s="10">
        <v>-1.947341</v>
      </c>
      <c r="AZ323" s="10">
        <v>-2.0778470000000002</v>
      </c>
      <c r="BA323" s="10">
        <v>-1.864935</v>
      </c>
      <c r="BB323" s="10">
        <v>-1.8784909999999999</v>
      </c>
      <c r="BC323" s="10">
        <v>29.716373999999998</v>
      </c>
      <c r="BD323" s="10">
        <v>24.496518999999999</v>
      </c>
      <c r="BE323" s="10">
        <v>22.266815000000001</v>
      </c>
      <c r="BF323" s="10">
        <v>20.450828999999999</v>
      </c>
      <c r="BG323" s="10">
        <v>24.702936000000001</v>
      </c>
      <c r="BH323" s="10">
        <v>26.990188</v>
      </c>
      <c r="BI323" s="10">
        <v>22.992757000000001</v>
      </c>
      <c r="BJ323" s="10">
        <v>28.437892000000002</v>
      </c>
      <c r="BK323" s="10">
        <v>72.696599000000006</v>
      </c>
      <c r="BL323" s="10">
        <v>57.119422</v>
      </c>
      <c r="BM323" s="10">
        <v>44.249226999999998</v>
      </c>
      <c r="BN323" s="10">
        <v>-19.08765</v>
      </c>
      <c r="BO323" s="10">
        <v>25.979638000000001</v>
      </c>
      <c r="BP323" s="16">
        <v>99.346869999999996</v>
      </c>
      <c r="BQ323" s="141">
        <v>69.832593000000003</v>
      </c>
      <c r="BR323" s="142">
        <v>-18.518066000000001</v>
      </c>
      <c r="BS323" s="16">
        <v>54.866262999999996</v>
      </c>
      <c r="BT323" s="16">
        <v>7.8313220000000001</v>
      </c>
      <c r="BU323" s="16">
        <v>-25.574176000000001</v>
      </c>
      <c r="BV323" s="16">
        <v>-35.090626</v>
      </c>
      <c r="BW323" s="16">
        <v>33.989736999999998</v>
      </c>
      <c r="BX323" s="17">
        <v>-60</v>
      </c>
      <c r="BY323" s="17"/>
      <c r="BZ323" s="17"/>
      <c r="CA323" s="17"/>
      <c r="CB323" s="17"/>
      <c r="CC323" s="17"/>
      <c r="CD323" s="17"/>
      <c r="CE323" s="17"/>
      <c r="CF323" s="5"/>
      <c r="CG323" s="5"/>
      <c r="CH323" s="5"/>
    </row>
    <row r="324" spans="1:96" ht="15.75" outlineLevel="1" thickBot="1">
      <c r="A324" s="3" t="s">
        <v>540</v>
      </c>
      <c r="B324" s="153" t="s">
        <v>42</v>
      </c>
      <c r="C324" s="153">
        <f t="shared" ref="C324:R324" si="466">C322+C323</f>
        <v>-23.977444999999996</v>
      </c>
      <c r="D324" s="153">
        <f t="shared" si="466"/>
        <v>-15.261413000000006</v>
      </c>
      <c r="E324" s="153">
        <f t="shared" si="466"/>
        <v>14.193533</v>
      </c>
      <c r="F324" s="153">
        <f t="shared" si="466"/>
        <v>53.813514999999988</v>
      </c>
      <c r="G324" s="153">
        <f t="shared" si="466"/>
        <v>133.12629000000001</v>
      </c>
      <c r="H324" s="153">
        <f t="shared" si="466"/>
        <v>224.24559999999994</v>
      </c>
      <c r="I324" s="153">
        <f t="shared" si="466"/>
        <v>240.56384699999998</v>
      </c>
      <c r="J324" s="153">
        <f t="shared" si="466"/>
        <v>398.32360999999992</v>
      </c>
      <c r="K324" s="153">
        <f t="shared" si="466"/>
        <v>443.92746700000026</v>
      </c>
      <c r="L324" s="153">
        <f t="shared" si="466"/>
        <v>658.9734420000002</v>
      </c>
      <c r="M324" s="153">
        <f t="shared" si="466"/>
        <v>1048.0597399999995</v>
      </c>
      <c r="N324" s="153">
        <f t="shared" si="466"/>
        <v>1076.4148969999999</v>
      </c>
      <c r="O324" s="153">
        <f t="shared" si="466"/>
        <v>714.40586399999961</v>
      </c>
      <c r="P324" s="153">
        <f t="shared" si="466"/>
        <v>998.31968400000005</v>
      </c>
      <c r="Q324" s="153">
        <f t="shared" si="466"/>
        <v>242.73978100000176</v>
      </c>
      <c r="R324" s="153">
        <f t="shared" si="466"/>
        <v>2507.6558840000021</v>
      </c>
      <c r="S324" s="153">
        <f>SUM(BP324:BS324)</f>
        <v>-1430.7031950000001</v>
      </c>
      <c r="T324" s="153">
        <f t="shared" ref="T324:AB324" si="467">T322+T323</f>
        <v>2142.0115370000003</v>
      </c>
      <c r="U324" s="153">
        <f t="shared" ca="1" si="467"/>
        <v>2198.8995198788039</v>
      </c>
      <c r="V324" s="153">
        <f t="shared" ca="1" si="467"/>
        <v>4769.769318779925</v>
      </c>
      <c r="W324" s="153">
        <f t="shared" ca="1" si="467"/>
        <v>6658.3111531531576</v>
      </c>
      <c r="X324" s="153">
        <f t="shared" ca="1" si="467"/>
        <v>8920.6445608685553</v>
      </c>
      <c r="Y324" s="153">
        <f t="shared" ca="1" si="467"/>
        <v>11720.663686927455</v>
      </c>
      <c r="Z324" s="153">
        <f t="shared" ca="1" si="467"/>
        <v>14317.294771640994</v>
      </c>
      <c r="AA324" s="153">
        <f t="shared" ca="1" si="467"/>
        <v>17143.125549808472</v>
      </c>
      <c r="AB324" s="153">
        <f t="shared" ca="1" si="467"/>
        <v>20327.836972818732</v>
      </c>
      <c r="AC324" s="153">
        <f ca="1">AC322+AC323</f>
        <v>22976.756377905367</v>
      </c>
      <c r="AD324" s="153">
        <f ca="1">AD322+AD323</f>
        <v>25698.285627482102</v>
      </c>
      <c r="AE324" s="153"/>
      <c r="AF324" s="153">
        <f t="shared" ref="AF324:BW324" si="468">AF322+AF323</f>
        <v>64.922370999999998</v>
      </c>
      <c r="AG324" s="153">
        <f t="shared" si="468"/>
        <v>88.227753999999976</v>
      </c>
      <c r="AH324" s="153">
        <f t="shared" si="468"/>
        <v>109.69841599999994</v>
      </c>
      <c r="AI324" s="153">
        <f t="shared" si="468"/>
        <v>135.495069</v>
      </c>
      <c r="AJ324" s="153">
        <f t="shared" si="468"/>
        <v>98.849438000000021</v>
      </c>
      <c r="AK324" s="153">
        <f t="shared" si="468"/>
        <v>119.31554100000008</v>
      </c>
      <c r="AL324" s="153">
        <f t="shared" si="468"/>
        <v>104.49544200000003</v>
      </c>
      <c r="AM324" s="153">
        <f t="shared" si="468"/>
        <v>121.44745199999993</v>
      </c>
      <c r="AN324" s="153">
        <f t="shared" si="468"/>
        <v>121.39228000000006</v>
      </c>
      <c r="AO324" s="153">
        <f t="shared" si="468"/>
        <v>158.85880799999998</v>
      </c>
      <c r="AP324" s="153">
        <f t="shared" si="468"/>
        <v>188.51672100000005</v>
      </c>
      <c r="AQ324" s="153">
        <f t="shared" si="468"/>
        <v>190.20581300000001</v>
      </c>
      <c r="AR324" s="153">
        <f t="shared" si="468"/>
        <v>190.44543100000007</v>
      </c>
      <c r="AS324" s="153">
        <f t="shared" si="468"/>
        <v>235.21141299999999</v>
      </c>
      <c r="AT324" s="153">
        <f t="shared" si="468"/>
        <v>320.13916099999989</v>
      </c>
      <c r="AU324" s="153">
        <f t="shared" si="468"/>
        <v>302.27373500000004</v>
      </c>
      <c r="AV324" s="153">
        <f t="shared" si="468"/>
        <v>234.908333</v>
      </c>
      <c r="AW324" s="153">
        <f t="shared" si="468"/>
        <v>263.70237200000008</v>
      </c>
      <c r="AX324" s="153">
        <f t="shared" si="468"/>
        <v>325.28029800000013</v>
      </c>
      <c r="AY324" s="153">
        <f t="shared" si="468"/>
        <v>252.52389399999993</v>
      </c>
      <c r="AZ324" s="153">
        <f t="shared" si="468"/>
        <v>208.36734200000004</v>
      </c>
      <c r="BA324" s="153">
        <f t="shared" si="468"/>
        <v>119.66973899999999</v>
      </c>
      <c r="BB324" s="153">
        <f t="shared" si="468"/>
        <v>193.81679699999995</v>
      </c>
      <c r="BC324" s="153">
        <f t="shared" si="468"/>
        <v>192.55202600000001</v>
      </c>
      <c r="BD324" s="153">
        <f t="shared" si="468"/>
        <v>153.47147299999969</v>
      </c>
      <c r="BE324" s="153">
        <f t="shared" si="468"/>
        <v>210.3810940000003</v>
      </c>
      <c r="BF324" s="153">
        <f t="shared" si="468"/>
        <v>372.98771599999969</v>
      </c>
      <c r="BG324" s="153">
        <f t="shared" si="468"/>
        <v>261.47940100000005</v>
      </c>
      <c r="BH324" s="153">
        <f t="shared" si="468"/>
        <v>115.35175300000013</v>
      </c>
      <c r="BI324" s="153">
        <f t="shared" si="468"/>
        <v>134.88818000000015</v>
      </c>
      <c r="BJ324" s="153">
        <f t="shared" si="468"/>
        <v>216.92455400000037</v>
      </c>
      <c r="BK324" s="153">
        <f t="shared" si="468"/>
        <v>-224.42470600000013</v>
      </c>
      <c r="BL324" s="153">
        <f t="shared" si="468"/>
        <v>-125.98668100000073</v>
      </c>
      <c r="BM324" s="153">
        <f t="shared" si="468"/>
        <v>142.77842200000043</v>
      </c>
      <c r="BN324" s="153">
        <f t="shared" si="468"/>
        <v>2415.1362810000001</v>
      </c>
      <c r="BO324" s="153">
        <f t="shared" si="468"/>
        <v>75.727861999999988</v>
      </c>
      <c r="BP324" s="153">
        <f t="shared" si="468"/>
        <v>-1578.684091000001</v>
      </c>
      <c r="BQ324" s="153">
        <f t="shared" si="468"/>
        <v>-521.25253399999849</v>
      </c>
      <c r="BR324" s="153">
        <f t="shared" si="468"/>
        <v>23.917442000000154</v>
      </c>
      <c r="BS324" s="153">
        <f t="shared" si="468"/>
        <v>645.31598799999949</v>
      </c>
      <c r="BT324" s="153">
        <f t="shared" si="468"/>
        <v>82.447981000000269</v>
      </c>
      <c r="BU324" s="153">
        <f t="shared" si="468"/>
        <v>326.87206899999927</v>
      </c>
      <c r="BV324" s="153">
        <f t="shared" si="468"/>
        <v>1229.1177869999999</v>
      </c>
      <c r="BW324" s="153">
        <f t="shared" si="468"/>
        <v>503.57370000000026</v>
      </c>
      <c r="BX324" s="153">
        <f t="shared" ref="BX324:CE324" ca="1" si="469">BX322+BX323</f>
        <v>105.99110078567713</v>
      </c>
      <c r="BY324" s="153">
        <f t="shared" ca="1" si="469"/>
        <v>317.22710858116324</v>
      </c>
      <c r="BZ324" s="153">
        <f t="shared" ca="1" si="469"/>
        <v>781.59845861517442</v>
      </c>
      <c r="CA324" s="153">
        <f t="shared" ca="1" si="469"/>
        <v>934.08285189678224</v>
      </c>
      <c r="CB324" s="153">
        <f t="shared" ca="1" si="469"/>
        <v>980.90738232194212</v>
      </c>
      <c r="CC324" s="153">
        <f t="shared" ca="1" si="469"/>
        <v>1128.2748035616373</v>
      </c>
      <c r="CD324" s="153">
        <f t="shared" ca="1" si="469"/>
        <v>1456.9085146557131</v>
      </c>
      <c r="CE324" s="153">
        <f t="shared" ca="1" si="469"/>
        <v>1203.6786182406324</v>
      </c>
      <c r="CF324" s="31"/>
      <c r="CG324" s="5"/>
      <c r="CH324" s="5"/>
      <c r="CI324" s="154"/>
      <c r="CP324" s="154"/>
      <c r="CQ324" s="154"/>
      <c r="CR324" s="154"/>
    </row>
    <row r="325" spans="1:96" ht="15.75" outlineLevel="1" thickTop="1">
      <c r="B325" s="400"/>
      <c r="C325" s="400"/>
      <c r="D325" s="400"/>
      <c r="E325" s="400"/>
      <c r="F325" s="400"/>
      <c r="G325" s="400"/>
      <c r="H325" s="400"/>
      <c r="I325" s="400"/>
      <c r="J325" s="400"/>
      <c r="K325" s="400"/>
      <c r="L325" s="400"/>
      <c r="M325" s="400"/>
      <c r="N325" s="400"/>
      <c r="O325" s="400"/>
      <c r="P325" s="555"/>
      <c r="Q325" s="555"/>
      <c r="R325" s="555"/>
      <c r="S325" s="555"/>
      <c r="T325" s="555"/>
      <c r="U325" s="555"/>
      <c r="V325" s="555"/>
      <c r="W325" s="400"/>
      <c r="X325" s="400"/>
      <c r="Y325" s="400"/>
      <c r="Z325" s="400"/>
      <c r="AA325" s="400"/>
      <c r="AB325" s="400"/>
      <c r="AC325" s="400"/>
      <c r="AD325" s="400"/>
      <c r="AE325" s="400"/>
      <c r="AF325" s="400"/>
      <c r="AG325" s="400"/>
      <c r="AH325" s="400"/>
      <c r="AI325" s="400"/>
      <c r="AJ325" s="400"/>
      <c r="AK325" s="400"/>
      <c r="AL325" s="400"/>
      <c r="AM325" s="400"/>
      <c r="AN325" s="400"/>
      <c r="AO325" s="400"/>
      <c r="AP325" s="400"/>
      <c r="AQ325" s="400"/>
      <c r="AR325" s="400"/>
      <c r="AS325" s="400"/>
      <c r="AT325" s="400"/>
      <c r="AU325" s="400"/>
      <c r="AV325" s="400"/>
      <c r="AW325" s="400"/>
      <c r="AX325" s="400"/>
      <c r="AY325" s="400"/>
      <c r="AZ325" s="400"/>
      <c r="BA325" s="400"/>
      <c r="BB325" s="400"/>
      <c r="BC325" s="400"/>
      <c r="BD325" s="400"/>
      <c r="BE325" s="400"/>
      <c r="BF325" s="400"/>
      <c r="BG325" s="400"/>
      <c r="BH325" s="400"/>
      <c r="BI325" s="400"/>
      <c r="BJ325" s="400"/>
      <c r="BK325" s="400"/>
      <c r="BL325" s="551"/>
      <c r="BM325" s="551"/>
      <c r="BN325" s="551"/>
      <c r="BO325" s="552"/>
      <c r="BP325" s="552"/>
      <c r="BQ325" s="552"/>
      <c r="BR325" s="552"/>
      <c r="BS325" s="552"/>
      <c r="BT325" s="552"/>
      <c r="BU325" s="552"/>
      <c r="BV325" s="552"/>
      <c r="BW325" s="653"/>
      <c r="BX325" s="552"/>
      <c r="BY325" s="552"/>
      <c r="BZ325" s="552"/>
      <c r="CA325" s="552"/>
      <c r="CB325" s="552"/>
      <c r="CC325" s="552"/>
      <c r="CD325" s="552"/>
      <c r="CE325" s="552"/>
      <c r="CF325" s="31"/>
      <c r="CG325" s="5"/>
      <c r="CH325" s="5"/>
    </row>
    <row r="326" spans="1:96" outlineLevel="1"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157"/>
      <c r="S326" s="157"/>
      <c r="T326" s="157"/>
      <c r="U326" s="157"/>
      <c r="V326" s="157"/>
      <c r="W326" s="157"/>
      <c r="X326" s="157"/>
      <c r="Y326" s="157"/>
      <c r="Z326" s="157"/>
      <c r="AA326" s="157"/>
      <c r="AB326" s="157"/>
      <c r="AC326" s="157"/>
      <c r="AD326" s="157"/>
      <c r="AE326" s="157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  <c r="BL326" s="6"/>
      <c r="BM326" s="6"/>
      <c r="BN326" s="155"/>
      <c r="BO326" s="155"/>
      <c r="BP326" s="155"/>
      <c r="BQ326" s="156"/>
      <c r="BR326" s="156"/>
      <c r="BS326" s="156"/>
      <c r="BT326" s="156"/>
      <c r="BU326" s="156"/>
      <c r="BV326" s="156"/>
      <c r="BW326" s="156"/>
      <c r="BX326" s="156"/>
      <c r="BY326" s="156"/>
      <c r="BZ326" s="156"/>
      <c r="CA326" s="156"/>
      <c r="CB326" s="156"/>
      <c r="CC326" s="156"/>
      <c r="CD326" s="156"/>
      <c r="CE326" s="156"/>
      <c r="CF326" s="459"/>
      <c r="CG326" s="5"/>
      <c r="CH326" s="5"/>
    </row>
    <row r="327" spans="1:96" s="160" customFormat="1" outlineLevel="1">
      <c r="A327" s="158" t="s">
        <v>566</v>
      </c>
      <c r="B327" s="13" t="s">
        <v>35</v>
      </c>
      <c r="C327" s="10">
        <v>2.2851E-2</v>
      </c>
      <c r="D327" s="10">
        <v>3.9433000000000003E-2</v>
      </c>
      <c r="E327" s="10">
        <v>3.8904000000000001E-2</v>
      </c>
      <c r="F327" s="10">
        <v>1.474545</v>
      </c>
      <c r="G327" s="10">
        <v>0.19367300000000001</v>
      </c>
      <c r="H327" s="10">
        <v>-9.0216630000000002</v>
      </c>
      <c r="I327" s="10">
        <v>-8.4596599999999995</v>
      </c>
      <c r="J327" s="10">
        <v>-20.321442999999999</v>
      </c>
      <c r="K327" s="10">
        <v>-41.382066999999999</v>
      </c>
      <c r="L327" s="10">
        <v>1.652997</v>
      </c>
      <c r="M327" s="10">
        <v>-70.001987</v>
      </c>
      <c r="N327" s="10">
        <v>-94.851410999999999</v>
      </c>
      <c r="O327" s="10">
        <v>21.039743999999999</v>
      </c>
      <c r="P327" s="10">
        <v>-14.167524</v>
      </c>
      <c r="Q327" s="10">
        <v>-66.759799000000001</v>
      </c>
      <c r="R327" s="48">
        <v>-489.91791699999999</v>
      </c>
      <c r="S327" s="48">
        <v>-323.58159899999998</v>
      </c>
      <c r="T327" s="157"/>
      <c r="U327" s="157"/>
      <c r="V327" s="157"/>
      <c r="W327" s="157"/>
      <c r="X327" s="157"/>
      <c r="Y327" s="157"/>
      <c r="Z327" s="157"/>
      <c r="AA327" s="157"/>
      <c r="AB327" s="157"/>
      <c r="AC327" s="157"/>
      <c r="AD327" s="157"/>
      <c r="AE327" s="157"/>
      <c r="AF327" s="10">
        <v>0</v>
      </c>
      <c r="AG327" s="10">
        <v>0</v>
      </c>
      <c r="AH327" s="10">
        <v>0</v>
      </c>
      <c r="AI327" s="10">
        <v>-20.321442999999999</v>
      </c>
      <c r="AJ327" s="10">
        <v>0</v>
      </c>
      <c r="AK327" s="10">
        <v>0</v>
      </c>
      <c r="AL327" s="10">
        <v>0</v>
      </c>
      <c r="AM327" s="10">
        <v>0</v>
      </c>
      <c r="AN327" s="10">
        <v>0</v>
      </c>
      <c r="AO327" s="10">
        <v>0</v>
      </c>
      <c r="AP327" s="10">
        <v>0</v>
      </c>
      <c r="AQ327" s="10">
        <v>0</v>
      </c>
      <c r="AR327" s="10">
        <v>0</v>
      </c>
      <c r="AS327" s="10">
        <v>0</v>
      </c>
      <c r="AT327" s="10">
        <v>0</v>
      </c>
      <c r="AU327" s="10">
        <v>0</v>
      </c>
      <c r="AV327" s="10">
        <v>0</v>
      </c>
      <c r="AW327" s="10">
        <v>0</v>
      </c>
      <c r="AX327" s="10">
        <v>0</v>
      </c>
      <c r="AY327" s="10">
        <v>0</v>
      </c>
      <c r="AZ327" s="10">
        <v>0</v>
      </c>
      <c r="BA327" s="10">
        <v>0</v>
      </c>
      <c r="BB327" s="10">
        <v>0</v>
      </c>
      <c r="BC327" s="10">
        <v>0</v>
      </c>
      <c r="BD327" s="10"/>
      <c r="BE327" s="10"/>
      <c r="BF327" s="10"/>
      <c r="BG327" s="10"/>
      <c r="BH327" s="10"/>
      <c r="BI327" s="10"/>
      <c r="BJ327" s="10"/>
      <c r="BK327" s="10"/>
      <c r="BL327" s="10"/>
      <c r="BM327" s="159"/>
      <c r="BN327" s="10"/>
      <c r="BO327" s="10"/>
      <c r="BP327" s="10"/>
      <c r="BQ327" s="10"/>
      <c r="BR327" s="10"/>
      <c r="BS327" s="10"/>
      <c r="BT327" s="10"/>
      <c r="BU327" s="10"/>
      <c r="BV327" s="10"/>
      <c r="BW327" s="10"/>
      <c r="BX327" s="10"/>
      <c r="BY327" s="10"/>
      <c r="BZ327" s="10"/>
      <c r="CA327" s="10"/>
      <c r="CB327" s="10"/>
      <c r="CC327" s="10"/>
      <c r="CD327" s="10"/>
      <c r="CE327" s="10"/>
      <c r="CF327" s="459"/>
      <c r="CG327" s="5"/>
      <c r="CH327" s="5"/>
      <c r="CI327" s="161"/>
      <c r="CJ327"/>
      <c r="CK327"/>
      <c r="CL327"/>
      <c r="CM327"/>
      <c r="CN327"/>
      <c r="CO327"/>
      <c r="CP327" s="161"/>
      <c r="CQ327" s="161"/>
      <c r="CR327" s="161"/>
    </row>
    <row r="328" spans="1:96" s="160" customFormat="1" outlineLevel="1">
      <c r="A328" s="3" t="s">
        <v>581</v>
      </c>
      <c r="B328" s="13" t="s">
        <v>41</v>
      </c>
      <c r="C328" s="10"/>
      <c r="D328" s="10"/>
      <c r="E328" s="10"/>
      <c r="F328" s="10"/>
      <c r="G328" s="10"/>
      <c r="H328" s="10">
        <v>0</v>
      </c>
      <c r="I328" s="10">
        <v>0</v>
      </c>
      <c r="J328" s="10">
        <v>0</v>
      </c>
      <c r="K328" s="10">
        <v>-17.243653999999999</v>
      </c>
      <c r="L328" s="10">
        <v>17.243653999999999</v>
      </c>
      <c r="M328" s="10">
        <v>346.71651400000002</v>
      </c>
      <c r="N328" s="10">
        <v>-276.58695</v>
      </c>
      <c r="O328" s="10">
        <v>92.647857999999999</v>
      </c>
      <c r="P328" s="10">
        <v>445.58077900000001</v>
      </c>
      <c r="Q328" s="10">
        <v>137.70459500000001</v>
      </c>
      <c r="R328" s="48">
        <v>606.41582200000005</v>
      </c>
      <c r="S328" s="48">
        <v>914.529809</v>
      </c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10"/>
      <c r="BK328" s="10"/>
      <c r="BL328" s="10"/>
      <c r="BM328" s="10"/>
      <c r="BN328" s="10"/>
      <c r="BO328" s="10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  <c r="CD328" s="10"/>
      <c r="CE328" s="10"/>
      <c r="CF328" s="9"/>
      <c r="CG328" s="5"/>
      <c r="CH328" s="5"/>
      <c r="CI328" s="161"/>
      <c r="CJ328"/>
      <c r="CK328"/>
      <c r="CL328"/>
      <c r="CM328"/>
      <c r="CN328"/>
      <c r="CO328"/>
      <c r="CP328" s="161"/>
      <c r="CQ328" s="161"/>
      <c r="CR328" s="161"/>
    </row>
    <row r="329" spans="1:96" s="160" customFormat="1" outlineLevel="1">
      <c r="A329" s="3"/>
      <c r="B329" s="13" t="s">
        <v>17</v>
      </c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48"/>
      <c r="S329" s="48">
        <v>-140.651759</v>
      </c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10"/>
      <c r="BK329" s="10"/>
      <c r="BL329" s="10"/>
      <c r="BM329" s="10"/>
      <c r="BN329" s="10"/>
      <c r="BO329" s="10"/>
      <c r="BP329" s="10"/>
      <c r="BQ329" s="10"/>
      <c r="BR329" s="10"/>
      <c r="BS329" s="10"/>
      <c r="BT329" s="10"/>
      <c r="BU329" s="10"/>
      <c r="BV329" s="10"/>
      <c r="BW329" s="10"/>
      <c r="BX329" s="10"/>
      <c r="BY329" s="10"/>
      <c r="BZ329" s="10"/>
      <c r="CA329" s="10"/>
      <c r="CB329" s="10"/>
      <c r="CC329" s="10"/>
      <c r="CD329" s="10"/>
      <c r="CE329" s="10"/>
      <c r="CF329" s="9"/>
      <c r="CG329" s="5"/>
      <c r="CH329" s="5"/>
      <c r="CI329" s="161"/>
      <c r="CJ329"/>
      <c r="CK329"/>
      <c r="CL329"/>
      <c r="CM329"/>
      <c r="CN329"/>
      <c r="CO329"/>
      <c r="CP329" s="161"/>
      <c r="CQ329" s="161"/>
      <c r="CR329" s="161"/>
    </row>
    <row r="330" spans="1:96" s="160" customFormat="1" outlineLevel="1">
      <c r="A330" s="3" t="s">
        <v>582</v>
      </c>
      <c r="B330" s="13" t="s">
        <v>36</v>
      </c>
      <c r="C330" s="6">
        <f t="shared" ref="C330:R330" si="470">C327+C328</f>
        <v>2.2851E-2</v>
      </c>
      <c r="D330" s="6">
        <f t="shared" si="470"/>
        <v>3.9433000000000003E-2</v>
      </c>
      <c r="E330" s="6">
        <f t="shared" si="470"/>
        <v>3.8904000000000001E-2</v>
      </c>
      <c r="F330" s="6">
        <f t="shared" si="470"/>
        <v>1.474545</v>
      </c>
      <c r="G330" s="6">
        <f t="shared" si="470"/>
        <v>0.19367300000000001</v>
      </c>
      <c r="H330" s="6">
        <f t="shared" si="470"/>
        <v>-9.0216630000000002</v>
      </c>
      <c r="I330" s="6">
        <f t="shared" si="470"/>
        <v>-8.4596599999999995</v>
      </c>
      <c r="J330" s="6">
        <f t="shared" si="470"/>
        <v>-20.321442999999999</v>
      </c>
      <c r="K330" s="6">
        <f t="shared" si="470"/>
        <v>-58.625720999999999</v>
      </c>
      <c r="L330" s="6">
        <f t="shared" si="470"/>
        <v>18.896650999999999</v>
      </c>
      <c r="M330" s="6">
        <f t="shared" si="470"/>
        <v>276.71452700000003</v>
      </c>
      <c r="N330" s="6">
        <f t="shared" si="470"/>
        <v>-371.43836099999999</v>
      </c>
      <c r="O330" s="6">
        <f t="shared" si="470"/>
        <v>113.687602</v>
      </c>
      <c r="P330" s="6">
        <f t="shared" si="470"/>
        <v>431.41325499999999</v>
      </c>
      <c r="Q330" s="6">
        <f t="shared" si="470"/>
        <v>70.944796000000011</v>
      </c>
      <c r="R330" s="6">
        <f t="shared" si="470"/>
        <v>116.49790500000006</v>
      </c>
      <c r="S330" s="6">
        <f>S327+S328+S329</f>
        <v>450.29645100000005</v>
      </c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10"/>
      <c r="BE330" s="10"/>
      <c r="BF330" s="10"/>
      <c r="BG330" s="10"/>
      <c r="BH330" s="10"/>
      <c r="BI330" s="10"/>
      <c r="BJ330" s="10"/>
      <c r="BK330" s="10"/>
      <c r="BL330" s="10"/>
      <c r="BM330" s="10"/>
      <c r="BN330" s="10"/>
      <c r="BO330" s="10"/>
      <c r="BP330" s="10"/>
      <c r="BQ330" s="10"/>
      <c r="BR330" s="10"/>
      <c r="BS330" s="10"/>
      <c r="BT330" s="10"/>
      <c r="BU330" s="10"/>
      <c r="BV330" s="10"/>
      <c r="BW330" s="10"/>
      <c r="BX330" s="10"/>
      <c r="BY330" s="10"/>
      <c r="BZ330" s="10"/>
      <c r="CA330" s="10"/>
      <c r="CB330" s="10"/>
      <c r="CC330" s="10"/>
      <c r="CD330" s="10"/>
      <c r="CE330" s="10"/>
      <c r="CF330" s="9"/>
      <c r="CG330" s="5"/>
      <c r="CH330" s="5"/>
      <c r="CI330" s="161"/>
      <c r="CJ330"/>
      <c r="CK330"/>
      <c r="CL330"/>
      <c r="CM330"/>
      <c r="CN330"/>
      <c r="CO330"/>
      <c r="CP330" s="161"/>
      <c r="CQ330" s="161"/>
      <c r="CR330" s="161"/>
    </row>
    <row r="331" spans="1:96" outlineLevel="1">
      <c r="B331" s="116" t="s">
        <v>37</v>
      </c>
      <c r="C331" s="84">
        <f t="shared" ref="C331:S331" si="471">C322+C330</f>
        <v>-23.954593999999997</v>
      </c>
      <c r="D331" s="84">
        <f t="shared" si="471"/>
        <v>-15.221980000000006</v>
      </c>
      <c r="E331" s="84">
        <f t="shared" si="471"/>
        <v>14.161440000000001</v>
      </c>
      <c r="F331" s="84">
        <f t="shared" si="471"/>
        <v>55.367555999999986</v>
      </c>
      <c r="G331" s="84">
        <f t="shared" si="471"/>
        <v>133.358924</v>
      </c>
      <c r="H331" s="84">
        <f t="shared" si="471"/>
        <v>215.49273699999995</v>
      </c>
      <c r="I331" s="84">
        <f t="shared" si="471"/>
        <v>232.32556099999999</v>
      </c>
      <c r="J331" s="84">
        <f t="shared" si="471"/>
        <v>377.99815399999994</v>
      </c>
      <c r="K331" s="84">
        <f t="shared" si="471"/>
        <v>385.53203700000029</v>
      </c>
      <c r="L331" s="84">
        <f t="shared" si="471"/>
        <v>685.66777900000022</v>
      </c>
      <c r="M331" s="84">
        <f t="shared" si="471"/>
        <v>1328.6962259999996</v>
      </c>
      <c r="N331" s="84">
        <f t="shared" si="471"/>
        <v>713.521794</v>
      </c>
      <c r="O331" s="84">
        <f t="shared" si="471"/>
        <v>804.19836499999963</v>
      </c>
      <c r="P331" s="84">
        <f t="shared" si="471"/>
        <v>1337.81584</v>
      </c>
      <c r="Q331" s="84">
        <f t="shared" si="471"/>
        <v>162.56714100000175</v>
      </c>
      <c r="R331" s="84">
        <f t="shared" si="471"/>
        <v>2515.8931520000024</v>
      </c>
      <c r="S331" s="84">
        <f t="shared" si="471"/>
        <v>-1185.9344040000001</v>
      </c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4"/>
      <c r="AT331" s="84"/>
      <c r="AU331" s="84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6"/>
      <c r="BN331" s="6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  <c r="BZ331" s="6"/>
      <c r="CA331" s="6"/>
      <c r="CB331" s="6"/>
      <c r="CC331" s="6"/>
      <c r="CD331" s="6"/>
      <c r="CE331" s="6"/>
      <c r="CF331" s="5"/>
      <c r="CG331" s="5"/>
      <c r="CH331" s="5"/>
    </row>
    <row r="332" spans="1:96" s="160" customFormat="1" outlineLevel="1">
      <c r="A332" s="3"/>
      <c r="B332" s="13" t="s">
        <v>40</v>
      </c>
      <c r="C332" s="10"/>
      <c r="D332" s="10"/>
      <c r="E332" s="10"/>
      <c r="F332" s="10"/>
      <c r="G332" s="10"/>
      <c r="H332" s="10">
        <v>-0.26879999999999998</v>
      </c>
      <c r="I332" s="10">
        <v>-0.22137399999999999</v>
      </c>
      <c r="J332" s="10">
        <v>4.0130000000000001E-3</v>
      </c>
      <c r="K332" s="10">
        <v>-0.230291</v>
      </c>
      <c r="L332" s="10">
        <v>-9.3903529999999993</v>
      </c>
      <c r="M332" s="10">
        <v>-3.9219590000000002</v>
      </c>
      <c r="N332" s="10">
        <v>-8.5452580000000005</v>
      </c>
      <c r="O332" s="10">
        <v>23.895101</v>
      </c>
      <c r="P332" s="10">
        <v>91.917098999999993</v>
      </c>
      <c r="Q332" s="10">
        <v>151.117436</v>
      </c>
      <c r="R332" s="48">
        <v>108.260637</v>
      </c>
      <c r="S332" s="10">
        <v>205.52766</v>
      </c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  <c r="BL332" s="123">
        <f t="shared" ref="BL332:BR332" si="472">BL323</f>
        <v>57.119422</v>
      </c>
      <c r="BM332" s="123">
        <f t="shared" si="472"/>
        <v>44.249226999999998</v>
      </c>
      <c r="BN332" s="123">
        <f t="shared" si="472"/>
        <v>-19.08765</v>
      </c>
      <c r="BO332" s="123">
        <f t="shared" si="472"/>
        <v>25.979638000000001</v>
      </c>
      <c r="BP332" s="123">
        <f t="shared" si="472"/>
        <v>99.346869999999996</v>
      </c>
      <c r="BQ332" s="123">
        <f t="shared" si="472"/>
        <v>69.832593000000003</v>
      </c>
      <c r="BR332" s="123">
        <f t="shared" si="472"/>
        <v>-18.518066000000001</v>
      </c>
      <c r="BS332" s="401">
        <f>BS323</f>
        <v>54.866262999999996</v>
      </c>
      <c r="BT332" s="401"/>
      <c r="BU332" s="10"/>
      <c r="BV332" s="10"/>
      <c r="BW332" s="10"/>
      <c r="BX332" s="10"/>
      <c r="BY332" s="10"/>
      <c r="BZ332" s="10"/>
      <c r="CA332" s="10"/>
      <c r="CB332" s="10"/>
      <c r="CC332" s="10"/>
      <c r="CD332" s="10"/>
      <c r="CE332" s="10"/>
      <c r="CF332" s="9"/>
      <c r="CG332" s="5"/>
      <c r="CH332" s="5"/>
      <c r="CI332" s="161"/>
      <c r="CJ332"/>
      <c r="CK332"/>
      <c r="CL332"/>
      <c r="CM332"/>
      <c r="CN332"/>
      <c r="CO332"/>
      <c r="CP332" s="161"/>
      <c r="CQ332" s="161"/>
      <c r="CR332" s="161"/>
    </row>
    <row r="333" spans="1:96" outlineLevel="1">
      <c r="A333" s="3" t="s">
        <v>583</v>
      </c>
      <c r="B333" s="144" t="s">
        <v>39</v>
      </c>
      <c r="C333" s="20"/>
      <c r="D333" s="20"/>
      <c r="E333" s="20"/>
      <c r="F333" s="20"/>
      <c r="G333" s="20"/>
      <c r="H333" s="20">
        <f t="shared" ref="H333:P333" si="473">H331+H332</f>
        <v>215.22393699999995</v>
      </c>
      <c r="I333" s="20">
        <f t="shared" si="473"/>
        <v>232.104187</v>
      </c>
      <c r="J333" s="20">
        <f t="shared" si="473"/>
        <v>378.00216699999993</v>
      </c>
      <c r="K333" s="20">
        <f t="shared" si="473"/>
        <v>385.30174600000026</v>
      </c>
      <c r="L333" s="20">
        <f t="shared" si="473"/>
        <v>676.27742600000022</v>
      </c>
      <c r="M333" s="20">
        <f t="shared" si="473"/>
        <v>1324.7742669999996</v>
      </c>
      <c r="N333" s="20">
        <f t="shared" si="473"/>
        <v>704.97653600000001</v>
      </c>
      <c r="O333" s="20">
        <f t="shared" si="473"/>
        <v>828.09346599999958</v>
      </c>
      <c r="P333" s="20">
        <f t="shared" si="473"/>
        <v>1429.732939</v>
      </c>
      <c r="Q333" s="20">
        <f>Q332+Q331</f>
        <v>313.68457700000175</v>
      </c>
      <c r="R333" s="20">
        <f>R332+R331</f>
        <v>2624.1537890000022</v>
      </c>
      <c r="S333" s="20">
        <f>S332+S331</f>
        <v>-980.40674400000012</v>
      </c>
      <c r="T333" s="40">
        <v>7510.934671</v>
      </c>
      <c r="U333" s="20">
        <f t="shared" ref="U333:AB333" ca="1" si="474">SUM(U327:U332)+U324</f>
        <v>2198.8995198788039</v>
      </c>
      <c r="V333" s="20">
        <f t="shared" ca="1" si="474"/>
        <v>4769.769318779925</v>
      </c>
      <c r="W333" s="20">
        <f t="shared" ca="1" si="474"/>
        <v>6658.3111531531576</v>
      </c>
      <c r="X333" s="20">
        <f t="shared" ca="1" si="474"/>
        <v>8920.6445608685553</v>
      </c>
      <c r="Y333" s="20">
        <f t="shared" ca="1" si="474"/>
        <v>11720.663686927455</v>
      </c>
      <c r="Z333" s="20">
        <f t="shared" ca="1" si="474"/>
        <v>14317.294771640994</v>
      </c>
      <c r="AA333" s="20">
        <f t="shared" ca="1" si="474"/>
        <v>17143.125549808472</v>
      </c>
      <c r="AB333" s="20">
        <f t="shared" ca="1" si="474"/>
        <v>20327.836972818732</v>
      </c>
      <c r="AC333" s="20">
        <f ca="1">SUM(AC327:AC332)+AC324</f>
        <v>22976.756377905367</v>
      </c>
      <c r="AD333" s="20">
        <f ca="1">SUM(AD327:AD332)+AD324</f>
        <v>25698.285627482102</v>
      </c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R333" s="20"/>
      <c r="AS333" s="20"/>
      <c r="AT333" s="20"/>
      <c r="AU333" s="20"/>
      <c r="AV333" s="20"/>
      <c r="AW333" s="20"/>
      <c r="AX333" s="20"/>
      <c r="AY333" s="20"/>
      <c r="AZ333" s="20"/>
      <c r="BA333" s="20"/>
      <c r="BB333" s="20"/>
      <c r="BC333" s="20"/>
      <c r="BD333" s="40">
        <v>130.09598399999999</v>
      </c>
      <c r="BE333" s="40">
        <v>208.157307</v>
      </c>
      <c r="BF333" s="40">
        <v>443.12746399999997</v>
      </c>
      <c r="BG333" s="40">
        <v>648.35218399999997</v>
      </c>
      <c r="BH333" s="40">
        <v>-180.40146799999999</v>
      </c>
      <c r="BI333" s="40">
        <v>260.74094400000001</v>
      </c>
      <c r="BJ333" s="40">
        <v>555.93964500000004</v>
      </c>
      <c r="BK333" s="40">
        <v>-322.59454399999998</v>
      </c>
      <c r="BL333" s="40">
        <v>-245.66678300000001</v>
      </c>
      <c r="BM333" s="40">
        <v>708.83902499999999</v>
      </c>
      <c r="BN333" s="81">
        <v>2306.8481350000002</v>
      </c>
      <c r="BO333" s="40">
        <v>-145.86658800000001</v>
      </c>
      <c r="BP333" s="81">
        <v>-1489.8948150000001</v>
      </c>
      <c r="BQ333" s="163">
        <v>-856.28986999999995</v>
      </c>
      <c r="BR333" s="81">
        <v>229.522806</v>
      </c>
      <c r="BS333" s="163">
        <v>1276.906894</v>
      </c>
      <c r="BT333" s="163">
        <v>1233.1121869999999</v>
      </c>
      <c r="BU333" s="163">
        <v>912.66870500000005</v>
      </c>
      <c r="BV333" s="163">
        <v>-2836.8126280000001</v>
      </c>
      <c r="BW333" s="163">
        <v>2528.3414509999998</v>
      </c>
      <c r="BX333" s="164">
        <f t="shared" ref="BX333:CE333" ca="1" si="475">SUM(BX327:BX332)+BX324</f>
        <v>105.99110078567713</v>
      </c>
      <c r="BY333" s="164">
        <f t="shared" ca="1" si="475"/>
        <v>317.22710858116324</v>
      </c>
      <c r="BZ333" s="164">
        <f t="shared" ca="1" si="475"/>
        <v>781.59845861517442</v>
      </c>
      <c r="CA333" s="164">
        <f t="shared" ca="1" si="475"/>
        <v>934.08285189678224</v>
      </c>
      <c r="CB333" s="164">
        <f t="shared" ca="1" si="475"/>
        <v>980.90738232194212</v>
      </c>
      <c r="CC333" s="164">
        <f t="shared" ca="1" si="475"/>
        <v>1128.2748035616373</v>
      </c>
      <c r="CD333" s="164">
        <f t="shared" ca="1" si="475"/>
        <v>1456.9085146557131</v>
      </c>
      <c r="CE333" s="164">
        <f t="shared" ca="1" si="475"/>
        <v>1203.6786182406324</v>
      </c>
      <c r="CF333" s="22"/>
      <c r="CG333" s="5"/>
      <c r="CH333" s="5"/>
      <c r="CI333" s="145"/>
      <c r="CP333" s="145"/>
      <c r="CQ333" s="145"/>
      <c r="CR333" s="145"/>
    </row>
    <row r="334" spans="1:96" outlineLevel="1"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  <c r="BL334" s="6"/>
      <c r="BM334" s="6"/>
      <c r="BN334" s="6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  <c r="BZ334" s="6"/>
      <c r="CA334" s="6"/>
      <c r="CB334" s="6"/>
      <c r="CC334" s="6"/>
      <c r="CD334" s="6"/>
      <c r="CE334" s="6"/>
      <c r="CF334" s="5"/>
      <c r="CG334" s="5"/>
      <c r="CH334" s="5"/>
    </row>
    <row r="335" spans="1:96" outlineLevel="1">
      <c r="A335" s="3" t="s">
        <v>541</v>
      </c>
      <c r="B335" s="13" t="s">
        <v>50</v>
      </c>
      <c r="C335" s="6"/>
      <c r="D335" s="6"/>
      <c r="E335" s="6"/>
      <c r="F335" s="6"/>
      <c r="G335" s="6"/>
      <c r="H335" s="6">
        <f t="shared" ref="H335:AD335" si="476">H$324/H342</f>
        <v>7.0600919911043274</v>
      </c>
      <c r="I335" s="6">
        <f t="shared" si="476"/>
        <v>7.4378957386696181</v>
      </c>
      <c r="J335" s="6">
        <f t="shared" si="476"/>
        <v>12.097006042434982</v>
      </c>
      <c r="K335" s="6">
        <f t="shared" si="476"/>
        <v>13.31003298219388</v>
      </c>
      <c r="L335" s="6">
        <f t="shared" si="476"/>
        <v>19.616780483309086</v>
      </c>
      <c r="M335" s="6">
        <f t="shared" si="476"/>
        <v>29.618380164209277</v>
      </c>
      <c r="N335" s="165">
        <f t="shared" si="476"/>
        <v>29.919476667675731</v>
      </c>
      <c r="O335" s="165">
        <f t="shared" si="476"/>
        <v>20.866631162918701</v>
      </c>
      <c r="P335" s="165">
        <f t="shared" si="476"/>
        <v>30.338898353505233</v>
      </c>
      <c r="Q335" s="165">
        <f t="shared" si="476"/>
        <v>7.079196755127108</v>
      </c>
      <c r="R335" s="165">
        <f t="shared" si="476"/>
        <v>66.433342298738239</v>
      </c>
      <c r="S335" s="165">
        <f t="shared" si="476"/>
        <v>-24.180933672998048</v>
      </c>
      <c r="T335" s="165">
        <f t="shared" si="476"/>
        <v>32.307472587664392</v>
      </c>
      <c r="U335" s="165">
        <f t="shared" ca="1" si="476"/>
        <v>31.278438789477409</v>
      </c>
      <c r="V335" s="165">
        <f t="shared" ca="1" si="476"/>
        <v>65.071169730897438</v>
      </c>
      <c r="W335" s="165">
        <f t="shared" ca="1" si="476"/>
        <v>82.201372261150098</v>
      </c>
      <c r="X335" s="165">
        <f t="shared" ca="1" si="476"/>
        <v>110.13141433171056</v>
      </c>
      <c r="Y335" s="165">
        <f t="shared" ca="1" si="476"/>
        <v>144.69955169046241</v>
      </c>
      <c r="Z335" s="165">
        <f t="shared" ca="1" si="476"/>
        <v>176.75672557581476</v>
      </c>
      <c r="AA335" s="165">
        <f t="shared" ca="1" si="476"/>
        <v>211.64352530627744</v>
      </c>
      <c r="AB335" s="165">
        <f t="shared" ca="1" si="476"/>
        <v>250.96095028171274</v>
      </c>
      <c r="AC335" s="165">
        <f t="shared" ca="1" si="476"/>
        <v>283.66365898648604</v>
      </c>
      <c r="AD335" s="165">
        <f t="shared" ca="1" si="476"/>
        <v>317.26278552447042</v>
      </c>
      <c r="AE335" s="165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165"/>
      <c r="BA335" s="165"/>
      <c r="BB335" s="165"/>
      <c r="BC335" s="165"/>
      <c r="BD335" s="165">
        <f t="shared" ref="BD335:BN335" si="477">BD$324/BD342</f>
        <v>4.7310771446714384</v>
      </c>
      <c r="BE335" s="165">
        <f t="shared" si="477"/>
        <v>6.4380571722699322</v>
      </c>
      <c r="BF335" s="165">
        <f t="shared" si="477"/>
        <v>11.341398904548972</v>
      </c>
      <c r="BG335" s="165">
        <f t="shared" si="477"/>
        <v>7.7807900221881594</v>
      </c>
      <c r="BH335" s="165">
        <f t="shared" si="477"/>
        <v>3.3932475253349841</v>
      </c>
      <c r="BI335" s="165">
        <f t="shared" si="477"/>
        <v>3.9728529928542509</v>
      </c>
      <c r="BJ335" s="165">
        <f t="shared" si="477"/>
        <v>6.3489503247212804</v>
      </c>
      <c r="BK335" s="165">
        <f t="shared" si="477"/>
        <v>-6.4061587922214764</v>
      </c>
      <c r="BL335" s="165">
        <f t="shared" si="477"/>
        <v>-3.5813398890531634</v>
      </c>
      <c r="BM335" s="165">
        <f t="shared" si="477"/>
        <v>4.0054200850668957</v>
      </c>
      <c r="BN335" s="165">
        <f t="shared" si="477"/>
        <v>68.165839540402459</v>
      </c>
      <c r="BO335" s="166">
        <v>1.69</v>
      </c>
      <c r="BP335" s="165">
        <f t="shared" ref="BP335:CA335" si="478">BP$324/BP342</f>
        <v>-27.89631089261286</v>
      </c>
      <c r="BQ335" s="165">
        <f t="shared" si="478"/>
        <v>-9.0312453928960501</v>
      </c>
      <c r="BR335" s="165">
        <f t="shared" si="478"/>
        <v>0.40455625750040164</v>
      </c>
      <c r="BS335" s="165">
        <f t="shared" si="478"/>
        <v>10.211557370448439</v>
      </c>
      <c r="BT335" s="165">
        <f t="shared" si="478"/>
        <v>1.2696003257278321</v>
      </c>
      <c r="BU335" s="165">
        <f t="shared" si="478"/>
        <v>4.9719617478208011</v>
      </c>
      <c r="BV335" s="165">
        <f t="shared" si="478"/>
        <v>18.348107647958603</v>
      </c>
      <c r="BW335" s="165">
        <f t="shared" si="478"/>
        <v>7.4604887156807598</v>
      </c>
      <c r="BX335" s="165">
        <f t="shared" ca="1" si="478"/>
        <v>1.5076796953127072</v>
      </c>
      <c r="BY335" s="165">
        <f t="shared" ca="1" si="478"/>
        <v>4.5124247872252505</v>
      </c>
      <c r="BZ335" s="165">
        <f t="shared" ca="1" si="478"/>
        <v>11.117915723175962</v>
      </c>
      <c r="CA335" s="165">
        <f t="shared" ca="1" si="478"/>
        <v>13.286943329254226</v>
      </c>
      <c r="CB335" s="165">
        <f ca="1">CB$324/CB342</f>
        <v>13.381945016512534</v>
      </c>
      <c r="CC335" s="165">
        <f ca="1">CC$324/CC342</f>
        <v>15.392392448956869</v>
      </c>
      <c r="CD335" s="165">
        <f ca="1">CD$324/CD342</f>
        <v>19.875749727829916</v>
      </c>
      <c r="CE335" s="165">
        <f ca="1">CE$324/CE342</f>
        <v>16.421082537598117</v>
      </c>
      <c r="CF335" s="78"/>
      <c r="CG335" s="5"/>
      <c r="CH335" s="5"/>
    </row>
    <row r="336" spans="1:96" outlineLevel="1">
      <c r="A336" s="3" t="s">
        <v>71</v>
      </c>
      <c r="B336" s="13" t="s">
        <v>51</v>
      </c>
      <c r="C336" s="6"/>
      <c r="D336" s="6"/>
      <c r="E336" s="6"/>
      <c r="F336" s="6"/>
      <c r="G336" s="6"/>
      <c r="H336" s="6">
        <f t="shared" ref="H336:AD336" si="479">H$324/H343</f>
        <v>6.9123853912491509</v>
      </c>
      <c r="I336" s="6">
        <f t="shared" si="479"/>
        <v>7.2310405245606768</v>
      </c>
      <c r="J336" s="6">
        <f t="shared" si="479"/>
        <v>11.673721674292869</v>
      </c>
      <c r="K336" s="6">
        <f t="shared" si="479"/>
        <v>12.895665445028786</v>
      </c>
      <c r="L336" s="6">
        <f t="shared" si="479"/>
        <v>18.694104382270414</v>
      </c>
      <c r="M336" s="6">
        <f t="shared" si="479"/>
        <v>27.890948668251166</v>
      </c>
      <c r="N336" s="165">
        <f t="shared" si="479"/>
        <v>28.303637372001038</v>
      </c>
      <c r="O336" s="165">
        <f t="shared" si="479"/>
        <v>19.794688976701384</v>
      </c>
      <c r="P336" s="165">
        <f t="shared" si="479"/>
        <v>26.223374140175686</v>
      </c>
      <c r="Q336" s="165">
        <f t="shared" si="479"/>
        <v>6.3531376451410004</v>
      </c>
      <c r="R336" s="165">
        <f t="shared" si="479"/>
        <v>58.532298308546295</v>
      </c>
      <c r="S336" s="165">
        <f t="shared" si="479"/>
        <v>-24.180933672998048</v>
      </c>
      <c r="T336" s="166">
        <v>30.57</v>
      </c>
      <c r="U336" s="165">
        <f t="shared" ca="1" si="479"/>
        <v>29.998298516420224</v>
      </c>
      <c r="V336" s="165">
        <f t="shared" ca="1" si="479"/>
        <v>63.342870355121882</v>
      </c>
      <c r="W336" s="165">
        <f t="shared" ca="1" si="479"/>
        <v>80.220616303050093</v>
      </c>
      <c r="X336" s="165">
        <f t="shared" ca="1" si="479"/>
        <v>107.47764531166933</v>
      </c>
      <c r="Y336" s="165">
        <f t="shared" ca="1" si="479"/>
        <v>141.21281550515008</v>
      </c>
      <c r="Z336" s="165">
        <f t="shared" ca="1" si="479"/>
        <v>172.49752736916861</v>
      </c>
      <c r="AA336" s="165">
        <f t="shared" ca="1" si="479"/>
        <v>206.54368132299365</v>
      </c>
      <c r="AB336" s="165">
        <f t="shared" ca="1" si="479"/>
        <v>244.91369846769555</v>
      </c>
      <c r="AC336" s="165">
        <f t="shared" ca="1" si="479"/>
        <v>276.82839009524537</v>
      </c>
      <c r="AD336" s="165">
        <f t="shared" ca="1" si="479"/>
        <v>309.61789912629041</v>
      </c>
      <c r="AE336" s="165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165"/>
      <c r="BA336" s="165"/>
      <c r="BB336" s="165"/>
      <c r="BC336" s="165"/>
      <c r="BD336" s="165">
        <f t="shared" ref="BD336:BM336" si="480">BD$324/BD343</f>
        <v>4.2613081432381019</v>
      </c>
      <c r="BE336" s="165">
        <f t="shared" si="480"/>
        <v>5.7522177421008669</v>
      </c>
      <c r="BF336" s="165">
        <f t="shared" si="480"/>
        <v>9.6266451394371195</v>
      </c>
      <c r="BG336" s="165">
        <f t="shared" si="480"/>
        <v>6.6550512917085083</v>
      </c>
      <c r="BH336" s="165">
        <f t="shared" si="480"/>
        <v>2.9205659406168247</v>
      </c>
      <c r="BI336" s="165">
        <f t="shared" si="480"/>
        <v>3.4288064656535577</v>
      </c>
      <c r="BJ336" s="165">
        <f t="shared" si="480"/>
        <v>5.4359280992064711</v>
      </c>
      <c r="BK336" s="165">
        <f t="shared" si="480"/>
        <v>-6.4061587922214764</v>
      </c>
      <c r="BL336" s="165">
        <f t="shared" si="480"/>
        <v>-3.5813398890531634</v>
      </c>
      <c r="BM336" s="165">
        <f t="shared" si="480"/>
        <v>3.5747668445348677</v>
      </c>
      <c r="BN336" s="166">
        <v>53.04</v>
      </c>
      <c r="BO336" s="166">
        <v>1.54</v>
      </c>
      <c r="BP336" s="165">
        <f>BP$324/BP343</f>
        <v>-27.89631089261286</v>
      </c>
      <c r="BQ336" s="165">
        <f>BQ$324/BQ343</f>
        <v>-9.0312453928960501</v>
      </c>
      <c r="BR336" s="165">
        <f>BR$324/BR343</f>
        <v>0.37718560208690721</v>
      </c>
      <c r="BS336" s="403">
        <v>9.4600000000000009</v>
      </c>
      <c r="BT336" s="403">
        <v>1.21</v>
      </c>
      <c r="BU336" s="403">
        <v>4.72</v>
      </c>
      <c r="BV336" s="403">
        <v>16.760000000000002</v>
      </c>
      <c r="BW336" s="403">
        <v>7.07</v>
      </c>
      <c r="BX336" s="165">
        <f t="shared" ref="BX336:CE336" ca="1" si="481">BX$324/BX343</f>
        <v>1.4459745216679893</v>
      </c>
      <c r="BY336" s="165">
        <f t="shared" ca="1" si="481"/>
        <v>4.3277436802765283</v>
      </c>
      <c r="BZ336" s="165">
        <f t="shared" ca="1" si="481"/>
        <v>10.662890081855229</v>
      </c>
      <c r="CA336" s="165">
        <f t="shared" ca="1" si="481"/>
        <v>12.743145367466921</v>
      </c>
      <c r="CB336" s="165">
        <f t="shared" ca="1" si="481"/>
        <v>13.02651868386249</v>
      </c>
      <c r="CC336" s="165">
        <f t="shared" ca="1" si="481"/>
        <v>14.983568351107698</v>
      </c>
      <c r="CD336" s="165">
        <f t="shared" ca="1" si="481"/>
        <v>19.347847033138251</v>
      </c>
      <c r="CE336" s="165">
        <f t="shared" ca="1" si="481"/>
        <v>15.984936287013445</v>
      </c>
      <c r="CF336" s="78"/>
      <c r="CG336" s="5"/>
      <c r="CH336" s="5"/>
    </row>
    <row r="337" spans="1:86" outlineLevel="1">
      <c r="A337" s="3" t="s">
        <v>542</v>
      </c>
      <c r="B337" s="13" t="s">
        <v>52</v>
      </c>
      <c r="C337" s="6"/>
      <c r="D337" s="6"/>
      <c r="E337" s="6"/>
      <c r="F337" s="6"/>
      <c r="G337" s="6"/>
      <c r="H337" s="6">
        <f t="shared" ref="H337:AD337" si="482">H$324/H346</f>
        <v>1.7650229977760818</v>
      </c>
      <c r="I337" s="6">
        <f t="shared" si="482"/>
        <v>1.8594739346674045</v>
      </c>
      <c r="J337" s="6">
        <f t="shared" si="482"/>
        <v>3.0242515106087455</v>
      </c>
      <c r="K337" s="6">
        <f t="shared" si="482"/>
        <v>3.3275082455484699</v>
      </c>
      <c r="L337" s="6">
        <f t="shared" si="482"/>
        <v>4.9041951208272714</v>
      </c>
      <c r="M337" s="6">
        <f t="shared" si="482"/>
        <v>7.4045950410523194</v>
      </c>
      <c r="N337" s="165">
        <f t="shared" si="482"/>
        <v>3.7399345834594664</v>
      </c>
      <c r="O337" s="165">
        <f t="shared" si="482"/>
        <v>2.6083288953648376</v>
      </c>
      <c r="P337" s="165">
        <f t="shared" si="482"/>
        <v>3.7923622941881541</v>
      </c>
      <c r="Q337" s="165">
        <f t="shared" si="482"/>
        <v>0.8848995943908885</v>
      </c>
      <c r="R337" s="165">
        <f t="shared" si="482"/>
        <v>8.3041677873422799</v>
      </c>
      <c r="S337" s="165">
        <f t="shared" si="482"/>
        <v>-3.022616709124756</v>
      </c>
      <c r="T337" s="165">
        <f t="shared" si="482"/>
        <v>4.0384340734580491</v>
      </c>
      <c r="U337" s="165">
        <f t="shared" ca="1" si="482"/>
        <v>3.9098048486846761</v>
      </c>
      <c r="V337" s="165">
        <f t="shared" ca="1" si="482"/>
        <v>8.1338962163621797</v>
      </c>
      <c r="W337" s="165">
        <f t="shared" ca="1" si="482"/>
        <v>10.275171532643762</v>
      </c>
      <c r="X337" s="165">
        <f t="shared" ca="1" si="482"/>
        <v>13.76642679146382</v>
      </c>
      <c r="Y337" s="165">
        <f t="shared" ca="1" si="482"/>
        <v>18.087443961307802</v>
      </c>
      <c r="Z337" s="165">
        <f t="shared" ca="1" si="482"/>
        <v>22.094590696976844</v>
      </c>
      <c r="AA337" s="165">
        <f t="shared" ca="1" si="482"/>
        <v>26.45544066328468</v>
      </c>
      <c r="AB337" s="165">
        <f t="shared" ca="1" si="482"/>
        <v>31.370118785214093</v>
      </c>
      <c r="AC337" s="165">
        <f t="shared" ca="1" si="482"/>
        <v>35.457957373310755</v>
      </c>
      <c r="AD337" s="165">
        <f t="shared" ca="1" si="482"/>
        <v>39.657848190558802</v>
      </c>
      <c r="AE337" s="165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165"/>
      <c r="BA337" s="165"/>
      <c r="BB337" s="165"/>
      <c r="BC337" s="165"/>
      <c r="BD337" s="165">
        <f t="shared" ref="BD337:BN337" si="483">BD$324/BD346</f>
        <v>0.5913846430839298</v>
      </c>
      <c r="BE337" s="165">
        <f t="shared" si="483"/>
        <v>0.80475714653374153</v>
      </c>
      <c r="BF337" s="165">
        <f t="shared" si="483"/>
        <v>1.4176748630686216</v>
      </c>
      <c r="BG337" s="165">
        <f t="shared" si="483"/>
        <v>0.97259875277351993</v>
      </c>
      <c r="BH337" s="165">
        <f t="shared" si="483"/>
        <v>0.42415594066687301</v>
      </c>
      <c r="BI337" s="165">
        <f t="shared" si="483"/>
        <v>0.49660662410678136</v>
      </c>
      <c r="BJ337" s="165">
        <f t="shared" si="483"/>
        <v>0.79361879059016005</v>
      </c>
      <c r="BK337" s="165">
        <f t="shared" si="483"/>
        <v>-0.80076984902768455</v>
      </c>
      <c r="BL337" s="165">
        <f t="shared" si="483"/>
        <v>-0.44766748613164542</v>
      </c>
      <c r="BM337" s="165">
        <f t="shared" si="483"/>
        <v>0.50067751063336197</v>
      </c>
      <c r="BN337" s="165">
        <f t="shared" si="483"/>
        <v>8.5207299425503074</v>
      </c>
      <c r="BO337" s="165">
        <f t="shared" ref="BO337:BS338" si="484">BO335/BO349</f>
        <v>0.21124999999999999</v>
      </c>
      <c r="BP337" s="165">
        <f t="shared" si="484"/>
        <v>-3.4870388615766075</v>
      </c>
      <c r="BQ337" s="165">
        <f t="shared" si="484"/>
        <v>-1.1289056741120063</v>
      </c>
      <c r="BR337" s="165">
        <f t="shared" si="484"/>
        <v>5.0569532187550205E-2</v>
      </c>
      <c r="BS337" s="165">
        <f t="shared" si="484"/>
        <v>1.2764446713060549</v>
      </c>
      <c r="BT337" s="165">
        <f t="shared" ref="BT337:CA338" si="485">BT$324/BT346</f>
        <v>0.15870004071597901</v>
      </c>
      <c r="BU337" s="165">
        <f t="shared" si="485"/>
        <v>0.62149521847760014</v>
      </c>
      <c r="BV337" s="165">
        <f t="shared" si="485"/>
        <v>2.2935134559948254</v>
      </c>
      <c r="BW337" s="165">
        <f t="shared" si="485"/>
        <v>0.93256108946009497</v>
      </c>
      <c r="BX337" s="165">
        <f t="shared" ca="1" si="485"/>
        <v>0.1884599619140884</v>
      </c>
      <c r="BY337" s="165">
        <f t="shared" ca="1" si="485"/>
        <v>0.56405309840315632</v>
      </c>
      <c r="BZ337" s="165">
        <f t="shared" ca="1" si="485"/>
        <v>1.3897394653969952</v>
      </c>
      <c r="CA337" s="165">
        <f t="shared" ca="1" si="485"/>
        <v>1.6608679161567783</v>
      </c>
      <c r="CB337" s="165">
        <f t="shared" ref="CB337:CE338" ca="1" si="486">CB$324/CB346</f>
        <v>1.6727431270640667</v>
      </c>
      <c r="CC337" s="165">
        <f t="shared" ca="1" si="486"/>
        <v>1.9240490561196086</v>
      </c>
      <c r="CD337" s="165">
        <f t="shared" ca="1" si="486"/>
        <v>2.4844687159787395</v>
      </c>
      <c r="CE337" s="165">
        <f t="shared" ca="1" si="486"/>
        <v>2.0526353171997647</v>
      </c>
      <c r="CF337" s="78"/>
      <c r="CG337" s="5"/>
      <c r="CH337" s="5"/>
    </row>
    <row r="338" spans="1:86" outlineLevel="1">
      <c r="A338" s="3" t="s">
        <v>543</v>
      </c>
      <c r="B338" s="13" t="s">
        <v>53</v>
      </c>
      <c r="C338" s="6"/>
      <c r="D338" s="6"/>
      <c r="E338" s="6"/>
      <c r="F338" s="6"/>
      <c r="G338" s="6"/>
      <c r="H338" s="6">
        <f t="shared" ref="H338:AD338" si="487">H$324/H347</f>
        <v>1.7280963478122877</v>
      </c>
      <c r="I338" s="6">
        <f t="shared" si="487"/>
        <v>1.8077601311401692</v>
      </c>
      <c r="J338" s="6">
        <f t="shared" si="487"/>
        <v>2.9184304185732173</v>
      </c>
      <c r="K338" s="6">
        <f t="shared" si="487"/>
        <v>3.2239163612571966</v>
      </c>
      <c r="L338" s="6">
        <f t="shared" si="487"/>
        <v>4.6735260955676035</v>
      </c>
      <c r="M338" s="6">
        <f t="shared" si="487"/>
        <v>6.9727371670627916</v>
      </c>
      <c r="N338" s="165">
        <f t="shared" si="487"/>
        <v>3.5379546715001298</v>
      </c>
      <c r="O338" s="165">
        <f t="shared" si="487"/>
        <v>2.474336122087673</v>
      </c>
      <c r="P338" s="165">
        <f t="shared" si="487"/>
        <v>3.2779217675219607</v>
      </c>
      <c r="Q338" s="165">
        <f t="shared" si="487"/>
        <v>0.79414220564262505</v>
      </c>
      <c r="R338" s="165">
        <f t="shared" si="487"/>
        <v>7.3165372885682869</v>
      </c>
      <c r="S338" s="165">
        <f t="shared" si="487"/>
        <v>-3.022616709124756</v>
      </c>
      <c r="T338" s="166">
        <v>3.82</v>
      </c>
      <c r="U338" s="165">
        <f t="shared" ca="1" si="487"/>
        <v>3.749787314552528</v>
      </c>
      <c r="V338" s="165">
        <f t="shared" ca="1" si="487"/>
        <v>7.9178587943902352</v>
      </c>
      <c r="W338" s="165">
        <f t="shared" ca="1" si="487"/>
        <v>10.027577037881262</v>
      </c>
      <c r="X338" s="165">
        <f t="shared" ca="1" si="487"/>
        <v>13.434705663958667</v>
      </c>
      <c r="Y338" s="165">
        <f t="shared" ca="1" si="487"/>
        <v>17.651601938143759</v>
      </c>
      <c r="Z338" s="165">
        <f t="shared" ca="1" si="487"/>
        <v>21.562190921146076</v>
      </c>
      <c r="AA338" s="165">
        <f t="shared" ca="1" si="487"/>
        <v>25.817960165374206</v>
      </c>
      <c r="AB338" s="165">
        <f t="shared" ca="1" si="487"/>
        <v>30.614212308461944</v>
      </c>
      <c r="AC338" s="165">
        <f t="shared" ca="1" si="487"/>
        <v>34.603548761905671</v>
      </c>
      <c r="AD338" s="165">
        <f t="shared" ca="1" si="487"/>
        <v>38.702237390786301</v>
      </c>
      <c r="AE338" s="165">
        <f ca="1">(V338/T338)^0.5-1</f>
        <v>0.43970063009315852</v>
      </c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165"/>
      <c r="BA338" s="165"/>
      <c r="BB338" s="165"/>
      <c r="BC338" s="165"/>
      <c r="BD338" s="165">
        <f t="shared" ref="BD338:BM338" si="488">BD$324/BD347</f>
        <v>0.53266351790476274</v>
      </c>
      <c r="BE338" s="165">
        <f t="shared" si="488"/>
        <v>0.71902721776260836</v>
      </c>
      <c r="BF338" s="165">
        <f t="shared" si="488"/>
        <v>1.2033306424296399</v>
      </c>
      <c r="BG338" s="165">
        <f t="shared" si="488"/>
        <v>0.83188141146356354</v>
      </c>
      <c r="BH338" s="165">
        <f t="shared" si="488"/>
        <v>0.36507074257710309</v>
      </c>
      <c r="BI338" s="165">
        <f t="shared" si="488"/>
        <v>0.42860080820669472</v>
      </c>
      <c r="BJ338" s="165">
        <f t="shared" si="488"/>
        <v>0.67949101240080889</v>
      </c>
      <c r="BK338" s="165">
        <f t="shared" si="488"/>
        <v>-0.80076984902768455</v>
      </c>
      <c r="BL338" s="165">
        <f t="shared" si="488"/>
        <v>-0.44766748613164542</v>
      </c>
      <c r="BM338" s="165">
        <f t="shared" si="488"/>
        <v>0.44684585556685846</v>
      </c>
      <c r="BN338" s="166">
        <v>13.26</v>
      </c>
      <c r="BO338" s="165">
        <f t="shared" si="484"/>
        <v>0.1925</v>
      </c>
      <c r="BP338" s="165">
        <f t="shared" si="484"/>
        <v>-3.4870388615766075</v>
      </c>
      <c r="BQ338" s="165">
        <f t="shared" si="484"/>
        <v>-1.1289056741120063</v>
      </c>
      <c r="BR338" s="165">
        <f t="shared" si="484"/>
        <v>4.7148200260863402E-2</v>
      </c>
      <c r="BS338" s="165">
        <f t="shared" si="484"/>
        <v>1.1825000000000001</v>
      </c>
      <c r="BT338" s="165">
        <f t="shared" si="485"/>
        <v>0.15048868568969134</v>
      </c>
      <c r="BU338" s="165">
        <f t="shared" si="485"/>
        <v>0.58907178466553733</v>
      </c>
      <c r="BV338" s="403">
        <v>2.1</v>
      </c>
      <c r="BW338" s="403">
        <v>0.88</v>
      </c>
      <c r="BX338" s="165">
        <f t="shared" ca="1" si="485"/>
        <v>0.18074681520849867</v>
      </c>
      <c r="BY338" s="165">
        <f t="shared" ca="1" si="485"/>
        <v>0.54096796003456604</v>
      </c>
      <c r="BZ338" s="165">
        <f t="shared" ca="1" si="485"/>
        <v>1.3328612602319037</v>
      </c>
      <c r="CA338" s="165">
        <f t="shared" ca="1" si="485"/>
        <v>1.5928931709333651</v>
      </c>
      <c r="CB338" s="165">
        <f t="shared" ca="1" si="486"/>
        <v>1.6283148354828112</v>
      </c>
      <c r="CC338" s="165">
        <f t="shared" ca="1" si="486"/>
        <v>1.8729460438884622</v>
      </c>
      <c r="CD338" s="165">
        <f t="shared" ca="1" si="486"/>
        <v>2.4184808791422814</v>
      </c>
      <c r="CE338" s="165">
        <f t="shared" ca="1" si="486"/>
        <v>1.9981170358766807</v>
      </c>
      <c r="CF338" s="78"/>
      <c r="CG338" s="5"/>
      <c r="CH338" s="5"/>
    </row>
    <row r="339" spans="1:86" outlineLevel="1">
      <c r="A339" s="3" t="s">
        <v>740</v>
      </c>
      <c r="B339" s="13" t="s">
        <v>291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65"/>
      <c r="O339" s="165"/>
      <c r="P339" s="165"/>
      <c r="Q339" s="165">
        <f>Valuation!C19</f>
        <v>6.19</v>
      </c>
      <c r="R339" s="165">
        <f>Valuation!D19</f>
        <v>6.9</v>
      </c>
      <c r="S339" s="165">
        <f>Valuation!E19</f>
        <v>6.9</v>
      </c>
      <c r="T339" s="165">
        <f>Valuation!F19</f>
        <v>6.9</v>
      </c>
      <c r="U339" s="165">
        <f>Valuation!G19</f>
        <v>6.9</v>
      </c>
      <c r="V339" s="165">
        <f>Valuation!H19</f>
        <v>6.9</v>
      </c>
      <c r="W339" s="165">
        <f>Valuation!I19</f>
        <v>6.9</v>
      </c>
      <c r="X339" s="165">
        <f>Valuation!J19</f>
        <v>6.9</v>
      </c>
      <c r="Y339" s="165">
        <f>Valuation!K19</f>
        <v>6.9</v>
      </c>
      <c r="Z339" s="165">
        <f>Valuation!L19</f>
        <v>6.9</v>
      </c>
      <c r="AA339" s="165">
        <f>Valuation!M19</f>
        <v>6.9</v>
      </c>
      <c r="AB339" s="165">
        <f>AA339</f>
        <v>6.9</v>
      </c>
      <c r="AC339" s="165">
        <f>AB339</f>
        <v>6.9</v>
      </c>
      <c r="AD339" s="165">
        <f>AC339</f>
        <v>6.9</v>
      </c>
      <c r="AE339" s="165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165"/>
      <c r="BA339" s="165"/>
      <c r="BB339" s="165"/>
      <c r="BC339" s="165"/>
      <c r="BD339" s="165"/>
      <c r="BE339" s="165"/>
      <c r="BF339" s="165"/>
      <c r="BG339" s="165"/>
      <c r="BH339" s="165"/>
      <c r="BI339" s="165"/>
      <c r="BJ339" s="165"/>
      <c r="BK339" s="165"/>
      <c r="BL339" s="165"/>
      <c r="BM339" s="165"/>
      <c r="BN339" s="166"/>
      <c r="BO339" s="166"/>
      <c r="BP339" s="165"/>
      <c r="BQ339" s="165"/>
      <c r="BR339" s="165"/>
      <c r="BS339" s="399"/>
      <c r="BT339" s="399"/>
      <c r="BU339" s="165"/>
      <c r="BV339" s="165"/>
      <c r="BW339" s="165"/>
      <c r="BX339" s="165"/>
      <c r="BY339" s="165"/>
      <c r="BZ339" s="165"/>
      <c r="CA339" s="165"/>
      <c r="CB339" s="165"/>
      <c r="CC339" s="165"/>
      <c r="CD339" s="165"/>
      <c r="CE339" s="165"/>
      <c r="CF339" s="78"/>
      <c r="CG339" s="5"/>
      <c r="CH339" s="5"/>
    </row>
    <row r="340" spans="1:86" outlineLevel="1">
      <c r="B340" s="12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323"/>
      <c r="V340" s="323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167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  <c r="CC340" s="6"/>
      <c r="CD340" s="6"/>
      <c r="CE340" s="6"/>
      <c r="CF340" s="5"/>
      <c r="CG340" s="5"/>
      <c r="CH340" s="5"/>
    </row>
    <row r="341" spans="1:86" outlineLevel="1">
      <c r="A341" s="3" t="s">
        <v>584</v>
      </c>
      <c r="B341" s="12" t="s">
        <v>410</v>
      </c>
      <c r="C341" s="6"/>
      <c r="D341" s="6"/>
      <c r="E341" s="6"/>
      <c r="F341" s="6"/>
      <c r="G341" s="6"/>
      <c r="H341" s="6"/>
      <c r="I341" s="6">
        <f t="shared" ref="I341:AD341" si="489">I342</f>
        <v>32.342998000000001</v>
      </c>
      <c r="J341" s="6">
        <f t="shared" si="489"/>
        <v>32.927453999999997</v>
      </c>
      <c r="K341" s="6">
        <f t="shared" si="489"/>
        <v>33.352845000000002</v>
      </c>
      <c r="L341" s="6">
        <f t="shared" si="489"/>
        <v>33.592334000000001</v>
      </c>
      <c r="M341" s="6">
        <f t="shared" si="489"/>
        <v>35.385451000000003</v>
      </c>
      <c r="N341" s="123">
        <f t="shared" si="489"/>
        <v>35.977063000000001</v>
      </c>
      <c r="O341" s="123">
        <f t="shared" si="489"/>
        <v>34.236761000000001</v>
      </c>
      <c r="P341" s="123">
        <f t="shared" si="489"/>
        <v>32.905600999999997</v>
      </c>
      <c r="Q341" s="123">
        <f t="shared" si="489"/>
        <v>34.289169999999999</v>
      </c>
      <c r="R341" s="123">
        <f t="shared" si="489"/>
        <v>37.746947500000005</v>
      </c>
      <c r="S341" s="123">
        <f>BS341</f>
        <v>63.194668999999998</v>
      </c>
      <c r="T341" s="123">
        <f t="shared" si="489"/>
        <v>66.300808000000004</v>
      </c>
      <c r="U341" s="123">
        <f t="shared" si="489"/>
        <v>70.300808000000004</v>
      </c>
      <c r="V341" s="123">
        <f t="shared" si="489"/>
        <v>73.300808000000004</v>
      </c>
      <c r="W341" s="123">
        <f t="shared" si="489"/>
        <v>81</v>
      </c>
      <c r="X341" s="123">
        <f t="shared" si="489"/>
        <v>81</v>
      </c>
      <c r="Y341" s="123">
        <f t="shared" si="489"/>
        <v>81</v>
      </c>
      <c r="Z341" s="123">
        <f t="shared" si="489"/>
        <v>81</v>
      </c>
      <c r="AA341" s="123">
        <f t="shared" si="489"/>
        <v>81</v>
      </c>
      <c r="AB341" s="123">
        <f t="shared" si="489"/>
        <v>81</v>
      </c>
      <c r="AC341" s="123">
        <f t="shared" si="489"/>
        <v>81</v>
      </c>
      <c r="AD341" s="123">
        <f t="shared" si="489"/>
        <v>81</v>
      </c>
      <c r="AE341" s="123"/>
      <c r="AF341" s="6">
        <f t="shared" ref="AF341:CE341" si="490">AF342</f>
        <v>32.669660999999998</v>
      </c>
      <c r="AG341" s="6">
        <f t="shared" si="490"/>
        <v>32.796199999999999</v>
      </c>
      <c r="AH341" s="6">
        <f t="shared" si="490"/>
        <v>33.070087000000001</v>
      </c>
      <c r="AI341" s="6">
        <f t="shared" si="490"/>
        <v>33.16865</v>
      </c>
      <c r="AJ341" s="6">
        <f t="shared" si="490"/>
        <v>33.221615</v>
      </c>
      <c r="AK341" s="6">
        <f t="shared" si="490"/>
        <v>33.339364000000003</v>
      </c>
      <c r="AL341" s="6">
        <f t="shared" si="490"/>
        <v>33.400258000000001</v>
      </c>
      <c r="AM341" s="6">
        <f t="shared" si="490"/>
        <v>33.448569999999997</v>
      </c>
      <c r="AN341" s="6">
        <f t="shared" si="490"/>
        <v>33.489694999999998</v>
      </c>
      <c r="AO341" s="6">
        <f t="shared" si="490"/>
        <v>33.574513000000003</v>
      </c>
      <c r="AP341" s="6">
        <f t="shared" si="490"/>
        <v>33.703516</v>
      </c>
      <c r="AQ341" s="6">
        <f t="shared" si="490"/>
        <v>33.967801999999999</v>
      </c>
      <c r="AR341" s="6">
        <f t="shared" si="490"/>
        <v>34.467334000000001</v>
      </c>
      <c r="AS341" s="6">
        <f t="shared" si="490"/>
        <v>35.756825999999997</v>
      </c>
      <c r="AT341" s="6">
        <f t="shared" si="490"/>
        <v>35.815708999999998</v>
      </c>
      <c r="AU341" s="6">
        <f t="shared" si="490"/>
        <v>35.874507999999999</v>
      </c>
      <c r="AV341" s="6">
        <f t="shared" si="490"/>
        <v>35.891105000000003</v>
      </c>
      <c r="AW341" s="6">
        <f t="shared" si="490"/>
        <v>35.962623000000001</v>
      </c>
      <c r="AX341" s="6">
        <f t="shared" si="490"/>
        <v>36.049244000000002</v>
      </c>
      <c r="AY341" s="6">
        <f t="shared" si="490"/>
        <v>36.003255000000003</v>
      </c>
      <c r="AZ341" s="6">
        <f t="shared" si="490"/>
        <v>35.911996000000002</v>
      </c>
      <c r="BA341" s="6">
        <f t="shared" si="490"/>
        <v>35.497512</v>
      </c>
      <c r="BB341" s="6">
        <f t="shared" si="490"/>
        <v>33.287149999999997</v>
      </c>
      <c r="BC341" s="6">
        <f t="shared" si="490"/>
        <v>32.282299000000002</v>
      </c>
      <c r="BD341" s="6">
        <f t="shared" si="490"/>
        <v>32.439013000000003</v>
      </c>
      <c r="BE341" s="6">
        <f t="shared" si="490"/>
        <v>32.677729999999997</v>
      </c>
      <c r="BF341" s="6">
        <f t="shared" si="490"/>
        <v>32.887276</v>
      </c>
      <c r="BG341" s="6">
        <f t="shared" si="490"/>
        <v>33.605764999999998</v>
      </c>
      <c r="BH341" s="123">
        <f t="shared" si="490"/>
        <v>33.994500000000002</v>
      </c>
      <c r="BI341" s="123">
        <f t="shared" si="490"/>
        <v>33.952472</v>
      </c>
      <c r="BJ341" s="123">
        <f t="shared" si="490"/>
        <v>34.166995</v>
      </c>
      <c r="BK341" s="123">
        <f t="shared" si="490"/>
        <v>35.032648000000002</v>
      </c>
      <c r="BL341" s="123">
        <f t="shared" si="490"/>
        <v>35.178643999999998</v>
      </c>
      <c r="BM341" s="123">
        <f t="shared" si="490"/>
        <v>35.646304000000001</v>
      </c>
      <c r="BN341" s="123">
        <f t="shared" si="490"/>
        <v>35.430301999999998</v>
      </c>
      <c r="BO341" s="123">
        <f t="shared" si="490"/>
        <v>44.73254</v>
      </c>
      <c r="BP341" s="123">
        <f t="shared" si="490"/>
        <v>56.591141999999998</v>
      </c>
      <c r="BQ341" s="123">
        <f t="shared" si="490"/>
        <v>57.716572999999997</v>
      </c>
      <c r="BR341" s="123">
        <f t="shared" si="490"/>
        <v>59.120187999999999</v>
      </c>
      <c r="BS341" s="123">
        <f t="shared" si="490"/>
        <v>63.194668999999998</v>
      </c>
      <c r="BT341" s="123">
        <f t="shared" si="490"/>
        <v>64.940106999999998</v>
      </c>
      <c r="BU341" s="123">
        <f t="shared" si="490"/>
        <v>65.743077999999997</v>
      </c>
      <c r="BV341" s="123">
        <f t="shared" si="490"/>
        <v>66.988804000000002</v>
      </c>
      <c r="BW341" s="123">
        <f t="shared" si="490"/>
        <v>67.498755000000003</v>
      </c>
      <c r="BX341" s="123">
        <f t="shared" si="490"/>
        <v>70.300808000000004</v>
      </c>
      <c r="BY341" s="123">
        <f t="shared" si="490"/>
        <v>70.300808000000004</v>
      </c>
      <c r="BZ341" s="123">
        <f t="shared" si="490"/>
        <v>70.300808000000004</v>
      </c>
      <c r="CA341" s="123">
        <f t="shared" si="490"/>
        <v>70.300808000000004</v>
      </c>
      <c r="CB341" s="123">
        <f t="shared" si="490"/>
        <v>73.300808000000004</v>
      </c>
      <c r="CC341" s="123">
        <f t="shared" si="490"/>
        <v>73.300808000000004</v>
      </c>
      <c r="CD341" s="123">
        <f t="shared" si="490"/>
        <v>73.300808000000004</v>
      </c>
      <c r="CE341" s="123">
        <f t="shared" si="490"/>
        <v>73.300808000000004</v>
      </c>
      <c r="CF341" s="5"/>
      <c r="CG341" s="5"/>
      <c r="CH341" s="5"/>
    </row>
    <row r="342" spans="1:86" outlineLevel="1">
      <c r="A342" s="3" t="s">
        <v>585</v>
      </c>
      <c r="B342" s="12" t="s">
        <v>798</v>
      </c>
      <c r="C342" s="169">
        <v>8.64</v>
      </c>
      <c r="D342" s="169">
        <v>9.080349</v>
      </c>
      <c r="E342" s="169">
        <v>9.5206979999999994</v>
      </c>
      <c r="F342" s="169">
        <v>10.605957</v>
      </c>
      <c r="G342" s="169">
        <v>30.712465999999999</v>
      </c>
      <c r="H342" s="126">
        <v>31.762419000000001</v>
      </c>
      <c r="I342" s="126">
        <v>32.342998000000001</v>
      </c>
      <c r="J342" s="126">
        <v>32.927453999999997</v>
      </c>
      <c r="K342" s="126">
        <v>33.352845000000002</v>
      </c>
      <c r="L342" s="126">
        <v>33.592334000000001</v>
      </c>
      <c r="M342" s="126">
        <v>35.385451000000003</v>
      </c>
      <c r="N342" s="170">
        <v>35.977063000000001</v>
      </c>
      <c r="O342" s="170">
        <v>34.236761000000001</v>
      </c>
      <c r="P342" s="170">
        <v>32.905600999999997</v>
      </c>
      <c r="Q342" s="171">
        <v>34.289169999999999</v>
      </c>
      <c r="R342" s="123">
        <f>AVERAGE(BL342:BO342)</f>
        <v>37.746947500000005</v>
      </c>
      <c r="S342" s="162">
        <v>59.166581999999998</v>
      </c>
      <c r="T342" s="162">
        <v>66.300808000000004</v>
      </c>
      <c r="U342" s="152">
        <f>T342+4</f>
        <v>70.300808000000004</v>
      </c>
      <c r="V342" s="152">
        <f>U342+3</f>
        <v>73.300808000000004</v>
      </c>
      <c r="W342" s="152">
        <v>81</v>
      </c>
      <c r="X342" s="152">
        <f>W342</f>
        <v>81</v>
      </c>
      <c r="Y342" s="152">
        <f t="shared" ref="Y342:AD343" si="491">X342</f>
        <v>81</v>
      </c>
      <c r="Z342" s="152">
        <f t="shared" si="491"/>
        <v>81</v>
      </c>
      <c r="AA342" s="152">
        <f t="shared" si="491"/>
        <v>81</v>
      </c>
      <c r="AB342" s="152">
        <f t="shared" si="491"/>
        <v>81</v>
      </c>
      <c r="AC342" s="152">
        <f t="shared" si="491"/>
        <v>81</v>
      </c>
      <c r="AD342" s="152">
        <f t="shared" si="491"/>
        <v>81</v>
      </c>
      <c r="AE342" s="152"/>
      <c r="AF342" s="10">
        <v>32.669660999999998</v>
      </c>
      <c r="AG342" s="10">
        <v>32.796199999999999</v>
      </c>
      <c r="AH342" s="10">
        <v>33.070087000000001</v>
      </c>
      <c r="AI342" s="10">
        <v>33.16865</v>
      </c>
      <c r="AJ342" s="10">
        <v>33.221615</v>
      </c>
      <c r="AK342" s="10">
        <v>33.339364000000003</v>
      </c>
      <c r="AL342" s="10">
        <v>33.400258000000001</v>
      </c>
      <c r="AM342" s="10">
        <v>33.448569999999997</v>
      </c>
      <c r="AN342" s="10">
        <v>33.489694999999998</v>
      </c>
      <c r="AO342" s="10">
        <v>33.574513000000003</v>
      </c>
      <c r="AP342" s="10">
        <v>33.703516</v>
      </c>
      <c r="AQ342" s="10">
        <v>33.967801999999999</v>
      </c>
      <c r="AR342" s="10">
        <v>34.467334000000001</v>
      </c>
      <c r="AS342" s="10">
        <v>35.756825999999997</v>
      </c>
      <c r="AT342" s="10">
        <v>35.815708999999998</v>
      </c>
      <c r="AU342" s="10">
        <v>35.874507999999999</v>
      </c>
      <c r="AV342" s="10">
        <v>35.891105000000003</v>
      </c>
      <c r="AW342" s="10">
        <v>35.962623000000001</v>
      </c>
      <c r="AX342" s="10">
        <v>36.049244000000002</v>
      </c>
      <c r="AY342" s="10">
        <v>36.003255000000003</v>
      </c>
      <c r="AZ342" s="10">
        <v>35.911996000000002</v>
      </c>
      <c r="BA342" s="10">
        <v>35.497512</v>
      </c>
      <c r="BB342" s="10">
        <v>33.287149999999997</v>
      </c>
      <c r="BC342" s="10">
        <v>32.282299000000002</v>
      </c>
      <c r="BD342" s="24">
        <v>32.439013000000003</v>
      </c>
      <c r="BE342" s="24">
        <v>32.677729999999997</v>
      </c>
      <c r="BF342" s="24">
        <v>32.887276</v>
      </c>
      <c r="BG342" s="24">
        <v>33.605764999999998</v>
      </c>
      <c r="BH342" s="371">
        <v>33.994500000000002</v>
      </c>
      <c r="BI342" s="168">
        <v>33.952472</v>
      </c>
      <c r="BJ342" s="168">
        <v>34.166995</v>
      </c>
      <c r="BK342" s="168">
        <v>35.032648000000002</v>
      </c>
      <c r="BL342" s="162">
        <v>35.178643999999998</v>
      </c>
      <c r="BM342" s="48">
        <v>35.646304000000001</v>
      </c>
      <c r="BN342" s="48">
        <v>35.430301999999998</v>
      </c>
      <c r="BO342" s="48">
        <v>44.73254</v>
      </c>
      <c r="BP342" s="162">
        <v>56.591141999999998</v>
      </c>
      <c r="BQ342" s="162">
        <v>57.716572999999997</v>
      </c>
      <c r="BR342" s="48">
        <v>59.120187999999999</v>
      </c>
      <c r="BS342" s="162">
        <v>63.194668999999998</v>
      </c>
      <c r="BT342" s="162">
        <v>64.940106999999998</v>
      </c>
      <c r="BU342" s="162">
        <v>65.743077999999997</v>
      </c>
      <c r="BV342" s="162">
        <v>66.988804000000002</v>
      </c>
      <c r="BW342" s="162">
        <v>67.498755000000003</v>
      </c>
      <c r="BX342" s="152">
        <f>U342</f>
        <v>70.300808000000004</v>
      </c>
      <c r="BY342" s="152">
        <f t="shared" ref="BY342:CA343" si="492">BX342</f>
        <v>70.300808000000004</v>
      </c>
      <c r="BZ342" s="152">
        <f t="shared" si="492"/>
        <v>70.300808000000004</v>
      </c>
      <c r="CA342" s="152">
        <f t="shared" si="492"/>
        <v>70.300808000000004</v>
      </c>
      <c r="CB342" s="152">
        <f>V342</f>
        <v>73.300808000000004</v>
      </c>
      <c r="CC342" s="152">
        <f t="shared" ref="CC342:CE343" si="493">CB342</f>
        <v>73.300808000000004</v>
      </c>
      <c r="CD342" s="152">
        <f t="shared" si="493"/>
        <v>73.300808000000004</v>
      </c>
      <c r="CE342" s="152">
        <f t="shared" si="493"/>
        <v>73.300808000000004</v>
      </c>
      <c r="CF342" s="5"/>
      <c r="CG342" s="5"/>
      <c r="CH342" s="5"/>
    </row>
    <row r="343" spans="1:86" outlineLevel="1">
      <c r="A343" s="3" t="s">
        <v>81</v>
      </c>
      <c r="B343" s="12" t="s">
        <v>797</v>
      </c>
      <c r="C343" s="169">
        <v>8.64</v>
      </c>
      <c r="D343" s="169">
        <v>9.080349</v>
      </c>
      <c r="E343" s="169">
        <v>9.5206979999999994</v>
      </c>
      <c r="F343" s="169">
        <v>12.312207000000001</v>
      </c>
      <c r="G343" s="169">
        <v>31.504702000000002</v>
      </c>
      <c r="H343" s="126">
        <v>32.441130999999999</v>
      </c>
      <c r="I343" s="126">
        <v>33.268219999999999</v>
      </c>
      <c r="J343" s="126">
        <v>34.121389999999998</v>
      </c>
      <c r="K343" s="126">
        <v>34.424548999999999</v>
      </c>
      <c r="L343" s="126">
        <v>35.250335</v>
      </c>
      <c r="M343" s="126">
        <v>37.577055999999999</v>
      </c>
      <c r="N343" s="170">
        <v>38.030974000000001</v>
      </c>
      <c r="O343" s="170">
        <v>36.090784999999997</v>
      </c>
      <c r="P343" s="170">
        <v>38.069840999999997</v>
      </c>
      <c r="Q343" s="171">
        <v>38.207858000000002</v>
      </c>
      <c r="R343" s="123">
        <f>AVERAGE(BL343:BO343)</f>
        <v>42.842258999999999</v>
      </c>
      <c r="S343" s="162">
        <f>S342</f>
        <v>59.166581999999998</v>
      </c>
      <c r="T343" s="162">
        <v>71.775892999999996</v>
      </c>
      <c r="U343" s="152">
        <f>U342+3</f>
        <v>73.300808000000004</v>
      </c>
      <c r="V343" s="152">
        <f>V342+2</f>
        <v>75.300808000000004</v>
      </c>
      <c r="W343" s="152">
        <v>83</v>
      </c>
      <c r="X343" s="152">
        <f>W343</f>
        <v>83</v>
      </c>
      <c r="Y343" s="152">
        <f t="shared" si="491"/>
        <v>83</v>
      </c>
      <c r="Z343" s="152">
        <f t="shared" si="491"/>
        <v>83</v>
      </c>
      <c r="AA343" s="152">
        <f t="shared" si="491"/>
        <v>83</v>
      </c>
      <c r="AB343" s="152">
        <f t="shared" si="491"/>
        <v>83</v>
      </c>
      <c r="AC343" s="152">
        <f t="shared" si="491"/>
        <v>83</v>
      </c>
      <c r="AD343" s="152">
        <f t="shared" si="491"/>
        <v>83</v>
      </c>
      <c r="AE343" s="152"/>
      <c r="AF343" s="10">
        <v>33.742356000000001</v>
      </c>
      <c r="AG343" s="10">
        <v>33.887925000000003</v>
      </c>
      <c r="AH343" s="10">
        <v>34.197195999999998</v>
      </c>
      <c r="AI343" s="10">
        <v>34.572760000000002</v>
      </c>
      <c r="AJ343" s="10">
        <v>34.521152000000001</v>
      </c>
      <c r="AK343" s="10">
        <v>34.648516000000001</v>
      </c>
      <c r="AL343" s="10">
        <v>34.447448000000001</v>
      </c>
      <c r="AM343" s="10">
        <v>34.032673000000003</v>
      </c>
      <c r="AN343" s="10">
        <v>33.957107000000001</v>
      </c>
      <c r="AO343" s="10">
        <v>34.973103000000002</v>
      </c>
      <c r="AP343" s="10">
        <v>35.602373</v>
      </c>
      <c r="AQ343" s="10">
        <v>36.025041999999999</v>
      </c>
      <c r="AR343" s="10">
        <v>36.561171999999999</v>
      </c>
      <c r="AS343" s="10">
        <v>37.917285</v>
      </c>
      <c r="AT343" s="10">
        <v>38.005087000000003</v>
      </c>
      <c r="AU343" s="10">
        <v>38.222580999999998</v>
      </c>
      <c r="AV343" s="10">
        <v>38.060214000000002</v>
      </c>
      <c r="AW343" s="10">
        <v>38.237701999999999</v>
      </c>
      <c r="AX343" s="10">
        <v>38.102980000000002</v>
      </c>
      <c r="AY343" s="10">
        <v>37.713248999999998</v>
      </c>
      <c r="AZ343" s="10">
        <v>38.053311000000001</v>
      </c>
      <c r="BA343" s="10">
        <v>36.70928</v>
      </c>
      <c r="BB343" s="10">
        <v>34.283839</v>
      </c>
      <c r="BC343" s="10">
        <v>35.719079000000001</v>
      </c>
      <c r="BD343" s="24">
        <v>36.015107999999998</v>
      </c>
      <c r="BE343" s="24">
        <v>36.573909999999998</v>
      </c>
      <c r="BF343" s="24">
        <v>38.745348</v>
      </c>
      <c r="BG343" s="24">
        <v>39.290365999999999</v>
      </c>
      <c r="BH343" s="371">
        <v>39.496369999999999</v>
      </c>
      <c r="BI343" s="168">
        <v>39.339689</v>
      </c>
      <c r="BJ343" s="168">
        <v>39.905707</v>
      </c>
      <c r="BK343" s="168">
        <v>35.032648000000002</v>
      </c>
      <c r="BL343" s="162">
        <v>35.178643999999998</v>
      </c>
      <c r="BM343" s="48">
        <v>39.940624999999997</v>
      </c>
      <c r="BN343" s="48">
        <v>46.879373999999999</v>
      </c>
      <c r="BO343" s="48">
        <v>49.370393</v>
      </c>
      <c r="BP343" s="162">
        <v>56.591141999999998</v>
      </c>
      <c r="BQ343" s="162">
        <v>57.716572999999997</v>
      </c>
      <c r="BR343" s="48">
        <v>63.410272999999997</v>
      </c>
      <c r="BS343" s="162">
        <v>69.583732999999995</v>
      </c>
      <c r="BT343" s="162">
        <v>68.483537999999996</v>
      </c>
      <c r="BU343" s="162">
        <v>69.361680000000007</v>
      </c>
      <c r="BV343" s="162">
        <v>78.630110000000002</v>
      </c>
      <c r="BW343" s="162">
        <v>73.845325000000003</v>
      </c>
      <c r="BX343" s="152">
        <f>U343</f>
        <v>73.300808000000004</v>
      </c>
      <c r="BY343" s="152">
        <f t="shared" si="492"/>
        <v>73.300808000000004</v>
      </c>
      <c r="BZ343" s="152">
        <f t="shared" si="492"/>
        <v>73.300808000000004</v>
      </c>
      <c r="CA343" s="152">
        <f t="shared" si="492"/>
        <v>73.300808000000004</v>
      </c>
      <c r="CB343" s="152">
        <f>V343</f>
        <v>75.300808000000004</v>
      </c>
      <c r="CC343" s="152">
        <f t="shared" si="493"/>
        <v>75.300808000000004</v>
      </c>
      <c r="CD343" s="152">
        <f t="shared" si="493"/>
        <v>75.300808000000004</v>
      </c>
      <c r="CE343" s="152">
        <f t="shared" si="493"/>
        <v>75.300808000000004</v>
      </c>
      <c r="CF343" s="5"/>
      <c r="CG343" s="5"/>
      <c r="CH343" s="5"/>
    </row>
    <row r="344" spans="1:86" outlineLevel="2">
      <c r="A344" s="3" t="s">
        <v>586</v>
      </c>
      <c r="B344" s="12" t="s">
        <v>411</v>
      </c>
      <c r="C344" s="169"/>
      <c r="D344" s="169"/>
      <c r="E344" s="169"/>
      <c r="F344" s="169"/>
      <c r="G344" s="169"/>
      <c r="H344" s="126"/>
      <c r="I344" s="126"/>
      <c r="J344" s="126"/>
      <c r="K344" s="126"/>
      <c r="L344" s="126"/>
      <c r="M344" s="126"/>
      <c r="N344" s="126"/>
      <c r="R344" s="6"/>
      <c r="S344" s="169">
        <f>S341*S349</f>
        <v>505.55735199999998</v>
      </c>
      <c r="T344" s="123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7"/>
      <c r="CG344" s="5"/>
      <c r="CH344" s="5"/>
    </row>
    <row r="345" spans="1:86" outlineLevel="2">
      <c r="A345" s="3" t="s">
        <v>587</v>
      </c>
      <c r="B345" s="12" t="s">
        <v>412</v>
      </c>
      <c r="C345" s="169"/>
      <c r="D345" s="169"/>
      <c r="E345" s="169"/>
      <c r="F345" s="169"/>
      <c r="G345" s="169"/>
      <c r="H345" s="126"/>
      <c r="I345" s="126"/>
      <c r="J345" s="126"/>
      <c r="K345" s="126"/>
      <c r="L345" s="126"/>
      <c r="M345" s="126"/>
      <c r="N345" s="126"/>
      <c r="R345" s="6"/>
      <c r="S345" s="169">
        <f>S344</f>
        <v>505.55735199999998</v>
      </c>
      <c r="T345" s="123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7"/>
      <c r="CG345" s="5"/>
      <c r="CH345" s="5"/>
    </row>
    <row r="346" spans="1:86" outlineLevel="1">
      <c r="A346" s="3" t="s">
        <v>486</v>
      </c>
      <c r="B346" s="58" t="s">
        <v>43</v>
      </c>
      <c r="C346" s="14"/>
      <c r="D346" s="14"/>
      <c r="E346" s="14"/>
      <c r="F346" s="14"/>
      <c r="G346" s="14"/>
      <c r="H346" s="6">
        <f t="shared" ref="H346:Q346" si="494">H342*H$349</f>
        <v>127.04967600000001</v>
      </c>
      <c r="I346" s="6">
        <f t="shared" si="494"/>
        <v>129.37199200000001</v>
      </c>
      <c r="J346" s="6">
        <f t="shared" si="494"/>
        <v>131.70981599999999</v>
      </c>
      <c r="K346" s="6">
        <f t="shared" si="494"/>
        <v>133.41138000000001</v>
      </c>
      <c r="L346" s="6">
        <f t="shared" si="494"/>
        <v>134.369336</v>
      </c>
      <c r="M346" s="6">
        <f t="shared" si="494"/>
        <v>141.54180400000001</v>
      </c>
      <c r="N346" s="6">
        <f t="shared" si="494"/>
        <v>287.81650400000001</v>
      </c>
      <c r="O346" s="6">
        <f t="shared" si="494"/>
        <v>273.89408800000001</v>
      </c>
      <c r="P346" s="6">
        <f t="shared" si="494"/>
        <v>263.24480799999998</v>
      </c>
      <c r="Q346" s="6">
        <f t="shared" si="494"/>
        <v>274.31335999999999</v>
      </c>
      <c r="R346" s="172">
        <f>AVERAGE(BL346:BO346)</f>
        <v>301.97558000000004</v>
      </c>
      <c r="S346" s="404">
        <f t="shared" ref="S346:AD346" si="495">S342*S$349</f>
        <v>473.33265599999999</v>
      </c>
      <c r="T346" s="404">
        <f t="shared" si="495"/>
        <v>530.40646400000003</v>
      </c>
      <c r="U346" s="6">
        <f t="shared" si="495"/>
        <v>562.40646400000003</v>
      </c>
      <c r="V346" s="6">
        <f t="shared" si="495"/>
        <v>586.40646400000003</v>
      </c>
      <c r="W346" s="6">
        <f t="shared" si="495"/>
        <v>648</v>
      </c>
      <c r="X346" s="6">
        <f t="shared" si="495"/>
        <v>648</v>
      </c>
      <c r="Y346" s="6">
        <f t="shared" si="495"/>
        <v>648</v>
      </c>
      <c r="Z346" s="6">
        <f t="shared" si="495"/>
        <v>648</v>
      </c>
      <c r="AA346" s="6">
        <f t="shared" si="495"/>
        <v>648</v>
      </c>
      <c r="AB346" s="6">
        <f t="shared" si="495"/>
        <v>648</v>
      </c>
      <c r="AC346" s="6">
        <f t="shared" si="495"/>
        <v>648</v>
      </c>
      <c r="AD346" s="6">
        <f t="shared" si="495"/>
        <v>648</v>
      </c>
      <c r="AE346" s="6"/>
      <c r="AF346" s="6">
        <f t="shared" ref="AF346:CA346" si="496">AF342*AF$349</f>
        <v>130.67864399999999</v>
      </c>
      <c r="AG346" s="6">
        <f t="shared" si="496"/>
        <v>131.1848</v>
      </c>
      <c r="AH346" s="6">
        <f t="shared" si="496"/>
        <v>132.280348</v>
      </c>
      <c r="AI346" s="6">
        <f t="shared" si="496"/>
        <v>132.6746</v>
      </c>
      <c r="AJ346" s="6">
        <f t="shared" si="496"/>
        <v>132.88646</v>
      </c>
      <c r="AK346" s="6">
        <f t="shared" si="496"/>
        <v>133.35745600000001</v>
      </c>
      <c r="AL346" s="6">
        <f t="shared" si="496"/>
        <v>133.601032</v>
      </c>
      <c r="AM346" s="6">
        <f t="shared" si="496"/>
        <v>133.79427999999999</v>
      </c>
      <c r="AN346" s="6">
        <f t="shared" si="496"/>
        <v>133.95877999999999</v>
      </c>
      <c r="AO346" s="6">
        <f t="shared" si="496"/>
        <v>134.29805200000001</v>
      </c>
      <c r="AP346" s="6">
        <f t="shared" si="496"/>
        <v>134.814064</v>
      </c>
      <c r="AQ346" s="6">
        <f t="shared" si="496"/>
        <v>135.871208</v>
      </c>
      <c r="AR346" s="6">
        <f t="shared" si="496"/>
        <v>137.869336</v>
      </c>
      <c r="AS346" s="6">
        <f t="shared" si="496"/>
        <v>143.02730399999999</v>
      </c>
      <c r="AT346" s="6">
        <f t="shared" si="496"/>
        <v>143.26283599999999</v>
      </c>
      <c r="AU346" s="6">
        <f t="shared" si="496"/>
        <v>143.49803199999999</v>
      </c>
      <c r="AV346" s="6">
        <f t="shared" si="496"/>
        <v>143.56442000000001</v>
      </c>
      <c r="AW346" s="6">
        <f t="shared" si="496"/>
        <v>143.850492</v>
      </c>
      <c r="AX346" s="6">
        <f t="shared" si="496"/>
        <v>144.19697600000001</v>
      </c>
      <c r="AY346" s="6">
        <f t="shared" si="496"/>
        <v>144.01302000000001</v>
      </c>
      <c r="AZ346" s="6">
        <f t="shared" si="496"/>
        <v>287.29596800000002</v>
      </c>
      <c r="BA346" s="6">
        <f t="shared" si="496"/>
        <v>283.980096</v>
      </c>
      <c r="BB346" s="6">
        <f t="shared" si="496"/>
        <v>266.29719999999998</v>
      </c>
      <c r="BC346" s="6">
        <f t="shared" si="496"/>
        <v>258.25839200000001</v>
      </c>
      <c r="BD346" s="6">
        <f t="shared" si="496"/>
        <v>259.51210400000002</v>
      </c>
      <c r="BE346" s="6">
        <f t="shared" si="496"/>
        <v>261.42183999999997</v>
      </c>
      <c r="BF346" s="6">
        <f t="shared" si="496"/>
        <v>263.098208</v>
      </c>
      <c r="BG346" s="6">
        <f t="shared" si="496"/>
        <v>268.84611999999998</v>
      </c>
      <c r="BH346" s="6">
        <f t="shared" si="496"/>
        <v>271.95600000000002</v>
      </c>
      <c r="BI346" s="6">
        <f t="shared" si="496"/>
        <v>271.619776</v>
      </c>
      <c r="BJ346" s="6">
        <f t="shared" si="496"/>
        <v>273.33596</v>
      </c>
      <c r="BK346" s="6">
        <f t="shared" si="496"/>
        <v>280.26118400000001</v>
      </c>
      <c r="BL346" s="6">
        <f t="shared" si="496"/>
        <v>281.42915199999999</v>
      </c>
      <c r="BM346" s="6">
        <f t="shared" si="496"/>
        <v>285.17043200000001</v>
      </c>
      <c r="BN346" s="6">
        <f t="shared" si="496"/>
        <v>283.44241599999998</v>
      </c>
      <c r="BO346" s="6">
        <f t="shared" si="496"/>
        <v>357.86032</v>
      </c>
      <c r="BP346" s="6">
        <f t="shared" si="496"/>
        <v>452.72913599999998</v>
      </c>
      <c r="BQ346" s="6">
        <f t="shared" si="496"/>
        <v>461.73258399999997</v>
      </c>
      <c r="BR346" s="6">
        <f t="shared" si="496"/>
        <v>472.96150399999999</v>
      </c>
      <c r="BS346" s="6">
        <f t="shared" si="496"/>
        <v>505.55735199999998</v>
      </c>
      <c r="BT346" s="6">
        <f t="shared" si="496"/>
        <v>519.52085599999998</v>
      </c>
      <c r="BU346" s="6">
        <f t="shared" si="496"/>
        <v>525.94462399999998</v>
      </c>
      <c r="BV346" s="6">
        <f t="shared" si="496"/>
        <v>535.91043200000001</v>
      </c>
      <c r="BW346" s="6">
        <f t="shared" si="496"/>
        <v>539.99004000000002</v>
      </c>
      <c r="BX346" s="6">
        <f t="shared" si="496"/>
        <v>562.40646400000003</v>
      </c>
      <c r="BY346" s="6">
        <f t="shared" si="496"/>
        <v>562.40646400000003</v>
      </c>
      <c r="BZ346" s="6">
        <f t="shared" si="496"/>
        <v>562.40646400000003</v>
      </c>
      <c r="CA346" s="6">
        <f t="shared" si="496"/>
        <v>562.40646400000003</v>
      </c>
      <c r="CB346" s="6">
        <f t="shared" ref="CB346:CE347" si="497">CB342*CB$349</f>
        <v>586.40646400000003</v>
      </c>
      <c r="CC346" s="6">
        <f t="shared" si="497"/>
        <v>586.40646400000003</v>
      </c>
      <c r="CD346" s="6">
        <f t="shared" si="497"/>
        <v>586.40646400000003</v>
      </c>
      <c r="CE346" s="6">
        <f t="shared" si="497"/>
        <v>586.40646400000003</v>
      </c>
      <c r="CF346" s="5"/>
      <c r="CG346" s="5"/>
      <c r="CH346" s="5"/>
    </row>
    <row r="347" spans="1:86" outlineLevel="1">
      <c r="A347" s="3" t="s">
        <v>485</v>
      </c>
      <c r="B347" s="58" t="s">
        <v>44</v>
      </c>
      <c r="C347" s="14"/>
      <c r="D347" s="14"/>
      <c r="E347" s="14"/>
      <c r="F347" s="14"/>
      <c r="G347" s="14"/>
      <c r="H347" s="6">
        <f t="shared" ref="H347:Q347" si="498">H343*H$349</f>
        <v>129.76452399999999</v>
      </c>
      <c r="I347" s="6">
        <f t="shared" si="498"/>
        <v>133.07288</v>
      </c>
      <c r="J347" s="6">
        <f t="shared" si="498"/>
        <v>136.48555999999999</v>
      </c>
      <c r="K347" s="6">
        <f t="shared" si="498"/>
        <v>137.698196</v>
      </c>
      <c r="L347" s="6">
        <f t="shared" si="498"/>
        <v>141.00134</v>
      </c>
      <c r="M347" s="6">
        <f t="shared" si="498"/>
        <v>150.308224</v>
      </c>
      <c r="N347" s="6">
        <f t="shared" si="498"/>
        <v>304.247792</v>
      </c>
      <c r="O347" s="6">
        <f t="shared" si="498"/>
        <v>288.72627999999997</v>
      </c>
      <c r="P347" s="6">
        <f t="shared" si="498"/>
        <v>304.55872799999997</v>
      </c>
      <c r="Q347" s="6">
        <f t="shared" si="498"/>
        <v>305.66286400000001</v>
      </c>
      <c r="R347" s="172">
        <f>AVERAGE(BL347:BO347)</f>
        <v>342.73807199999999</v>
      </c>
      <c r="S347" s="404">
        <f t="shared" ref="S347:AD347" si="499">S343*S$349</f>
        <v>473.33265599999999</v>
      </c>
      <c r="T347" s="404">
        <f t="shared" si="499"/>
        <v>574.20714399999997</v>
      </c>
      <c r="U347" s="6">
        <f t="shared" si="499"/>
        <v>586.40646400000003</v>
      </c>
      <c r="V347" s="6">
        <f t="shared" si="499"/>
        <v>602.40646400000003</v>
      </c>
      <c r="W347" s="6">
        <f t="shared" si="499"/>
        <v>664</v>
      </c>
      <c r="X347" s="6">
        <f t="shared" si="499"/>
        <v>664</v>
      </c>
      <c r="Y347" s="6">
        <f t="shared" si="499"/>
        <v>664</v>
      </c>
      <c r="Z347" s="6">
        <f t="shared" si="499"/>
        <v>664</v>
      </c>
      <c r="AA347" s="6">
        <f t="shared" si="499"/>
        <v>664</v>
      </c>
      <c r="AB347" s="6">
        <f t="shared" si="499"/>
        <v>664</v>
      </c>
      <c r="AC347" s="6">
        <f t="shared" si="499"/>
        <v>664</v>
      </c>
      <c r="AD347" s="6">
        <f t="shared" si="499"/>
        <v>664</v>
      </c>
      <c r="AE347" s="6"/>
      <c r="AF347" s="6">
        <f t="shared" ref="AF347:CA347" si="500">AF343*AF$349</f>
        <v>134.969424</v>
      </c>
      <c r="AG347" s="6">
        <f t="shared" si="500"/>
        <v>135.55170000000001</v>
      </c>
      <c r="AH347" s="6">
        <f t="shared" si="500"/>
        <v>136.78878399999999</v>
      </c>
      <c r="AI347" s="6">
        <f t="shared" si="500"/>
        <v>138.29104000000001</v>
      </c>
      <c r="AJ347" s="6">
        <f t="shared" si="500"/>
        <v>138.084608</v>
      </c>
      <c r="AK347" s="6">
        <f t="shared" si="500"/>
        <v>138.594064</v>
      </c>
      <c r="AL347" s="6">
        <f t="shared" si="500"/>
        <v>137.78979200000001</v>
      </c>
      <c r="AM347" s="6">
        <f t="shared" si="500"/>
        <v>136.13069200000001</v>
      </c>
      <c r="AN347" s="6">
        <f t="shared" si="500"/>
        <v>135.828428</v>
      </c>
      <c r="AO347" s="6">
        <f t="shared" si="500"/>
        <v>139.89241200000001</v>
      </c>
      <c r="AP347" s="6">
        <f t="shared" si="500"/>
        <v>142.409492</v>
      </c>
      <c r="AQ347" s="6">
        <f t="shared" si="500"/>
        <v>144.100168</v>
      </c>
      <c r="AR347" s="6">
        <f t="shared" si="500"/>
        <v>146.244688</v>
      </c>
      <c r="AS347" s="6">
        <f t="shared" si="500"/>
        <v>151.66914</v>
      </c>
      <c r="AT347" s="6">
        <f t="shared" si="500"/>
        <v>152.02034800000001</v>
      </c>
      <c r="AU347" s="6">
        <f t="shared" si="500"/>
        <v>152.89032399999999</v>
      </c>
      <c r="AV347" s="6">
        <f t="shared" si="500"/>
        <v>152.24085600000001</v>
      </c>
      <c r="AW347" s="6">
        <f t="shared" si="500"/>
        <v>152.95080799999999</v>
      </c>
      <c r="AX347" s="6">
        <f t="shared" si="500"/>
        <v>152.41192000000001</v>
      </c>
      <c r="AY347" s="6">
        <f t="shared" si="500"/>
        <v>150.85299599999999</v>
      </c>
      <c r="AZ347" s="6">
        <f t="shared" si="500"/>
        <v>304.42648800000001</v>
      </c>
      <c r="BA347" s="6">
        <f t="shared" si="500"/>
        <v>293.67424</v>
      </c>
      <c r="BB347" s="6">
        <f t="shared" si="500"/>
        <v>274.270712</v>
      </c>
      <c r="BC347" s="6">
        <f t="shared" si="500"/>
        <v>285.75263200000001</v>
      </c>
      <c r="BD347" s="6">
        <f t="shared" si="500"/>
        <v>288.12086399999998</v>
      </c>
      <c r="BE347" s="6">
        <f t="shared" si="500"/>
        <v>292.59127999999998</v>
      </c>
      <c r="BF347" s="6">
        <f t="shared" si="500"/>
        <v>309.962784</v>
      </c>
      <c r="BG347" s="6">
        <f t="shared" si="500"/>
        <v>314.32292799999999</v>
      </c>
      <c r="BH347" s="6">
        <f t="shared" si="500"/>
        <v>315.97095999999999</v>
      </c>
      <c r="BI347" s="6">
        <f t="shared" si="500"/>
        <v>314.717512</v>
      </c>
      <c r="BJ347" s="6">
        <f t="shared" si="500"/>
        <v>319.245656</v>
      </c>
      <c r="BK347" s="6">
        <f t="shared" si="500"/>
        <v>280.26118400000001</v>
      </c>
      <c r="BL347" s="6">
        <f t="shared" si="500"/>
        <v>281.42915199999999</v>
      </c>
      <c r="BM347" s="6">
        <f t="shared" si="500"/>
        <v>319.52499999999998</v>
      </c>
      <c r="BN347" s="6">
        <f t="shared" si="500"/>
        <v>375.03499199999999</v>
      </c>
      <c r="BO347" s="6">
        <f t="shared" si="500"/>
        <v>394.963144</v>
      </c>
      <c r="BP347" s="6">
        <f t="shared" si="500"/>
        <v>452.72913599999998</v>
      </c>
      <c r="BQ347" s="6">
        <f t="shared" si="500"/>
        <v>461.73258399999997</v>
      </c>
      <c r="BR347" s="6">
        <f t="shared" si="500"/>
        <v>507.28218399999997</v>
      </c>
      <c r="BS347" s="6">
        <f t="shared" si="500"/>
        <v>556.66986399999996</v>
      </c>
      <c r="BT347" s="6">
        <f t="shared" si="500"/>
        <v>547.86830399999997</v>
      </c>
      <c r="BU347" s="6">
        <f t="shared" si="500"/>
        <v>554.89344000000006</v>
      </c>
      <c r="BV347" s="6">
        <f t="shared" si="500"/>
        <v>629.04088000000002</v>
      </c>
      <c r="BW347" s="6">
        <f t="shared" si="500"/>
        <v>590.76260000000002</v>
      </c>
      <c r="BX347" s="6">
        <f t="shared" si="500"/>
        <v>586.40646400000003</v>
      </c>
      <c r="BY347" s="6">
        <f t="shared" si="500"/>
        <v>586.40646400000003</v>
      </c>
      <c r="BZ347" s="6">
        <f t="shared" si="500"/>
        <v>586.40646400000003</v>
      </c>
      <c r="CA347" s="6">
        <f t="shared" si="500"/>
        <v>586.40646400000003</v>
      </c>
      <c r="CB347" s="6">
        <f t="shared" si="497"/>
        <v>602.40646400000003</v>
      </c>
      <c r="CC347" s="6">
        <f t="shared" si="497"/>
        <v>602.40646400000003</v>
      </c>
      <c r="CD347" s="6">
        <f t="shared" si="497"/>
        <v>602.40646400000003</v>
      </c>
      <c r="CE347" s="6">
        <f t="shared" si="497"/>
        <v>602.40646400000003</v>
      </c>
      <c r="CF347" s="5"/>
      <c r="CG347" s="5"/>
      <c r="CH347" s="5"/>
    </row>
    <row r="348" spans="1:86" outlineLevel="1">
      <c r="A348" s="3" t="s">
        <v>588</v>
      </c>
      <c r="B348" s="12" t="s">
        <v>513</v>
      </c>
      <c r="C348" s="6"/>
      <c r="D348" s="6"/>
      <c r="E348" s="6"/>
      <c r="F348" s="6"/>
      <c r="G348" s="6"/>
      <c r="H348" s="6"/>
      <c r="I348" s="6">
        <f t="shared" ref="I348:Q348" si="501">+I341*I349</f>
        <v>129.37199200000001</v>
      </c>
      <c r="J348" s="6">
        <f t="shared" si="501"/>
        <v>131.70981599999999</v>
      </c>
      <c r="K348" s="6">
        <f t="shared" si="501"/>
        <v>133.41138000000001</v>
      </c>
      <c r="L348" s="6">
        <f t="shared" si="501"/>
        <v>134.369336</v>
      </c>
      <c r="M348" s="6">
        <f t="shared" si="501"/>
        <v>141.54180400000001</v>
      </c>
      <c r="N348" s="6">
        <f t="shared" si="501"/>
        <v>287.81650400000001</v>
      </c>
      <c r="O348" s="6">
        <f t="shared" si="501"/>
        <v>273.89408800000001</v>
      </c>
      <c r="P348" s="6">
        <f t="shared" si="501"/>
        <v>263.24480799999998</v>
      </c>
      <c r="Q348" s="6">
        <f t="shared" si="501"/>
        <v>274.31335999999999</v>
      </c>
      <c r="R348" s="172">
        <f>AVERAGE(BL348:BO348)</f>
        <v>301.97558000000004</v>
      </c>
      <c r="S348" s="404">
        <f>+S341*S349</f>
        <v>505.55735199999998</v>
      </c>
      <c r="T348" s="404">
        <f t="shared" ref="T348:AB348" si="502">+T341*T349</f>
        <v>530.40646400000003</v>
      </c>
      <c r="U348" s="6">
        <f t="shared" si="502"/>
        <v>562.40646400000003</v>
      </c>
      <c r="V348" s="6">
        <f t="shared" si="502"/>
        <v>586.40646400000003</v>
      </c>
      <c r="W348" s="6">
        <f t="shared" si="502"/>
        <v>648</v>
      </c>
      <c r="X348" s="6">
        <f t="shared" si="502"/>
        <v>648</v>
      </c>
      <c r="Y348" s="6">
        <f t="shared" si="502"/>
        <v>648</v>
      </c>
      <c r="Z348" s="6">
        <f t="shared" si="502"/>
        <v>648</v>
      </c>
      <c r="AA348" s="6">
        <f t="shared" si="502"/>
        <v>648</v>
      </c>
      <c r="AB348" s="6">
        <f t="shared" si="502"/>
        <v>648</v>
      </c>
      <c r="AC348" s="6">
        <f>+AC341*AC349</f>
        <v>648</v>
      </c>
      <c r="AD348" s="6">
        <f>+AD341*AD349</f>
        <v>648</v>
      </c>
      <c r="AE348" s="6"/>
      <c r="AF348" s="6">
        <f t="shared" ref="AF348:AW348" si="503">+AF341*AF349</f>
        <v>130.67864399999999</v>
      </c>
      <c r="AG348" s="6">
        <f t="shared" si="503"/>
        <v>131.1848</v>
      </c>
      <c r="AH348" s="6">
        <f t="shared" si="503"/>
        <v>132.280348</v>
      </c>
      <c r="AI348" s="6">
        <f t="shared" si="503"/>
        <v>132.6746</v>
      </c>
      <c r="AJ348" s="6">
        <f t="shared" si="503"/>
        <v>132.88646</v>
      </c>
      <c r="AK348" s="6">
        <f t="shared" si="503"/>
        <v>133.35745600000001</v>
      </c>
      <c r="AL348" s="6">
        <f t="shared" si="503"/>
        <v>133.601032</v>
      </c>
      <c r="AM348" s="6">
        <f t="shared" si="503"/>
        <v>133.79427999999999</v>
      </c>
      <c r="AN348" s="6">
        <f t="shared" si="503"/>
        <v>133.95877999999999</v>
      </c>
      <c r="AO348" s="6">
        <f t="shared" si="503"/>
        <v>134.29805200000001</v>
      </c>
      <c r="AP348" s="6">
        <f t="shared" si="503"/>
        <v>134.814064</v>
      </c>
      <c r="AQ348" s="6">
        <f t="shared" si="503"/>
        <v>135.871208</v>
      </c>
      <c r="AR348" s="6">
        <f t="shared" si="503"/>
        <v>137.869336</v>
      </c>
      <c r="AS348" s="6">
        <f t="shared" si="503"/>
        <v>143.02730399999999</v>
      </c>
      <c r="AT348" s="6">
        <f t="shared" si="503"/>
        <v>143.26283599999999</v>
      </c>
      <c r="AU348" s="6">
        <f t="shared" si="503"/>
        <v>143.49803199999999</v>
      </c>
      <c r="AV348" s="6">
        <f t="shared" si="503"/>
        <v>143.56442000000001</v>
      </c>
      <c r="AW348" s="6">
        <f t="shared" si="503"/>
        <v>143.850492</v>
      </c>
      <c r="AX348" s="6"/>
      <c r="AY348" s="6"/>
      <c r="AZ348" s="6">
        <f t="shared" ref="AZ348:BW348" si="504">+AZ341*AZ349</f>
        <v>287.29596800000002</v>
      </c>
      <c r="BA348" s="6">
        <f t="shared" si="504"/>
        <v>283.980096</v>
      </c>
      <c r="BB348" s="6">
        <f t="shared" si="504"/>
        <v>266.29719999999998</v>
      </c>
      <c r="BC348" s="6">
        <f t="shared" si="504"/>
        <v>258.25839200000001</v>
      </c>
      <c r="BD348" s="6">
        <f t="shared" si="504"/>
        <v>259.51210400000002</v>
      </c>
      <c r="BE348" s="6">
        <f t="shared" si="504"/>
        <v>261.42183999999997</v>
      </c>
      <c r="BF348" s="6">
        <f t="shared" si="504"/>
        <v>263.098208</v>
      </c>
      <c r="BG348" s="6">
        <f t="shared" si="504"/>
        <v>268.84611999999998</v>
      </c>
      <c r="BH348" s="6">
        <f t="shared" si="504"/>
        <v>271.95600000000002</v>
      </c>
      <c r="BI348" s="6">
        <f t="shared" si="504"/>
        <v>271.619776</v>
      </c>
      <c r="BJ348" s="6">
        <f t="shared" si="504"/>
        <v>273.33596</v>
      </c>
      <c r="BK348" s="6">
        <f t="shared" si="504"/>
        <v>280.26118400000001</v>
      </c>
      <c r="BL348" s="6">
        <f t="shared" si="504"/>
        <v>281.42915199999999</v>
      </c>
      <c r="BM348" s="6">
        <f t="shared" si="504"/>
        <v>285.17043200000001</v>
      </c>
      <c r="BN348" s="6">
        <f t="shared" si="504"/>
        <v>283.44241599999998</v>
      </c>
      <c r="BO348" s="6">
        <f t="shared" si="504"/>
        <v>357.86032</v>
      </c>
      <c r="BP348" s="6">
        <f t="shared" si="504"/>
        <v>452.72913599999998</v>
      </c>
      <c r="BQ348" s="6">
        <f t="shared" si="504"/>
        <v>461.73258399999997</v>
      </c>
      <c r="BR348" s="6">
        <f t="shared" si="504"/>
        <v>472.96150399999999</v>
      </c>
      <c r="BS348" s="6">
        <f t="shared" si="504"/>
        <v>505.55735199999998</v>
      </c>
      <c r="BT348" s="6">
        <f t="shared" si="504"/>
        <v>519.52085599999998</v>
      </c>
      <c r="BU348" s="6">
        <f t="shared" si="504"/>
        <v>525.94462399999998</v>
      </c>
      <c r="BV348" s="6">
        <f t="shared" si="504"/>
        <v>535.91043200000001</v>
      </c>
      <c r="BW348" s="6">
        <f t="shared" si="504"/>
        <v>539.99004000000002</v>
      </c>
      <c r="BX348" s="6">
        <f t="shared" ref="BX348:CE348" si="505">+BX341*BX349</f>
        <v>562.40646400000003</v>
      </c>
      <c r="BY348" s="6">
        <f t="shared" si="505"/>
        <v>562.40646400000003</v>
      </c>
      <c r="BZ348" s="6">
        <f t="shared" si="505"/>
        <v>562.40646400000003</v>
      </c>
      <c r="CA348" s="6">
        <f t="shared" si="505"/>
        <v>562.40646400000003</v>
      </c>
      <c r="CB348" s="6">
        <f t="shared" si="505"/>
        <v>586.40646400000003</v>
      </c>
      <c r="CC348" s="6">
        <f t="shared" si="505"/>
        <v>586.40646400000003</v>
      </c>
      <c r="CD348" s="6">
        <f t="shared" si="505"/>
        <v>586.40646400000003</v>
      </c>
      <c r="CE348" s="6">
        <f t="shared" si="505"/>
        <v>586.40646400000003</v>
      </c>
      <c r="CF348" s="5"/>
      <c r="CG348" s="5"/>
      <c r="CH348" s="5"/>
    </row>
    <row r="349" spans="1:86" outlineLevel="1">
      <c r="A349" s="3" t="s">
        <v>589</v>
      </c>
      <c r="B349" s="173" t="s">
        <v>38</v>
      </c>
      <c r="C349" s="14">
        <v>1</v>
      </c>
      <c r="D349" s="14">
        <v>1</v>
      </c>
      <c r="E349" s="14">
        <v>1</v>
      </c>
      <c r="F349" s="14">
        <v>2</v>
      </c>
      <c r="G349" s="14">
        <v>2</v>
      </c>
      <c r="H349" s="5">
        <v>4</v>
      </c>
      <c r="I349" s="5">
        <v>4</v>
      </c>
      <c r="J349" s="5">
        <v>4</v>
      </c>
      <c r="K349" s="5">
        <v>4</v>
      </c>
      <c r="L349" s="6">
        <v>4</v>
      </c>
      <c r="M349" s="6">
        <v>4</v>
      </c>
      <c r="N349" s="6">
        <v>8</v>
      </c>
      <c r="O349" s="6">
        <v>8</v>
      </c>
      <c r="P349" s="6">
        <v>8</v>
      </c>
      <c r="Q349" s="6">
        <v>8</v>
      </c>
      <c r="R349" s="6">
        <v>8</v>
      </c>
      <c r="S349" s="6">
        <v>8</v>
      </c>
      <c r="T349" s="6">
        <v>8</v>
      </c>
      <c r="U349" s="6">
        <v>8</v>
      </c>
      <c r="V349" s="6">
        <v>8</v>
      </c>
      <c r="W349" s="6">
        <v>8</v>
      </c>
      <c r="X349" s="6">
        <v>8</v>
      </c>
      <c r="Y349" s="6">
        <v>8</v>
      </c>
      <c r="Z349" s="6">
        <v>8</v>
      </c>
      <c r="AA349" s="6">
        <v>8</v>
      </c>
      <c r="AB349" s="6">
        <v>8</v>
      </c>
      <c r="AC349" s="6">
        <v>8</v>
      </c>
      <c r="AD349" s="6">
        <v>8</v>
      </c>
      <c r="AE349" s="6"/>
      <c r="AF349" s="174">
        <v>4</v>
      </c>
      <c r="AG349" s="6">
        <v>4</v>
      </c>
      <c r="AH349" s="6">
        <v>4</v>
      </c>
      <c r="AI349" s="6">
        <v>4</v>
      </c>
      <c r="AJ349" s="6">
        <v>4</v>
      </c>
      <c r="AK349" s="6">
        <v>4</v>
      </c>
      <c r="AL349" s="6">
        <v>4</v>
      </c>
      <c r="AM349" s="6">
        <v>4</v>
      </c>
      <c r="AN349" s="6">
        <v>4</v>
      </c>
      <c r="AO349" s="6">
        <v>4</v>
      </c>
      <c r="AP349" s="6">
        <v>4</v>
      </c>
      <c r="AQ349" s="6">
        <v>4</v>
      </c>
      <c r="AR349" s="6">
        <v>4</v>
      </c>
      <c r="AS349" s="6">
        <v>4</v>
      </c>
      <c r="AT349" s="6">
        <v>4</v>
      </c>
      <c r="AU349" s="6">
        <v>4</v>
      </c>
      <c r="AV349" s="6">
        <v>4</v>
      </c>
      <c r="AW349" s="6">
        <v>4</v>
      </c>
      <c r="AX349" s="6">
        <v>4</v>
      </c>
      <c r="AY349" s="6">
        <v>4</v>
      </c>
      <c r="AZ349" s="6">
        <v>8</v>
      </c>
      <c r="BA349" s="6">
        <v>8</v>
      </c>
      <c r="BB349" s="6">
        <v>8</v>
      </c>
      <c r="BC349" s="6">
        <v>8</v>
      </c>
      <c r="BD349" s="6">
        <v>8</v>
      </c>
      <c r="BE349" s="6">
        <v>8</v>
      </c>
      <c r="BF349" s="6">
        <v>8</v>
      </c>
      <c r="BG349" s="6">
        <v>8</v>
      </c>
      <c r="BH349" s="6">
        <v>8</v>
      </c>
      <c r="BI349" s="6">
        <v>8</v>
      </c>
      <c r="BJ349" s="6">
        <v>8</v>
      </c>
      <c r="BK349" s="6">
        <v>8</v>
      </c>
      <c r="BL349" s="6">
        <v>8</v>
      </c>
      <c r="BM349" s="6">
        <v>8</v>
      </c>
      <c r="BN349" s="6">
        <v>8</v>
      </c>
      <c r="BO349" s="6">
        <v>8</v>
      </c>
      <c r="BP349" s="6">
        <v>8</v>
      </c>
      <c r="BQ349" s="6">
        <v>8</v>
      </c>
      <c r="BR349" s="6">
        <v>8</v>
      </c>
      <c r="BS349" s="6">
        <v>8</v>
      </c>
      <c r="BT349" s="6">
        <v>8</v>
      </c>
      <c r="BU349" s="6">
        <v>8</v>
      </c>
      <c r="BV349" s="6">
        <v>8</v>
      </c>
      <c r="BW349" s="6">
        <v>8</v>
      </c>
      <c r="BX349" s="6">
        <v>8</v>
      </c>
      <c r="BY349" s="6">
        <v>8</v>
      </c>
      <c r="BZ349" s="6">
        <v>8</v>
      </c>
      <c r="CA349" s="6">
        <v>8</v>
      </c>
      <c r="CB349" s="6">
        <v>8</v>
      </c>
      <c r="CC349" s="6">
        <v>8</v>
      </c>
      <c r="CD349" s="6">
        <v>8</v>
      </c>
      <c r="CE349" s="6">
        <v>8</v>
      </c>
      <c r="CF349" s="5"/>
      <c r="CG349" s="5"/>
      <c r="CH349" s="5"/>
    </row>
    <row r="350" spans="1:86" outlineLevel="1">
      <c r="C350" s="175">
        <v>0.5</v>
      </c>
      <c r="D350" s="175">
        <v>0.5</v>
      </c>
      <c r="E350" s="175">
        <v>0.5</v>
      </c>
      <c r="F350" s="175">
        <v>0.5</v>
      </c>
      <c r="G350" s="175">
        <v>0.5</v>
      </c>
      <c r="H350" s="175">
        <v>1</v>
      </c>
      <c r="I350" s="175">
        <v>1</v>
      </c>
      <c r="J350" s="175">
        <v>2</v>
      </c>
      <c r="K350" s="175">
        <v>2</v>
      </c>
      <c r="L350" s="177">
        <v>4</v>
      </c>
      <c r="M350" s="177">
        <v>4</v>
      </c>
      <c r="N350" s="177">
        <v>8</v>
      </c>
      <c r="O350" s="177">
        <v>8</v>
      </c>
      <c r="P350" s="177">
        <v>8</v>
      </c>
      <c r="Q350" s="177">
        <v>8</v>
      </c>
      <c r="R350" s="177">
        <v>8</v>
      </c>
      <c r="S350" s="177">
        <v>8</v>
      </c>
      <c r="T350" s="177">
        <v>8</v>
      </c>
      <c r="U350" s="177">
        <v>8</v>
      </c>
      <c r="V350" s="177">
        <v>8</v>
      </c>
      <c r="W350" s="177">
        <v>8</v>
      </c>
      <c r="X350" s="177">
        <v>8</v>
      </c>
      <c r="Y350" s="177">
        <v>8</v>
      </c>
      <c r="Z350" s="177">
        <v>8</v>
      </c>
      <c r="AA350" s="177">
        <v>8</v>
      </c>
      <c r="AB350" s="177">
        <v>8</v>
      </c>
      <c r="AC350" s="177">
        <v>8</v>
      </c>
      <c r="AD350" s="177">
        <v>8</v>
      </c>
      <c r="AE350" s="177"/>
      <c r="AF350" s="175">
        <v>1</v>
      </c>
      <c r="AG350" s="175">
        <v>2</v>
      </c>
      <c r="AH350" s="175">
        <v>2</v>
      </c>
      <c r="AI350" s="175">
        <v>2</v>
      </c>
      <c r="AJ350" s="175">
        <v>2</v>
      </c>
      <c r="AK350" s="175">
        <v>2</v>
      </c>
      <c r="AL350" s="175">
        <v>2</v>
      </c>
      <c r="AM350" s="175">
        <v>2</v>
      </c>
      <c r="AN350" s="175">
        <v>2</v>
      </c>
      <c r="AO350" s="175">
        <v>2</v>
      </c>
      <c r="AP350" s="176">
        <v>2</v>
      </c>
      <c r="AQ350" s="175">
        <v>4</v>
      </c>
      <c r="AR350" s="177">
        <v>4</v>
      </c>
      <c r="AS350" s="177">
        <v>4</v>
      </c>
      <c r="AT350" s="177">
        <v>4</v>
      </c>
      <c r="AU350" s="177">
        <v>4</v>
      </c>
      <c r="AV350" s="177">
        <v>4</v>
      </c>
      <c r="AW350" s="177">
        <v>4</v>
      </c>
      <c r="AX350" s="177">
        <v>4</v>
      </c>
      <c r="AY350" s="177">
        <v>4</v>
      </c>
      <c r="AZ350" s="177">
        <v>8</v>
      </c>
      <c r="BA350" s="177">
        <v>8</v>
      </c>
      <c r="BB350" s="177">
        <v>8</v>
      </c>
      <c r="BC350" s="177">
        <v>8</v>
      </c>
      <c r="BD350" s="177">
        <v>8</v>
      </c>
      <c r="BE350" s="177">
        <v>8</v>
      </c>
      <c r="BF350" s="177">
        <v>8</v>
      </c>
      <c r="BG350" s="177">
        <v>8</v>
      </c>
      <c r="BH350" s="177">
        <v>8</v>
      </c>
      <c r="BI350" s="177">
        <v>8</v>
      </c>
      <c r="BJ350" s="177">
        <v>8</v>
      </c>
      <c r="BK350" s="177">
        <v>8</v>
      </c>
      <c r="BL350" s="177">
        <v>8</v>
      </c>
      <c r="BM350" s="177">
        <v>8</v>
      </c>
      <c r="BN350" s="177">
        <v>8</v>
      </c>
      <c r="BO350" s="177">
        <v>8</v>
      </c>
      <c r="BP350" s="177">
        <v>8</v>
      </c>
      <c r="BQ350" s="177">
        <v>8</v>
      </c>
      <c r="BR350" s="177">
        <v>8</v>
      </c>
      <c r="BS350" s="177">
        <v>8</v>
      </c>
      <c r="BT350" s="177">
        <v>8</v>
      </c>
      <c r="BU350" s="177">
        <v>8</v>
      </c>
      <c r="BV350" s="177">
        <v>8</v>
      </c>
      <c r="BW350" s="177">
        <v>8</v>
      </c>
      <c r="BX350" s="177">
        <v>8</v>
      </c>
      <c r="BY350" s="177">
        <v>8</v>
      </c>
      <c r="BZ350" s="177">
        <v>8</v>
      </c>
      <c r="CA350" s="177">
        <v>8</v>
      </c>
      <c r="CB350" s="177">
        <v>8</v>
      </c>
      <c r="CC350" s="177">
        <v>8</v>
      </c>
      <c r="CD350" s="177">
        <v>8</v>
      </c>
      <c r="CE350" s="177">
        <v>8</v>
      </c>
      <c r="CF350" s="177"/>
      <c r="CG350" s="5"/>
      <c r="CH350" s="5"/>
    </row>
    <row r="351" spans="1:86" outlineLevel="1">
      <c r="C351" s="175"/>
      <c r="D351" s="175"/>
      <c r="E351" s="175"/>
      <c r="F351" s="175"/>
      <c r="G351" s="175"/>
      <c r="H351" s="175"/>
      <c r="I351" s="175"/>
      <c r="J351" s="175"/>
      <c r="K351" s="175"/>
      <c r="L351" s="177"/>
      <c r="M351" s="177"/>
      <c r="N351" s="177"/>
      <c r="O351" s="177"/>
      <c r="P351" s="177"/>
      <c r="Q351" s="177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6"/>
      <c r="AQ351" s="175"/>
      <c r="AR351" s="177"/>
      <c r="AS351" s="177"/>
      <c r="AT351" s="177"/>
      <c r="AU351" s="177"/>
      <c r="AV351" s="177"/>
      <c r="AW351" s="177"/>
      <c r="AX351" s="177"/>
      <c r="AY351" s="177"/>
      <c r="AZ351" s="177"/>
      <c r="BA351" s="177"/>
      <c r="BB351" s="177"/>
      <c r="BC351" s="177"/>
      <c r="BD351" s="177"/>
      <c r="BE351" s="177"/>
      <c r="BF351" s="177"/>
      <c r="BG351" s="177"/>
      <c r="BH351" s="177"/>
      <c r="BI351" s="177"/>
      <c r="BJ351" s="175"/>
      <c r="BK351" s="177"/>
      <c r="BL351" s="175"/>
      <c r="BM351" s="6"/>
      <c r="BN351" s="6"/>
      <c r="BO351" s="6"/>
      <c r="BP351" s="6"/>
      <c r="BQ351" s="6"/>
      <c r="BR351" s="6"/>
      <c r="BS351" s="6"/>
      <c r="BT351" s="6"/>
      <c r="BU351" s="6"/>
      <c r="BV351" s="6"/>
      <c r="BW351" s="6"/>
      <c r="BX351" s="6"/>
      <c r="BY351" s="6"/>
      <c r="BZ351" s="6"/>
      <c r="CA351" s="6"/>
      <c r="CB351" s="6"/>
      <c r="CC351" s="6"/>
      <c r="CD351" s="6"/>
      <c r="CE351" s="6"/>
      <c r="CF351" s="5"/>
      <c r="CG351" s="5"/>
      <c r="CH351" s="5"/>
    </row>
    <row r="352" spans="1:86" outlineLevel="1">
      <c r="B352" s="31" t="s">
        <v>46</v>
      </c>
      <c r="C352" s="31"/>
      <c r="D352" s="31"/>
      <c r="E352" s="31"/>
      <c r="F352" s="31"/>
      <c r="G352" s="3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6"/>
      <c r="BV352" s="6"/>
      <c r="BW352" s="6"/>
      <c r="BX352" s="6"/>
      <c r="BY352" s="6"/>
      <c r="BZ352" s="6"/>
      <c r="CA352" s="6"/>
      <c r="CB352" s="6"/>
      <c r="CC352" s="6"/>
      <c r="CD352" s="6"/>
      <c r="CE352" s="6"/>
      <c r="CF352" s="5"/>
      <c r="CG352" s="5"/>
      <c r="CH352" s="5"/>
    </row>
    <row r="353" spans="1:96" outlineLevel="1">
      <c r="A353" s="3" t="s">
        <v>544</v>
      </c>
      <c r="B353" s="39" t="s">
        <v>47</v>
      </c>
      <c r="C353" s="23">
        <f t="shared" ref="C353:L353" si="506">GP/Rev_Net*100</f>
        <v>69.789065119949313</v>
      </c>
      <c r="D353" s="23">
        <f t="shared" si="506"/>
        <v>81.948183024127772</v>
      </c>
      <c r="E353" s="23">
        <f t="shared" si="506"/>
        <v>86.33363623262737</v>
      </c>
      <c r="F353" s="23">
        <f t="shared" si="506"/>
        <v>85.183614539472615</v>
      </c>
      <c r="G353" s="23">
        <f t="shared" si="506"/>
        <v>85.47861966972107</v>
      </c>
      <c r="H353" s="23">
        <f t="shared" si="506"/>
        <v>82.996325574934716</v>
      </c>
      <c r="I353" s="23">
        <f t="shared" si="506"/>
        <v>80.366490024368105</v>
      </c>
      <c r="J353" s="23">
        <f t="shared" si="506"/>
        <v>80.299902674493268</v>
      </c>
      <c r="K353" s="23">
        <f t="shared" si="506"/>
        <v>77.95889301380609</v>
      </c>
      <c r="L353" s="23">
        <f t="shared" si="506"/>
        <v>77.333941816168192</v>
      </c>
      <c r="M353" s="322">
        <f>GP/Rev_Net</f>
        <v>0.78298831293922022</v>
      </c>
      <c r="N353" s="322">
        <f t="shared" ref="N353:AD353" si="507">GP/Rev_Net</f>
        <v>0.76983696233206167</v>
      </c>
      <c r="O353" s="322">
        <f t="shared" si="507"/>
        <v>0.75045847919163022</v>
      </c>
      <c r="P353" s="322">
        <f t="shared" si="507"/>
        <v>0.74255938837513413</v>
      </c>
      <c r="Q353" s="322">
        <f t="shared" si="507"/>
        <v>0.71408333297081183</v>
      </c>
      <c r="R353" s="322">
        <f t="shared" si="507"/>
        <v>0.72072302719615011</v>
      </c>
      <c r="S353" s="322">
        <f t="shared" si="507"/>
        <v>0.754023194926282</v>
      </c>
      <c r="T353" s="322">
        <f t="shared" si="507"/>
        <v>0.8253071859035126</v>
      </c>
      <c r="U353" s="322">
        <f t="shared" ca="1" si="507"/>
        <v>0.83</v>
      </c>
      <c r="V353" s="322">
        <f t="shared" ca="1" si="507"/>
        <v>0.83200000000000007</v>
      </c>
      <c r="W353" s="322">
        <f t="shared" ca="1" si="507"/>
        <v>0.83399999999999996</v>
      </c>
      <c r="X353" s="322">
        <f t="shared" ca="1" si="507"/>
        <v>0.83399999999999996</v>
      </c>
      <c r="Y353" s="322">
        <f t="shared" ca="1" si="507"/>
        <v>0.83399999999999996</v>
      </c>
      <c r="Z353" s="322">
        <f t="shared" ca="1" si="507"/>
        <v>0.83599999999999997</v>
      </c>
      <c r="AA353" s="322">
        <f t="shared" ca="1" si="507"/>
        <v>0.83599999999999997</v>
      </c>
      <c r="AB353" s="322">
        <f t="shared" ca="1" si="507"/>
        <v>0.83599999999999997</v>
      </c>
      <c r="AC353" s="322">
        <f t="shared" ca="1" si="507"/>
        <v>0.83599999999999997</v>
      </c>
      <c r="AD353" s="322">
        <f t="shared" ca="1" si="507"/>
        <v>0.83599999999999997</v>
      </c>
      <c r="AE353" s="322"/>
      <c r="AF353" s="27">
        <f t="shared" ref="AF353:CE353" si="508">GP/Rev_Net</f>
        <v>0.79088543132950551</v>
      </c>
      <c r="AG353" s="27">
        <f t="shared" si="508"/>
        <v>0.80132085405611975</v>
      </c>
      <c r="AH353" s="27">
        <f t="shared" si="508"/>
        <v>0.80161904477728574</v>
      </c>
      <c r="AI353" s="27">
        <f t="shared" si="508"/>
        <v>0.81350304757957825</v>
      </c>
      <c r="AJ353" s="27">
        <f t="shared" si="508"/>
        <v>0.80029610000867757</v>
      </c>
      <c r="AK353" s="27">
        <f t="shared" si="508"/>
        <v>0.78756668993142331</v>
      </c>
      <c r="AL353" s="27">
        <f t="shared" si="508"/>
        <v>0.76656208426306194</v>
      </c>
      <c r="AM353" s="27">
        <f t="shared" si="508"/>
        <v>0.76651642331263481</v>
      </c>
      <c r="AN353" s="27">
        <f t="shared" si="508"/>
        <v>0.77539810406687437</v>
      </c>
      <c r="AO353" s="27">
        <f t="shared" si="508"/>
        <v>0.7731168853732443</v>
      </c>
      <c r="AP353" s="27">
        <f t="shared" si="508"/>
        <v>0.77200941786873922</v>
      </c>
      <c r="AQ353" s="27">
        <f t="shared" si="508"/>
        <v>0.77335141730528112</v>
      </c>
      <c r="AR353" s="27">
        <f t="shared" si="508"/>
        <v>0.78119529216869676</v>
      </c>
      <c r="AS353" s="27">
        <f t="shared" si="508"/>
        <v>0.78256744411331858</v>
      </c>
      <c r="AT353" s="27">
        <f t="shared" si="508"/>
        <v>0.78305993261405671</v>
      </c>
      <c r="AU353" s="27">
        <f t="shared" si="508"/>
        <v>0.78462263013213052</v>
      </c>
      <c r="AV353" s="27">
        <f t="shared" si="508"/>
        <v>0.78456253527281017</v>
      </c>
      <c r="AW353" s="27">
        <f t="shared" si="508"/>
        <v>0.77219991822889045</v>
      </c>
      <c r="AX353" s="27">
        <f t="shared" si="508"/>
        <v>0.76800464363212695</v>
      </c>
      <c r="AY353" s="27">
        <f t="shared" si="508"/>
        <v>0.75748000018305672</v>
      </c>
      <c r="AZ353" s="27">
        <f t="shared" si="508"/>
        <v>0.75191627324390786</v>
      </c>
      <c r="BA353" s="27">
        <f t="shared" si="508"/>
        <v>0.7522979944000785</v>
      </c>
      <c r="BB353" s="27">
        <f t="shared" si="508"/>
        <v>0.75621474866980332</v>
      </c>
      <c r="BC353" s="27">
        <f t="shared" si="508"/>
        <v>0.74149599607943406</v>
      </c>
      <c r="BD353" s="27">
        <f t="shared" si="508"/>
        <v>0.7378978413950521</v>
      </c>
      <c r="BE353" s="27">
        <f t="shared" si="508"/>
        <v>0.75168924297405104</v>
      </c>
      <c r="BF353" s="27">
        <f t="shared" si="508"/>
        <v>0.75397293373907071</v>
      </c>
      <c r="BG353" s="27">
        <f t="shared" si="508"/>
        <v>0.72621428712604041</v>
      </c>
      <c r="BH353" s="27">
        <f t="shared" si="508"/>
        <v>0.71588363779608666</v>
      </c>
      <c r="BI353" s="27">
        <f t="shared" si="508"/>
        <v>0.72210866271001117</v>
      </c>
      <c r="BJ353" s="27">
        <f t="shared" si="508"/>
        <v>0.7234276967551011</v>
      </c>
      <c r="BK353" s="27">
        <f t="shared" si="508"/>
        <v>0.69497032511034262</v>
      </c>
      <c r="BL353" s="317">
        <f t="shared" si="508"/>
        <v>0.69560500007931203</v>
      </c>
      <c r="BM353" s="317">
        <f t="shared" si="508"/>
        <v>0.71112794881736663</v>
      </c>
      <c r="BN353" s="317">
        <f t="shared" si="508"/>
        <v>0.73422868742957859</v>
      </c>
      <c r="BO353" s="317">
        <f t="shared" si="508"/>
        <v>0.73443921091843167</v>
      </c>
      <c r="BP353" s="317">
        <f t="shared" si="508"/>
        <v>0.72811328374564654</v>
      </c>
      <c r="BQ353" s="317">
        <f t="shared" si="508"/>
        <v>0.72045592220403976</v>
      </c>
      <c r="BR353" s="317">
        <f t="shared" si="508"/>
        <v>0.77847690185259832</v>
      </c>
      <c r="BS353" s="317">
        <f t="shared" si="508"/>
        <v>0.77771909108742121</v>
      </c>
      <c r="BT353" s="317">
        <f t="shared" si="508"/>
        <v>0.80455304946858208</v>
      </c>
      <c r="BU353" s="317">
        <f t="shared" si="508"/>
        <v>0.82479199129781799</v>
      </c>
      <c r="BV353" s="317">
        <f t="shared" si="508"/>
        <v>0.83499530251687126</v>
      </c>
      <c r="BW353" s="317">
        <f t="shared" si="508"/>
        <v>0.8336253487998776</v>
      </c>
      <c r="BX353" s="317">
        <f t="shared" ca="1" si="508"/>
        <v>0.82799999999999996</v>
      </c>
      <c r="BY353" s="317">
        <f t="shared" ca="1" si="508"/>
        <v>0.83099999999999996</v>
      </c>
      <c r="BZ353" s="317">
        <f t="shared" ca="1" si="508"/>
        <v>0.83100000000000007</v>
      </c>
      <c r="CA353" s="317">
        <f t="shared" ca="1" si="508"/>
        <v>0.82959256779867907</v>
      </c>
      <c r="CB353" s="317">
        <f t="shared" ca="1" si="508"/>
        <v>0.83199999999999996</v>
      </c>
      <c r="CC353" s="317">
        <f t="shared" ca="1" si="508"/>
        <v>0.83199999999999996</v>
      </c>
      <c r="CD353" s="317">
        <f t="shared" ca="1" si="508"/>
        <v>0.83200000000000007</v>
      </c>
      <c r="CE353" s="317">
        <f t="shared" ca="1" si="508"/>
        <v>0.83200000000000007</v>
      </c>
      <c r="CF353" s="5"/>
      <c r="CG353" s="5"/>
      <c r="CH353" s="5"/>
    </row>
    <row r="354" spans="1:96" outlineLevel="1">
      <c r="A354" s="3" t="s">
        <v>75</v>
      </c>
      <c r="B354" s="39" t="s">
        <v>48</v>
      </c>
      <c r="C354" s="23">
        <f t="shared" ref="C354:L354" si="509">OP/Rev_Net*100</f>
        <v>-491.87510034260606</v>
      </c>
      <c r="D354" s="23">
        <f t="shared" si="509"/>
        <v>-44.681173959972064</v>
      </c>
      <c r="E354" s="23">
        <f t="shared" si="509"/>
        <v>23.258826650481474</v>
      </c>
      <c r="F354" s="23">
        <f t="shared" si="509"/>
        <v>33.541089544688987</v>
      </c>
      <c r="G354" s="23">
        <f t="shared" si="509"/>
        <v>40.641617250600547</v>
      </c>
      <c r="H354" s="23">
        <f t="shared" si="509"/>
        <v>42.112725344400602</v>
      </c>
      <c r="I354" s="23">
        <f t="shared" si="509"/>
        <v>32.722027578577404</v>
      </c>
      <c r="J354" s="23">
        <f t="shared" si="509"/>
        <v>33.718709480064568</v>
      </c>
      <c r="K354" s="23">
        <f t="shared" si="509"/>
        <v>31.112088863905523</v>
      </c>
      <c r="L354" s="23">
        <f t="shared" si="509"/>
        <v>34.575638755694428</v>
      </c>
      <c r="M354" s="322">
        <f>OP/Rev_Net</f>
        <v>0.36585902812027438</v>
      </c>
      <c r="N354" s="322">
        <f t="shared" ref="N354:AD354" si="510">OP/Rev_Net</f>
        <v>0.30473652966179754</v>
      </c>
      <c r="O354" s="322">
        <f t="shared" si="510"/>
        <v>0.15740290214311736</v>
      </c>
      <c r="P354" s="322">
        <f t="shared" si="510"/>
        <v>0.15564902360112259</v>
      </c>
      <c r="Q354" s="322">
        <f t="shared" si="510"/>
        <v>-2.0525223832114456E-2</v>
      </c>
      <c r="R354" s="322">
        <f t="shared" si="510"/>
        <v>3.4965869712130622E-2</v>
      </c>
      <c r="S354" s="322">
        <f>OP/Rev_Net</f>
        <v>-8.1570761911635134E-2</v>
      </c>
      <c r="T354" s="322">
        <f t="shared" si="510"/>
        <v>0.10926851613575883</v>
      </c>
      <c r="U354" s="322">
        <f t="shared" ca="1" si="510"/>
        <v>0.1000000000000002</v>
      </c>
      <c r="V354" s="322">
        <f t="shared" ca="1" si="510"/>
        <v>0.14200000000000007</v>
      </c>
      <c r="W354" s="322">
        <f t="shared" ca="1" si="510"/>
        <v>0.16399999999999995</v>
      </c>
      <c r="X354" s="322">
        <f t="shared" ca="1" si="510"/>
        <v>0.184</v>
      </c>
      <c r="Y354" s="322">
        <f t="shared" ca="1" si="510"/>
        <v>0.20399999999999996</v>
      </c>
      <c r="Z354" s="322">
        <f t="shared" ca="1" si="510"/>
        <v>0.216</v>
      </c>
      <c r="AA354" s="322">
        <f t="shared" ca="1" si="510"/>
        <v>0.22599999999999998</v>
      </c>
      <c r="AB354" s="322">
        <f t="shared" ca="1" si="510"/>
        <v>0.23599999999999996</v>
      </c>
      <c r="AC354" s="322">
        <f t="shared" ca="1" si="510"/>
        <v>0.23599999999999999</v>
      </c>
      <c r="AD354" s="322">
        <f t="shared" ca="1" si="510"/>
        <v>0.23599999999999988</v>
      </c>
      <c r="AE354" s="322"/>
      <c r="AF354" s="27">
        <f t="shared" ref="AF354:CE354" si="511">OP/Rev_Net</f>
        <v>0.30608404079742169</v>
      </c>
      <c r="AG354" s="27">
        <f t="shared" si="511"/>
        <v>0.33054010416560148</v>
      </c>
      <c r="AH354" s="27">
        <f t="shared" si="511"/>
        <v>0.34400918244793099</v>
      </c>
      <c r="AI354" s="27">
        <f t="shared" si="511"/>
        <v>0.35671455797358403</v>
      </c>
      <c r="AJ354" s="27">
        <f t="shared" si="511"/>
        <v>0.32399780452240973</v>
      </c>
      <c r="AK354" s="27">
        <f t="shared" si="511"/>
        <v>0.33942025627985328</v>
      </c>
      <c r="AL354" s="27">
        <f t="shared" si="511"/>
        <v>0.2880865364624095</v>
      </c>
      <c r="AM354" s="27">
        <f t="shared" si="511"/>
        <v>0.29510463098898349</v>
      </c>
      <c r="AN354" s="27">
        <f t="shared" si="511"/>
        <v>0.33760990572059713</v>
      </c>
      <c r="AO354" s="27">
        <f t="shared" si="511"/>
        <v>0.34365426680566546</v>
      </c>
      <c r="AP354" s="27">
        <f t="shared" si="511"/>
        <v>0.36521252022959871</v>
      </c>
      <c r="AQ354" s="27">
        <f t="shared" si="511"/>
        <v>0.33453637107793993</v>
      </c>
      <c r="AR354" s="27">
        <f t="shared" si="511"/>
        <v>0.33481235665471776</v>
      </c>
      <c r="AS354" s="27">
        <f t="shared" si="511"/>
        <v>0.37023222562420088</v>
      </c>
      <c r="AT354" s="27">
        <f t="shared" si="511"/>
        <v>0.37924140042808874</v>
      </c>
      <c r="AU354" s="27">
        <f t="shared" si="511"/>
        <v>0.37133003461167791</v>
      </c>
      <c r="AV354" s="27">
        <f t="shared" si="511"/>
        <v>0.34366744828255724</v>
      </c>
      <c r="AW354" s="27">
        <f t="shared" si="511"/>
        <v>0.32217266055212662</v>
      </c>
      <c r="AX354" s="27">
        <f t="shared" si="511"/>
        <v>0.31219042558075816</v>
      </c>
      <c r="AY354" s="27">
        <f t="shared" si="511"/>
        <v>0.2490529710474306</v>
      </c>
      <c r="AZ354" s="27">
        <f t="shared" si="511"/>
        <v>0.19384558788062375</v>
      </c>
      <c r="BA354" s="27">
        <f t="shared" si="511"/>
        <v>0.17260228199871525</v>
      </c>
      <c r="BB354" s="27">
        <f t="shared" si="511"/>
        <v>0.16205662210396701</v>
      </c>
      <c r="BC354" s="27">
        <f t="shared" si="511"/>
        <v>0.10887215569912208</v>
      </c>
      <c r="BD354" s="27">
        <f t="shared" si="511"/>
        <v>0.13788507060994001</v>
      </c>
      <c r="BE354" s="27">
        <f t="shared" si="511"/>
        <v>0.1574003095521829</v>
      </c>
      <c r="BF354" s="27">
        <f t="shared" si="511"/>
        <v>0.19438425674448623</v>
      </c>
      <c r="BG354" s="27">
        <f t="shared" si="511"/>
        <v>0.12700783958708239</v>
      </c>
      <c r="BH354" s="27">
        <f t="shared" si="511"/>
        <v>4.4852486886989104E-2</v>
      </c>
      <c r="BI354" s="27">
        <f t="shared" si="511"/>
        <v>5.2790873564088882E-2</v>
      </c>
      <c r="BJ354" s="27">
        <f t="shared" si="511"/>
        <v>4.1436779960193314E-2</v>
      </c>
      <c r="BK354" s="27">
        <f t="shared" si="511"/>
        <v>-0.20953678821517926</v>
      </c>
      <c r="BL354" s="317">
        <f t="shared" si="511"/>
        <v>-7.7876796352569777E-2</v>
      </c>
      <c r="BM354" s="317">
        <f t="shared" si="511"/>
        <v>2.4091812262345441E-2</v>
      </c>
      <c r="BN354" s="317">
        <f t="shared" si="511"/>
        <v>0.12736807519723597</v>
      </c>
      <c r="BO354" s="317">
        <f t="shared" si="511"/>
        <v>3.3121384626138541E-2</v>
      </c>
      <c r="BP354" s="317">
        <f t="shared" si="511"/>
        <v>-0.43737979021974543</v>
      </c>
      <c r="BQ354" s="317">
        <f t="shared" si="511"/>
        <v>-8.9750043729946688E-2</v>
      </c>
      <c r="BR354" s="317">
        <f t="shared" si="511"/>
        <v>8.0300511973380465E-2</v>
      </c>
      <c r="BS354" s="317">
        <f t="shared" si="511"/>
        <v>4.092655781795479E-2</v>
      </c>
      <c r="BT354" s="317">
        <f t="shared" si="511"/>
        <v>6.806402195328605E-2</v>
      </c>
      <c r="BU354" s="317">
        <f t="shared" si="511"/>
        <v>0.1005744180915088</v>
      </c>
      <c r="BV354" s="317">
        <f t="shared" si="511"/>
        <v>0.17203215159636512</v>
      </c>
      <c r="BW354" s="317">
        <f t="shared" si="511"/>
        <v>7.9593412084096565E-2</v>
      </c>
      <c r="BX354" s="317">
        <f t="shared" ca="1" si="511"/>
        <v>4.1999999999999871E-2</v>
      </c>
      <c r="BY354" s="317">
        <f t="shared" ca="1" si="511"/>
        <v>7.0999999999999952E-2</v>
      </c>
      <c r="BZ354" s="317">
        <f t="shared" ca="1" si="511"/>
        <v>0.12100000000000007</v>
      </c>
      <c r="CA354" s="317">
        <f t="shared" ca="1" si="511"/>
        <v>0.1492100594633741</v>
      </c>
      <c r="CB354" s="317">
        <f t="shared" ca="1" si="511"/>
        <v>0.13200000000000001</v>
      </c>
      <c r="CC354" s="317">
        <f t="shared" ca="1" si="511"/>
        <v>0.14200000000000002</v>
      </c>
      <c r="CD354" s="317">
        <f t="shared" ca="1" si="511"/>
        <v>0.16199999999999998</v>
      </c>
      <c r="CE354" s="317">
        <f t="shared" ca="1" si="511"/>
        <v>0.1287791026448051</v>
      </c>
      <c r="CF354" s="5"/>
      <c r="CG354" s="5"/>
      <c r="CH354" s="5"/>
    </row>
    <row r="355" spans="1:96" outlineLevel="1">
      <c r="A355" s="3" t="s">
        <v>545</v>
      </c>
      <c r="B355" s="39" t="s">
        <v>49</v>
      </c>
      <c r="C355" s="23">
        <f t="shared" ref="C355:L355" si="512">NP/Rev_Net*100</f>
        <v>-371.57672869776832</v>
      </c>
      <c r="D355" s="23">
        <f t="shared" si="512"/>
        <v>-34.69797977781618</v>
      </c>
      <c r="E355" s="23">
        <f t="shared" si="512"/>
        <v>14.186630636730005</v>
      </c>
      <c r="F355" s="23">
        <f t="shared" si="512"/>
        <v>31.079754021980737</v>
      </c>
      <c r="G355" s="23">
        <f t="shared" si="512"/>
        <v>39.879653493699251</v>
      </c>
      <c r="H355" s="23">
        <f t="shared" si="512"/>
        <v>43.022851577938404</v>
      </c>
      <c r="I355" s="23">
        <f t="shared" si="512"/>
        <v>30.843434974780219</v>
      </c>
      <c r="J355" s="23">
        <f t="shared" si="512"/>
        <v>33.218239276362922</v>
      </c>
      <c r="K355" s="23">
        <f t="shared" si="512"/>
        <v>29.958173122754722</v>
      </c>
      <c r="L355" s="23">
        <f t="shared" si="512"/>
        <v>33.147444429890172</v>
      </c>
      <c r="M355" s="322">
        <f>NP/Rev_Net</f>
        <v>0.36375383706015535</v>
      </c>
      <c r="N355" s="322">
        <f t="shared" ref="N355:AD355" si="513">NP/Rev_Net</f>
        <v>0.30771551047792428</v>
      </c>
      <c r="O355" s="322">
        <f t="shared" si="513"/>
        <v>0.17178209273470549</v>
      </c>
      <c r="P355" s="322">
        <f t="shared" si="513"/>
        <v>0.18532891078967548</v>
      </c>
      <c r="Q355" s="322">
        <f t="shared" si="513"/>
        <v>3.3039673072213734E-2</v>
      </c>
      <c r="R355" s="322">
        <f t="shared" si="513"/>
        <v>0.23011151386834194</v>
      </c>
      <c r="S355" s="322">
        <f t="shared" si="513"/>
        <v>-7.4405578863362701E-2</v>
      </c>
      <c r="T355" s="322">
        <f t="shared" si="513"/>
        <v>7.9986596363491397E-2</v>
      </c>
      <c r="U355" s="322">
        <f t="shared" ca="1" si="513"/>
        <v>6.9045701568398316E-2</v>
      </c>
      <c r="V355" s="322">
        <f t="shared" ca="1" si="513"/>
        <v>0.11916742568620965</v>
      </c>
      <c r="W355" s="322">
        <f t="shared" ca="1" si="513"/>
        <v>0.13612143163678508</v>
      </c>
      <c r="X355" s="322">
        <f t="shared" ca="1" si="513"/>
        <v>0.15146786781972382</v>
      </c>
      <c r="Y355" s="322">
        <f t="shared" ca="1" si="513"/>
        <v>0.16674317263895516</v>
      </c>
      <c r="Z355" s="322">
        <f t="shared" ca="1" si="513"/>
        <v>0.1759369731016083</v>
      </c>
      <c r="AA355" s="322">
        <f t="shared" ca="1" si="513"/>
        <v>0.18359486213164314</v>
      </c>
      <c r="AB355" s="322">
        <f t="shared" ca="1" si="513"/>
        <v>0.19122510974854465</v>
      </c>
      <c r="AC355" s="322">
        <f t="shared" ca="1" si="513"/>
        <v>0.19133309084409417</v>
      </c>
      <c r="AD355" s="322">
        <f t="shared" ca="1" si="513"/>
        <v>0.19142093715484265</v>
      </c>
      <c r="AE355" s="322"/>
      <c r="AF355" s="27">
        <f t="shared" ref="AF355:CE355" si="514">NP/Rev_Net</f>
        <v>0.2795773351590175</v>
      </c>
      <c r="AG355" s="27">
        <f t="shared" si="514"/>
        <v>0.30632669401090579</v>
      </c>
      <c r="AH355" s="27">
        <f t="shared" si="514"/>
        <v>0.33997051306698156</v>
      </c>
      <c r="AI355" s="27">
        <f t="shared" si="514"/>
        <v>0.38038388733920719</v>
      </c>
      <c r="AJ355" s="27">
        <f t="shared" si="514"/>
        <v>0.29031608638039647</v>
      </c>
      <c r="AK355" s="27">
        <f t="shared" si="514"/>
        <v>0.31813771677364866</v>
      </c>
      <c r="AL355" s="27">
        <f t="shared" si="514"/>
        <v>0.28231546222372628</v>
      </c>
      <c r="AM355" s="27">
        <f t="shared" si="514"/>
        <v>0.30642643070587933</v>
      </c>
      <c r="AN355" s="27">
        <f t="shared" si="514"/>
        <v>0.30304324192811477</v>
      </c>
      <c r="AO355" s="27">
        <f t="shared" si="514"/>
        <v>0.33353594159654915</v>
      </c>
      <c r="AP355" s="27">
        <f t="shared" si="514"/>
        <v>0.34563008996576616</v>
      </c>
      <c r="AQ355" s="27">
        <f t="shared" si="514"/>
        <v>0.33622287676872353</v>
      </c>
      <c r="AR355" s="27">
        <f t="shared" si="514"/>
        <v>0.32459234905667145</v>
      </c>
      <c r="AS355" s="27">
        <f t="shared" si="514"/>
        <v>0.33834586876076872</v>
      </c>
      <c r="AT355" s="27">
        <f t="shared" si="514"/>
        <v>0.3941606836521851</v>
      </c>
      <c r="AU355" s="27">
        <f t="shared" si="514"/>
        <v>0.38402178442134099</v>
      </c>
      <c r="AV355" s="27">
        <f t="shared" si="514"/>
        <v>0.30726129878026825</v>
      </c>
      <c r="AW355" s="27">
        <f t="shared" si="514"/>
        <v>0.31655894451952621</v>
      </c>
      <c r="AX355" s="27">
        <f t="shared" si="514"/>
        <v>0.33372322494148426</v>
      </c>
      <c r="AY355" s="27">
        <f t="shared" si="514"/>
        <v>0.27275314986335342</v>
      </c>
      <c r="AZ355" s="27">
        <f t="shared" si="514"/>
        <v>0.22877187349056827</v>
      </c>
      <c r="BA355" s="27">
        <f t="shared" si="514"/>
        <v>0.12291151951088589</v>
      </c>
      <c r="BB355" s="27">
        <f t="shared" si="514"/>
        <v>0.16523135264402289</v>
      </c>
      <c r="BC355" s="27">
        <f t="shared" si="514"/>
        <v>0.17483189298156951</v>
      </c>
      <c r="BD355" s="27">
        <f t="shared" si="514"/>
        <v>0.13224506447104292</v>
      </c>
      <c r="BE355" s="27">
        <f t="shared" si="514"/>
        <v>0.16900038574189694</v>
      </c>
      <c r="BF355" s="27">
        <f t="shared" si="514"/>
        <v>0.24204647568426266</v>
      </c>
      <c r="BG355" s="27">
        <f t="shared" si="514"/>
        <v>0.18153172377617818</v>
      </c>
      <c r="BH355" s="27">
        <f t="shared" si="514"/>
        <v>7.2924907827826083E-2</v>
      </c>
      <c r="BI355" s="27">
        <f t="shared" si="514"/>
        <v>7.8320408743174669E-2</v>
      </c>
      <c r="BJ355" s="27">
        <f t="shared" si="514"/>
        <v>0.10186305154954443</v>
      </c>
      <c r="BK355" s="27">
        <f t="shared" si="514"/>
        <v>-0.11729726117516455</v>
      </c>
      <c r="BL355" s="317">
        <f t="shared" si="514"/>
        <v>-5.4427153136471826E-2</v>
      </c>
      <c r="BM355" s="317">
        <f t="shared" si="514"/>
        <v>5.649811015373344E-2</v>
      </c>
      <c r="BN355" s="317">
        <f t="shared" si="514"/>
        <v>0.75909477483400722</v>
      </c>
      <c r="BO355" s="317">
        <f t="shared" si="514"/>
        <v>2.634878556285224E-2</v>
      </c>
      <c r="BP355" s="317">
        <f t="shared" si="514"/>
        <v>-0.37785581947756075</v>
      </c>
      <c r="BQ355" s="317">
        <f t="shared" si="514"/>
        <v>-0.11816342854242906</v>
      </c>
      <c r="BR355" s="317">
        <f t="shared" si="514"/>
        <v>4.2925366913331361E-3</v>
      </c>
      <c r="BS355" s="317">
        <f t="shared" si="514"/>
        <v>0.12734953551285932</v>
      </c>
      <c r="BT355" s="317">
        <f t="shared" si="514"/>
        <v>1.3549242802122021E-2</v>
      </c>
      <c r="BU355" s="317">
        <f t="shared" si="514"/>
        <v>5.094822752493202E-2</v>
      </c>
      <c r="BV355" s="317">
        <f t="shared" si="514"/>
        <v>0.15559091007420026</v>
      </c>
      <c r="BW355" s="317">
        <f t="shared" si="514"/>
        <v>7.8940887523643477E-2</v>
      </c>
      <c r="BX355" s="317">
        <f t="shared" ca="1" si="514"/>
        <v>1.5813569039999024E-2</v>
      </c>
      <c r="BY355" s="317">
        <f t="shared" ca="1" si="514"/>
        <v>4.2343622274421788E-2</v>
      </c>
      <c r="BZ355" s="317">
        <f t="shared" ca="1" si="514"/>
        <v>8.3936871393026427E-2</v>
      </c>
      <c r="CA355" s="317">
        <f t="shared" ca="1" si="514"/>
        <v>0.1119869212904482</v>
      </c>
      <c r="CB355" s="317">
        <f t="shared" ca="1" si="514"/>
        <v>0.10763882685360295</v>
      </c>
      <c r="CC355" s="317">
        <f t="shared" ca="1" si="514"/>
        <v>0.11532679608228912</v>
      </c>
      <c r="CD355" s="317">
        <f t="shared" ca="1" si="514"/>
        <v>0.13064043469550043</v>
      </c>
      <c r="CE355" s="317">
        <f t="shared" ca="1" si="514"/>
        <v>0.12063933512054661</v>
      </c>
      <c r="CF355" s="5"/>
      <c r="CG355" s="5"/>
      <c r="CH355" s="5"/>
    </row>
    <row r="356" spans="1:96" outlineLevel="1">
      <c r="A356" s="3" t="s">
        <v>337</v>
      </c>
      <c r="B356" s="39" t="s">
        <v>334</v>
      </c>
      <c r="C356" s="23"/>
      <c r="D356" s="23"/>
      <c r="E356" s="23"/>
      <c r="F356" s="23"/>
      <c r="G356" s="23"/>
      <c r="H356" s="23"/>
      <c r="I356" s="23">
        <f>EBITDA/Rev_Net*100</f>
        <v>34.31106680944152</v>
      </c>
      <c r="J356" s="23">
        <f>EBITDA/Rev_Net*100</f>
        <v>35.796364338192575</v>
      </c>
      <c r="K356" s="23">
        <f>EBITDA/Rev_Net*100</f>
        <v>33.522249284646271</v>
      </c>
      <c r="L356" s="23">
        <f>EBITDA/Rev_Net*100</f>
        <v>37.128150173741517</v>
      </c>
      <c r="M356" s="322">
        <f>EBITDA/Rev_Net</f>
        <v>0.3901832639286435</v>
      </c>
      <c r="N356" s="322">
        <f t="shared" ref="N356:AD356" si="515">EBITDA/Rev_Net</f>
        <v>0.3326593944256056</v>
      </c>
      <c r="O356" s="322">
        <f t="shared" si="515"/>
        <v>0.19491371157302337</v>
      </c>
      <c r="P356" s="322">
        <f t="shared" si="515"/>
        <v>0.20727746786892878</v>
      </c>
      <c r="Q356" s="322">
        <f t="shared" si="515"/>
        <v>5.7432631588832307E-2</v>
      </c>
      <c r="R356" s="322">
        <f t="shared" si="515"/>
        <v>0.25886160583805884</v>
      </c>
      <c r="S356" s="322">
        <f t="shared" si="515"/>
        <v>-3.7021593113430749E-2</v>
      </c>
      <c r="T356" s="322">
        <f t="shared" si="515"/>
        <v>0.11367117283238462</v>
      </c>
      <c r="U356" s="322">
        <f t="shared" ca="1" si="515"/>
        <v>9.9408284506550468E-2</v>
      </c>
      <c r="V356" s="322">
        <f t="shared" ca="1" si="515"/>
        <v>0.1452610456898587</v>
      </c>
      <c r="W356" s="322">
        <f t="shared" ca="1" si="515"/>
        <v>0.15919562334385357</v>
      </c>
      <c r="X356" s="322">
        <f t="shared" ca="1" si="515"/>
        <v>0.16455960565534833</v>
      </c>
      <c r="Y356" s="322">
        <f t="shared" ca="1" si="515"/>
        <v>0.17904145336462698</v>
      </c>
      <c r="Z356" s="322">
        <f t="shared" ca="1" si="515"/>
        <v>0.18787321507564261</v>
      </c>
      <c r="AA356" s="322">
        <f t="shared" ca="1" si="515"/>
        <v>0.19530600873524417</v>
      </c>
      <c r="AB356" s="322">
        <f t="shared" ca="1" si="515"/>
        <v>0.20281628806054122</v>
      </c>
      <c r="AC356" s="322">
        <f t="shared" ca="1" si="515"/>
        <v>0.20289387165299003</v>
      </c>
      <c r="AD356" s="322">
        <f t="shared" ca="1" si="515"/>
        <v>0.20305654949699897</v>
      </c>
      <c r="AE356" s="322"/>
      <c r="AF356" s="27">
        <f t="shared" ref="AF356:CE356" si="516">EBITDA/Rev_Net</f>
        <v>0.30608404079742169</v>
      </c>
      <c r="AG356" s="27">
        <f t="shared" si="516"/>
        <v>0.33054010416560148</v>
      </c>
      <c r="AH356" s="27">
        <f t="shared" si="516"/>
        <v>0.34400918244793099</v>
      </c>
      <c r="AI356" s="27">
        <f t="shared" si="516"/>
        <v>0.35671455797358403</v>
      </c>
      <c r="AJ356" s="27">
        <f t="shared" si="516"/>
        <v>0.32399780452240973</v>
      </c>
      <c r="AK356" s="27">
        <f t="shared" si="516"/>
        <v>0.33942025627985328</v>
      </c>
      <c r="AL356" s="27">
        <f t="shared" si="516"/>
        <v>0.2880865364624095</v>
      </c>
      <c r="AM356" s="27">
        <f t="shared" si="516"/>
        <v>0.29510463098898349</v>
      </c>
      <c r="AN356" s="27">
        <f t="shared" si="516"/>
        <v>0.33760990572059713</v>
      </c>
      <c r="AO356" s="27">
        <f t="shared" si="516"/>
        <v>0.34365426680566546</v>
      </c>
      <c r="AP356" s="27">
        <f t="shared" si="516"/>
        <v>0.36521252022959871</v>
      </c>
      <c r="AQ356" s="27">
        <f t="shared" si="516"/>
        <v>0.33453637107793993</v>
      </c>
      <c r="AR356" s="27">
        <f t="shared" si="516"/>
        <v>0.33481235665471776</v>
      </c>
      <c r="AS356" s="27">
        <f t="shared" si="516"/>
        <v>0.37023222562420088</v>
      </c>
      <c r="AT356" s="27">
        <f t="shared" si="516"/>
        <v>0.37924140042808874</v>
      </c>
      <c r="AU356" s="27">
        <f t="shared" si="516"/>
        <v>0.37133003461167791</v>
      </c>
      <c r="AV356" s="27">
        <f t="shared" si="516"/>
        <v>0.34366744828255724</v>
      </c>
      <c r="AW356" s="27">
        <f t="shared" si="516"/>
        <v>0.32217266055212662</v>
      </c>
      <c r="AX356" s="27">
        <f t="shared" si="516"/>
        <v>0.31219042558075816</v>
      </c>
      <c r="AY356" s="27">
        <f t="shared" si="516"/>
        <v>0.2490529710474306</v>
      </c>
      <c r="AZ356" s="27">
        <f t="shared" si="516"/>
        <v>0.22877187349056827</v>
      </c>
      <c r="BA356" s="27">
        <f t="shared" si="516"/>
        <v>0.12291151951088589</v>
      </c>
      <c r="BB356" s="27">
        <f t="shared" si="516"/>
        <v>0.16523135264402289</v>
      </c>
      <c r="BC356" s="27">
        <f t="shared" si="516"/>
        <v>0.17483189298156951</v>
      </c>
      <c r="BD356" s="27">
        <f t="shared" si="516"/>
        <v>0.13224506447104292</v>
      </c>
      <c r="BE356" s="27">
        <f t="shared" si="516"/>
        <v>0.16900038574189694</v>
      </c>
      <c r="BF356" s="27">
        <f t="shared" si="516"/>
        <v>0.24204647568426266</v>
      </c>
      <c r="BG356" s="27">
        <f t="shared" si="516"/>
        <v>0.18153172377617818</v>
      </c>
      <c r="BH356" s="27">
        <f t="shared" si="516"/>
        <v>7.2924907827826083E-2</v>
      </c>
      <c r="BI356" s="27">
        <f t="shared" si="516"/>
        <v>7.8320408743174669E-2</v>
      </c>
      <c r="BJ356" s="27">
        <f t="shared" si="516"/>
        <v>0.10186305154954443</v>
      </c>
      <c r="BK356" s="27">
        <f t="shared" si="516"/>
        <v>-0.11729726117516455</v>
      </c>
      <c r="BL356" s="317">
        <f t="shared" si="516"/>
        <v>-5.4427153136471826E-2</v>
      </c>
      <c r="BM356" s="317">
        <f t="shared" si="516"/>
        <v>5.649811015373344E-2</v>
      </c>
      <c r="BN356" s="317">
        <f t="shared" si="516"/>
        <v>0.75909477483400722</v>
      </c>
      <c r="BO356" s="317">
        <f t="shared" si="516"/>
        <v>2.634878556285224E-2</v>
      </c>
      <c r="BP356" s="317">
        <f t="shared" si="516"/>
        <v>-0.37785581947756075</v>
      </c>
      <c r="BQ356" s="317">
        <f t="shared" si="516"/>
        <v>-0.11816342854242906</v>
      </c>
      <c r="BR356" s="317">
        <f t="shared" si="516"/>
        <v>4.2925366913331361E-3</v>
      </c>
      <c r="BS356" s="317">
        <f t="shared" si="516"/>
        <v>0.12734953551285932</v>
      </c>
      <c r="BT356" s="317">
        <f t="shared" si="516"/>
        <v>1.3549242802122021E-2</v>
      </c>
      <c r="BU356" s="317">
        <f t="shared" si="516"/>
        <v>5.094822752493202E-2</v>
      </c>
      <c r="BV356" s="317">
        <f t="shared" si="516"/>
        <v>0.15559091007420026</v>
      </c>
      <c r="BW356" s="317">
        <f t="shared" si="516"/>
        <v>7.8940887523643477E-2</v>
      </c>
      <c r="BX356" s="317">
        <f t="shared" ca="1" si="516"/>
        <v>1.5813569039999024E-2</v>
      </c>
      <c r="BY356" s="317">
        <f t="shared" ca="1" si="516"/>
        <v>4.2343622274421788E-2</v>
      </c>
      <c r="BZ356" s="317">
        <f t="shared" ca="1" si="516"/>
        <v>8.3936871393026427E-2</v>
      </c>
      <c r="CA356" s="317">
        <f t="shared" ca="1" si="516"/>
        <v>0.1119869212904482</v>
      </c>
      <c r="CB356" s="317">
        <f t="shared" ca="1" si="516"/>
        <v>0.10763882685360295</v>
      </c>
      <c r="CC356" s="317">
        <f t="shared" ca="1" si="516"/>
        <v>0.11532679608228912</v>
      </c>
      <c r="CD356" s="317">
        <f t="shared" ca="1" si="516"/>
        <v>0.13064043469550043</v>
      </c>
      <c r="CE356" s="317">
        <f t="shared" ca="1" si="516"/>
        <v>0.12063933512054661</v>
      </c>
      <c r="CF356" s="5"/>
      <c r="CG356" s="5"/>
      <c r="CH356" s="5"/>
    </row>
    <row r="357" spans="1:96" outlineLevel="1">
      <c r="B357" s="39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  <c r="AM357" s="23"/>
      <c r="AN357" s="23"/>
      <c r="AO357" s="23"/>
      <c r="AP357" s="23"/>
      <c r="AQ357" s="23"/>
      <c r="AR357" s="23"/>
      <c r="AS357" s="23"/>
      <c r="AT357" s="23"/>
      <c r="AU357" s="23"/>
      <c r="AV357" s="23"/>
      <c r="AW357" s="23"/>
      <c r="AX357" s="23"/>
      <c r="AY357" s="23"/>
      <c r="AZ357" s="23"/>
      <c r="BA357" s="23"/>
      <c r="BB357" s="23"/>
      <c r="BC357" s="23"/>
      <c r="BD357" s="23"/>
      <c r="BE357" s="23"/>
      <c r="BF357" s="23"/>
      <c r="BG357" s="23"/>
      <c r="BH357" s="23"/>
      <c r="BI357" s="23"/>
      <c r="BJ357" s="23"/>
      <c r="BK357" s="23"/>
      <c r="BL357" s="23"/>
      <c r="BM357" s="23"/>
      <c r="BN357" s="23"/>
      <c r="BO357" s="23"/>
      <c r="BP357" s="23"/>
      <c r="BQ357" s="23"/>
      <c r="BR357" s="23"/>
      <c r="BS357" s="23"/>
      <c r="BT357" s="23"/>
      <c r="BU357" s="23"/>
      <c r="BV357" s="23"/>
      <c r="BW357" s="23"/>
      <c r="BX357" s="23"/>
      <c r="BY357" s="23"/>
      <c r="BZ357" s="23"/>
      <c r="CA357" s="23"/>
      <c r="CB357" s="23"/>
      <c r="CC357" s="23"/>
      <c r="CD357" s="23"/>
      <c r="CE357" s="23"/>
      <c r="CF357" s="5"/>
      <c r="CG357" s="5"/>
      <c r="CH357" s="5"/>
    </row>
    <row r="358" spans="1:96" outlineLevel="1">
      <c r="B358" s="180" t="s">
        <v>45</v>
      </c>
      <c r="C358" s="180"/>
      <c r="D358" s="180"/>
      <c r="E358" s="180"/>
      <c r="F358" s="180"/>
      <c r="G358" s="180"/>
      <c r="H358" s="441">
        <f t="shared" ref="H358:AD358" si="517">H359/Rev_Net</f>
        <v>3.4089962020197066E-3</v>
      </c>
      <c r="I358" s="441">
        <f t="shared" si="517"/>
        <v>7.0109518329397047E-2</v>
      </c>
      <c r="J358" s="441">
        <f t="shared" si="517"/>
        <v>7.248192564754799E-2</v>
      </c>
      <c r="K358" s="441">
        <f t="shared" si="517"/>
        <v>8.672923059634198E-2</v>
      </c>
      <c r="L358" s="441">
        <f t="shared" si="517"/>
        <v>6.5658139823505143E-2</v>
      </c>
      <c r="M358" s="441">
        <f t="shared" si="517"/>
        <v>8.4186671525428275E-2</v>
      </c>
      <c r="N358" s="441">
        <f t="shared" si="517"/>
        <v>9.7994014854920194E-2</v>
      </c>
      <c r="O358" s="441">
        <f t="shared" si="517"/>
        <v>0.10380932731447132</v>
      </c>
      <c r="P358" s="441">
        <f t="shared" si="517"/>
        <v>8.1297598630843224E-2</v>
      </c>
      <c r="Q358" s="441">
        <f t="shared" si="517"/>
        <v>6.7598884873359327E-2</v>
      </c>
      <c r="R358" s="441">
        <f t="shared" si="517"/>
        <v>5.8966961289254188E-2</v>
      </c>
      <c r="S358" s="441">
        <f t="shared" si="517"/>
        <v>0.18512779718135067</v>
      </c>
      <c r="T358" s="441">
        <f t="shared" si="517"/>
        <v>6.8477870504167829E-2</v>
      </c>
      <c r="U358" s="441">
        <f t="shared" ca="1" si="517"/>
        <v>6.705005404603763E-2</v>
      </c>
      <c r="V358" s="441">
        <f t="shared" ca="1" si="517"/>
        <v>6.0442174380671662E-2</v>
      </c>
      <c r="W358" s="441">
        <f t="shared" ca="1" si="517"/>
        <v>6.0442174380671662E-2</v>
      </c>
      <c r="X358" s="441">
        <f t="shared" ca="1" si="517"/>
        <v>6.0442174380671669E-2</v>
      </c>
      <c r="Y358" s="441">
        <f t="shared" ca="1" si="517"/>
        <v>6.0442174380671662E-2</v>
      </c>
      <c r="Z358" s="441">
        <f t="shared" ca="1" si="517"/>
        <v>6.0442174380671669E-2</v>
      </c>
      <c r="AA358" s="441">
        <f t="shared" ca="1" si="517"/>
        <v>6.0442174380671662E-2</v>
      </c>
      <c r="AB358" s="441">
        <f t="shared" ca="1" si="517"/>
        <v>6.0442174380671669E-2</v>
      </c>
      <c r="AC358" s="441">
        <f t="shared" ca="1" si="517"/>
        <v>6.0442174380671669E-2</v>
      </c>
      <c r="AD358" s="441">
        <f t="shared" ca="1" si="517"/>
        <v>6.0442174380671676E-2</v>
      </c>
      <c r="AE358" s="441"/>
      <c r="AF358" s="181"/>
      <c r="AG358" s="181"/>
      <c r="AH358" s="181"/>
      <c r="AI358" s="181"/>
      <c r="AJ358" s="181"/>
      <c r="AK358" s="181"/>
      <c r="AL358" s="181"/>
      <c r="AM358" s="181"/>
      <c r="AN358" s="181"/>
      <c r="AO358" s="181"/>
      <c r="AP358" s="181"/>
      <c r="AQ358" s="181"/>
      <c r="AR358" s="181"/>
      <c r="AS358" s="181"/>
      <c r="AT358" s="181"/>
      <c r="AU358" s="181"/>
      <c r="AV358" s="181"/>
      <c r="AW358" s="181"/>
      <c r="AX358" s="181"/>
      <c r="AY358" s="181"/>
      <c r="AZ358" s="181"/>
      <c r="BA358" s="181"/>
      <c r="BB358" s="181"/>
      <c r="BC358" s="181"/>
      <c r="BD358" s="181"/>
      <c r="BE358" s="181"/>
      <c r="BF358" s="181"/>
      <c r="BG358" s="181"/>
      <c r="BH358" s="181"/>
      <c r="BI358" s="181"/>
      <c r="BJ358" s="181"/>
      <c r="BK358" s="181"/>
      <c r="BL358" s="181"/>
      <c r="BM358" s="181"/>
      <c r="BN358" s="181"/>
      <c r="BO358" s="181"/>
      <c r="BP358" s="181"/>
      <c r="BQ358" s="181"/>
      <c r="BR358" s="181"/>
      <c r="BS358" s="181"/>
      <c r="BT358" s="441"/>
      <c r="BU358" s="181"/>
      <c r="BV358" s="181"/>
      <c r="BW358" s="181"/>
      <c r="BX358" s="181"/>
      <c r="BY358" s="181"/>
      <c r="BZ358" s="181"/>
      <c r="CA358" s="181"/>
      <c r="CB358" s="181"/>
      <c r="CC358" s="181"/>
      <c r="CD358" s="181"/>
      <c r="CE358" s="181"/>
      <c r="CF358" s="5"/>
      <c r="CG358" s="5"/>
      <c r="CH358" s="5"/>
      <c r="CI358" s="182"/>
      <c r="CP358" s="183"/>
      <c r="CQ358" s="183"/>
      <c r="CR358" s="183"/>
    </row>
    <row r="359" spans="1:96" outlineLevel="1">
      <c r="A359" s="3" t="s">
        <v>72</v>
      </c>
      <c r="B359" s="115" t="s">
        <v>72</v>
      </c>
      <c r="C359" s="22"/>
      <c r="D359" s="22"/>
      <c r="E359" s="22"/>
      <c r="F359" s="22"/>
      <c r="G359" s="22"/>
      <c r="H359" s="84">
        <f t="shared" ref="H359:R359" si="518">SUM(H360:H362)</f>
        <v>1.7768520000000001</v>
      </c>
      <c r="I359" s="84">
        <f t="shared" si="518"/>
        <v>54.682027000000005</v>
      </c>
      <c r="J359" s="84">
        <f t="shared" si="518"/>
        <v>86.913884999999993</v>
      </c>
      <c r="K359" s="84">
        <f t="shared" si="518"/>
        <v>128.51747499999999</v>
      </c>
      <c r="L359" s="84">
        <f t="shared" si="518"/>
        <v>130.52882699999998</v>
      </c>
      <c r="M359" s="84">
        <f t="shared" si="518"/>
        <v>242.56145800000002</v>
      </c>
      <c r="N359" s="93">
        <f t="shared" si="518"/>
        <v>342.791357</v>
      </c>
      <c r="O359" s="93">
        <f t="shared" si="518"/>
        <v>431.72132199999999</v>
      </c>
      <c r="P359" s="93">
        <f t="shared" si="518"/>
        <v>437.92947700000002</v>
      </c>
      <c r="Q359" s="93">
        <f t="shared" si="518"/>
        <v>496.64348899999999</v>
      </c>
      <c r="R359" s="84">
        <f t="shared" si="518"/>
        <v>642.59647399999994</v>
      </c>
      <c r="S359" s="22">
        <f>SUM(S360:S362)</f>
        <v>3559.7187059999997</v>
      </c>
      <c r="T359" s="22">
        <f>SUM(T360:T362)</f>
        <v>1833.812105</v>
      </c>
      <c r="U359" s="22">
        <f t="shared" ref="U359:AD359" ca="1" si="519">U422</f>
        <v>2135.344102538028</v>
      </c>
      <c r="V359" s="22">
        <f t="shared" ca="1" si="519"/>
        <v>2419.2452531483691</v>
      </c>
      <c r="W359" s="22">
        <f t="shared" ca="1" si="519"/>
        <v>2956.4984658220355</v>
      </c>
      <c r="X359" s="22">
        <f t="shared" ca="1" si="519"/>
        <v>3559.7197075338786</v>
      </c>
      <c r="Y359" s="22">
        <f t="shared" ca="1" si="519"/>
        <v>4248.5841381728096</v>
      </c>
      <c r="Z359" s="22">
        <f t="shared" ca="1" si="519"/>
        <v>4918.6274606829247</v>
      </c>
      <c r="AA359" s="22">
        <f t="shared" ca="1" si="519"/>
        <v>5643.7733163159401</v>
      </c>
      <c r="AB359" s="22">
        <f t="shared" ca="1" si="519"/>
        <v>6425.1952513381975</v>
      </c>
      <c r="AC359" s="22">
        <f t="shared" ca="1" si="519"/>
        <v>7258.3634622156778</v>
      </c>
      <c r="AD359" s="22">
        <f t="shared" ca="1" si="519"/>
        <v>8114.3697458973948</v>
      </c>
      <c r="AE359" s="22"/>
      <c r="AF359" s="84">
        <f t="shared" ref="AF359:BR359" si="520">SUM(AF360:AF362)</f>
        <v>18.588477999999999</v>
      </c>
      <c r="AG359" s="84">
        <f t="shared" si="520"/>
        <v>23.098433</v>
      </c>
      <c r="AH359" s="84">
        <f t="shared" si="520"/>
        <v>22.855075999999997</v>
      </c>
      <c r="AI359" s="84">
        <f t="shared" si="520"/>
        <v>22.371797999999998</v>
      </c>
      <c r="AJ359" s="84">
        <f t="shared" si="520"/>
        <v>33.455654000000003</v>
      </c>
      <c r="AK359" s="84">
        <f t="shared" si="520"/>
        <v>31.283684000000001</v>
      </c>
      <c r="AL359" s="84">
        <f t="shared" si="520"/>
        <v>31.285170999999998</v>
      </c>
      <c r="AM359" s="84">
        <f t="shared" si="520"/>
        <v>32.492965999999996</v>
      </c>
      <c r="AN359" s="84">
        <f t="shared" si="520"/>
        <v>26.974502000000001</v>
      </c>
      <c r="AO359" s="84">
        <f t="shared" si="520"/>
        <v>26.981698000000002</v>
      </c>
      <c r="AP359" s="84">
        <f t="shared" si="520"/>
        <v>26.966712999999999</v>
      </c>
      <c r="AQ359" s="84">
        <f t="shared" si="520"/>
        <v>49.605913000000001</v>
      </c>
      <c r="AR359" s="84">
        <f t="shared" si="520"/>
        <v>64.223038000000003</v>
      </c>
      <c r="AS359" s="84">
        <f t="shared" si="520"/>
        <v>58.225892000000002</v>
      </c>
      <c r="AT359" s="84">
        <f t="shared" si="520"/>
        <v>60.243667000000002</v>
      </c>
      <c r="AU359" s="84">
        <f t="shared" si="520"/>
        <v>59.868861000000003</v>
      </c>
      <c r="AV359" s="84">
        <f t="shared" si="520"/>
        <v>70.368330999999998</v>
      </c>
      <c r="AW359" s="84">
        <f t="shared" si="520"/>
        <v>87.200028000000003</v>
      </c>
      <c r="AX359" s="84">
        <f t="shared" si="520"/>
        <v>90.506768999999991</v>
      </c>
      <c r="AY359" s="84">
        <f t="shared" si="520"/>
        <v>94.716228999999998</v>
      </c>
      <c r="AZ359" s="84">
        <f t="shared" si="520"/>
        <v>100.67846499999999</v>
      </c>
      <c r="BA359" s="84">
        <f t="shared" si="520"/>
        <v>108.813816</v>
      </c>
      <c r="BB359" s="84">
        <f t="shared" si="520"/>
        <v>108.48953900000001</v>
      </c>
      <c r="BC359" s="84">
        <f t="shared" si="520"/>
        <v>113.739502</v>
      </c>
      <c r="BD359" s="84">
        <f t="shared" si="520"/>
        <v>111.588071</v>
      </c>
      <c r="BE359" s="84">
        <f t="shared" si="520"/>
        <v>111.167445</v>
      </c>
      <c r="BF359" s="84">
        <f t="shared" si="520"/>
        <v>108.89917800000001</v>
      </c>
      <c r="BG359" s="84">
        <f t="shared" si="520"/>
        <v>106.274783</v>
      </c>
      <c r="BH359" s="93">
        <f t="shared" si="520"/>
        <v>121.64424299999999</v>
      </c>
      <c r="BI359" s="93">
        <f t="shared" si="520"/>
        <v>111.337828</v>
      </c>
      <c r="BJ359" s="93">
        <f t="shared" si="520"/>
        <v>137.053718</v>
      </c>
      <c r="BK359" s="93">
        <f t="shared" si="520"/>
        <v>126.60770000000001</v>
      </c>
      <c r="BL359" s="93">
        <f t="shared" si="520"/>
        <v>158.910698</v>
      </c>
      <c r="BM359" s="93">
        <f t="shared" si="520"/>
        <v>153.09394500000002</v>
      </c>
      <c r="BN359" s="93">
        <f t="shared" si="520"/>
        <v>134.10560799999999</v>
      </c>
      <c r="BO359" s="93">
        <f t="shared" si="520"/>
        <v>196.486223</v>
      </c>
      <c r="BP359" s="93">
        <f t="shared" si="520"/>
        <v>1835.6360320000001</v>
      </c>
      <c r="BQ359" s="93">
        <f t="shared" si="520"/>
        <v>578.03915499999994</v>
      </c>
      <c r="BR359" s="93">
        <f t="shared" si="520"/>
        <v>556.83323199999995</v>
      </c>
      <c r="BS359" s="93">
        <f>SUM(BS360:BS362)</f>
        <v>589.20988699999998</v>
      </c>
      <c r="BT359" s="184">
        <f>SUM(BT360:BT362)</f>
        <v>521.74118399999998</v>
      </c>
      <c r="BU359" s="184">
        <f>SUM(BU360:BU362)</f>
        <v>527.85876900000005</v>
      </c>
      <c r="BV359" s="184">
        <f>SUM(BV360:BV362)</f>
        <v>384.03362099999998</v>
      </c>
      <c r="BW359" s="184">
        <f>SUM(BW360:BW362)</f>
        <v>400.17853100000002</v>
      </c>
      <c r="BX359" s="373">
        <f t="shared" ref="BX359:CE359" ca="1" si="521">BX422</f>
        <v>539.98319239056798</v>
      </c>
      <c r="BY359" s="373">
        <f t="shared" ca="1" si="521"/>
        <v>528.11813071297001</v>
      </c>
      <c r="BZ359" s="373">
        <f t="shared" ca="1" si="521"/>
        <v>562.64299805207997</v>
      </c>
      <c r="CA359" s="373">
        <f t="shared" ca="1" si="521"/>
        <v>504.5997813824099</v>
      </c>
      <c r="CB359" s="373">
        <f t="shared" ca="1" si="521"/>
        <v>550.6314958038904</v>
      </c>
      <c r="CC359" s="373">
        <f t="shared" ca="1" si="521"/>
        <v>591.13498734546613</v>
      </c>
      <c r="CD359" s="373">
        <f t="shared" ca="1" si="521"/>
        <v>673.83981204788699</v>
      </c>
      <c r="CE359" s="373">
        <f t="shared" ca="1" si="521"/>
        <v>603.6389579511258</v>
      </c>
      <c r="CF359" s="22"/>
      <c r="CG359" s="5"/>
      <c r="CH359" s="5"/>
      <c r="CI359" s="12"/>
      <c r="CP359" s="12"/>
      <c r="CQ359" s="12"/>
      <c r="CR359" s="12"/>
    </row>
    <row r="360" spans="1:96" outlineLevel="1">
      <c r="A360" s="3" t="s">
        <v>479</v>
      </c>
      <c r="B360" s="95" t="s">
        <v>482</v>
      </c>
      <c r="C360" s="95"/>
      <c r="D360" s="95"/>
      <c r="E360" s="95"/>
      <c r="F360" s="95"/>
      <c r="G360" s="95"/>
      <c r="H360" s="15">
        <v>0.40269300000000002</v>
      </c>
      <c r="I360" s="15">
        <v>13.694058</v>
      </c>
      <c r="J360" s="15">
        <v>22.707705000000001</v>
      </c>
      <c r="K360" s="15">
        <v>32.666099000000003</v>
      </c>
      <c r="L360" s="15">
        <v>33.862927999999997</v>
      </c>
      <c r="M360" s="15">
        <v>64.254080000000002</v>
      </c>
      <c r="N360" s="45">
        <v>98.955335000000005</v>
      </c>
      <c r="O360" s="45">
        <v>132.58317700000001</v>
      </c>
      <c r="P360" s="45">
        <v>138.66819599999999</v>
      </c>
      <c r="Q360" s="45">
        <v>184.66457600000001</v>
      </c>
      <c r="R360" s="45">
        <v>291.64293099999998</v>
      </c>
      <c r="S360" s="96">
        <v>2079.514506</v>
      </c>
      <c r="T360" s="96">
        <v>1012.746515</v>
      </c>
      <c r="U360" s="5">
        <f t="shared" ref="U360:AD360" ca="1" si="522">U428</f>
        <v>1140.4447765872596</v>
      </c>
      <c r="V360" s="5">
        <f t="shared" ca="1" si="522"/>
        <v>1292.0707294703784</v>
      </c>
      <c r="W360" s="5">
        <f t="shared" ca="1" si="522"/>
        <v>1579.0069751884125</v>
      </c>
      <c r="X360" s="5">
        <f t="shared" ca="1" si="522"/>
        <v>1901.1754319814324</v>
      </c>
      <c r="Y360" s="5">
        <f t="shared" ca="1" si="522"/>
        <v>2269.0842110700873</v>
      </c>
      <c r="Z360" s="5">
        <f t="shared" ca="1" si="522"/>
        <v>2626.9410109814376</v>
      </c>
      <c r="AA360" s="5">
        <f t="shared" ca="1" si="522"/>
        <v>3014.2269769002933</v>
      </c>
      <c r="AB360" s="5">
        <f t="shared" ca="1" si="522"/>
        <v>3431.5688765255654</v>
      </c>
      <c r="AC360" s="5">
        <f t="shared" ca="1" si="522"/>
        <v>3876.5474319651344</v>
      </c>
      <c r="AD360" s="5">
        <f t="shared" ca="1" si="522"/>
        <v>4333.7233474489012</v>
      </c>
      <c r="AE360" s="5"/>
      <c r="AF360" s="15">
        <v>4.844239</v>
      </c>
      <c r="AG360" s="15">
        <v>5.9093910000000003</v>
      </c>
      <c r="AH360" s="15">
        <v>5.9181509999999999</v>
      </c>
      <c r="AI360" s="15">
        <v>6.0359239999999996</v>
      </c>
      <c r="AJ360" s="15">
        <v>8.1021040000000006</v>
      </c>
      <c r="AK360" s="15">
        <v>7.8435699999999997</v>
      </c>
      <c r="AL360" s="15">
        <v>8.131437</v>
      </c>
      <c r="AM360" s="15">
        <v>8.5889880000000005</v>
      </c>
      <c r="AN360" s="15">
        <v>7.2428400000000002</v>
      </c>
      <c r="AO360" s="15">
        <v>7.2793400000000004</v>
      </c>
      <c r="AP360" s="15">
        <v>7.0212630000000003</v>
      </c>
      <c r="AQ360" s="15">
        <v>12.319485</v>
      </c>
      <c r="AR360" s="15">
        <v>15.993081</v>
      </c>
      <c r="AS360" s="15">
        <v>14.981755</v>
      </c>
      <c r="AT360" s="15">
        <v>16.58372</v>
      </c>
      <c r="AU360" s="15">
        <v>16.695523999999999</v>
      </c>
      <c r="AV360" s="10">
        <v>19.924206999999999</v>
      </c>
      <c r="AW360" s="10">
        <v>24.155875000000002</v>
      </c>
      <c r="AX360" s="10">
        <v>26.713733000000001</v>
      </c>
      <c r="AY360" s="10">
        <v>28.161519999999999</v>
      </c>
      <c r="AZ360" s="15">
        <v>29.767589999999998</v>
      </c>
      <c r="BA360" s="15">
        <v>33.262981000000003</v>
      </c>
      <c r="BB360" s="15">
        <v>33.671461999999998</v>
      </c>
      <c r="BC360" s="15">
        <v>35.881143999999999</v>
      </c>
      <c r="BD360" s="15">
        <v>34.854917999999998</v>
      </c>
      <c r="BE360" s="15">
        <v>35.003222000000001</v>
      </c>
      <c r="BF360" s="15">
        <v>34.621727999999997</v>
      </c>
      <c r="BG360" s="15">
        <v>34.188327999999998</v>
      </c>
      <c r="BH360" s="45">
        <v>44.381633999999998</v>
      </c>
      <c r="BI360" s="45">
        <v>41.555508000000003</v>
      </c>
      <c r="BJ360" s="45">
        <v>48.049514000000002</v>
      </c>
      <c r="BK360" s="45">
        <v>50.67792</v>
      </c>
      <c r="BL360" s="45">
        <v>69.471053999999995</v>
      </c>
      <c r="BM360" s="48">
        <v>71.542652000000004</v>
      </c>
      <c r="BN360" s="48">
        <v>63.703926000000003</v>
      </c>
      <c r="BO360" s="48">
        <v>86.925298999999995</v>
      </c>
      <c r="BP360" s="162">
        <v>1071.6525340000001</v>
      </c>
      <c r="BQ360" s="162">
        <v>345.176289</v>
      </c>
      <c r="BR360" s="48">
        <v>324.427727</v>
      </c>
      <c r="BS360" s="402">
        <v>338.25795599999998</v>
      </c>
      <c r="BT360" s="402">
        <v>283.24188900000001</v>
      </c>
      <c r="BU360" s="402">
        <v>305.27140300000002</v>
      </c>
      <c r="BV360" s="402">
        <v>210.50583599999999</v>
      </c>
      <c r="BW360" s="402">
        <v>213.72738699999999</v>
      </c>
      <c r="BX360" s="72">
        <f t="shared" ref="BX360:CA362" ca="1" si="523">BX428</f>
        <v>288.39427353876306</v>
      </c>
      <c r="BY360" s="72">
        <f t="shared" ca="1" si="523"/>
        <v>282.05738029611467</v>
      </c>
      <c r="BZ360" s="72">
        <f t="shared" ca="1" si="523"/>
        <v>300.49642465081951</v>
      </c>
      <c r="CA360" s="72">
        <f t="shared" ca="1" si="523"/>
        <v>269.49669810156234</v>
      </c>
      <c r="CB360" s="72">
        <f t="shared" ref="CB360:CE362" ca="1" si="524">CB428</f>
        <v>294.08132041463</v>
      </c>
      <c r="CC360" s="72">
        <f t="shared" ca="1" si="524"/>
        <v>315.71342893860674</v>
      </c>
      <c r="CD360" s="72">
        <f t="shared" ca="1" si="524"/>
        <v>359.88442939625361</v>
      </c>
      <c r="CE360" s="72">
        <f t="shared" ca="1" si="524"/>
        <v>322.39155072088806</v>
      </c>
      <c r="CF360" s="5"/>
      <c r="CG360" s="5"/>
      <c r="CH360" s="5"/>
      <c r="CI360" s="12"/>
      <c r="CP360" s="12"/>
      <c r="CQ360" s="12"/>
      <c r="CR360" s="12"/>
    </row>
    <row r="361" spans="1:96" outlineLevel="1">
      <c r="A361" s="3" t="s">
        <v>73</v>
      </c>
      <c r="B361" s="95" t="s">
        <v>483</v>
      </c>
      <c r="C361" s="95"/>
      <c r="D361" s="95"/>
      <c r="E361" s="95"/>
      <c r="F361" s="95"/>
      <c r="G361" s="95"/>
      <c r="H361" s="15">
        <v>0.258523</v>
      </c>
      <c r="I361" s="15">
        <v>8.5579420000000006</v>
      </c>
      <c r="J361" s="15">
        <v>13.648562</v>
      </c>
      <c r="K361" s="15">
        <v>18.815878000000001</v>
      </c>
      <c r="L361" s="15">
        <v>18.864101999999999</v>
      </c>
      <c r="M361" s="15">
        <v>33.202984000000001</v>
      </c>
      <c r="N361" s="45">
        <v>48.191018999999997</v>
      </c>
      <c r="O361" s="45">
        <v>55.892394000000003</v>
      </c>
      <c r="P361" s="45">
        <v>49.104528000000002</v>
      </c>
      <c r="Q361" s="45">
        <v>54.391508000000002</v>
      </c>
      <c r="R361" s="45">
        <v>65.574256000000005</v>
      </c>
      <c r="S361" s="96">
        <v>392.64166299999999</v>
      </c>
      <c r="T361" s="96">
        <v>185.78559899999999</v>
      </c>
      <c r="U361" s="5">
        <f t="shared" ref="U361:AD361" ca="1" si="525">U429</f>
        <v>214.90006808316934</v>
      </c>
      <c r="V361" s="5">
        <f t="shared" ca="1" si="525"/>
        <v>243.47175192678813</v>
      </c>
      <c r="W361" s="5">
        <f t="shared" ca="1" si="525"/>
        <v>297.54067311108059</v>
      </c>
      <c r="X361" s="5">
        <f t="shared" ca="1" si="525"/>
        <v>358.24858700608735</v>
      </c>
      <c r="Y361" s="5">
        <f t="shared" ca="1" si="525"/>
        <v>427.57559283546448</v>
      </c>
      <c r="Z361" s="5">
        <f t="shared" ca="1" si="525"/>
        <v>495.00845082540167</v>
      </c>
      <c r="AA361" s="5">
        <f t="shared" ca="1" si="525"/>
        <v>567.9868029142018</v>
      </c>
      <c r="AB361" s="5">
        <f t="shared" ca="1" si="525"/>
        <v>646.62875426919402</v>
      </c>
      <c r="AC361" s="5">
        <f t="shared" ca="1" si="525"/>
        <v>730.47842750428993</v>
      </c>
      <c r="AD361" s="5">
        <f t="shared" ca="1" si="525"/>
        <v>816.62651409332045</v>
      </c>
      <c r="AE361" s="5"/>
      <c r="AF361" s="15">
        <v>2.9717750000000001</v>
      </c>
      <c r="AG361" s="15">
        <v>3.562392</v>
      </c>
      <c r="AH361" s="15">
        <v>3.5406689999999998</v>
      </c>
      <c r="AI361" s="15">
        <v>3.5737260000000002</v>
      </c>
      <c r="AJ361" s="15">
        <v>5.033868</v>
      </c>
      <c r="AK361" s="15">
        <v>4.5161990000000003</v>
      </c>
      <c r="AL361" s="15">
        <v>4.4966299999999997</v>
      </c>
      <c r="AM361" s="15">
        <v>4.7691809999999997</v>
      </c>
      <c r="AN361" s="15">
        <v>4.0251650000000003</v>
      </c>
      <c r="AO361" s="15">
        <v>4.0403719999999996</v>
      </c>
      <c r="AP361" s="15">
        <v>3.902164</v>
      </c>
      <c r="AQ361" s="15">
        <v>6.896401</v>
      </c>
      <c r="AR361" s="15">
        <v>8.84314</v>
      </c>
      <c r="AS361" s="15">
        <v>8.0331360000000007</v>
      </c>
      <c r="AT361" s="15">
        <v>8.1684459999999994</v>
      </c>
      <c r="AU361" s="15">
        <v>8.1582620000000006</v>
      </c>
      <c r="AV361" s="10">
        <v>10.220801</v>
      </c>
      <c r="AW361" s="10">
        <v>11.94012</v>
      </c>
      <c r="AX361" s="10">
        <v>12.693885</v>
      </c>
      <c r="AY361" s="10">
        <v>13.336213000000001</v>
      </c>
      <c r="AZ361" s="15">
        <v>13.547719000000001</v>
      </c>
      <c r="BA361" s="15">
        <v>13.936624</v>
      </c>
      <c r="BB361" s="15">
        <v>14.028219</v>
      </c>
      <c r="BC361" s="15">
        <v>14.379832</v>
      </c>
      <c r="BD361" s="15">
        <v>13.292481</v>
      </c>
      <c r="BE361" s="15">
        <v>12.325365</v>
      </c>
      <c r="BF361" s="15">
        <v>11.917951</v>
      </c>
      <c r="BG361" s="15">
        <v>11.568731</v>
      </c>
      <c r="BH361" s="45">
        <v>12.995817000000001</v>
      </c>
      <c r="BI361" s="45">
        <v>11.715564000000001</v>
      </c>
      <c r="BJ361" s="45">
        <v>14.630609</v>
      </c>
      <c r="BK361" s="45">
        <v>15.049518000000001</v>
      </c>
      <c r="BL361" s="45">
        <v>17.634267000000001</v>
      </c>
      <c r="BM361" s="48">
        <v>16.189634999999999</v>
      </c>
      <c r="BN361" s="48">
        <v>13.900587</v>
      </c>
      <c r="BO361" s="48">
        <v>17.849767</v>
      </c>
      <c r="BP361" s="162">
        <v>184.425162</v>
      </c>
      <c r="BQ361" s="162">
        <v>69.056291999999999</v>
      </c>
      <c r="BR361" s="48">
        <v>70.609154000000004</v>
      </c>
      <c r="BS361" s="402">
        <v>68.550655000000006</v>
      </c>
      <c r="BT361" s="402">
        <v>48.779212000000001</v>
      </c>
      <c r="BU361" s="402">
        <v>58.994568000000001</v>
      </c>
      <c r="BV361" s="402">
        <v>37.738031999999997</v>
      </c>
      <c r="BW361" s="402">
        <v>40.273786999999999</v>
      </c>
      <c r="BX361" s="72">
        <f t="shared" ca="1" si="523"/>
        <v>54.343665112603844</v>
      </c>
      <c r="BY361" s="72">
        <f t="shared" ca="1" si="523"/>
        <v>53.149570652935182</v>
      </c>
      <c r="BZ361" s="72">
        <f t="shared" ca="1" si="523"/>
        <v>56.624137741639323</v>
      </c>
      <c r="CA361" s="72">
        <f t="shared" ca="1" si="523"/>
        <v>50.782694575990988</v>
      </c>
      <c r="CB361" s="72">
        <f t="shared" ca="1" si="524"/>
        <v>55.415305568946863</v>
      </c>
      <c r="CC361" s="72">
        <f t="shared" ca="1" si="524"/>
        <v>59.491558702830559</v>
      </c>
      <c r="CD361" s="72">
        <f t="shared" ca="1" si="524"/>
        <v>67.81493498594665</v>
      </c>
      <c r="CE361" s="72">
        <f t="shared" ca="1" si="524"/>
        <v>60.749952669064086</v>
      </c>
      <c r="CF361" s="5"/>
      <c r="CG361" s="5"/>
      <c r="CH361" s="5"/>
      <c r="CI361" s="12"/>
      <c r="CP361" s="12"/>
      <c r="CQ361" s="12"/>
      <c r="CR361" s="12"/>
    </row>
    <row r="362" spans="1:96" outlineLevel="1">
      <c r="A362" s="3" t="s">
        <v>74</v>
      </c>
      <c r="B362" s="95" t="s">
        <v>484</v>
      </c>
      <c r="C362" s="95"/>
      <c r="D362" s="95"/>
      <c r="E362" s="95"/>
      <c r="F362" s="95"/>
      <c r="G362" s="95"/>
      <c r="H362" s="15">
        <v>1.1156360000000001</v>
      </c>
      <c r="I362" s="15">
        <v>32.430027000000003</v>
      </c>
      <c r="J362" s="15">
        <v>50.557617999999998</v>
      </c>
      <c r="K362" s="15">
        <v>77.035498000000004</v>
      </c>
      <c r="L362" s="15">
        <v>77.801796999999993</v>
      </c>
      <c r="M362" s="15">
        <v>145.10439400000001</v>
      </c>
      <c r="N362" s="45">
        <v>195.645003</v>
      </c>
      <c r="O362" s="45">
        <v>243.24575100000001</v>
      </c>
      <c r="P362" s="45">
        <v>250.15675300000001</v>
      </c>
      <c r="Q362" s="45">
        <v>257.58740499999999</v>
      </c>
      <c r="R362" s="45">
        <v>285.37928699999998</v>
      </c>
      <c r="S362" s="96">
        <v>1087.562537</v>
      </c>
      <c r="T362" s="96">
        <v>635.279991</v>
      </c>
      <c r="U362" s="5">
        <f t="shared" ref="U362:AD362" ca="1" si="526">U430</f>
        <v>779.99925786759923</v>
      </c>
      <c r="V362" s="5">
        <f t="shared" ca="1" si="526"/>
        <v>883.70277175120293</v>
      </c>
      <c r="W362" s="5">
        <f t="shared" ca="1" si="526"/>
        <v>1079.9508175225426</v>
      </c>
      <c r="X362" s="5">
        <f t="shared" ca="1" si="526"/>
        <v>1300.2956885463593</v>
      </c>
      <c r="Y362" s="5">
        <f t="shared" ca="1" si="526"/>
        <v>1551.9243342672582</v>
      </c>
      <c r="Z362" s="5">
        <f t="shared" ca="1" si="526"/>
        <v>1796.6779988760859</v>
      </c>
      <c r="AA362" s="5">
        <f t="shared" ca="1" si="526"/>
        <v>2061.559536501446</v>
      </c>
      <c r="AB362" s="5">
        <f t="shared" ca="1" si="526"/>
        <v>2346.9976205434391</v>
      </c>
      <c r="AC362" s="5">
        <f t="shared" ca="1" si="526"/>
        <v>2651.3376027462541</v>
      </c>
      <c r="AD362" s="5">
        <f t="shared" ca="1" si="526"/>
        <v>2964.0198843551739</v>
      </c>
      <c r="AE362" s="5"/>
      <c r="AF362" s="15">
        <v>10.772463999999999</v>
      </c>
      <c r="AG362" s="15">
        <v>13.62665</v>
      </c>
      <c r="AH362" s="15">
        <v>13.396255999999999</v>
      </c>
      <c r="AI362" s="15">
        <v>12.762148</v>
      </c>
      <c r="AJ362" s="15">
        <v>20.319682</v>
      </c>
      <c r="AK362" s="15">
        <v>18.923915000000001</v>
      </c>
      <c r="AL362" s="15">
        <v>18.657104</v>
      </c>
      <c r="AM362" s="15">
        <v>19.134796999999999</v>
      </c>
      <c r="AN362" s="15">
        <v>15.706497000000001</v>
      </c>
      <c r="AO362" s="15">
        <v>15.661986000000001</v>
      </c>
      <c r="AP362" s="15">
        <v>16.043285999999998</v>
      </c>
      <c r="AQ362" s="15">
        <v>30.390027</v>
      </c>
      <c r="AR362" s="15">
        <v>39.386817000000001</v>
      </c>
      <c r="AS362" s="15">
        <v>35.211001000000003</v>
      </c>
      <c r="AT362" s="15">
        <v>35.491501</v>
      </c>
      <c r="AU362" s="15">
        <v>35.015075000000003</v>
      </c>
      <c r="AV362" s="10">
        <v>40.223323000000001</v>
      </c>
      <c r="AW362" s="10">
        <v>51.104033000000001</v>
      </c>
      <c r="AX362" s="10">
        <v>51.099150999999999</v>
      </c>
      <c r="AY362" s="10">
        <v>53.218496000000002</v>
      </c>
      <c r="AZ362" s="15">
        <v>57.363155999999996</v>
      </c>
      <c r="BA362" s="15">
        <v>61.614210999999997</v>
      </c>
      <c r="BB362" s="15">
        <v>60.789858000000002</v>
      </c>
      <c r="BC362" s="15">
        <v>63.478526000000002</v>
      </c>
      <c r="BD362" s="15">
        <v>63.440671999999999</v>
      </c>
      <c r="BE362" s="15">
        <v>63.838858000000002</v>
      </c>
      <c r="BF362" s="15">
        <v>62.359499</v>
      </c>
      <c r="BG362" s="15">
        <v>60.517724000000001</v>
      </c>
      <c r="BH362" s="45">
        <v>64.266791999999995</v>
      </c>
      <c r="BI362" s="45">
        <v>58.066755999999998</v>
      </c>
      <c r="BJ362" s="45">
        <v>74.373594999999995</v>
      </c>
      <c r="BK362" s="45">
        <v>60.880262000000002</v>
      </c>
      <c r="BL362" s="45">
        <v>71.805376999999993</v>
      </c>
      <c r="BM362" s="48">
        <v>65.361658000000006</v>
      </c>
      <c r="BN362" s="48">
        <v>56.501094999999999</v>
      </c>
      <c r="BO362" s="48">
        <v>91.711157</v>
      </c>
      <c r="BP362" s="162">
        <v>579.55833600000005</v>
      </c>
      <c r="BQ362" s="162">
        <v>163.80657400000001</v>
      </c>
      <c r="BR362" s="48">
        <v>161.79635099999999</v>
      </c>
      <c r="BS362" s="402">
        <v>182.401276</v>
      </c>
      <c r="BT362" s="402">
        <v>189.72008299999999</v>
      </c>
      <c r="BU362" s="402">
        <v>163.59279799999999</v>
      </c>
      <c r="BV362" s="402">
        <v>135.78975299999999</v>
      </c>
      <c r="BW362" s="402">
        <v>146.177357</v>
      </c>
      <c r="BX362" s="72">
        <f t="shared" ca="1" si="523"/>
        <v>197.24525373920113</v>
      </c>
      <c r="BY362" s="72">
        <f t="shared" ca="1" si="523"/>
        <v>192.91117976392019</v>
      </c>
      <c r="BZ362" s="72">
        <f t="shared" ca="1" si="523"/>
        <v>205.52243565962118</v>
      </c>
      <c r="CA362" s="72">
        <f t="shared" ca="1" si="523"/>
        <v>184.32038870485661</v>
      </c>
      <c r="CB362" s="72">
        <f t="shared" ca="1" si="524"/>
        <v>201.13486982031355</v>
      </c>
      <c r="CC362" s="72">
        <f t="shared" ca="1" si="524"/>
        <v>215.92999970402889</v>
      </c>
      <c r="CD362" s="72">
        <f t="shared" ca="1" si="524"/>
        <v>246.14044766568676</v>
      </c>
      <c r="CE362" s="72">
        <f t="shared" ca="1" si="524"/>
        <v>220.49745456117367</v>
      </c>
      <c r="CF362" s="5"/>
      <c r="CG362" s="5"/>
      <c r="CH362" s="5"/>
      <c r="CI362" s="12"/>
      <c r="CP362" s="12"/>
      <c r="CQ362" s="12"/>
      <c r="CR362" s="12"/>
    </row>
    <row r="363" spans="1:96" outlineLevel="1"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18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10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5"/>
      <c r="BT363" s="6"/>
      <c r="BU363" s="6"/>
      <c r="BV363" s="6"/>
      <c r="BW363" s="6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12"/>
      <c r="CP363" s="12"/>
      <c r="CQ363" s="12"/>
      <c r="CR363" s="12"/>
    </row>
    <row r="364" spans="1:96" outlineLevel="1">
      <c r="A364" s="3" t="s">
        <v>546</v>
      </c>
      <c r="B364" s="12" t="s">
        <v>76</v>
      </c>
      <c r="C364" s="5"/>
      <c r="D364" s="5"/>
      <c r="E364" s="5"/>
      <c r="F364" s="5"/>
      <c r="G364" s="5"/>
      <c r="H364" s="126">
        <f t="shared" ref="H364:AD364" si="527">OP+SBC</f>
        <v>221.27865199999994</v>
      </c>
      <c r="I364" s="126">
        <f t="shared" si="527"/>
        <v>309.897986</v>
      </c>
      <c r="J364" s="126">
        <f t="shared" si="527"/>
        <v>491.23868899999997</v>
      </c>
      <c r="K364" s="126">
        <f t="shared" si="527"/>
        <v>589.54394500000024</v>
      </c>
      <c r="L364" s="126">
        <f t="shared" si="527"/>
        <v>817.8948690000002</v>
      </c>
      <c r="M364" s="126">
        <f t="shared" si="527"/>
        <v>1296.6867449999995</v>
      </c>
      <c r="N364" s="126">
        <f t="shared" si="527"/>
        <v>1408.785527</v>
      </c>
      <c r="O364" s="126">
        <f t="shared" si="527"/>
        <v>1086.3271339999997</v>
      </c>
      <c r="P364" s="126">
        <f t="shared" si="527"/>
        <v>1276.371161</v>
      </c>
      <c r="Q364" s="126">
        <f t="shared" si="527"/>
        <v>345.84634500000169</v>
      </c>
      <c r="R364" s="126">
        <f t="shared" si="527"/>
        <v>1023.6394190000019</v>
      </c>
      <c r="S364" s="126">
        <f t="shared" si="527"/>
        <v>1991.2402200000001</v>
      </c>
      <c r="T364" s="126">
        <f t="shared" si="527"/>
        <v>4759.9826490000005</v>
      </c>
      <c r="U364" s="126">
        <f t="shared" ca="1" si="527"/>
        <v>5320.0456406931962</v>
      </c>
      <c r="V364" s="126">
        <f t="shared" ca="1" si="527"/>
        <v>8102.9061979624967</v>
      </c>
      <c r="W364" s="126">
        <f t="shared" ca="1" si="527"/>
        <v>10978.47572529444</v>
      </c>
      <c r="X364" s="126">
        <f t="shared" ca="1" si="527"/>
        <v>14396.332269832552</v>
      </c>
      <c r="Y364" s="126">
        <f t="shared" ca="1" si="527"/>
        <v>18588.094142042093</v>
      </c>
      <c r="Z364" s="126">
        <f t="shared" ca="1" si="527"/>
        <v>22496.147501842395</v>
      </c>
      <c r="AA364" s="126">
        <f t="shared" ca="1" si="527"/>
        <v>26746.468289766173</v>
      </c>
      <c r="AB364" s="126">
        <f t="shared" ca="1" si="527"/>
        <v>31512.745374298611</v>
      </c>
      <c r="AC364" s="324">
        <f t="shared" ca="1" si="527"/>
        <v>35599.06752581201</v>
      </c>
      <c r="AD364" s="324">
        <f t="shared" ca="1" si="527"/>
        <v>39797.40033925348</v>
      </c>
      <c r="AE364" s="324"/>
      <c r="AF364" s="126">
        <f t="shared" ref="AF364:CE364" si="528">OP+SBC</f>
        <v>89.666133999999985</v>
      </c>
      <c r="AG364" s="126">
        <f t="shared" si="528"/>
        <v>118.30009699999997</v>
      </c>
      <c r="AH364" s="126">
        <f t="shared" si="528"/>
        <v>133.85665099999994</v>
      </c>
      <c r="AI364" s="126">
        <f t="shared" si="528"/>
        <v>149.43570699999998</v>
      </c>
      <c r="AJ364" s="126">
        <f t="shared" si="528"/>
        <v>143.77334700000003</v>
      </c>
      <c r="AK364" s="126">
        <f t="shared" si="528"/>
        <v>158.58110700000006</v>
      </c>
      <c r="AL364" s="126">
        <f t="shared" si="528"/>
        <v>137.91670200000002</v>
      </c>
      <c r="AM364" s="126">
        <f t="shared" si="528"/>
        <v>149.45319499999994</v>
      </c>
      <c r="AN364" s="126">
        <f t="shared" si="528"/>
        <v>162.21340700000005</v>
      </c>
      <c r="AO364" s="126">
        <f t="shared" si="528"/>
        <v>190.65973199999996</v>
      </c>
      <c r="AP364" s="126">
        <f t="shared" si="528"/>
        <v>226.16426200000006</v>
      </c>
      <c r="AQ364" s="126">
        <f t="shared" si="528"/>
        <v>238.85764699999999</v>
      </c>
      <c r="AR364" s="126">
        <f t="shared" si="528"/>
        <v>260.66477100000009</v>
      </c>
      <c r="AS364" s="126">
        <f t="shared" si="528"/>
        <v>315.60407499999997</v>
      </c>
      <c r="AT364" s="126">
        <f t="shared" si="528"/>
        <v>368.26531599999987</v>
      </c>
      <c r="AU364" s="126">
        <f t="shared" si="528"/>
        <v>352.15258299999999</v>
      </c>
      <c r="AV364" s="126">
        <f t="shared" si="528"/>
        <v>333.11000300000001</v>
      </c>
      <c r="AW364" s="126">
        <f t="shared" si="528"/>
        <v>355.57878100000005</v>
      </c>
      <c r="AX364" s="126">
        <f t="shared" si="528"/>
        <v>394.79903000000013</v>
      </c>
      <c r="AY364" s="126">
        <f t="shared" si="528"/>
        <v>325.29771299999993</v>
      </c>
      <c r="AZ364" s="126">
        <f t="shared" si="528"/>
        <v>277.23465299999998</v>
      </c>
      <c r="BA364" s="126">
        <f t="shared" si="528"/>
        <v>276.86372799999992</v>
      </c>
      <c r="BB364" s="126">
        <f t="shared" si="528"/>
        <v>298.58236899999997</v>
      </c>
      <c r="BC364" s="126">
        <f t="shared" si="528"/>
        <v>233.64642400000002</v>
      </c>
      <c r="BD364" s="126">
        <f t="shared" si="528"/>
        <v>271.60481699999968</v>
      </c>
      <c r="BE364" s="126">
        <f t="shared" si="528"/>
        <v>307.10811800000027</v>
      </c>
      <c r="BF364" s="126">
        <f t="shared" si="528"/>
        <v>408.44057699999973</v>
      </c>
      <c r="BG364" s="126">
        <f t="shared" si="528"/>
        <v>289.21764900000011</v>
      </c>
      <c r="BH364" s="126">
        <f t="shared" si="528"/>
        <v>192.59137400000012</v>
      </c>
      <c r="BI364" s="126">
        <f t="shared" si="528"/>
        <v>202.25748700000014</v>
      </c>
      <c r="BJ364" s="126">
        <f t="shared" si="528"/>
        <v>225.29626400000041</v>
      </c>
      <c r="BK364" s="126">
        <f t="shared" si="528"/>
        <v>-274.29878000000008</v>
      </c>
      <c r="BL364" s="126">
        <f t="shared" si="528"/>
        <v>-21.356660000000744</v>
      </c>
      <c r="BM364" s="126">
        <f t="shared" si="528"/>
        <v>213.97723700000046</v>
      </c>
      <c r="BN364" s="126">
        <f t="shared" si="528"/>
        <v>539.3399340000002</v>
      </c>
      <c r="BO364" s="126">
        <f t="shared" si="528"/>
        <v>291.67890799999998</v>
      </c>
      <c r="BP364" s="126">
        <f t="shared" si="528"/>
        <v>8.2604009999993195</v>
      </c>
      <c r="BQ364" s="126">
        <f t="shared" si="528"/>
        <v>182.12615300000152</v>
      </c>
      <c r="BR364" s="126">
        <f t="shared" si="528"/>
        <v>1004.2569760000001</v>
      </c>
      <c r="BS364" s="126">
        <f t="shared" si="528"/>
        <v>796.5962899999995</v>
      </c>
      <c r="BT364" s="126">
        <f>OP+SBC</f>
        <v>935.91497000000027</v>
      </c>
      <c r="BU364" s="126">
        <f t="shared" si="528"/>
        <v>1173.1210229999992</v>
      </c>
      <c r="BV364" s="126">
        <f t="shared" si="528"/>
        <v>1743.0318899999997</v>
      </c>
      <c r="BW364" s="324">
        <f t="shared" si="528"/>
        <v>907.91476600000033</v>
      </c>
      <c r="BX364" s="324">
        <f t="shared" ca="1" si="528"/>
        <v>821.48993016357997</v>
      </c>
      <c r="BY364" s="324">
        <f t="shared" ca="1" si="528"/>
        <v>1060.0311674223485</v>
      </c>
      <c r="BZ364" s="324">
        <f t="shared" ca="1" si="528"/>
        <v>1689.3637338012734</v>
      </c>
      <c r="CA364" s="324">
        <f t="shared" ca="1" si="528"/>
        <v>1749.160809305987</v>
      </c>
      <c r="CB364" s="324">
        <f t="shared" ca="1" si="528"/>
        <v>1753.5410615370695</v>
      </c>
      <c r="CC364" s="324">
        <f t="shared" ca="1" si="528"/>
        <v>1980.361321106046</v>
      </c>
      <c r="CD364" s="324">
        <f t="shared" ca="1" si="528"/>
        <v>2480.4717321294765</v>
      </c>
      <c r="CE364" s="324">
        <f t="shared" ca="1" si="528"/>
        <v>1888.5320831899051</v>
      </c>
      <c r="CF364" s="62"/>
      <c r="CG364" s="5"/>
      <c r="CH364" s="5"/>
      <c r="CI364" s="12"/>
      <c r="CP364" s="12"/>
      <c r="CQ364" s="12"/>
      <c r="CR364" s="12"/>
    </row>
    <row r="365" spans="1:96" outlineLevel="1">
      <c r="A365" s="3" t="s">
        <v>547</v>
      </c>
      <c r="B365" s="12" t="s">
        <v>77</v>
      </c>
      <c r="C365" s="5"/>
      <c r="D365" s="5"/>
      <c r="E365" s="5"/>
      <c r="F365" s="5"/>
      <c r="G365" s="5"/>
      <c r="H365" s="126">
        <f t="shared" ref="H365:AD365" si="529">NP+SBC</f>
        <v>226.02245199999993</v>
      </c>
      <c r="I365" s="126">
        <f t="shared" si="529"/>
        <v>295.24587399999996</v>
      </c>
      <c r="J365" s="126">
        <f t="shared" si="529"/>
        <v>485.23749499999991</v>
      </c>
      <c r="K365" s="126">
        <f t="shared" si="529"/>
        <v>572.44494200000031</v>
      </c>
      <c r="L365" s="126">
        <f t="shared" si="529"/>
        <v>789.50226900000018</v>
      </c>
      <c r="M365" s="126">
        <f t="shared" si="529"/>
        <v>1290.6211979999994</v>
      </c>
      <c r="N365" s="126">
        <f t="shared" si="529"/>
        <v>1419.2062539999999</v>
      </c>
      <c r="O365" s="126">
        <f t="shared" si="529"/>
        <v>1146.1271859999997</v>
      </c>
      <c r="P365" s="126">
        <f t="shared" si="529"/>
        <v>1436.2491610000002</v>
      </c>
      <c r="Q365" s="126">
        <f t="shared" si="529"/>
        <v>739.38327000000174</v>
      </c>
      <c r="R365" s="126">
        <f t="shared" si="529"/>
        <v>3150.252358000002</v>
      </c>
      <c r="S365" s="126">
        <f t="shared" si="529"/>
        <v>2129.0155109999996</v>
      </c>
      <c r="T365" s="126">
        <f>NP+SBC</f>
        <v>3975.8236420000003</v>
      </c>
      <c r="U365" s="126">
        <f t="shared" ca="1" si="529"/>
        <v>4334.2436224168323</v>
      </c>
      <c r="V365" s="126">
        <f t="shared" ca="1" si="529"/>
        <v>7189.0145719282937</v>
      </c>
      <c r="W365" s="126">
        <f t="shared" ca="1" si="529"/>
        <v>9614.8096189751923</v>
      </c>
      <c r="X365" s="126">
        <f t="shared" ca="1" si="529"/>
        <v>12480.364268402434</v>
      </c>
      <c r="Y365" s="126">
        <f t="shared" ca="1" si="529"/>
        <v>15969.247825100265</v>
      </c>
      <c r="Z365" s="126">
        <f t="shared" ca="1" si="529"/>
        <v>19235.922232323919</v>
      </c>
      <c r="AA365" s="126">
        <f t="shared" ca="1" si="529"/>
        <v>22786.898866124411</v>
      </c>
      <c r="AB365" s="126">
        <f t="shared" ca="1" si="529"/>
        <v>26753.03222415693</v>
      </c>
      <c r="AC365" s="324">
        <f t="shared" ca="1" si="529"/>
        <v>30235.119840121046</v>
      </c>
      <c r="AD365" s="324">
        <f t="shared" ca="1" si="529"/>
        <v>33812.655373379501</v>
      </c>
      <c r="AE365" s="323">
        <f ca="1">(V365/T365)^(1/2)-1</f>
        <v>0.34468675147791461</v>
      </c>
      <c r="AF365" s="126">
        <f t="shared" ref="AF365:CE365" si="530">NP+SBC</f>
        <v>83.510848999999993</v>
      </c>
      <c r="AG365" s="126">
        <f t="shared" si="530"/>
        <v>111.32618699999998</v>
      </c>
      <c r="AH365" s="126">
        <f t="shared" si="530"/>
        <v>132.55349199999995</v>
      </c>
      <c r="AI365" s="126">
        <f t="shared" si="530"/>
        <v>157.86686700000001</v>
      </c>
      <c r="AJ365" s="126">
        <f t="shared" si="530"/>
        <v>132.30509200000003</v>
      </c>
      <c r="AK365" s="126">
        <f t="shared" si="530"/>
        <v>150.59922500000008</v>
      </c>
      <c r="AL365" s="126">
        <f t="shared" si="530"/>
        <v>135.78061300000002</v>
      </c>
      <c r="AM365" s="126">
        <f t="shared" si="530"/>
        <v>153.94041799999991</v>
      </c>
      <c r="AN365" s="126">
        <f t="shared" si="530"/>
        <v>148.36678200000006</v>
      </c>
      <c r="AO365" s="126">
        <f t="shared" si="530"/>
        <v>185.84050599999998</v>
      </c>
      <c r="AP365" s="126">
        <f t="shared" si="530"/>
        <v>215.48343400000005</v>
      </c>
      <c r="AQ365" s="126">
        <f t="shared" si="530"/>
        <v>239.81172600000002</v>
      </c>
      <c r="AR365" s="126">
        <f t="shared" si="530"/>
        <v>254.66846900000007</v>
      </c>
      <c r="AS365" s="126">
        <f t="shared" si="530"/>
        <v>293.43730499999998</v>
      </c>
      <c r="AT365" s="126">
        <f t="shared" si="530"/>
        <v>380.3828279999999</v>
      </c>
      <c r="AU365" s="126">
        <f t="shared" si="530"/>
        <v>362.14259600000003</v>
      </c>
      <c r="AV365" s="126">
        <f t="shared" si="530"/>
        <v>305.27666399999998</v>
      </c>
      <c r="AW365" s="126">
        <f t="shared" si="530"/>
        <v>350.90240000000006</v>
      </c>
      <c r="AX365" s="126">
        <f t="shared" si="530"/>
        <v>415.78706700000009</v>
      </c>
      <c r="AY365" s="126">
        <f t="shared" si="530"/>
        <v>347.24012299999993</v>
      </c>
      <c r="AZ365" s="126">
        <f t="shared" si="530"/>
        <v>309.04580700000002</v>
      </c>
      <c r="BA365" s="126">
        <f t="shared" si="530"/>
        <v>228.483555</v>
      </c>
      <c r="BB365" s="126">
        <f t="shared" si="530"/>
        <v>302.30633599999999</v>
      </c>
      <c r="BC365" s="126">
        <f t="shared" si="530"/>
        <v>306.29152800000003</v>
      </c>
      <c r="BD365" s="126">
        <f t="shared" si="530"/>
        <v>265.05954399999968</v>
      </c>
      <c r="BE365" s="126">
        <f t="shared" si="530"/>
        <v>321.54853900000029</v>
      </c>
      <c r="BF365" s="126">
        <f t="shared" si="530"/>
        <v>481.8868939999997</v>
      </c>
      <c r="BG365" s="126">
        <f t="shared" si="530"/>
        <v>367.75418400000007</v>
      </c>
      <c r="BH365" s="126">
        <f t="shared" si="530"/>
        <v>236.9959960000001</v>
      </c>
      <c r="BI365" s="126">
        <f t="shared" si="530"/>
        <v>246.22600800000015</v>
      </c>
      <c r="BJ365" s="126">
        <f t="shared" si="530"/>
        <v>353.9782720000004</v>
      </c>
      <c r="BK365" s="126">
        <f t="shared" si="530"/>
        <v>-97.81700600000012</v>
      </c>
      <c r="BL365" s="126">
        <f t="shared" si="530"/>
        <v>32.924016999999267</v>
      </c>
      <c r="BM365" s="126">
        <f t="shared" si="530"/>
        <v>295.87236700000045</v>
      </c>
      <c r="BN365" s="126">
        <f t="shared" si="530"/>
        <v>2549.2418889999999</v>
      </c>
      <c r="BO365" s="126">
        <f t="shared" si="530"/>
        <v>272.21408499999995</v>
      </c>
      <c r="BP365" s="126">
        <f t="shared" si="530"/>
        <v>256.95194099999912</v>
      </c>
      <c r="BQ365" s="126">
        <f t="shared" si="530"/>
        <v>56.786621000001446</v>
      </c>
      <c r="BR365" s="126">
        <f t="shared" si="530"/>
        <v>580.75067400000012</v>
      </c>
      <c r="BS365" s="126">
        <f>NP+SBC</f>
        <v>1234.5258749999994</v>
      </c>
      <c r="BT365" s="126">
        <f>NP+SBC</f>
        <v>604.18916500000023</v>
      </c>
      <c r="BU365" s="126">
        <f t="shared" si="530"/>
        <v>854.73083799999927</v>
      </c>
      <c r="BV365" s="126">
        <f t="shared" si="530"/>
        <v>1613.1514079999999</v>
      </c>
      <c r="BW365" s="324">
        <f t="shared" si="530"/>
        <v>903.75223100000028</v>
      </c>
      <c r="BX365" s="324">
        <f ca="1">NP+SBC</f>
        <v>645.97429317624506</v>
      </c>
      <c r="BY365" s="324">
        <f t="shared" ca="1" si="530"/>
        <v>845.34523929413331</v>
      </c>
      <c r="BZ365" s="324">
        <f t="shared" ca="1" si="530"/>
        <v>1344.2414566672544</v>
      </c>
      <c r="CA365" s="324">
        <f t="shared" ca="1" si="530"/>
        <v>1438.682633279192</v>
      </c>
      <c r="CB365" s="324">
        <f t="shared" ca="1" si="530"/>
        <v>1531.5388781258325</v>
      </c>
      <c r="CC365" s="324">
        <f t="shared" ca="1" si="530"/>
        <v>1719.4097909071033</v>
      </c>
      <c r="CD365" s="324">
        <f t="shared" ca="1" si="530"/>
        <v>2130.7483267036</v>
      </c>
      <c r="CE365" s="324">
        <f t="shared" ca="1" si="530"/>
        <v>1807.3175761917582</v>
      </c>
      <c r="CF365" s="62"/>
      <c r="CG365" s="5"/>
      <c r="CH365" s="5"/>
      <c r="CI365" s="12"/>
      <c r="CP365" s="12"/>
      <c r="CQ365" s="12"/>
      <c r="CR365" s="12"/>
    </row>
    <row r="366" spans="1:96" outlineLevel="1">
      <c r="B366" s="186" t="s">
        <v>854</v>
      </c>
      <c r="C366" s="5"/>
      <c r="D366" s="5"/>
      <c r="E366" s="5"/>
      <c r="F366" s="5"/>
      <c r="G366" s="5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123"/>
      <c r="S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F366" s="187"/>
      <c r="AG366" s="187"/>
      <c r="AH366" s="187"/>
      <c r="AI366" s="187"/>
      <c r="AJ366" s="187"/>
      <c r="AK366" s="187"/>
      <c r="AL366" s="187"/>
      <c r="AM366" s="187"/>
      <c r="AN366" s="187"/>
      <c r="AO366" s="187"/>
      <c r="AP366" s="187"/>
      <c r="AQ366" s="187"/>
      <c r="AR366" s="187"/>
      <c r="AS366" s="187"/>
      <c r="AT366" s="187"/>
      <c r="AU366" s="187"/>
      <c r="AV366" s="187"/>
      <c r="AW366" s="187"/>
      <c r="AX366" s="187"/>
      <c r="AY366" s="187"/>
      <c r="AZ366" s="187"/>
      <c r="BA366" s="187"/>
      <c r="BB366" s="187"/>
      <c r="BC366" s="187"/>
      <c r="BD366" s="187"/>
      <c r="BE366" s="187"/>
      <c r="BF366" s="187"/>
      <c r="BG366" s="187"/>
      <c r="BH366" s="187"/>
      <c r="BI366" s="187"/>
      <c r="BJ366" s="187"/>
      <c r="BK366" s="187"/>
      <c r="BL366" s="187"/>
      <c r="BM366" s="187"/>
      <c r="BN366" s="325" t="str">
        <f>Scenario!AG81</f>
        <v>400-500</v>
      </c>
      <c r="BO366" s="325"/>
      <c r="BP366" s="325"/>
      <c r="BQ366" s="325"/>
      <c r="BR366" s="325"/>
      <c r="BS366" s="325"/>
      <c r="BT366" s="325"/>
      <c r="BU366" s="325"/>
      <c r="BV366" s="188"/>
      <c r="BW366" s="188"/>
      <c r="BX366" s="325" t="s">
        <v>853</v>
      </c>
      <c r="BY366" s="188"/>
      <c r="BZ366" s="188"/>
      <c r="CA366" s="188"/>
      <c r="CB366" s="188"/>
      <c r="CC366" s="188"/>
      <c r="CD366" s="188"/>
      <c r="CE366" s="188"/>
      <c r="CF366" s="72"/>
      <c r="CG366" s="5"/>
      <c r="CH366" s="5"/>
      <c r="CI366" s="12"/>
      <c r="CP366" s="12"/>
      <c r="CQ366" s="12"/>
      <c r="CR366" s="12"/>
    </row>
    <row r="367" spans="1:96" outlineLevel="1">
      <c r="A367" s="3" t="s">
        <v>481</v>
      </c>
      <c r="B367" s="12" t="s">
        <v>737</v>
      </c>
      <c r="C367" s="5"/>
      <c r="D367" s="5"/>
      <c r="E367" s="5"/>
      <c r="F367" s="5"/>
      <c r="G367" s="5"/>
      <c r="H367" s="324"/>
      <c r="I367" s="324"/>
      <c r="J367" s="324"/>
      <c r="K367" s="324"/>
      <c r="L367" s="324"/>
      <c r="M367" s="324"/>
      <c r="N367" s="170">
        <f t="shared" ref="N367:AD367" si="531">NP_NONGP/N342</f>
        <v>39.447529499559202</v>
      </c>
      <c r="O367" s="170">
        <f t="shared" si="531"/>
        <v>33.47650748854425</v>
      </c>
      <c r="P367" s="170">
        <f t="shared" si="531"/>
        <v>43.647558997630838</v>
      </c>
      <c r="Q367" s="170">
        <f t="shared" si="531"/>
        <v>21.563171986956867</v>
      </c>
      <c r="R367" s="170">
        <f t="shared" si="531"/>
        <v>83.457142011284532</v>
      </c>
      <c r="S367" s="170">
        <f t="shared" si="531"/>
        <v>35.98341224105188</v>
      </c>
      <c r="T367" s="170">
        <f t="shared" si="531"/>
        <v>59.966443274718465</v>
      </c>
      <c r="U367" s="170">
        <f t="shared" ca="1" si="531"/>
        <v>61.652827979115578</v>
      </c>
      <c r="V367" s="170">
        <f t="shared" ca="1" si="531"/>
        <v>98.075516056088944</v>
      </c>
      <c r="W367" s="170">
        <f t="shared" ca="1" si="531"/>
        <v>118.70135332068139</v>
      </c>
      <c r="X367" s="170">
        <f t="shared" ca="1" si="531"/>
        <v>154.07857121484486</v>
      </c>
      <c r="Y367" s="170">
        <f t="shared" ca="1" si="531"/>
        <v>197.15120771728721</v>
      </c>
      <c r="Z367" s="170">
        <f t="shared" ca="1" si="531"/>
        <v>237.48052138671505</v>
      </c>
      <c r="AA367" s="170">
        <f t="shared" ca="1" si="531"/>
        <v>281.31973908795567</v>
      </c>
      <c r="AB367" s="170">
        <f t="shared" ca="1" si="531"/>
        <v>330.28434844638184</v>
      </c>
      <c r="AC367" s="170">
        <f t="shared" ca="1" si="531"/>
        <v>373.27308444593882</v>
      </c>
      <c r="AD367" s="170">
        <f t="shared" ca="1" si="531"/>
        <v>417.44018979480865</v>
      </c>
      <c r="AE367" s="165"/>
      <c r="AF367" s="324"/>
      <c r="AG367" s="324"/>
      <c r="AH367" s="324"/>
      <c r="AI367" s="324"/>
      <c r="AJ367" s="324"/>
      <c r="AK367" s="324"/>
      <c r="AL367" s="324"/>
      <c r="AM367" s="324"/>
      <c r="AN367" s="324"/>
      <c r="AO367" s="324"/>
      <c r="AP367" s="324"/>
      <c r="AQ367" s="324"/>
      <c r="AR367" s="324"/>
      <c r="AS367" s="324"/>
      <c r="AT367" s="324"/>
      <c r="AU367" s="324"/>
      <c r="AV367" s="324"/>
      <c r="AW367" s="324"/>
      <c r="AX367" s="324"/>
      <c r="AY367" s="324"/>
      <c r="AZ367" s="170">
        <f t="shared" ref="AZ367:CE367" si="532">NP_NONGP/AZ342</f>
        <v>8.6056427217245179</v>
      </c>
      <c r="BA367" s="170">
        <f t="shared" si="532"/>
        <v>6.4366075853428821</v>
      </c>
      <c r="BB367" s="170">
        <f t="shared" si="532"/>
        <v>9.0817728763201426</v>
      </c>
      <c r="BC367" s="170">
        <f t="shared" si="532"/>
        <v>9.4879093957961302</v>
      </c>
      <c r="BD367" s="170">
        <f t="shared" si="532"/>
        <v>8.1710113683175152</v>
      </c>
      <c r="BE367" s="170">
        <f t="shared" si="532"/>
        <v>9.8399900788702368</v>
      </c>
      <c r="BF367" s="170">
        <f t="shared" si="532"/>
        <v>14.652684947211794</v>
      </c>
      <c r="BG367" s="170">
        <f t="shared" si="532"/>
        <v>10.943187396567229</v>
      </c>
      <c r="BH367" s="170">
        <f t="shared" si="532"/>
        <v>6.971598229125302</v>
      </c>
      <c r="BI367" s="170">
        <f t="shared" si="532"/>
        <v>7.2520789649719806</v>
      </c>
      <c r="BJ367" s="170">
        <f t="shared" si="532"/>
        <v>10.360240108912135</v>
      </c>
      <c r="BK367" s="170">
        <f t="shared" si="532"/>
        <v>-2.792167066560316</v>
      </c>
      <c r="BL367" s="170">
        <f t="shared" si="532"/>
        <v>0.93590921241874103</v>
      </c>
      <c r="BM367" s="170">
        <f t="shared" si="532"/>
        <v>8.3002256559333745</v>
      </c>
      <c r="BN367" s="170">
        <f t="shared" si="532"/>
        <v>71.950893588205943</v>
      </c>
      <c r="BO367" s="170">
        <f t="shared" si="532"/>
        <v>6.0853706272883219</v>
      </c>
      <c r="BP367" s="170">
        <f t="shared" si="532"/>
        <v>4.5404975393498708</v>
      </c>
      <c r="BQ367" s="170">
        <f t="shared" si="532"/>
        <v>0.9838876088502595</v>
      </c>
      <c r="BR367" s="170">
        <f t="shared" si="532"/>
        <v>9.8232210289994359</v>
      </c>
      <c r="BS367" s="170">
        <f t="shared" si="532"/>
        <v>19.535285088683658</v>
      </c>
      <c r="BT367" s="170">
        <f t="shared" si="532"/>
        <v>9.3037907221187712</v>
      </c>
      <c r="BU367" s="170">
        <f t="shared" si="532"/>
        <v>13.001077284516544</v>
      </c>
      <c r="BV367" s="170">
        <f t="shared" si="532"/>
        <v>24.080910714572543</v>
      </c>
      <c r="BW367" s="170">
        <f t="shared" si="532"/>
        <v>13.389168896522614</v>
      </c>
      <c r="BX367" s="170">
        <f t="shared" ca="1" si="532"/>
        <v>9.1887179045829033</v>
      </c>
      <c r="BY367" s="170">
        <f t="shared" ca="1" si="532"/>
        <v>12.024687387577869</v>
      </c>
      <c r="BZ367" s="170">
        <f t="shared" ca="1" si="532"/>
        <v>19.121280322514277</v>
      </c>
      <c r="CA367" s="170">
        <f t="shared" ca="1" si="532"/>
        <v>20.464667109931252</v>
      </c>
      <c r="CB367" s="170">
        <f t="shared" ca="1" si="532"/>
        <v>20.893888074546634</v>
      </c>
      <c r="CC367" s="170">
        <f t="shared" ca="1" si="532"/>
        <v>23.456900924026694</v>
      </c>
      <c r="CD367" s="170">
        <f t="shared" ca="1" si="532"/>
        <v>29.068551695959474</v>
      </c>
      <c r="CE367" s="170">
        <f t="shared" ca="1" si="532"/>
        <v>24.656175361556151</v>
      </c>
      <c r="CF367" s="62"/>
      <c r="CG367" s="5"/>
      <c r="CH367" s="5"/>
      <c r="CI367" s="12"/>
      <c r="CP367" s="12"/>
      <c r="CQ367" s="12"/>
      <c r="CR367" s="12"/>
    </row>
    <row r="368" spans="1:96" outlineLevel="1">
      <c r="A368" s="3" t="s">
        <v>548</v>
      </c>
      <c r="B368" s="12" t="s">
        <v>846</v>
      </c>
      <c r="C368" s="5"/>
      <c r="D368" s="5"/>
      <c r="E368" s="5"/>
      <c r="F368" s="5"/>
      <c r="G368" s="5"/>
      <c r="H368" s="126">
        <f t="shared" ref="H368:AD368" si="533">NP_NONGP/Shares_Adiluted</f>
        <v>6.9671569711919092</v>
      </c>
      <c r="I368" s="126">
        <f t="shared" si="533"/>
        <v>8.8747120825821142</v>
      </c>
      <c r="J368" s="126">
        <f t="shared" si="533"/>
        <v>14.220918168925706</v>
      </c>
      <c r="K368" s="126">
        <f t="shared" si="533"/>
        <v>16.628974340375535</v>
      </c>
      <c r="L368" s="126">
        <f t="shared" si="533"/>
        <v>22.397014638300607</v>
      </c>
      <c r="M368" s="126">
        <f t="shared" si="533"/>
        <v>34.34599022339588</v>
      </c>
      <c r="N368" s="170">
        <f t="shared" si="533"/>
        <v>37.317115622650107</v>
      </c>
      <c r="O368" s="170">
        <f t="shared" si="533"/>
        <v>31.756781848884689</v>
      </c>
      <c r="P368" s="170">
        <f t="shared" si="533"/>
        <v>37.726691871395005</v>
      </c>
      <c r="Q368" s="170">
        <f t="shared" si="533"/>
        <v>19.351602228002463</v>
      </c>
      <c r="R368" s="405">
        <v>70.41</v>
      </c>
      <c r="S368" s="405">
        <v>32.4</v>
      </c>
      <c r="T368" s="405">
        <v>55.2</v>
      </c>
      <c r="U368" s="170">
        <f t="shared" ca="1" si="533"/>
        <v>59.129547690890831</v>
      </c>
      <c r="V368" s="170">
        <f t="shared" ca="1" si="533"/>
        <v>95.470616622444382</v>
      </c>
      <c r="W368" s="170">
        <f t="shared" ca="1" si="533"/>
        <v>115.84107974668906</v>
      </c>
      <c r="X368" s="170">
        <f t="shared" ca="1" si="533"/>
        <v>150.36583455906546</v>
      </c>
      <c r="Y368" s="170">
        <f t="shared" ca="1" si="533"/>
        <v>192.4005762060273</v>
      </c>
      <c r="Z368" s="170">
        <f t="shared" ca="1" si="533"/>
        <v>231.75809918462554</v>
      </c>
      <c r="AA368" s="170">
        <f t="shared" ca="1" si="533"/>
        <v>274.54095019427001</v>
      </c>
      <c r="AB368" s="170">
        <f t="shared" ca="1" si="533"/>
        <v>322.32568944767388</v>
      </c>
      <c r="AC368" s="170">
        <f t="shared" ca="1" si="533"/>
        <v>364.27855229061498</v>
      </c>
      <c r="AD368" s="170">
        <f t="shared" ca="1" si="533"/>
        <v>407.38139004071689</v>
      </c>
      <c r="AE368" s="323">
        <f ca="1">(V368/T368)^0.5-1</f>
        <v>0.3151198257967609</v>
      </c>
      <c r="AF368" s="126">
        <f t="shared" ref="AF368:CE368" si="534">NP_NONGP/Shares_Adiluted</f>
        <v>2.4749560759776226</v>
      </c>
      <c r="AG368" s="126">
        <f t="shared" si="534"/>
        <v>3.2851284638997509</v>
      </c>
      <c r="AH368" s="126">
        <f t="shared" si="534"/>
        <v>3.8761508984537785</v>
      </c>
      <c r="AI368" s="126">
        <f t="shared" si="534"/>
        <v>4.5662211232195524</v>
      </c>
      <c r="AJ368" s="126">
        <f t="shared" si="534"/>
        <v>3.8325804422749283</v>
      </c>
      <c r="AK368" s="126">
        <f t="shared" si="534"/>
        <v>4.3464841322497065</v>
      </c>
      <c r="AL368" s="126">
        <f t="shared" si="534"/>
        <v>3.9416740827941741</v>
      </c>
      <c r="AM368" s="126">
        <f t="shared" si="534"/>
        <v>4.5233125825879119</v>
      </c>
      <c r="AN368" s="126">
        <f t="shared" si="534"/>
        <v>4.3692409368089002</v>
      </c>
      <c r="AO368" s="126">
        <f t="shared" si="534"/>
        <v>5.3138123317224659</v>
      </c>
      <c r="AP368" s="126">
        <f t="shared" si="534"/>
        <v>6.052502005975839</v>
      </c>
      <c r="AQ368" s="126">
        <f t="shared" si="534"/>
        <v>6.6568062849170317</v>
      </c>
      <c r="AR368" s="126">
        <f t="shared" si="534"/>
        <v>6.9655444579293047</v>
      </c>
      <c r="AS368" s="126">
        <f t="shared" si="534"/>
        <v>7.7388796428858235</v>
      </c>
      <c r="AT368" s="126">
        <f t="shared" si="534"/>
        <v>10.008734567559333</v>
      </c>
      <c r="AU368" s="126">
        <f t="shared" si="534"/>
        <v>9.4745720075784536</v>
      </c>
      <c r="AV368" s="126">
        <f t="shared" si="534"/>
        <v>8.0208866928598965</v>
      </c>
      <c r="AW368" s="126">
        <f t="shared" si="534"/>
        <v>9.1768694677310911</v>
      </c>
      <c r="AX368" s="126">
        <f t="shared" si="534"/>
        <v>10.912192878352299</v>
      </c>
      <c r="AY368" s="126">
        <f t="shared" si="534"/>
        <v>9.20737757173878</v>
      </c>
      <c r="AZ368" s="170">
        <f t="shared" si="534"/>
        <v>8.1213907247124961</v>
      </c>
      <c r="BA368" s="170">
        <f t="shared" si="534"/>
        <v>6.2241361040042191</v>
      </c>
      <c r="BB368" s="170">
        <f t="shared" si="534"/>
        <v>8.8177504275410925</v>
      </c>
      <c r="BC368" s="170">
        <f t="shared" si="534"/>
        <v>8.5750119145009318</v>
      </c>
      <c r="BD368" s="170">
        <f t="shared" si="534"/>
        <v>7.3596765002065156</v>
      </c>
      <c r="BE368" s="170">
        <f t="shared" si="534"/>
        <v>8.7917463295556946</v>
      </c>
      <c r="BF368" s="170">
        <f t="shared" si="534"/>
        <v>12.437283928899017</v>
      </c>
      <c r="BG368" s="170">
        <f t="shared" si="534"/>
        <v>9.3599073116295237</v>
      </c>
      <c r="BH368" s="170">
        <f t="shared" si="534"/>
        <v>6.0004500666770166</v>
      </c>
      <c r="BI368" s="170">
        <f t="shared" si="534"/>
        <v>6.2589718998541182</v>
      </c>
      <c r="BJ368" s="170">
        <f t="shared" si="534"/>
        <v>8.8703671382141014</v>
      </c>
      <c r="BK368" s="170">
        <f t="shared" si="534"/>
        <v>-2.792167066560316</v>
      </c>
      <c r="BL368" s="170">
        <f t="shared" si="534"/>
        <v>0.93590921241874103</v>
      </c>
      <c r="BM368" s="170">
        <f t="shared" si="534"/>
        <v>7.4078051357483883</v>
      </c>
      <c r="BN368" s="170">
        <f t="shared" si="534"/>
        <v>54.378752775154375</v>
      </c>
      <c r="BO368" s="165">
        <f t="shared" si="534"/>
        <v>5.5137111223724702</v>
      </c>
      <c r="BP368" s="170">
        <f t="shared" si="534"/>
        <v>4.5404975393498708</v>
      </c>
      <c r="BQ368" s="170">
        <f t="shared" si="534"/>
        <v>0.9838876088502595</v>
      </c>
      <c r="BR368" s="165">
        <f t="shared" si="534"/>
        <v>9.1586212536886595</v>
      </c>
      <c r="BS368" s="403">
        <v>17.93</v>
      </c>
      <c r="BT368" s="170">
        <f t="shared" si="534"/>
        <v>8.8223999904911494</v>
      </c>
      <c r="BU368" s="403">
        <v>11.96</v>
      </c>
      <c r="BV368" s="403">
        <v>21.58</v>
      </c>
      <c r="BW368" s="403">
        <v>12.45</v>
      </c>
      <c r="BX368" s="170">
        <f t="shared" ca="1" si="534"/>
        <v>8.8126490116759015</v>
      </c>
      <c r="BY368" s="170">
        <f t="shared" ca="1" si="534"/>
        <v>11.532550081768994</v>
      </c>
      <c r="BZ368" s="170">
        <f t="shared" ca="1" si="534"/>
        <v>18.338699031356576</v>
      </c>
      <c r="CA368" s="170">
        <f t="shared" ca="1" si="534"/>
        <v>19.627104700935792</v>
      </c>
      <c r="CB368" s="170">
        <f t="shared" ca="1" si="534"/>
        <v>20.338943482861865</v>
      </c>
      <c r="CC368" s="170">
        <f t="shared" ca="1" si="534"/>
        <v>22.833882352326196</v>
      </c>
      <c r="CD368" s="170">
        <f t="shared" ca="1" si="534"/>
        <v>28.296486894318583</v>
      </c>
      <c r="CE368" s="170">
        <f t="shared" ca="1" si="534"/>
        <v>24.001303892937752</v>
      </c>
      <c r="CF368" s="342"/>
      <c r="CG368" s="5"/>
      <c r="CH368" s="5"/>
      <c r="CI368" s="12"/>
      <c r="CP368" s="12"/>
      <c r="CQ368" s="12"/>
      <c r="CR368" s="12"/>
    </row>
    <row r="369" spans="1:96" outlineLevel="1">
      <c r="A369" s="3" t="s">
        <v>739</v>
      </c>
      <c r="B369" s="12" t="s">
        <v>738</v>
      </c>
      <c r="C369" s="5"/>
      <c r="D369" s="5"/>
      <c r="E369" s="5"/>
      <c r="F369" s="5"/>
      <c r="G369" s="5"/>
      <c r="H369" s="324"/>
      <c r="I369" s="324"/>
      <c r="J369" s="324"/>
      <c r="K369" s="324"/>
      <c r="L369" s="324"/>
      <c r="M369" s="324"/>
      <c r="N369" s="170">
        <f t="shared" ref="N369:AD369" si="535">NP_NONGP/N346</f>
        <v>4.9309411874449003</v>
      </c>
      <c r="O369" s="170">
        <f t="shared" si="535"/>
        <v>4.1845634360680313</v>
      </c>
      <c r="P369" s="170">
        <f t="shared" si="535"/>
        <v>5.4559448747038548</v>
      </c>
      <c r="Q369" s="170">
        <f t="shared" si="535"/>
        <v>2.6953964983696084</v>
      </c>
      <c r="R369" s="170">
        <f t="shared" si="535"/>
        <v>10.432142751410566</v>
      </c>
      <c r="S369" s="406">
        <f t="shared" si="535"/>
        <v>4.497926530131485</v>
      </c>
      <c r="T369" s="406">
        <f t="shared" si="535"/>
        <v>7.4958054093398081</v>
      </c>
      <c r="U369" s="170">
        <f t="shared" ca="1" si="535"/>
        <v>7.7066034973894473</v>
      </c>
      <c r="V369" s="170">
        <f t="shared" ca="1" si="535"/>
        <v>12.259439507011118</v>
      </c>
      <c r="W369" s="170">
        <f t="shared" ca="1" si="535"/>
        <v>14.837669165085174</v>
      </c>
      <c r="X369" s="170">
        <f t="shared" ca="1" si="535"/>
        <v>19.259821401855607</v>
      </c>
      <c r="Y369" s="170">
        <f t="shared" ca="1" si="535"/>
        <v>24.643900964660901</v>
      </c>
      <c r="Z369" s="170">
        <f t="shared" ca="1" si="535"/>
        <v>29.685065173339382</v>
      </c>
      <c r="AA369" s="170">
        <f t="shared" ca="1" si="535"/>
        <v>35.164967385994458</v>
      </c>
      <c r="AB369" s="170">
        <f t="shared" ca="1" si="535"/>
        <v>41.28554355579773</v>
      </c>
      <c r="AC369" s="170">
        <f t="shared" ca="1" si="535"/>
        <v>46.659135555742353</v>
      </c>
      <c r="AD369" s="170">
        <f t="shared" ca="1" si="535"/>
        <v>52.180023724351081</v>
      </c>
      <c r="AE369" s="323"/>
      <c r="AF369" s="324"/>
      <c r="AG369" s="324"/>
      <c r="AH369" s="324"/>
      <c r="AI369" s="324"/>
      <c r="AJ369" s="324"/>
      <c r="AK369" s="324"/>
      <c r="AL369" s="324"/>
      <c r="AM369" s="324"/>
      <c r="AN369" s="324"/>
      <c r="AO369" s="324"/>
      <c r="AP369" s="324"/>
      <c r="AQ369" s="324"/>
      <c r="AR369" s="324"/>
      <c r="AS369" s="324"/>
      <c r="AT369" s="324"/>
      <c r="AU369" s="324"/>
      <c r="AV369" s="324"/>
      <c r="AW369" s="324"/>
      <c r="AX369" s="324"/>
      <c r="AY369" s="324"/>
      <c r="AZ369" s="170">
        <f t="shared" ref="AZ369:CE369" si="536">NP_NONGP/AZ346</f>
        <v>1.0757053402155647</v>
      </c>
      <c r="BA369" s="170">
        <f t="shared" si="536"/>
        <v>0.80457594816786027</v>
      </c>
      <c r="BB369" s="170">
        <f t="shared" si="536"/>
        <v>1.1352216095400178</v>
      </c>
      <c r="BC369" s="170">
        <f t="shared" si="536"/>
        <v>1.1859886744745163</v>
      </c>
      <c r="BD369" s="170">
        <f t="shared" si="536"/>
        <v>1.0213764210396894</v>
      </c>
      <c r="BE369" s="170">
        <f t="shared" si="536"/>
        <v>1.2299987598587796</v>
      </c>
      <c r="BF369" s="170">
        <f t="shared" si="536"/>
        <v>1.8315856184014743</v>
      </c>
      <c r="BG369" s="170">
        <f t="shared" si="536"/>
        <v>1.3678984245709036</v>
      </c>
      <c r="BH369" s="170">
        <f t="shared" si="536"/>
        <v>0.87144977864066275</v>
      </c>
      <c r="BI369" s="170">
        <f t="shared" si="536"/>
        <v>0.90650987062149757</v>
      </c>
      <c r="BJ369" s="170">
        <f t="shared" si="536"/>
        <v>1.2950300136140169</v>
      </c>
      <c r="BK369" s="170">
        <f t="shared" si="536"/>
        <v>-0.3490208833200395</v>
      </c>
      <c r="BL369" s="170">
        <f t="shared" si="536"/>
        <v>0.11698865155234263</v>
      </c>
      <c r="BM369" s="170">
        <f t="shared" si="536"/>
        <v>1.0375282069916718</v>
      </c>
      <c r="BN369" s="170">
        <f t="shared" si="536"/>
        <v>8.9938616985257429</v>
      </c>
      <c r="BO369" s="170">
        <f t="shared" si="536"/>
        <v>0.76067132841104024</v>
      </c>
      <c r="BP369" s="170">
        <f t="shared" si="536"/>
        <v>0.56756219241873385</v>
      </c>
      <c r="BQ369" s="170">
        <f t="shared" si="536"/>
        <v>0.12298595110628244</v>
      </c>
      <c r="BR369" s="165">
        <f t="shared" si="536"/>
        <v>1.2279026286249295</v>
      </c>
      <c r="BS369" s="78">
        <f t="shared" si="536"/>
        <v>2.4419106360854572</v>
      </c>
      <c r="BT369" s="165">
        <f t="shared" si="536"/>
        <v>1.1629738402648464</v>
      </c>
      <c r="BU369" s="165">
        <f t="shared" si="536"/>
        <v>1.625134660564568</v>
      </c>
      <c r="BV369" s="165">
        <f t="shared" si="536"/>
        <v>3.0101138393215678</v>
      </c>
      <c r="BW369" s="165">
        <f t="shared" si="536"/>
        <v>1.6736461120653268</v>
      </c>
      <c r="BX369" s="165">
        <f t="shared" ca="1" si="536"/>
        <v>1.1485897380728629</v>
      </c>
      <c r="BY369" s="165">
        <f t="shared" ca="1" si="536"/>
        <v>1.5030859234472336</v>
      </c>
      <c r="BZ369" s="165">
        <f t="shared" ca="1" si="536"/>
        <v>2.3901600403142846</v>
      </c>
      <c r="CA369" s="165">
        <f t="shared" ca="1" si="536"/>
        <v>2.5580833887414065</v>
      </c>
      <c r="CB369" s="165">
        <f t="shared" ca="1" si="536"/>
        <v>2.6117360093183293</v>
      </c>
      <c r="CC369" s="165">
        <f t="shared" ca="1" si="536"/>
        <v>2.9321126155033368</v>
      </c>
      <c r="CD369" s="165">
        <f t="shared" ca="1" si="536"/>
        <v>3.6335689619949343</v>
      </c>
      <c r="CE369" s="165">
        <f t="shared" ca="1" si="536"/>
        <v>3.0820219201945189</v>
      </c>
      <c r="CF369" s="342"/>
      <c r="CG369" s="5"/>
      <c r="CH369" s="5"/>
      <c r="CI369" s="12"/>
      <c r="CP369" s="12"/>
      <c r="CQ369" s="12"/>
      <c r="CR369" s="12"/>
    </row>
    <row r="370" spans="1:96" outlineLevel="1">
      <c r="A370" s="3" t="s">
        <v>549</v>
      </c>
      <c r="B370" s="12" t="s">
        <v>847</v>
      </c>
      <c r="C370" s="5"/>
      <c r="D370" s="5"/>
      <c r="E370" s="5"/>
      <c r="F370" s="5"/>
      <c r="G370" s="5"/>
      <c r="H370" s="126">
        <f t="shared" ref="H370:AD370" si="537">NP_NONGP/ADS_Dil</f>
        <v>1.7417892427979773</v>
      </c>
      <c r="I370" s="126">
        <f t="shared" si="537"/>
        <v>2.2186780206455285</v>
      </c>
      <c r="J370" s="126">
        <f t="shared" si="537"/>
        <v>3.5552295422314266</v>
      </c>
      <c r="K370" s="126">
        <f t="shared" si="537"/>
        <v>4.1572435850938838</v>
      </c>
      <c r="L370" s="126">
        <f t="shared" si="537"/>
        <v>5.5992536595751519</v>
      </c>
      <c r="M370" s="170">
        <f t="shared" si="537"/>
        <v>8.58649755584897</v>
      </c>
      <c r="N370" s="170">
        <f t="shared" si="537"/>
        <v>4.6646394528312634</v>
      </c>
      <c r="O370" s="170">
        <f t="shared" si="537"/>
        <v>3.9695977311105861</v>
      </c>
      <c r="P370" s="170">
        <f t="shared" si="537"/>
        <v>4.7158364839243756</v>
      </c>
      <c r="Q370" s="170">
        <f t="shared" si="537"/>
        <v>2.4189502785003079</v>
      </c>
      <c r="R370" s="405">
        <v>8.8000000000000007</v>
      </c>
      <c r="S370" s="405">
        <v>4.05</v>
      </c>
      <c r="T370" s="405">
        <v>6.9</v>
      </c>
      <c r="U370" s="170">
        <f t="shared" ca="1" si="537"/>
        <v>7.3911934613613539</v>
      </c>
      <c r="V370" s="170">
        <f t="shared" ca="1" si="537"/>
        <v>11.933827077805548</v>
      </c>
      <c r="W370" s="170">
        <f t="shared" ca="1" si="537"/>
        <v>14.480134968336133</v>
      </c>
      <c r="X370" s="170">
        <f t="shared" ca="1" si="537"/>
        <v>18.795729319883183</v>
      </c>
      <c r="Y370" s="170">
        <f t="shared" ca="1" si="537"/>
        <v>24.050072025753412</v>
      </c>
      <c r="Z370" s="170">
        <f t="shared" ca="1" si="537"/>
        <v>28.969762398078192</v>
      </c>
      <c r="AA370" s="170">
        <f t="shared" ca="1" si="537"/>
        <v>34.317618774283751</v>
      </c>
      <c r="AB370" s="170">
        <f t="shared" ca="1" si="537"/>
        <v>40.290711180959235</v>
      </c>
      <c r="AC370" s="170">
        <f t="shared" ca="1" si="537"/>
        <v>45.534819036326873</v>
      </c>
      <c r="AD370" s="170">
        <f t="shared" ca="1" si="537"/>
        <v>50.922673755089612</v>
      </c>
      <c r="AE370" s="323">
        <f ca="1">(V370/T370)^0.5-1</f>
        <v>0.3151198257967609</v>
      </c>
      <c r="AF370" s="126">
        <f t="shared" ref="AF370:BM370" si="538">NP_NONGP/ADS_Dil</f>
        <v>0.61873901899440564</v>
      </c>
      <c r="AG370" s="126">
        <f t="shared" si="538"/>
        <v>0.82128211597493772</v>
      </c>
      <c r="AH370" s="126">
        <f t="shared" si="538"/>
        <v>0.96903772461344462</v>
      </c>
      <c r="AI370" s="126">
        <f t="shared" si="538"/>
        <v>1.1415552808048881</v>
      </c>
      <c r="AJ370" s="126">
        <f t="shared" si="538"/>
        <v>0.95814511056873208</v>
      </c>
      <c r="AK370" s="126">
        <f t="shared" si="538"/>
        <v>1.0866210330624266</v>
      </c>
      <c r="AL370" s="126">
        <f t="shared" si="538"/>
        <v>0.98541852069854352</v>
      </c>
      <c r="AM370" s="126">
        <f t="shared" si="538"/>
        <v>1.130828145646978</v>
      </c>
      <c r="AN370" s="126">
        <f t="shared" si="538"/>
        <v>1.0923102342022251</v>
      </c>
      <c r="AO370" s="126">
        <f t="shared" si="538"/>
        <v>1.3284530829306165</v>
      </c>
      <c r="AP370" s="126">
        <f t="shared" si="538"/>
        <v>1.5131255014939597</v>
      </c>
      <c r="AQ370" s="126">
        <f t="shared" si="538"/>
        <v>1.6642015712292579</v>
      </c>
      <c r="AR370" s="126">
        <f t="shared" si="538"/>
        <v>1.7413861144823262</v>
      </c>
      <c r="AS370" s="126">
        <f t="shared" si="538"/>
        <v>1.9347199107214559</v>
      </c>
      <c r="AT370" s="126">
        <f t="shared" si="538"/>
        <v>2.5021836418898333</v>
      </c>
      <c r="AU370" s="126">
        <f t="shared" si="538"/>
        <v>2.3686430018946134</v>
      </c>
      <c r="AV370" s="126">
        <f t="shared" si="538"/>
        <v>2.0052216732149741</v>
      </c>
      <c r="AW370" s="126">
        <f t="shared" si="538"/>
        <v>2.2942173669327728</v>
      </c>
      <c r="AX370" s="126">
        <f t="shared" si="538"/>
        <v>2.7280482195880746</v>
      </c>
      <c r="AY370" s="126">
        <f t="shared" si="538"/>
        <v>2.301844392934695</v>
      </c>
      <c r="AZ370" s="170">
        <f t="shared" si="538"/>
        <v>1.015173840589062</v>
      </c>
      <c r="BA370" s="170">
        <f t="shared" si="538"/>
        <v>0.77801701300052739</v>
      </c>
      <c r="BB370" s="170">
        <f t="shared" si="538"/>
        <v>1.1022188034426366</v>
      </c>
      <c r="BC370" s="170">
        <f t="shared" si="538"/>
        <v>1.0718764893126165</v>
      </c>
      <c r="BD370" s="170">
        <f t="shared" si="538"/>
        <v>0.91995956252581446</v>
      </c>
      <c r="BE370" s="170">
        <f t="shared" si="538"/>
        <v>1.0989682911944618</v>
      </c>
      <c r="BF370" s="170">
        <f t="shared" si="538"/>
        <v>1.5546604911123771</v>
      </c>
      <c r="BG370" s="170">
        <f t="shared" si="538"/>
        <v>1.1699884139536905</v>
      </c>
      <c r="BH370" s="170">
        <f t="shared" si="538"/>
        <v>0.75005625833462708</v>
      </c>
      <c r="BI370" s="170">
        <f t="shared" si="538"/>
        <v>0.78237148748176477</v>
      </c>
      <c r="BJ370" s="170">
        <f t="shared" si="538"/>
        <v>1.1087958922767627</v>
      </c>
      <c r="BK370" s="170">
        <f t="shared" si="538"/>
        <v>-0.3490208833200395</v>
      </c>
      <c r="BL370" s="170">
        <f t="shared" si="538"/>
        <v>0.11698865155234263</v>
      </c>
      <c r="BM370" s="170">
        <f t="shared" si="538"/>
        <v>0.92597564196854854</v>
      </c>
      <c r="BN370" s="170">
        <v>13.97</v>
      </c>
      <c r="BO370" s="165">
        <f t="shared" ref="BO370:CE370" si="539">NP_NONGP/ADS_Dil</f>
        <v>0.68921389029655877</v>
      </c>
      <c r="BP370" s="170">
        <f t="shared" si="539"/>
        <v>0.56756219241873385</v>
      </c>
      <c r="BQ370" s="170">
        <f t="shared" si="539"/>
        <v>0.12298595110628244</v>
      </c>
      <c r="BR370" s="165">
        <f t="shared" si="539"/>
        <v>1.1448276567110824</v>
      </c>
      <c r="BS370" s="403">
        <v>2.2400000000000002</v>
      </c>
      <c r="BT370" s="166">
        <v>1.0900000000000001</v>
      </c>
      <c r="BU370" s="403">
        <v>1.49</v>
      </c>
      <c r="BV370" s="403">
        <v>2.7</v>
      </c>
      <c r="BW370" s="403">
        <v>1.56</v>
      </c>
      <c r="BX370" s="165">
        <f t="shared" ca="1" si="539"/>
        <v>1.1015811264594877</v>
      </c>
      <c r="BY370" s="165">
        <f t="shared" ca="1" si="539"/>
        <v>1.4415687602211242</v>
      </c>
      <c r="BZ370" s="165">
        <f t="shared" ca="1" si="539"/>
        <v>2.292337378919572</v>
      </c>
      <c r="CA370" s="165">
        <f t="shared" ca="1" si="539"/>
        <v>2.453388087616974</v>
      </c>
      <c r="CB370" s="165">
        <f t="shared" ca="1" si="539"/>
        <v>2.5423679353577331</v>
      </c>
      <c r="CC370" s="165">
        <f t="shared" ca="1" si="539"/>
        <v>2.8542352940407745</v>
      </c>
      <c r="CD370" s="165">
        <f t="shared" ca="1" si="539"/>
        <v>3.5370608617898229</v>
      </c>
      <c r="CE370" s="165">
        <f t="shared" ca="1" si="539"/>
        <v>3.000162986617219</v>
      </c>
      <c r="CF370" s="342"/>
      <c r="CG370" s="5"/>
      <c r="CH370" s="5"/>
      <c r="CI370" s="12"/>
      <c r="CP370" s="12"/>
      <c r="CQ370" s="12"/>
      <c r="CR370" s="12"/>
    </row>
    <row r="371" spans="1:96" outlineLevel="1"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405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  <c r="BL371" s="6"/>
      <c r="BM371" s="6"/>
      <c r="BN371" s="6"/>
      <c r="BO371" s="157">
        <f>272/2900</f>
        <v>9.3793103448275864E-2</v>
      </c>
      <c r="BP371" s="6"/>
      <c r="BQ371" s="6"/>
      <c r="BR371" s="6"/>
      <c r="BS371" s="6"/>
      <c r="BT371" s="167"/>
      <c r="BU371" s="6"/>
      <c r="BV371" s="6"/>
      <c r="BW371" s="6"/>
      <c r="BX371" s="6"/>
      <c r="BY371" s="6"/>
      <c r="BZ371" s="6"/>
      <c r="CA371" s="6"/>
      <c r="CB371" s="6"/>
      <c r="CC371" s="6"/>
      <c r="CD371" s="6"/>
      <c r="CE371" s="6"/>
      <c r="CF371" s="5"/>
      <c r="CG371" s="5"/>
      <c r="CH371" s="5"/>
      <c r="CI371" s="12"/>
      <c r="CP371" s="12"/>
      <c r="CQ371" s="12"/>
      <c r="CR371" s="12"/>
    </row>
    <row r="372" spans="1:96" outlineLevel="1">
      <c r="B372" s="115" t="s">
        <v>78</v>
      </c>
      <c r="C372" s="22"/>
      <c r="D372" s="22"/>
      <c r="E372" s="22"/>
      <c r="F372" s="22"/>
      <c r="G372" s="22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  <c r="BL372" s="6"/>
      <c r="BM372" s="6"/>
      <c r="BN372" s="6"/>
      <c r="BO372" s="6"/>
      <c r="BP372" s="6"/>
      <c r="BQ372" s="6"/>
      <c r="BR372" s="6"/>
      <c r="BS372" s="6"/>
      <c r="BT372" s="157"/>
      <c r="BU372" s="216"/>
      <c r="BV372" s="6"/>
      <c r="BW372" s="6"/>
      <c r="BX372" s="6"/>
      <c r="BY372" s="6"/>
      <c r="BZ372" s="6"/>
      <c r="CA372" s="6"/>
      <c r="CB372" s="6"/>
      <c r="CC372" s="6"/>
      <c r="CD372" s="6"/>
      <c r="CE372" s="6"/>
      <c r="CF372" s="5"/>
      <c r="CG372" s="5"/>
      <c r="CH372" s="5"/>
      <c r="CI372" s="12"/>
      <c r="CP372" s="12"/>
      <c r="CQ372" s="12"/>
      <c r="CR372" s="12"/>
    </row>
    <row r="373" spans="1:96" outlineLevel="1">
      <c r="A373" s="3" t="s">
        <v>736</v>
      </c>
      <c r="B373" s="12" t="s">
        <v>334</v>
      </c>
      <c r="C373" s="5"/>
      <c r="D373" s="5"/>
      <c r="E373" s="5"/>
      <c r="F373" s="5"/>
      <c r="G373" s="5"/>
      <c r="H373" s="323">
        <f t="shared" ref="H373:M373" si="540">NGAAP_EBITDA/Rev_Net</f>
        <v>0</v>
      </c>
      <c r="I373" s="323">
        <f t="shared" si="540"/>
        <v>0.41322018642381225</v>
      </c>
      <c r="J373" s="323">
        <f t="shared" si="540"/>
        <v>0.43044556902947373</v>
      </c>
      <c r="K373" s="323">
        <f t="shared" si="540"/>
        <v>0.42195172344280474</v>
      </c>
      <c r="L373" s="323">
        <f t="shared" si="540"/>
        <v>0.4369396415609203</v>
      </c>
      <c r="M373" s="323">
        <f t="shared" si="540"/>
        <v>0.4743699354540718</v>
      </c>
      <c r="N373" s="323">
        <f t="shared" ref="N373:AD373" si="541">NGAAP_EBITDA/Rev_Net</f>
        <v>0.43065340928052581</v>
      </c>
      <c r="O373" s="323">
        <f t="shared" si="541"/>
        <v>0.29872303888749474</v>
      </c>
      <c r="P373" s="323">
        <f t="shared" si="541"/>
        <v>0.28857506649977199</v>
      </c>
      <c r="Q373" s="323">
        <f t="shared" si="541"/>
        <v>0.12503151646219163</v>
      </c>
      <c r="R373" s="323">
        <f t="shared" si="541"/>
        <v>0.31782856712731306</v>
      </c>
      <c r="S373" s="323">
        <f t="shared" si="541"/>
        <v>0.14810620406791988</v>
      </c>
      <c r="T373" s="323">
        <f t="shared" si="541"/>
        <v>0.18214904333655241</v>
      </c>
      <c r="U373" s="323">
        <f t="shared" ca="1" si="541"/>
        <v>0.16645833855258813</v>
      </c>
      <c r="V373" s="323">
        <f t="shared" ca="1" si="541"/>
        <v>0.20570322007053038</v>
      </c>
      <c r="W373" s="323">
        <f t="shared" ca="1" si="541"/>
        <v>0.21963779772452527</v>
      </c>
      <c r="X373" s="323">
        <f t="shared" ca="1" si="541"/>
        <v>0.22500178003602</v>
      </c>
      <c r="Y373" s="323">
        <f t="shared" ca="1" si="541"/>
        <v>0.23948362774529863</v>
      </c>
      <c r="Z373" s="323">
        <f t="shared" ca="1" si="541"/>
        <v>0.24831538945631429</v>
      </c>
      <c r="AA373" s="323">
        <f t="shared" ca="1" si="541"/>
        <v>0.25574818311591579</v>
      </c>
      <c r="AB373" s="323">
        <f t="shared" ca="1" si="541"/>
        <v>0.26325846244121293</v>
      </c>
      <c r="AC373" s="323">
        <f t="shared" ca="1" si="541"/>
        <v>0.26333604603366167</v>
      </c>
      <c r="AD373" s="323">
        <f t="shared" ca="1" si="541"/>
        <v>0.2634987238776707</v>
      </c>
      <c r="AE373" s="323"/>
      <c r="AF373" s="41">
        <f t="shared" ref="AF373:CE373" si="542">NGAAP_EBITDA/Rev_Net</f>
        <v>0.38613221315856394</v>
      </c>
      <c r="AG373" s="41">
        <f t="shared" si="542"/>
        <v>0.41073784577106509</v>
      </c>
      <c r="AH373" s="41">
        <f t="shared" si="542"/>
        <v>0.41484021353506045</v>
      </c>
      <c r="AI373" s="41">
        <f t="shared" si="542"/>
        <v>0.4195203231782757</v>
      </c>
      <c r="AJ373" s="41">
        <f t="shared" si="542"/>
        <v>0.42225546519395196</v>
      </c>
      <c r="AK373" s="41">
        <f t="shared" si="542"/>
        <v>0.42283369694830997</v>
      </c>
      <c r="AL373" s="41">
        <f t="shared" si="542"/>
        <v>0.37260972084793814</v>
      </c>
      <c r="AM373" s="41">
        <f t="shared" si="542"/>
        <v>0.37708826613702678</v>
      </c>
      <c r="AN373" s="41">
        <f t="shared" si="542"/>
        <v>0.40494895343826431</v>
      </c>
      <c r="AO373" s="41">
        <f t="shared" si="542"/>
        <v>0.4003043585544574</v>
      </c>
      <c r="AP373" s="41">
        <f t="shared" si="542"/>
        <v>0.41465379732602664</v>
      </c>
      <c r="AQ373" s="41">
        <f t="shared" si="542"/>
        <v>0.42222371622547761</v>
      </c>
      <c r="AR373" s="41">
        <f t="shared" si="542"/>
        <v>0.44427314370807519</v>
      </c>
      <c r="AS373" s="41">
        <f t="shared" si="542"/>
        <v>0.45398874815787016</v>
      </c>
      <c r="AT373" s="41">
        <f t="shared" si="542"/>
        <v>0.45341440974148106</v>
      </c>
      <c r="AU373" s="41">
        <f t="shared" si="542"/>
        <v>0.44739005627546297</v>
      </c>
      <c r="AV373" s="41">
        <f t="shared" si="542"/>
        <v>0.43570958446365138</v>
      </c>
      <c r="AW373" s="41">
        <f t="shared" si="542"/>
        <v>0.42685108500616648</v>
      </c>
      <c r="AX373" s="41">
        <f t="shared" si="542"/>
        <v>0.40504637478956618</v>
      </c>
      <c r="AY373" s="41">
        <f t="shared" si="542"/>
        <v>0.35135675463683108</v>
      </c>
      <c r="AZ373" s="41">
        <f t="shared" si="542"/>
        <v>0.33930935425473041</v>
      </c>
      <c r="BA373" s="41">
        <f t="shared" si="542"/>
        <v>0.23467303566442199</v>
      </c>
      <c r="BB373" s="41">
        <f t="shared" si="542"/>
        <v>0.25772010260874589</v>
      </c>
      <c r="BC373" s="41">
        <f t="shared" si="542"/>
        <v>0.27810420257254215</v>
      </c>
      <c r="BD373" s="41">
        <f t="shared" si="542"/>
        <v>0.22839955725807928</v>
      </c>
      <c r="BE373" s="41">
        <f t="shared" si="542"/>
        <v>0.25830185637186276</v>
      </c>
      <c r="BF373" s="41">
        <f t="shared" si="542"/>
        <v>0.3127154578225731</v>
      </c>
      <c r="BG373" s="41">
        <f t="shared" si="542"/>
        <v>0.25531284947154137</v>
      </c>
      <c r="BH373" s="41">
        <f t="shared" si="542"/>
        <v>0.14982790217209641</v>
      </c>
      <c r="BI373" s="41">
        <f t="shared" si="542"/>
        <v>0.1429667268826682</v>
      </c>
      <c r="BJ373" s="41">
        <f t="shared" si="542"/>
        <v>0.16622049603547712</v>
      </c>
      <c r="BK373" s="41">
        <f t="shared" si="542"/>
        <v>-5.1124794166621947E-2</v>
      </c>
      <c r="BL373" s="41">
        <f t="shared" si="542"/>
        <v>1.4223412355205637E-2</v>
      </c>
      <c r="BM373" s="41">
        <f t="shared" si="542"/>
        <v>0.11707812250657751</v>
      </c>
      <c r="BN373" s="41">
        <f t="shared" si="542"/>
        <v>0.80124513591697977</v>
      </c>
      <c r="BO373" s="41">
        <f t="shared" si="542"/>
        <v>9.4714288287354953E-2</v>
      </c>
      <c r="BP373" s="41">
        <f t="shared" si="542"/>
        <v>6.1501086117491284E-2</v>
      </c>
      <c r="BQ373" s="41">
        <f t="shared" si="542"/>
        <v>1.2873034460298071E-2</v>
      </c>
      <c r="BR373" s="41">
        <f t="shared" si="542"/>
        <v>0.10422910513011523</v>
      </c>
      <c r="BS373" s="41">
        <f t="shared" si="542"/>
        <v>0.24362684279233493</v>
      </c>
      <c r="BT373" s="323">
        <f t="shared" si="542"/>
        <v>9.9290553822007355E-2</v>
      </c>
      <c r="BU373" s="323">
        <f t="shared" si="542"/>
        <v>0.13322343918898702</v>
      </c>
      <c r="BV373" s="323">
        <f t="shared" si="542"/>
        <v>0.20420475426591281</v>
      </c>
      <c r="BW373" s="323">
        <f t="shared" si="542"/>
        <v>0.14167340990328298</v>
      </c>
      <c r="BX373" s="323">
        <f t="shared" ca="1" si="542"/>
        <v>9.6377516673433056E-2</v>
      </c>
      <c r="BY373" s="323">
        <f t="shared" ca="1" si="542"/>
        <v>0.11283707645367659</v>
      </c>
      <c r="BZ373" s="323">
        <f t="shared" ca="1" si="542"/>
        <v>0.14435983211810197</v>
      </c>
      <c r="CA373" s="323">
        <f t="shared" ca="1" si="542"/>
        <v>0.17248324223896036</v>
      </c>
      <c r="CB373" s="323">
        <f t="shared" ca="1" si="542"/>
        <v>0.16806178757867848</v>
      </c>
      <c r="CC373" s="323">
        <f t="shared" ca="1" si="542"/>
        <v>0.17574975680736463</v>
      </c>
      <c r="CD373" s="323">
        <f t="shared" ca="1" si="542"/>
        <v>0.19106339542057596</v>
      </c>
      <c r="CE373" s="323">
        <f t="shared" ca="1" si="542"/>
        <v>0.18113937345015094</v>
      </c>
      <c r="CF373" s="72"/>
      <c r="CG373" s="5"/>
      <c r="CH373" s="5"/>
      <c r="CI373" s="12"/>
      <c r="CP373" s="12"/>
      <c r="CQ373" s="12"/>
      <c r="CR373" s="12"/>
    </row>
    <row r="374" spans="1:96" outlineLevel="1">
      <c r="A374" s="3" t="s">
        <v>565</v>
      </c>
      <c r="B374" s="12" t="s">
        <v>79</v>
      </c>
      <c r="C374" s="6"/>
      <c r="D374" s="6"/>
      <c r="E374" s="6"/>
      <c r="F374" s="6"/>
      <c r="G374" s="6"/>
      <c r="H374" s="323">
        <f t="shared" ref="H374:M374" si="543">OP_NONGP/Rev_Net</f>
        <v>0.42453624964602571</v>
      </c>
      <c r="I374" s="323">
        <f t="shared" si="543"/>
        <v>0.39732979411517111</v>
      </c>
      <c r="J374" s="323">
        <f t="shared" si="543"/>
        <v>0.40966902044819364</v>
      </c>
      <c r="K374" s="323">
        <f t="shared" si="543"/>
        <v>0.3978501192353972</v>
      </c>
      <c r="L374" s="323">
        <f t="shared" si="543"/>
        <v>0.41141452738044942</v>
      </c>
      <c r="M374" s="323">
        <f t="shared" si="543"/>
        <v>0.45004569964570268</v>
      </c>
      <c r="N374" s="323">
        <f t="shared" ref="N374:AD374" si="544">OP_NONGP/Rev_Net</f>
        <v>0.40273054451671775</v>
      </c>
      <c r="O374" s="323">
        <f t="shared" si="544"/>
        <v>0.26121222945758865</v>
      </c>
      <c r="P374" s="323">
        <f t="shared" si="544"/>
        <v>0.23694662223196586</v>
      </c>
      <c r="Q374" s="323">
        <f t="shared" si="544"/>
        <v>4.7073661041244878E-2</v>
      </c>
      <c r="R374" s="323">
        <f t="shared" si="544"/>
        <v>9.3932831001384803E-2</v>
      </c>
      <c r="S374" s="323">
        <f t="shared" si="544"/>
        <v>0.10355703526971553</v>
      </c>
      <c r="T374" s="323">
        <f t="shared" si="544"/>
        <v>0.17774638663992665</v>
      </c>
      <c r="U374" s="323">
        <f t="shared" ca="1" si="544"/>
        <v>0.16705005404603782</v>
      </c>
      <c r="V374" s="323">
        <f t="shared" ca="1" si="544"/>
        <v>0.20244217438067172</v>
      </c>
      <c r="W374" s="323">
        <f t="shared" ca="1" si="544"/>
        <v>0.2244421743806716</v>
      </c>
      <c r="X374" s="323">
        <f t="shared" ca="1" si="544"/>
        <v>0.24444217438067167</v>
      </c>
      <c r="Y374" s="323">
        <f t="shared" ca="1" si="544"/>
        <v>0.26444217438067164</v>
      </c>
      <c r="Z374" s="323">
        <f t="shared" ca="1" si="544"/>
        <v>0.27644217438067165</v>
      </c>
      <c r="AA374" s="323">
        <f t="shared" ca="1" si="544"/>
        <v>0.28644217438067165</v>
      </c>
      <c r="AB374" s="323">
        <f t="shared" ca="1" si="544"/>
        <v>0.29644217438067161</v>
      </c>
      <c r="AC374" s="323">
        <f t="shared" ca="1" si="544"/>
        <v>0.29644217438067161</v>
      </c>
      <c r="AD374" s="323">
        <f t="shared" ca="1" si="544"/>
        <v>0.29644217438067155</v>
      </c>
      <c r="AE374" s="323"/>
      <c r="AF374" s="41">
        <f t="shared" ref="AF374:CE374" si="545">OP_NONGP/Rev_Net</f>
        <v>0.38613221315856394</v>
      </c>
      <c r="AG374" s="41">
        <f t="shared" si="545"/>
        <v>0.41073784577106509</v>
      </c>
      <c r="AH374" s="41">
        <f t="shared" si="545"/>
        <v>0.41484021353506045</v>
      </c>
      <c r="AI374" s="41">
        <f t="shared" si="545"/>
        <v>0.4195203231782757</v>
      </c>
      <c r="AJ374" s="41">
        <f t="shared" si="545"/>
        <v>0.42225546519395196</v>
      </c>
      <c r="AK374" s="41">
        <f t="shared" si="545"/>
        <v>0.42283369694830997</v>
      </c>
      <c r="AL374" s="41">
        <f t="shared" si="545"/>
        <v>0.37260972084793814</v>
      </c>
      <c r="AM374" s="41">
        <f t="shared" si="545"/>
        <v>0.37708826613702678</v>
      </c>
      <c r="AN374" s="41">
        <f t="shared" si="545"/>
        <v>0.40494895343826431</v>
      </c>
      <c r="AO374" s="41">
        <f t="shared" si="545"/>
        <v>0.4003043585544574</v>
      </c>
      <c r="AP374" s="41">
        <f t="shared" si="545"/>
        <v>0.41465379732602664</v>
      </c>
      <c r="AQ374" s="41">
        <f t="shared" si="545"/>
        <v>0.42222371622547761</v>
      </c>
      <c r="AR374" s="41">
        <f t="shared" si="545"/>
        <v>0.44427314370807519</v>
      </c>
      <c r="AS374" s="41">
        <f t="shared" si="545"/>
        <v>0.45398874815787016</v>
      </c>
      <c r="AT374" s="41">
        <f t="shared" si="545"/>
        <v>0.45341440974148106</v>
      </c>
      <c r="AU374" s="41">
        <f t="shared" si="545"/>
        <v>0.44739005627546297</v>
      </c>
      <c r="AV374" s="41">
        <f t="shared" si="545"/>
        <v>0.43570958446365138</v>
      </c>
      <c r="AW374" s="41">
        <f t="shared" si="545"/>
        <v>0.42685108500616648</v>
      </c>
      <c r="AX374" s="41">
        <f t="shared" si="545"/>
        <v>0.40504637478956618</v>
      </c>
      <c r="AY374" s="41">
        <f t="shared" si="545"/>
        <v>0.35135675463683108</v>
      </c>
      <c r="AZ374" s="41">
        <f t="shared" si="545"/>
        <v>0.30438306864478587</v>
      </c>
      <c r="BA374" s="41">
        <f t="shared" si="545"/>
        <v>0.28436379815225132</v>
      </c>
      <c r="BB374" s="41">
        <f t="shared" si="545"/>
        <v>0.25454537206869005</v>
      </c>
      <c r="BC374" s="41">
        <f t="shared" si="545"/>
        <v>0.2121444652900947</v>
      </c>
      <c r="BD374" s="41">
        <f t="shared" si="545"/>
        <v>0.23403956339697637</v>
      </c>
      <c r="BE374" s="41">
        <f t="shared" si="545"/>
        <v>0.24670178018214872</v>
      </c>
      <c r="BF374" s="41">
        <f t="shared" si="545"/>
        <v>0.26505323888279669</v>
      </c>
      <c r="BG374" s="41">
        <f t="shared" si="545"/>
        <v>0.20078896528244558</v>
      </c>
      <c r="BH374" s="41">
        <f t="shared" si="545"/>
        <v>0.12175548123125943</v>
      </c>
      <c r="BI374" s="41">
        <f t="shared" si="545"/>
        <v>0.11743719170358241</v>
      </c>
      <c r="BJ374" s="41">
        <f t="shared" si="545"/>
        <v>0.10579422444612598</v>
      </c>
      <c r="BK374" s="41">
        <f t="shared" si="545"/>
        <v>-0.14336432120663664</v>
      </c>
      <c r="BL374" s="41">
        <f t="shared" si="545"/>
        <v>-9.2262308608923194E-3</v>
      </c>
      <c r="BM374" s="41">
        <f t="shared" si="545"/>
        <v>8.4671824615189517E-2</v>
      </c>
      <c r="BN374" s="41">
        <f t="shared" si="545"/>
        <v>0.1695184362802086</v>
      </c>
      <c r="BO374" s="41">
        <f t="shared" si="545"/>
        <v>0.10148688735064126</v>
      </c>
      <c r="BP374" s="41">
        <f t="shared" si="545"/>
        <v>1.9771153753065868E-3</v>
      </c>
      <c r="BQ374" s="41">
        <f t="shared" si="545"/>
        <v>4.1286419272780449E-2</v>
      </c>
      <c r="BR374" s="41">
        <f t="shared" si="545"/>
        <v>0.18023708041216255</v>
      </c>
      <c r="BS374" s="41">
        <f t="shared" si="545"/>
        <v>0.1572038650974304</v>
      </c>
      <c r="BT374" s="323">
        <f t="shared" si="545"/>
        <v>0.15380533297317139</v>
      </c>
      <c r="BU374" s="323">
        <f t="shared" si="545"/>
        <v>0.18284962975556379</v>
      </c>
      <c r="BV374" s="323">
        <f t="shared" si="545"/>
        <v>0.22064599578807764</v>
      </c>
      <c r="BW374" s="323">
        <f>OP_NONGP/Rev_Net</f>
        <v>0.14232593446373606</v>
      </c>
      <c r="BX374" s="323">
        <f t="shared" ca="1" si="545"/>
        <v>0.12256394763343391</v>
      </c>
      <c r="BY374" s="323">
        <f t="shared" ca="1" si="545"/>
        <v>0.14149345417925474</v>
      </c>
      <c r="BZ374" s="323">
        <f t="shared" ca="1" si="545"/>
        <v>0.1814229607250756</v>
      </c>
      <c r="CA374" s="323">
        <f t="shared" ca="1" si="545"/>
        <v>0.20970638041188627</v>
      </c>
      <c r="CB374" s="323">
        <f t="shared" ca="1" si="545"/>
        <v>0.19242296072507553</v>
      </c>
      <c r="CC374" s="323">
        <f t="shared" ca="1" si="545"/>
        <v>0.20242296072507554</v>
      </c>
      <c r="CD374" s="323">
        <f t="shared" ca="1" si="545"/>
        <v>0.2224229607250755</v>
      </c>
      <c r="CE374" s="323">
        <f t="shared" ca="1" si="545"/>
        <v>0.1892791409744094</v>
      </c>
      <c r="CF374" s="72"/>
      <c r="CG374" s="5"/>
      <c r="CH374" s="5"/>
      <c r="CI374" s="12"/>
      <c r="CP374" s="12"/>
      <c r="CQ374" s="12"/>
      <c r="CR374" s="12"/>
    </row>
    <row r="375" spans="1:96" outlineLevel="1">
      <c r="A375" s="51" t="s">
        <v>735</v>
      </c>
      <c r="B375" s="12" t="s">
        <v>80</v>
      </c>
      <c r="C375" s="5"/>
      <c r="D375" s="5"/>
      <c r="E375" s="5"/>
      <c r="F375" s="5"/>
      <c r="G375" s="5"/>
      <c r="H375" s="323">
        <f t="shared" ref="H375:M375" si="546">NP_NONGP/Rev_Net</f>
        <v>0.43363751198140371</v>
      </c>
      <c r="I375" s="323">
        <f t="shared" si="546"/>
        <v>0.37854386807719925</v>
      </c>
      <c r="J375" s="323">
        <f t="shared" si="546"/>
        <v>0.40466431841117717</v>
      </c>
      <c r="K375" s="323">
        <f t="shared" si="546"/>
        <v>0.38631096182388924</v>
      </c>
      <c r="L375" s="323">
        <f t="shared" si="546"/>
        <v>0.39713258412240687</v>
      </c>
      <c r="M375" s="323">
        <f t="shared" si="546"/>
        <v>0.4479405085855836</v>
      </c>
      <c r="N375" s="323">
        <f t="shared" ref="N375:AD375" si="547">NP_NONGP/Rev_Net</f>
        <v>0.40570952533284449</v>
      </c>
      <c r="O375" s="323">
        <f t="shared" si="547"/>
        <v>0.27559142004917681</v>
      </c>
      <c r="P375" s="323">
        <f t="shared" si="547"/>
        <v>0.26662650942051874</v>
      </c>
      <c r="Q375" s="323">
        <f t="shared" si="547"/>
        <v>0.10063855794557307</v>
      </c>
      <c r="R375" s="323">
        <f t="shared" si="547"/>
        <v>0.2890784751575961</v>
      </c>
      <c r="S375" s="323">
        <f t="shared" si="547"/>
        <v>0.11072221831798797</v>
      </c>
      <c r="T375" s="323">
        <f t="shared" si="547"/>
        <v>0.14846446686765921</v>
      </c>
      <c r="U375" s="323">
        <f t="shared" ca="1" si="547"/>
        <v>0.13609575561443596</v>
      </c>
      <c r="V375" s="323">
        <f t="shared" ca="1" si="547"/>
        <v>0.17960960006688129</v>
      </c>
      <c r="W375" s="323">
        <f t="shared" ca="1" si="547"/>
        <v>0.1965636060174567</v>
      </c>
      <c r="X375" s="323">
        <f t="shared" ca="1" si="547"/>
        <v>0.2119100422003955</v>
      </c>
      <c r="Y375" s="323">
        <f t="shared" ca="1" si="547"/>
        <v>0.22718534701962681</v>
      </c>
      <c r="Z375" s="323">
        <f t="shared" ca="1" si="547"/>
        <v>0.23637914748227998</v>
      </c>
      <c r="AA375" s="323">
        <f t="shared" ca="1" si="547"/>
        <v>0.24403703651231479</v>
      </c>
      <c r="AB375" s="323">
        <f t="shared" ca="1" si="547"/>
        <v>0.25166728412921635</v>
      </c>
      <c r="AC375" s="323">
        <f t="shared" ca="1" si="547"/>
        <v>0.25177526522476584</v>
      </c>
      <c r="AD375" s="323">
        <f t="shared" ca="1" si="547"/>
        <v>0.25186311153551438</v>
      </c>
      <c r="AE375" s="323"/>
      <c r="AF375" s="41">
        <f t="shared" ref="AF375:CE375" si="548">NP_NONGP/Rev_Net</f>
        <v>0.3596255075201597</v>
      </c>
      <c r="AG375" s="41">
        <f t="shared" si="548"/>
        <v>0.3865244356163694</v>
      </c>
      <c r="AH375" s="41">
        <f t="shared" si="548"/>
        <v>0.41080154415411102</v>
      </c>
      <c r="AI375" s="41">
        <f t="shared" si="548"/>
        <v>0.44318965254389892</v>
      </c>
      <c r="AJ375" s="41">
        <f t="shared" si="548"/>
        <v>0.38857374705193876</v>
      </c>
      <c r="AK375" s="41">
        <f t="shared" si="548"/>
        <v>0.40155115744210534</v>
      </c>
      <c r="AL375" s="41">
        <f t="shared" si="548"/>
        <v>0.36683864660925491</v>
      </c>
      <c r="AM375" s="41">
        <f t="shared" si="548"/>
        <v>0.38841006585392257</v>
      </c>
      <c r="AN375" s="41">
        <f t="shared" si="548"/>
        <v>0.37038228964578196</v>
      </c>
      <c r="AO375" s="41">
        <f t="shared" si="548"/>
        <v>0.39018603334534113</v>
      </c>
      <c r="AP375" s="41">
        <f t="shared" si="548"/>
        <v>0.39507136706219409</v>
      </c>
      <c r="AQ375" s="41">
        <f t="shared" si="548"/>
        <v>0.42391022191626132</v>
      </c>
      <c r="AR375" s="41">
        <f t="shared" si="548"/>
        <v>0.43405313611002883</v>
      </c>
      <c r="AS375" s="41">
        <f t="shared" si="548"/>
        <v>0.42210239129443794</v>
      </c>
      <c r="AT375" s="41">
        <f t="shared" si="548"/>
        <v>0.46833369296557736</v>
      </c>
      <c r="AU375" s="41">
        <f t="shared" si="548"/>
        <v>0.46008180608512605</v>
      </c>
      <c r="AV375" s="41">
        <f t="shared" si="548"/>
        <v>0.39930343496136234</v>
      </c>
      <c r="AW375" s="41">
        <f t="shared" si="548"/>
        <v>0.42123736897356601</v>
      </c>
      <c r="AX375" s="41">
        <f t="shared" si="548"/>
        <v>0.42657917415029223</v>
      </c>
      <c r="AY375" s="41">
        <f t="shared" si="548"/>
        <v>0.37505693345275393</v>
      </c>
      <c r="AZ375" s="41">
        <f t="shared" si="548"/>
        <v>0.33930935425473041</v>
      </c>
      <c r="BA375" s="41">
        <f t="shared" si="548"/>
        <v>0.23467303566442199</v>
      </c>
      <c r="BB375" s="41">
        <f t="shared" si="548"/>
        <v>0.25772010260874589</v>
      </c>
      <c r="BC375" s="41">
        <f t="shared" si="548"/>
        <v>0.27810420257254215</v>
      </c>
      <c r="BD375" s="41">
        <f t="shared" si="548"/>
        <v>0.22839955725807928</v>
      </c>
      <c r="BE375" s="41">
        <f t="shared" si="548"/>
        <v>0.25830185637186276</v>
      </c>
      <c r="BF375" s="41">
        <f t="shared" si="548"/>
        <v>0.3127154578225731</v>
      </c>
      <c r="BG375" s="41">
        <f t="shared" si="548"/>
        <v>0.25531284947154137</v>
      </c>
      <c r="BH375" s="41">
        <f t="shared" si="548"/>
        <v>0.14982790217209641</v>
      </c>
      <c r="BI375" s="41">
        <f t="shared" si="548"/>
        <v>0.1429667268826682</v>
      </c>
      <c r="BJ375" s="41">
        <f t="shared" si="548"/>
        <v>0.16622049603547712</v>
      </c>
      <c r="BK375" s="41">
        <f t="shared" si="548"/>
        <v>-5.1124794166621947E-2</v>
      </c>
      <c r="BL375" s="41">
        <f t="shared" si="548"/>
        <v>1.4223412355205637E-2</v>
      </c>
      <c r="BM375" s="41">
        <f t="shared" si="548"/>
        <v>0.11707812250657751</v>
      </c>
      <c r="BN375" s="41">
        <f t="shared" si="548"/>
        <v>0.80124513591697977</v>
      </c>
      <c r="BO375" s="41">
        <f t="shared" si="548"/>
        <v>9.4714288287354953E-2</v>
      </c>
      <c r="BP375" s="41">
        <f t="shared" si="548"/>
        <v>6.1501086117491284E-2</v>
      </c>
      <c r="BQ375" s="41">
        <f t="shared" si="548"/>
        <v>1.2873034460298071E-2</v>
      </c>
      <c r="BR375" s="41">
        <f t="shared" si="548"/>
        <v>0.10422910513011523</v>
      </c>
      <c r="BS375" s="41">
        <f t="shared" si="548"/>
        <v>0.24362684279233493</v>
      </c>
      <c r="BT375" s="323">
        <f t="shared" si="548"/>
        <v>9.9290553822007355E-2</v>
      </c>
      <c r="BU375" s="323">
        <f t="shared" si="548"/>
        <v>0.13322343918898702</v>
      </c>
      <c r="BV375" s="323">
        <f t="shared" si="548"/>
        <v>0.20420475426591281</v>
      </c>
      <c r="BW375" s="323">
        <f t="shared" si="548"/>
        <v>0.14167340990328298</v>
      </c>
      <c r="BX375" s="323">
        <f t="shared" ca="1" si="548"/>
        <v>9.6377516673433056E-2</v>
      </c>
      <c r="BY375" s="323">
        <f t="shared" ca="1" si="548"/>
        <v>0.11283707645367659</v>
      </c>
      <c r="BZ375" s="323">
        <f t="shared" ca="1" si="548"/>
        <v>0.14435983211810197</v>
      </c>
      <c r="CA375" s="323">
        <f t="shared" ca="1" si="548"/>
        <v>0.17248324223896036</v>
      </c>
      <c r="CB375" s="323">
        <f t="shared" ca="1" si="548"/>
        <v>0.16806178757867848</v>
      </c>
      <c r="CC375" s="323">
        <f t="shared" ca="1" si="548"/>
        <v>0.17574975680736463</v>
      </c>
      <c r="CD375" s="323">
        <f t="shared" ca="1" si="548"/>
        <v>0.19106339542057596</v>
      </c>
      <c r="CE375" s="323">
        <f t="shared" ca="1" si="548"/>
        <v>0.18113937345015094</v>
      </c>
      <c r="CF375" s="72"/>
      <c r="CG375" s="5"/>
      <c r="CH375" s="5"/>
      <c r="CI375" s="12"/>
      <c r="CP375" s="12"/>
      <c r="CQ375" s="12"/>
      <c r="CR375" s="12"/>
    </row>
    <row r="376" spans="1:96" outlineLevel="1"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  <c r="BL376" s="6"/>
      <c r="BM376" s="6"/>
      <c r="BN376" s="6"/>
      <c r="BO376" s="6"/>
      <c r="BP376" s="6"/>
      <c r="BQ376" s="6"/>
      <c r="BR376" s="6"/>
      <c r="BS376" s="5"/>
      <c r="BT376" s="6"/>
      <c r="BU376" s="6"/>
      <c r="BV376" s="6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12"/>
      <c r="CP376" s="12"/>
      <c r="CQ376" s="12"/>
      <c r="CR376" s="12"/>
    </row>
    <row r="377" spans="1:96" outlineLevel="1">
      <c r="B377" s="49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10"/>
      <c r="BJ377" s="6"/>
      <c r="BK377" s="6"/>
      <c r="BL377" s="6"/>
      <c r="BM377" s="6"/>
      <c r="BN377" s="6"/>
      <c r="BO377" s="6"/>
      <c r="BP377" s="6"/>
      <c r="BQ377" s="6"/>
      <c r="BR377" s="6"/>
      <c r="BS377" s="6"/>
      <c r="BT377" s="6"/>
      <c r="BU377" s="6"/>
      <c r="BV377" s="6"/>
      <c r="BW377" s="6"/>
      <c r="BX377" s="6"/>
      <c r="BY377" s="6"/>
      <c r="BZ377" s="6"/>
      <c r="CA377" s="6"/>
      <c r="CB377" s="6"/>
      <c r="CC377" s="6"/>
      <c r="CD377" s="6"/>
      <c r="CE377" s="6"/>
      <c r="CF377" s="5"/>
      <c r="CG377" s="5"/>
      <c r="CH377" s="5"/>
    </row>
    <row r="378" spans="1:96" outlineLevel="1">
      <c r="B378" s="192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10"/>
      <c r="BJ378" s="161"/>
      <c r="BK378" s="6"/>
      <c r="BL378" s="6"/>
      <c r="BM378" s="217"/>
      <c r="BN378" s="215"/>
      <c r="BO378" s="6"/>
      <c r="BP378" s="6"/>
      <c r="BQ378" s="217"/>
      <c r="BR378" s="6"/>
      <c r="BS378" s="6"/>
      <c r="BT378" s="6"/>
      <c r="BU378" s="6"/>
      <c r="BV378" s="6"/>
      <c r="BW378" s="6"/>
      <c r="BX378" s="6"/>
      <c r="BY378" s="6"/>
      <c r="BZ378" s="6"/>
      <c r="CA378" s="6"/>
      <c r="CB378" s="6"/>
      <c r="CC378" s="6"/>
      <c r="CD378" s="6"/>
      <c r="CE378" s="6"/>
      <c r="CF378" s="5"/>
      <c r="CG378" s="5"/>
      <c r="CH378" s="5"/>
    </row>
    <row r="379" spans="1:96" outlineLevel="1">
      <c r="B379" s="192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10"/>
      <c r="BJ379" s="161"/>
      <c r="BK379" s="6"/>
      <c r="BL379" s="6"/>
      <c r="BM379" s="6"/>
      <c r="BN379" s="6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  <c r="BZ379" s="6"/>
      <c r="CA379" s="6"/>
      <c r="CB379" s="6"/>
      <c r="CC379" s="6"/>
      <c r="CD379" s="6"/>
      <c r="CE379" s="6"/>
      <c r="CF379" s="5"/>
      <c r="CG379" s="5"/>
      <c r="CH379" s="5"/>
    </row>
    <row r="380" spans="1:96" s="55" customFormat="1" outlineLevel="1">
      <c r="A380" s="3"/>
      <c r="B380" s="517" t="s">
        <v>790</v>
      </c>
      <c r="C380" s="517"/>
      <c r="D380" s="517"/>
      <c r="E380" s="517"/>
      <c r="F380" s="517"/>
      <c r="G380" s="517"/>
      <c r="H380" s="517"/>
      <c r="I380" s="517"/>
      <c r="J380" s="517"/>
      <c r="K380" s="517"/>
      <c r="L380" s="517"/>
      <c r="M380" s="517"/>
      <c r="N380" s="517"/>
      <c r="O380" s="517"/>
      <c r="P380" s="517"/>
      <c r="Q380" s="517"/>
      <c r="R380" s="517"/>
      <c r="S380" s="517"/>
      <c r="T380" s="517"/>
      <c r="U380" s="517"/>
      <c r="V380" s="517"/>
      <c r="W380" s="517"/>
      <c r="X380" s="517"/>
      <c r="Y380" s="517"/>
      <c r="Z380" s="517"/>
      <c r="AA380" s="517"/>
      <c r="AB380" s="517"/>
      <c r="AC380" s="517"/>
      <c r="AD380" s="517"/>
      <c r="AE380" s="517"/>
      <c r="AF380" s="517"/>
      <c r="AG380" s="517"/>
      <c r="AH380" s="517"/>
      <c r="AI380" s="517"/>
      <c r="AJ380" s="517"/>
      <c r="AK380" s="517"/>
      <c r="AL380" s="517"/>
      <c r="AM380" s="517"/>
      <c r="AN380" s="517"/>
      <c r="AO380" s="517"/>
      <c r="AP380" s="517"/>
      <c r="AQ380" s="517"/>
      <c r="AR380" s="517"/>
      <c r="AS380" s="517"/>
      <c r="AT380" s="517"/>
      <c r="AU380" s="517"/>
      <c r="AV380" s="517"/>
      <c r="AW380" s="517"/>
      <c r="AX380" s="517"/>
      <c r="AY380" s="517"/>
      <c r="AZ380" s="517"/>
      <c r="BA380" s="517"/>
      <c r="BB380" s="517"/>
      <c r="BC380" s="517"/>
      <c r="BD380" s="517"/>
      <c r="BE380" s="517"/>
      <c r="BF380" s="517"/>
      <c r="BG380" s="517"/>
      <c r="BH380" s="517"/>
      <c r="BI380" s="517"/>
      <c r="BJ380" s="517"/>
      <c r="BK380" s="517"/>
      <c r="BL380" s="517"/>
      <c r="BM380" s="517"/>
      <c r="BN380" s="517"/>
      <c r="BO380" s="517"/>
      <c r="BP380" s="517"/>
      <c r="BQ380" s="517"/>
      <c r="BR380" s="517"/>
      <c r="BS380" s="517"/>
      <c r="BT380" s="517"/>
      <c r="BU380" s="517"/>
      <c r="BV380" s="517"/>
      <c r="BW380" s="517"/>
      <c r="BX380" s="517"/>
      <c r="BY380" s="517"/>
      <c r="BZ380" s="517"/>
      <c r="CA380" s="517"/>
      <c r="CB380" s="517"/>
      <c r="CC380" s="517"/>
      <c r="CD380" s="517"/>
      <c r="CE380" s="517"/>
      <c r="CF380" s="31"/>
      <c r="CG380" s="5"/>
      <c r="CH380" s="5"/>
      <c r="CI380" s="214"/>
      <c r="CJ380"/>
      <c r="CK380"/>
      <c r="CL380"/>
      <c r="CM380"/>
      <c r="CN380"/>
      <c r="CO380"/>
      <c r="CP380" s="214"/>
      <c r="CQ380" s="214"/>
      <c r="CR380" s="214"/>
    </row>
    <row r="381" spans="1:96" outlineLevel="1">
      <c r="A381" s="3" t="s">
        <v>478</v>
      </c>
      <c r="B381" s="219" t="s">
        <v>576</v>
      </c>
      <c r="C381" s="84">
        <f t="shared" ref="C381:R381" si="549">COS</f>
        <v>-1.949479</v>
      </c>
      <c r="D381" s="84">
        <f t="shared" si="549"/>
        <v>-7.9398350000000004</v>
      </c>
      <c r="E381" s="84">
        <f t="shared" si="549"/>
        <v>-13.673013000000001</v>
      </c>
      <c r="F381" s="84">
        <f t="shared" si="549"/>
        <v>-25.654057000000002</v>
      </c>
      <c r="G381" s="84">
        <f t="shared" si="549"/>
        <v>-48.475282999999997</v>
      </c>
      <c r="H381" s="84">
        <f t="shared" si="549"/>
        <v>-88.627300000000005</v>
      </c>
      <c r="I381" s="84">
        <f t="shared" si="549"/>
        <v>-153.13186400000001</v>
      </c>
      <c r="J381" s="84">
        <f t="shared" si="549"/>
        <v>-236.22606300000001</v>
      </c>
      <c r="K381" s="84">
        <f t="shared" si="549"/>
        <v>-326.61046299999998</v>
      </c>
      <c r="L381" s="84">
        <f t="shared" si="549"/>
        <v>-450.60277300000001</v>
      </c>
      <c r="M381" s="84">
        <f t="shared" si="549"/>
        <v>-625.26134200000001</v>
      </c>
      <c r="N381" s="566">
        <f t="shared" si="549"/>
        <v>-805.12978399999997</v>
      </c>
      <c r="O381" s="566">
        <f t="shared" si="549"/>
        <v>-1037.791093</v>
      </c>
      <c r="P381" s="566">
        <f t="shared" si="549"/>
        <v>-1386.767067</v>
      </c>
      <c r="Q381" s="566">
        <f t="shared" si="549"/>
        <v>-2100.6064129999995</v>
      </c>
      <c r="R381" s="566">
        <f t="shared" si="549"/>
        <v>-3043.4398190000002</v>
      </c>
      <c r="S381" s="567">
        <f>COS</f>
        <v>-4729.7501920000004</v>
      </c>
      <c r="T381" s="567">
        <f>COS</f>
        <v>-4678.2091030000001</v>
      </c>
      <c r="U381" s="544">
        <f t="shared" ref="U381:AD381" ca="1" si="550">+VLOOKUP($A381,INDIRECT($T$2),MATCH(U$4,Period_A_CTRP,FALSE),FALSE)</f>
        <v>-5413.992614863776</v>
      </c>
      <c r="V381" s="544">
        <f t="shared" ca="1" si="550"/>
        <v>-6724.3312586533311</v>
      </c>
      <c r="W381" s="544">
        <f t="shared" ca="1" si="550"/>
        <v>-8119.8062504415839</v>
      </c>
      <c r="X381" s="544">
        <f t="shared" ca="1" si="550"/>
        <v>-9776.5091594651076</v>
      </c>
      <c r="Y381" s="544">
        <f t="shared" ca="1" si="550"/>
        <v>-11668.424807070107</v>
      </c>
      <c r="Z381" s="544">
        <f t="shared" ca="1" si="550"/>
        <v>-13345.894846065525</v>
      </c>
      <c r="AA381" s="544">
        <f t="shared" ca="1" si="550"/>
        <v>-15313.460069229375</v>
      </c>
      <c r="AB381" s="544">
        <f t="shared" ca="1" si="550"/>
        <v>-17433.721271887749</v>
      </c>
      <c r="AC381" s="544">
        <f t="shared" ca="1" si="550"/>
        <v>-19694.387569617797</v>
      </c>
      <c r="AD381" s="544">
        <f t="shared" ca="1" si="550"/>
        <v>-22017.021259789835</v>
      </c>
      <c r="AE381" s="546"/>
      <c r="AF381" s="84">
        <f t="shared" ref="AF381:BW381" si="551">COS</f>
        <v>-48.559778999999999</v>
      </c>
      <c r="AG381" s="84">
        <f t="shared" si="551"/>
        <v>-57.223269000000002</v>
      </c>
      <c r="AH381" s="84">
        <f t="shared" si="551"/>
        <v>-64.011658999999995</v>
      </c>
      <c r="AI381" s="84">
        <f t="shared" si="551"/>
        <v>-66.431355999999994</v>
      </c>
      <c r="AJ381" s="84">
        <f t="shared" si="551"/>
        <v>-67.996983999999998</v>
      </c>
      <c r="AK381" s="84">
        <f t="shared" si="551"/>
        <v>-79.671771000000007</v>
      </c>
      <c r="AL381" s="84">
        <f t="shared" si="551"/>
        <v>-86.404045999999994</v>
      </c>
      <c r="AM381" s="84">
        <f t="shared" si="551"/>
        <v>-92.537661999999997</v>
      </c>
      <c r="AN381" s="84">
        <f t="shared" si="551"/>
        <v>-89.970448000000005</v>
      </c>
      <c r="AO381" s="84">
        <f t="shared" si="551"/>
        <v>-108.06146099999999</v>
      </c>
      <c r="AP381" s="84">
        <f t="shared" si="551"/>
        <v>-124.352706</v>
      </c>
      <c r="AQ381" s="84">
        <f t="shared" si="551"/>
        <v>-128.21815799999999</v>
      </c>
      <c r="AR381" s="84">
        <f t="shared" si="551"/>
        <v>-128.37750800000001</v>
      </c>
      <c r="AS381" s="84">
        <f t="shared" si="551"/>
        <v>-151.15484900000001</v>
      </c>
      <c r="AT381" s="84">
        <f t="shared" si="551"/>
        <v>-176.19974300000001</v>
      </c>
      <c r="AU381" s="84">
        <f t="shared" si="551"/>
        <v>-169.52924200000001</v>
      </c>
      <c r="AV381" s="84">
        <f t="shared" si="551"/>
        <v>-164.70689899999999</v>
      </c>
      <c r="AW381" s="84">
        <f t="shared" si="551"/>
        <v>-189.76378</v>
      </c>
      <c r="AX381" s="566">
        <f t="shared" si="551"/>
        <v>-226.12606199999999</v>
      </c>
      <c r="AY381" s="566">
        <f t="shared" si="551"/>
        <v>-224.53304299999999</v>
      </c>
      <c r="AZ381" s="566">
        <f t="shared" si="551"/>
        <v>-225.95674</v>
      </c>
      <c r="BA381" s="566">
        <f t="shared" si="551"/>
        <v>-241.16888700000001</v>
      </c>
      <c r="BB381" s="566">
        <f t="shared" si="551"/>
        <v>-285.96071999999998</v>
      </c>
      <c r="BC381" s="566">
        <f t="shared" si="551"/>
        <v>-284.704746</v>
      </c>
      <c r="BD381" s="566">
        <f t="shared" si="551"/>
        <v>-304.17168700000002</v>
      </c>
      <c r="BE381" s="566">
        <f t="shared" si="551"/>
        <v>-309.111062</v>
      </c>
      <c r="BF381" s="566">
        <f t="shared" si="551"/>
        <v>-379.12170900000001</v>
      </c>
      <c r="BG381" s="566">
        <f t="shared" si="551"/>
        <v>-394.36260900000002</v>
      </c>
      <c r="BH381" s="566">
        <f t="shared" si="551"/>
        <v>-449.41188699999998</v>
      </c>
      <c r="BI381" s="566">
        <f t="shared" si="551"/>
        <v>-478.60139299999997</v>
      </c>
      <c r="BJ381" s="566">
        <f t="shared" si="551"/>
        <v>-588.98023000000001</v>
      </c>
      <c r="BK381" s="566">
        <f t="shared" si="551"/>
        <v>-583.61290299999996</v>
      </c>
      <c r="BL381" s="566">
        <f t="shared" si="551"/>
        <v>-704.606314</v>
      </c>
      <c r="BM381" s="566">
        <f t="shared" si="551"/>
        <v>-730.01903100000004</v>
      </c>
      <c r="BN381" s="566">
        <f t="shared" si="551"/>
        <v>-845.57812899999999</v>
      </c>
      <c r="BO381" s="566">
        <f t="shared" si="551"/>
        <v>-763.23634500000003</v>
      </c>
      <c r="BP381" s="566">
        <f t="shared" si="551"/>
        <v>-1135.944483</v>
      </c>
      <c r="BQ381" s="566">
        <f t="shared" si="551"/>
        <v>-1233.1485359999999</v>
      </c>
      <c r="BR381" s="566">
        <f t="shared" si="551"/>
        <v>-1234.297161</v>
      </c>
      <c r="BS381" s="566">
        <f t="shared" si="551"/>
        <v>-1126.3600120000001</v>
      </c>
      <c r="BT381" s="566">
        <f t="shared" si="551"/>
        <v>-1189.3067900000001</v>
      </c>
      <c r="BU381" s="566">
        <f t="shared" si="551"/>
        <v>-1124.0941459999999</v>
      </c>
      <c r="BV381" s="566">
        <f t="shared" si="551"/>
        <v>-1303.4836580000001</v>
      </c>
      <c r="BW381" s="566">
        <f t="shared" si="551"/>
        <v>-1061.324509</v>
      </c>
      <c r="BX381" s="544">
        <f t="shared" ref="BX381:CE381" ca="1" si="552">+VLOOKUP($A381,INDIRECT($T$2),MATCH(BX$4,Period_A_CTRP,FALSE),FALSE)</f>
        <v>-1152.8371165942431</v>
      </c>
      <c r="BY381" s="544">
        <f t="shared" ca="1" si="552"/>
        <v>-1266.1028620265497</v>
      </c>
      <c r="BZ381" s="544">
        <f t="shared" ca="1" si="552"/>
        <v>-1573.6843334017651</v>
      </c>
      <c r="CA381" s="544">
        <f t="shared" ca="1" si="552"/>
        <v>-1421.3683028412179</v>
      </c>
      <c r="CB381" s="544">
        <f t="shared" ca="1" si="552"/>
        <v>-1530.9758109331369</v>
      </c>
      <c r="CC381" s="544">
        <f t="shared" ca="1" si="552"/>
        <v>-1643.5917188153339</v>
      </c>
      <c r="CD381" s="544">
        <f t="shared" ca="1" si="552"/>
        <v>-1873.5442134179452</v>
      </c>
      <c r="CE381" s="544">
        <f t="shared" ca="1" si="552"/>
        <v>-1676.219515486915</v>
      </c>
      <c r="CF381" s="195"/>
      <c r="CG381" s="5"/>
      <c r="CH381" s="5"/>
    </row>
    <row r="382" spans="1:96" outlineLevel="1">
      <c r="B382" s="12" t="s">
        <v>82</v>
      </c>
      <c r="C382" s="5"/>
      <c r="D382" s="126">
        <f t="shared" ref="D382:M382" si="553">(D381/C381-1)*1</f>
        <v>3.072798424604728</v>
      </c>
      <c r="E382" s="126">
        <f t="shared" si="553"/>
        <v>0.72207772579656893</v>
      </c>
      <c r="F382" s="126">
        <f t="shared" si="553"/>
        <v>0.8762548532646024</v>
      </c>
      <c r="G382" s="126">
        <f t="shared" si="553"/>
        <v>0.88957571116334511</v>
      </c>
      <c r="H382" s="126">
        <f t="shared" si="553"/>
        <v>0.82829876413511627</v>
      </c>
      <c r="I382" s="126">
        <f t="shared" si="553"/>
        <v>0.72781822305316757</v>
      </c>
      <c r="J382" s="126">
        <f t="shared" si="553"/>
        <v>0.54263166939573071</v>
      </c>
      <c r="K382" s="126">
        <f t="shared" si="553"/>
        <v>0.38261823802227934</v>
      </c>
      <c r="L382" s="126">
        <f t="shared" si="553"/>
        <v>0.37963361265618745</v>
      </c>
      <c r="M382" s="126">
        <f t="shared" si="553"/>
        <v>0.38761095018827141</v>
      </c>
      <c r="N382" s="323">
        <f>(N381/M381-1)</f>
        <v>0.28766921912149801</v>
      </c>
      <c r="O382" s="323">
        <f t="shared" ref="O382:AD382" si="554">(O381/N381-1)</f>
        <v>0.28897367061010382</v>
      </c>
      <c r="P382" s="323">
        <f t="shared" si="554"/>
        <v>0.33626803732839505</v>
      </c>
      <c r="Q382" s="323">
        <f t="shared" si="554"/>
        <v>0.51475071984818022</v>
      </c>
      <c r="R382" s="323">
        <f t="shared" si="554"/>
        <v>0.44883867828123258</v>
      </c>
      <c r="S382" s="323">
        <f t="shared" si="554"/>
        <v>0.55408040680563886</v>
      </c>
      <c r="T382" s="323">
        <f t="shared" si="554"/>
        <v>-1.0897211672442619E-2</v>
      </c>
      <c r="U382" s="323">
        <f t="shared" ca="1" si="554"/>
        <v>0.15727888507419197</v>
      </c>
      <c r="V382" s="323">
        <f t="shared" ca="1" si="554"/>
        <v>0.24202815500562425</v>
      </c>
      <c r="W382" s="323">
        <f t="shared" ca="1" si="554"/>
        <v>0.2075262116202945</v>
      </c>
      <c r="X382" s="323">
        <f t="shared" ca="1" si="554"/>
        <v>0.20403232022111695</v>
      </c>
      <c r="Y382" s="323">
        <f t="shared" ca="1" si="554"/>
        <v>0.19351648085690631</v>
      </c>
      <c r="Z382" s="323">
        <f t="shared" ca="1" si="554"/>
        <v>0.14376148166794622</v>
      </c>
      <c r="AA382" s="323">
        <f t="shared" ca="1" si="554"/>
        <v>0.14742849736628227</v>
      </c>
      <c r="AB382" s="323">
        <f t="shared" ca="1" si="554"/>
        <v>0.13845735667008352</v>
      </c>
      <c r="AC382" s="323">
        <f t="shared" ca="1" si="554"/>
        <v>0.12967204548436939</v>
      </c>
      <c r="AD382" s="323">
        <f t="shared" ca="1" si="554"/>
        <v>0.1179337860576648</v>
      </c>
      <c r="AE382" s="328"/>
      <c r="AF382" s="126"/>
      <c r="AG382" s="126"/>
      <c r="AH382" s="126"/>
      <c r="AI382" s="126"/>
      <c r="AJ382" s="323">
        <f>(AJ381/AF381-1)</f>
        <v>0.40027375330517878</v>
      </c>
      <c r="AK382" s="323">
        <f t="shared" ref="AK382:AU382" si="555">(AK381/AG381-1)</f>
        <v>0.39229674208231624</v>
      </c>
      <c r="AL382" s="323">
        <f t="shared" si="555"/>
        <v>0.34981731999790844</v>
      </c>
      <c r="AM382" s="323">
        <f t="shared" si="555"/>
        <v>0.39298168172270942</v>
      </c>
      <c r="AN382" s="323">
        <f t="shared" si="555"/>
        <v>0.32315350927917641</v>
      </c>
      <c r="AO382" s="323">
        <f t="shared" si="555"/>
        <v>0.35633311075763574</v>
      </c>
      <c r="AP382" s="323">
        <f t="shared" si="555"/>
        <v>0.43920003468356117</v>
      </c>
      <c r="AQ382" s="323">
        <f t="shared" si="555"/>
        <v>0.38557810116274593</v>
      </c>
      <c r="AR382" s="323">
        <f t="shared" si="555"/>
        <v>0.42688528126479919</v>
      </c>
      <c r="AS382" s="323">
        <f t="shared" si="555"/>
        <v>0.39878590943722325</v>
      </c>
      <c r="AT382" s="323">
        <f t="shared" si="555"/>
        <v>0.41693533392027682</v>
      </c>
      <c r="AU382" s="323">
        <f t="shared" si="555"/>
        <v>0.32219370988000029</v>
      </c>
      <c r="AV382" s="323">
        <f t="shared" ref="AV382:CA382" si="556">(AV381/AR381-1)</f>
        <v>0.28298875376206856</v>
      </c>
      <c r="AW382" s="323">
        <f t="shared" si="556"/>
        <v>0.25542634758611005</v>
      </c>
      <c r="AX382" s="323">
        <f t="shared" si="556"/>
        <v>0.28335069137983915</v>
      </c>
      <c r="AY382" s="323">
        <f t="shared" si="556"/>
        <v>0.32445022670484169</v>
      </c>
      <c r="AZ382" s="323">
        <f t="shared" si="556"/>
        <v>0.37187173926454653</v>
      </c>
      <c r="BA382" s="323">
        <f t="shared" si="556"/>
        <v>0.27088998227164329</v>
      </c>
      <c r="BB382" s="323">
        <f t="shared" si="556"/>
        <v>0.26460752675204691</v>
      </c>
      <c r="BC382" s="323">
        <f t="shared" si="556"/>
        <v>0.26798595964336536</v>
      </c>
      <c r="BD382" s="323">
        <f t="shared" si="556"/>
        <v>0.34615009492525006</v>
      </c>
      <c r="BE382" s="323">
        <f t="shared" si="556"/>
        <v>0.2817203157719097</v>
      </c>
      <c r="BF382" s="323">
        <f t="shared" si="556"/>
        <v>0.32578246760604057</v>
      </c>
      <c r="BG382" s="323">
        <f t="shared" si="556"/>
        <v>0.38516345280735154</v>
      </c>
      <c r="BH382" s="323">
        <f t="shared" si="556"/>
        <v>0.47749414625826092</v>
      </c>
      <c r="BI382" s="323">
        <f t="shared" si="556"/>
        <v>0.54831532040092434</v>
      </c>
      <c r="BJ382" s="323">
        <f t="shared" si="556"/>
        <v>0.55353865531345758</v>
      </c>
      <c r="BK382" s="323">
        <f t="shared" si="556"/>
        <v>0.47988904039327918</v>
      </c>
      <c r="BL382" s="323">
        <f t="shared" si="556"/>
        <v>0.56784084796582168</v>
      </c>
      <c r="BM382" s="323">
        <f t="shared" si="556"/>
        <v>0.52531739705989544</v>
      </c>
      <c r="BN382" s="323">
        <f t="shared" si="556"/>
        <v>0.43566470643675093</v>
      </c>
      <c r="BO382" s="323">
        <f t="shared" si="556"/>
        <v>0.30777839399482931</v>
      </c>
      <c r="BP382" s="323">
        <f t="shared" si="556"/>
        <v>0.61216903741796447</v>
      </c>
      <c r="BQ382" s="323">
        <f t="shared" si="556"/>
        <v>0.68920053263652492</v>
      </c>
      <c r="BR382" s="323">
        <f t="shared" si="556"/>
        <v>0.45970800174279347</v>
      </c>
      <c r="BS382" s="323">
        <f t="shared" si="556"/>
        <v>0.47576831132170483</v>
      </c>
      <c r="BT382" s="323">
        <f t="shared" si="556"/>
        <v>4.6976157548713759E-2</v>
      </c>
      <c r="BU382" s="323">
        <f t="shared" si="556"/>
        <v>-8.8435729205617819E-2</v>
      </c>
      <c r="BV382" s="323">
        <f t="shared" si="556"/>
        <v>5.6053355047780196E-2</v>
      </c>
      <c r="BW382" s="323">
        <f t="shared" si="556"/>
        <v>-5.7739534702160644E-2</v>
      </c>
      <c r="BX382" s="323">
        <f t="shared" ca="1" si="556"/>
        <v>-3.0664647433617187E-2</v>
      </c>
      <c r="BY382" s="323">
        <f t="shared" ca="1" si="556"/>
        <v>0.12633169252938159</v>
      </c>
      <c r="BZ382" s="323">
        <f t="shared" ca="1" si="556"/>
        <v>0.2072911875369019</v>
      </c>
      <c r="CA382" s="323">
        <f t="shared" ca="1" si="556"/>
        <v>0.3392400635131454</v>
      </c>
      <c r="CB382" s="323">
        <f ca="1">(CB381/BX381-1)</f>
        <v>0.32800704357611776</v>
      </c>
      <c r="CC382" s="323">
        <f ca="1">(CC381/BY381-1)</f>
        <v>0.29815022784528589</v>
      </c>
      <c r="CD382" s="323">
        <f ca="1">(CD381/BZ381-1)</f>
        <v>0.19054639717228805</v>
      </c>
      <c r="CE382" s="323">
        <f ca="1">(CE381/CA381-1)</f>
        <v>0.17929991272231627</v>
      </c>
      <c r="CF382" s="62"/>
      <c r="CG382" s="5"/>
      <c r="CH382" s="5"/>
    </row>
    <row r="383" spans="1:96" outlineLevel="1">
      <c r="B383" s="12" t="s">
        <v>83</v>
      </c>
      <c r="C383" s="5"/>
      <c r="D383" s="5"/>
      <c r="E383" s="5"/>
      <c r="F383" s="5"/>
      <c r="G383" s="5"/>
      <c r="H383" s="126"/>
      <c r="I383" s="126"/>
      <c r="J383" s="126"/>
      <c r="K383" s="126"/>
      <c r="L383" s="126"/>
      <c r="M383" s="126"/>
      <c r="N383" s="126"/>
      <c r="O383" s="126"/>
      <c r="P383" s="126"/>
      <c r="Q383" s="126"/>
      <c r="R383" s="126"/>
      <c r="S383" s="126"/>
      <c r="T383" s="324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330"/>
      <c r="AF383" s="126"/>
      <c r="AG383" s="323">
        <f>(AG381/AF381-1)</f>
        <v>0.17840876088006907</v>
      </c>
      <c r="AH383" s="323">
        <f t="shared" ref="AH383:CA383" si="557">(AH381/AG381-1)</f>
        <v>0.11862988813169673</v>
      </c>
      <c r="AI383" s="323">
        <f t="shared" si="557"/>
        <v>3.7800879367928975E-2</v>
      </c>
      <c r="AJ383" s="323">
        <f t="shared" si="557"/>
        <v>2.3567605634905453E-2</v>
      </c>
      <c r="AK383" s="323">
        <f t="shared" si="557"/>
        <v>0.17169565932512554</v>
      </c>
      <c r="AL383" s="323">
        <f t="shared" si="557"/>
        <v>8.450012991427025E-2</v>
      </c>
      <c r="AM383" s="323">
        <f t="shared" si="557"/>
        <v>7.0987601668560885E-2</v>
      </c>
      <c r="AN383" s="323">
        <f t="shared" si="557"/>
        <v>-2.7742369371726694E-2</v>
      </c>
      <c r="AO383" s="323">
        <f t="shared" si="557"/>
        <v>0.20107728039766992</v>
      </c>
      <c r="AP383" s="323">
        <f t="shared" si="557"/>
        <v>0.15075906663893801</v>
      </c>
      <c r="AQ383" s="323">
        <f t="shared" si="557"/>
        <v>3.1084582912091818E-2</v>
      </c>
      <c r="AR383" s="323">
        <f t="shared" si="557"/>
        <v>1.242803690878258E-3</v>
      </c>
      <c r="AS383" s="323">
        <f t="shared" si="557"/>
        <v>0.17742470121791132</v>
      </c>
      <c r="AT383" s="323">
        <f t="shared" si="557"/>
        <v>0.16569031139715529</v>
      </c>
      <c r="AU383" s="323">
        <f t="shared" si="557"/>
        <v>-3.7857609133970183E-2</v>
      </c>
      <c r="AV383" s="323">
        <f t="shared" si="557"/>
        <v>-2.8445493786847798E-2</v>
      </c>
      <c r="AW383" s="323">
        <f t="shared" si="557"/>
        <v>0.15213012419109417</v>
      </c>
      <c r="AX383" s="323">
        <f t="shared" si="557"/>
        <v>0.19161866400426875</v>
      </c>
      <c r="AY383" s="323">
        <f t="shared" si="557"/>
        <v>-7.0448270575728111E-3</v>
      </c>
      <c r="AZ383" s="323">
        <f t="shared" si="557"/>
        <v>6.3407014886445179E-3</v>
      </c>
      <c r="BA383" s="323">
        <f t="shared" si="557"/>
        <v>6.7323271702362186E-2</v>
      </c>
      <c r="BB383" s="323">
        <f t="shared" si="557"/>
        <v>0.18572807445099659</v>
      </c>
      <c r="BC383" s="323">
        <f t="shared" si="557"/>
        <v>-4.3921207080468427E-3</v>
      </c>
      <c r="BD383" s="323">
        <f t="shared" si="557"/>
        <v>6.8375892125100091E-2</v>
      </c>
      <c r="BE383" s="323">
        <f t="shared" si="557"/>
        <v>1.623877307160404E-2</v>
      </c>
      <c r="BF383" s="323">
        <f t="shared" si="557"/>
        <v>0.22649026711311948</v>
      </c>
      <c r="BG383" s="323">
        <f t="shared" si="557"/>
        <v>4.020054678535967E-2</v>
      </c>
      <c r="BH383" s="323">
        <f t="shared" si="557"/>
        <v>0.13959051072207496</v>
      </c>
      <c r="BI383" s="323">
        <f t="shared" si="557"/>
        <v>6.4950453791623897E-2</v>
      </c>
      <c r="BJ383" s="323">
        <f t="shared" si="557"/>
        <v>0.23062790584063353</v>
      </c>
      <c r="BK383" s="323">
        <f t="shared" si="557"/>
        <v>-9.1129153859714762E-3</v>
      </c>
      <c r="BL383" s="323">
        <f t="shared" si="557"/>
        <v>0.20731791634154462</v>
      </c>
      <c r="BM383" s="323">
        <f t="shared" si="557"/>
        <v>3.6066547368464263E-2</v>
      </c>
      <c r="BN383" s="323">
        <f t="shared" si="557"/>
        <v>0.15829600749134443</v>
      </c>
      <c r="BO383" s="323">
        <f t="shared" si="557"/>
        <v>-9.7379273630668783E-2</v>
      </c>
      <c r="BP383" s="323">
        <f t="shared" si="557"/>
        <v>0.48832598243208647</v>
      </c>
      <c r="BQ383" s="323">
        <f t="shared" si="557"/>
        <v>8.5571129975724247E-2</v>
      </c>
      <c r="BR383" s="323">
        <f t="shared" si="557"/>
        <v>9.3145713307651867E-4</v>
      </c>
      <c r="BS383" s="323">
        <f t="shared" si="557"/>
        <v>-8.744826805933148E-2</v>
      </c>
      <c r="BT383" s="323">
        <f t="shared" si="557"/>
        <v>5.588513204426504E-2</v>
      </c>
      <c r="BU383" s="323">
        <f t="shared" si="557"/>
        <v>-5.4832482710369557E-2</v>
      </c>
      <c r="BV383" s="323">
        <f t="shared" si="557"/>
        <v>0.15958584308827128</v>
      </c>
      <c r="BW383" s="323">
        <f t="shared" si="557"/>
        <v>-0.18577843114010106</v>
      </c>
      <c r="BX383" s="323">
        <f t="shared" ca="1" si="557"/>
        <v>8.6224907479492741E-2</v>
      </c>
      <c r="BY383" s="323">
        <f t="shared" ca="1" si="557"/>
        <v>9.8249565183085696E-2</v>
      </c>
      <c r="BZ383" s="323">
        <f t="shared" ca="1" si="557"/>
        <v>0.24293561021013277</v>
      </c>
      <c r="CA383" s="323">
        <f t="shared" ca="1" si="557"/>
        <v>-9.6789443300418609E-2</v>
      </c>
      <c r="CB383" s="323">
        <f ca="1">(CB381/CA381-1)</f>
        <v>7.7114079350736331E-2</v>
      </c>
      <c r="CC383" s="323">
        <f ca="1">(CC381/CB381-1)</f>
        <v>7.3558254204916018E-2</v>
      </c>
      <c r="CD383" s="323">
        <f ca="1">(CD381/CC381-1)</f>
        <v>0.13990852592537784</v>
      </c>
      <c r="CE383" s="323">
        <f ca="1">(CE381/CD381-1)</f>
        <v>-0.10532161265148188</v>
      </c>
      <c r="CF383" s="62"/>
      <c r="CG383" s="5"/>
      <c r="CH383" s="5"/>
    </row>
    <row r="384" spans="1:96" outlineLevel="1">
      <c r="A384" s="3" t="s">
        <v>152</v>
      </c>
      <c r="B384" s="12" t="s">
        <v>164</v>
      </c>
      <c r="C384" s="6">
        <f t="shared" ref="C384:M384" si="558">-COS/Rev_Net*100</f>
        <v>30.210934880050683</v>
      </c>
      <c r="D384" s="6">
        <f t="shared" si="558"/>
        <v>18.051816975872224</v>
      </c>
      <c r="E384" s="6">
        <f t="shared" si="558"/>
        <v>13.666363767372625</v>
      </c>
      <c r="F384" s="6">
        <f t="shared" si="558"/>
        <v>14.816385460527401</v>
      </c>
      <c r="G384" s="6">
        <f t="shared" si="558"/>
        <v>14.521380330278937</v>
      </c>
      <c r="H384" s="6">
        <f t="shared" si="558"/>
        <v>17.003674425065292</v>
      </c>
      <c r="I384" s="6">
        <f t="shared" si="558"/>
        <v>19.633509975631913</v>
      </c>
      <c r="J384" s="6">
        <f t="shared" si="558"/>
        <v>19.700097325506725</v>
      </c>
      <c r="K384" s="6">
        <f t="shared" si="558"/>
        <v>22.041106986193917</v>
      </c>
      <c r="L384" s="6">
        <f t="shared" si="558"/>
        <v>22.666058183831801</v>
      </c>
      <c r="M384" s="6">
        <f t="shared" si="558"/>
        <v>21.701168706077976</v>
      </c>
      <c r="N384" s="323">
        <f t="shared" ref="N384:T384" si="559">-COS/Rev_Net</f>
        <v>0.2301630376679383</v>
      </c>
      <c r="O384" s="323">
        <f t="shared" si="559"/>
        <v>0.24954152080836989</v>
      </c>
      <c r="P384" s="323">
        <f t="shared" si="559"/>
        <v>0.25744061162486598</v>
      </c>
      <c r="Q384" s="323">
        <f t="shared" si="559"/>
        <v>0.28591666702918817</v>
      </c>
      <c r="R384" s="323">
        <f t="shared" si="559"/>
        <v>0.27927697280384983</v>
      </c>
      <c r="S384" s="672">
        <f t="shared" si="559"/>
        <v>0.24597680507371825</v>
      </c>
      <c r="T384" s="672">
        <f t="shared" si="559"/>
        <v>0.17469281409648735</v>
      </c>
      <c r="U384" s="545">
        <f t="shared" ref="U384:AD384" ca="1" si="560">+VLOOKUP($A384,INDIRECT($T$2),MATCH(U$4,Period_A_CTRP,FALSE),FALSE)</f>
        <v>0.17</v>
      </c>
      <c r="V384" s="545">
        <f t="shared" ca="1" si="560"/>
        <v>0.16800000000000001</v>
      </c>
      <c r="W384" s="545">
        <f t="shared" ca="1" si="560"/>
        <v>0.16600000000000001</v>
      </c>
      <c r="X384" s="545">
        <f t="shared" ca="1" si="560"/>
        <v>0.16600000000000001</v>
      </c>
      <c r="Y384" s="545">
        <f t="shared" ca="1" si="560"/>
        <v>0.16600000000000001</v>
      </c>
      <c r="Z384" s="545">
        <f t="shared" ca="1" si="560"/>
        <v>0.16400000000000001</v>
      </c>
      <c r="AA384" s="545">
        <f t="shared" ca="1" si="560"/>
        <v>0.16400000000000001</v>
      </c>
      <c r="AB384" s="545">
        <f t="shared" ca="1" si="560"/>
        <v>0.16400000000000001</v>
      </c>
      <c r="AC384" s="545">
        <f t="shared" ca="1" si="560"/>
        <v>0.16400000000000001</v>
      </c>
      <c r="AD384" s="545">
        <f t="shared" ca="1" si="560"/>
        <v>0.16400000000000001</v>
      </c>
      <c r="AE384" s="547"/>
      <c r="AF384" s="323">
        <f t="shared" ref="AF384:CE384" si="561">-COS/Rev_Net</f>
        <v>0.20911456867049447</v>
      </c>
      <c r="AG384" s="323">
        <f t="shared" si="561"/>
        <v>0.19867914594388014</v>
      </c>
      <c r="AH384" s="323">
        <f t="shared" si="561"/>
        <v>0.19838095522271423</v>
      </c>
      <c r="AI384" s="323">
        <f t="shared" si="561"/>
        <v>0.18649695242042175</v>
      </c>
      <c r="AJ384" s="323">
        <f t="shared" si="561"/>
        <v>0.19970389999132249</v>
      </c>
      <c r="AK384" s="323">
        <f t="shared" si="561"/>
        <v>0.21243331006857671</v>
      </c>
      <c r="AL384" s="323">
        <f t="shared" si="561"/>
        <v>0.23343791573693809</v>
      </c>
      <c r="AM384" s="323">
        <f t="shared" si="561"/>
        <v>0.23348357668736516</v>
      </c>
      <c r="AN384" s="323">
        <f t="shared" si="561"/>
        <v>0.22460189593312574</v>
      </c>
      <c r="AO384" s="323">
        <f t="shared" si="561"/>
        <v>0.2268831146267557</v>
      </c>
      <c r="AP384" s="323">
        <f t="shared" si="561"/>
        <v>0.22799058213126069</v>
      </c>
      <c r="AQ384" s="323">
        <f t="shared" si="561"/>
        <v>0.2266485826947188</v>
      </c>
      <c r="AR384" s="323">
        <f t="shared" si="561"/>
        <v>0.21880470783130321</v>
      </c>
      <c r="AS384" s="323">
        <f t="shared" si="561"/>
        <v>0.21743255588668145</v>
      </c>
      <c r="AT384" s="323">
        <f t="shared" si="561"/>
        <v>0.21694006738594326</v>
      </c>
      <c r="AU384" s="323">
        <f t="shared" si="561"/>
        <v>0.21537736986786943</v>
      </c>
      <c r="AV384" s="323">
        <f t="shared" si="561"/>
        <v>0.21543746472718983</v>
      </c>
      <c r="AW384" s="323">
        <f t="shared" si="561"/>
        <v>0.22780008177110955</v>
      </c>
      <c r="AX384" s="323">
        <f t="shared" si="561"/>
        <v>0.23199535636787316</v>
      </c>
      <c r="AY384" s="323">
        <f t="shared" si="561"/>
        <v>0.24251999981694325</v>
      </c>
      <c r="AZ384" s="323">
        <f t="shared" si="561"/>
        <v>0.24808372675609219</v>
      </c>
      <c r="BA384" s="323">
        <f t="shared" si="561"/>
        <v>0.24770200559992145</v>
      </c>
      <c r="BB384" s="323">
        <f t="shared" si="561"/>
        <v>0.2437852513301966</v>
      </c>
      <c r="BC384" s="323">
        <f t="shared" si="561"/>
        <v>0.25850400392056599</v>
      </c>
      <c r="BD384" s="323">
        <f t="shared" si="561"/>
        <v>0.2621021586049479</v>
      </c>
      <c r="BE384" s="323">
        <f t="shared" si="561"/>
        <v>0.24831075702594901</v>
      </c>
      <c r="BF384" s="323">
        <f t="shared" si="561"/>
        <v>0.24602706626092929</v>
      </c>
      <c r="BG384" s="323">
        <f t="shared" si="561"/>
        <v>0.27378571287395964</v>
      </c>
      <c r="BH384" s="323">
        <f t="shared" si="561"/>
        <v>0.2841163622039134</v>
      </c>
      <c r="BI384" s="323">
        <f t="shared" si="561"/>
        <v>0.27789133728998888</v>
      </c>
      <c r="BJ384" s="323">
        <f t="shared" si="561"/>
        <v>0.27657230324489884</v>
      </c>
      <c r="BK384" s="323">
        <f t="shared" si="561"/>
        <v>0.30502967488965738</v>
      </c>
      <c r="BL384" s="323">
        <f t="shared" si="561"/>
        <v>0.30439499992068786</v>
      </c>
      <c r="BM384" s="323">
        <f t="shared" si="561"/>
        <v>0.28887205118263337</v>
      </c>
      <c r="BN384" s="323">
        <f t="shared" si="561"/>
        <v>0.26577131257042141</v>
      </c>
      <c r="BO384" s="323">
        <f t="shared" si="561"/>
        <v>0.26556078908156838</v>
      </c>
      <c r="BP384" s="323">
        <f t="shared" si="561"/>
        <v>0.2718867162543534</v>
      </c>
      <c r="BQ384" s="323">
        <f t="shared" si="561"/>
        <v>0.2795440777959603</v>
      </c>
      <c r="BR384" s="323">
        <f t="shared" si="561"/>
        <v>0.22152309814740179</v>
      </c>
      <c r="BS384" s="323">
        <f t="shared" si="561"/>
        <v>0.22228090891257879</v>
      </c>
      <c r="BT384" s="323">
        <f t="shared" si="561"/>
        <v>0.19544695053141803</v>
      </c>
      <c r="BU384" s="323">
        <f t="shared" si="561"/>
        <v>0.17520800870218212</v>
      </c>
      <c r="BV384" s="323">
        <f t="shared" si="561"/>
        <v>0.16500469748312874</v>
      </c>
      <c r="BW384" s="323">
        <f t="shared" si="561"/>
        <v>0.16637465120012246</v>
      </c>
      <c r="BX384" s="323">
        <f t="shared" ca="1" si="561"/>
        <v>0.17199999999999999</v>
      </c>
      <c r="BY384" s="323">
        <f t="shared" ca="1" si="561"/>
        <v>0.16900000000000001</v>
      </c>
      <c r="BZ384" s="323">
        <f t="shared" ca="1" si="561"/>
        <v>0.16900000000000001</v>
      </c>
      <c r="CA384" s="323">
        <f t="shared" ca="1" si="561"/>
        <v>0.17040743220132093</v>
      </c>
      <c r="CB384" s="323">
        <f t="shared" ca="1" si="561"/>
        <v>0.16800000000000001</v>
      </c>
      <c r="CC384" s="323">
        <f t="shared" ca="1" si="561"/>
        <v>0.16800000000000001</v>
      </c>
      <c r="CD384" s="323">
        <f t="shared" ca="1" si="561"/>
        <v>0.16800000000000001</v>
      </c>
      <c r="CE384" s="323">
        <f t="shared" ca="1" si="561"/>
        <v>0.16799999999999998</v>
      </c>
      <c r="CF384" s="62"/>
      <c r="CG384" s="5"/>
      <c r="CH384" s="5"/>
    </row>
    <row r="385" spans="2:86" outlineLevel="1" collapsed="1">
      <c r="B385" s="12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5"/>
      <c r="S385" s="62"/>
      <c r="T385" s="62"/>
      <c r="U385" s="62"/>
      <c r="V385" s="62"/>
      <c r="W385" s="62"/>
      <c r="X385" s="62"/>
      <c r="Y385" s="62"/>
      <c r="Z385" s="62"/>
      <c r="AA385" s="62"/>
      <c r="AB385" s="62"/>
      <c r="AC385" s="62"/>
      <c r="AD385" s="62"/>
      <c r="AE385" s="61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  <c r="BL385" s="6"/>
      <c r="BM385" s="6"/>
      <c r="BN385" s="6"/>
      <c r="BO385" s="6"/>
      <c r="BP385" s="6"/>
      <c r="BQ385" s="6"/>
      <c r="BR385" s="6"/>
      <c r="BS385" s="6"/>
      <c r="BT385" s="6"/>
      <c r="BU385" s="6"/>
      <c r="BV385" s="6"/>
      <c r="BW385" s="6"/>
      <c r="BX385" s="6"/>
      <c r="BY385" s="6"/>
      <c r="BZ385" s="6"/>
      <c r="CA385" s="6"/>
      <c r="CB385" s="6"/>
      <c r="CC385" s="6"/>
      <c r="CD385" s="6"/>
      <c r="CE385" s="6"/>
      <c r="CF385" s="5"/>
      <c r="CG385" s="5"/>
      <c r="CH385" s="5"/>
    </row>
    <row r="386" spans="2:86" hidden="1" outlineLevel="2">
      <c r="B386" s="115" t="s">
        <v>142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5"/>
      <c r="S386" s="62"/>
      <c r="T386" s="62"/>
      <c r="U386" s="62"/>
      <c r="V386" s="62"/>
      <c r="W386" s="62"/>
      <c r="X386" s="62"/>
      <c r="Y386" s="62"/>
      <c r="Z386" s="62"/>
      <c r="AA386" s="62"/>
      <c r="AB386" s="62"/>
      <c r="AC386" s="62"/>
      <c r="AD386" s="62"/>
      <c r="AE386" s="61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  <c r="BL386" s="6"/>
      <c r="BM386" s="6"/>
      <c r="BN386" s="6"/>
      <c r="BO386" s="6"/>
      <c r="BP386" s="6"/>
      <c r="BQ386" s="6"/>
      <c r="BR386" s="5"/>
      <c r="BS386" s="62"/>
      <c r="BT386" s="62"/>
      <c r="BU386" s="62"/>
      <c r="BV386" s="62"/>
      <c r="BW386" s="62"/>
      <c r="BX386" s="62"/>
      <c r="BY386" s="62"/>
      <c r="BZ386" s="62"/>
      <c r="CA386" s="62"/>
      <c r="CB386" s="62"/>
      <c r="CC386" s="62"/>
      <c r="CD386" s="62"/>
      <c r="CE386" s="62"/>
      <c r="CF386" s="62"/>
      <c r="CG386" s="5"/>
      <c r="CH386" s="5"/>
    </row>
    <row r="387" spans="2:86" hidden="1" outlineLevel="2">
      <c r="B387" s="12" t="s">
        <v>466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10">
        <v>61</v>
      </c>
      <c r="P387" s="10">
        <v>59</v>
      </c>
      <c r="Q387" s="10">
        <v>58</v>
      </c>
      <c r="R387" s="62"/>
      <c r="S387" s="62"/>
      <c r="T387" s="62"/>
      <c r="U387" s="62"/>
      <c r="V387" s="62"/>
      <c r="W387" s="62"/>
      <c r="X387" s="62"/>
      <c r="Y387" s="62"/>
      <c r="Z387" s="62"/>
      <c r="AA387" s="62"/>
      <c r="AB387" s="62"/>
      <c r="AC387" s="62"/>
      <c r="AD387" s="62"/>
      <c r="AE387" s="61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10"/>
      <c r="BE387" s="10"/>
      <c r="BF387" s="10"/>
      <c r="BG387" s="10"/>
      <c r="BH387" s="10"/>
      <c r="BI387" s="10"/>
      <c r="BJ387" s="10"/>
      <c r="BK387" s="10"/>
      <c r="BL387" s="6"/>
      <c r="BM387" s="6"/>
      <c r="BN387" s="6"/>
      <c r="BO387" s="6"/>
      <c r="BP387" s="6"/>
      <c r="BQ387" s="6"/>
      <c r="BR387" s="5"/>
      <c r="BS387" s="62"/>
      <c r="BT387" s="62"/>
      <c r="BU387" s="62"/>
      <c r="BV387" s="62"/>
      <c r="BW387" s="62"/>
      <c r="BX387" s="62"/>
      <c r="BY387" s="62"/>
      <c r="BZ387" s="62"/>
      <c r="CA387" s="62"/>
      <c r="CB387" s="62"/>
      <c r="CC387" s="62"/>
      <c r="CD387" s="62"/>
      <c r="CE387" s="62"/>
      <c r="CF387" s="62"/>
      <c r="CG387" s="5"/>
      <c r="CH387" s="5"/>
    </row>
    <row r="388" spans="2:86" hidden="1" outlineLevel="2">
      <c r="B388" s="12" t="s">
        <v>467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10">
        <v>19</v>
      </c>
      <c r="P388" s="10">
        <v>19</v>
      </c>
      <c r="Q388" s="10">
        <v>19</v>
      </c>
      <c r="R388" s="62"/>
      <c r="S388" s="62"/>
      <c r="T388" s="62"/>
      <c r="U388" s="62"/>
      <c r="V388" s="62"/>
      <c r="W388" s="62"/>
      <c r="X388" s="62"/>
      <c r="Y388" s="62"/>
      <c r="Z388" s="62"/>
      <c r="AA388" s="62"/>
      <c r="AB388" s="62"/>
      <c r="AC388" s="62"/>
      <c r="AD388" s="62"/>
      <c r="AE388" s="61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10"/>
      <c r="BE388" s="10"/>
      <c r="BF388" s="10"/>
      <c r="BG388" s="10"/>
      <c r="BH388" s="10"/>
      <c r="BI388" s="10"/>
      <c r="BJ388" s="10"/>
      <c r="BK388" s="10"/>
      <c r="BL388" s="6"/>
      <c r="BM388" s="6"/>
      <c r="BN388" s="6"/>
      <c r="BO388" s="6"/>
      <c r="BP388" s="6"/>
      <c r="BQ388" s="6"/>
      <c r="BR388" s="5"/>
      <c r="BS388" s="62"/>
      <c r="BT388" s="62"/>
      <c r="BU388" s="62"/>
      <c r="BV388" s="62"/>
      <c r="BW388" s="62"/>
      <c r="BX388" s="62"/>
      <c r="BY388" s="62"/>
      <c r="BZ388" s="62"/>
      <c r="CA388" s="62"/>
      <c r="CB388" s="62"/>
      <c r="CC388" s="62"/>
      <c r="CD388" s="62"/>
      <c r="CE388" s="62"/>
      <c r="CF388" s="62"/>
      <c r="CG388" s="5"/>
      <c r="CH388" s="5"/>
    </row>
    <row r="389" spans="2:86" hidden="1" outlineLevel="2">
      <c r="B389" s="12" t="s">
        <v>468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10">
        <v>9</v>
      </c>
      <c r="P389" s="10">
        <v>8</v>
      </c>
      <c r="Q389" s="10">
        <v>7</v>
      </c>
      <c r="R389" s="62"/>
      <c r="S389" s="62"/>
      <c r="T389" s="62"/>
      <c r="U389" s="62"/>
      <c r="V389" s="62"/>
      <c r="W389" s="62"/>
      <c r="X389" s="62"/>
      <c r="Y389" s="62"/>
      <c r="Z389" s="62"/>
      <c r="AA389" s="62"/>
      <c r="AB389" s="62"/>
      <c r="AC389" s="62"/>
      <c r="AD389" s="62"/>
      <c r="AE389" s="61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10"/>
      <c r="BE389" s="10"/>
      <c r="BF389" s="10"/>
      <c r="BG389" s="10"/>
      <c r="BH389" s="10"/>
      <c r="BI389" s="10"/>
      <c r="BJ389" s="10"/>
      <c r="BK389" s="10"/>
      <c r="BL389" s="6"/>
      <c r="BM389" s="6"/>
      <c r="BN389" s="6"/>
      <c r="BO389" s="6"/>
      <c r="BP389" s="6"/>
      <c r="BQ389" s="6"/>
      <c r="BR389" s="5"/>
      <c r="BS389" s="62"/>
      <c r="BT389" s="62"/>
      <c r="BU389" s="62"/>
      <c r="BV389" s="62"/>
      <c r="BW389" s="62"/>
      <c r="BX389" s="62"/>
      <c r="BY389" s="62"/>
      <c r="BZ389" s="62"/>
      <c r="CA389" s="62"/>
      <c r="CB389" s="62"/>
      <c r="CC389" s="62"/>
      <c r="CD389" s="62"/>
      <c r="CE389" s="62"/>
      <c r="CF389" s="62"/>
      <c r="CG389" s="5"/>
      <c r="CH389" s="5"/>
    </row>
    <row r="390" spans="2:86" hidden="1" outlineLevel="2">
      <c r="B390" s="12" t="s">
        <v>17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>
        <f>100-SUM(O387:O389)</f>
        <v>11</v>
      </c>
      <c r="P390" s="6">
        <f>100-SUM(P387:P389)</f>
        <v>14</v>
      </c>
      <c r="Q390" s="6">
        <f>100-SUM(Q387:Q389)</f>
        <v>16</v>
      </c>
      <c r="R390" s="62"/>
      <c r="S390" s="62"/>
      <c r="T390" s="62"/>
      <c r="U390" s="62"/>
      <c r="V390" s="62"/>
      <c r="W390" s="62"/>
      <c r="X390" s="62"/>
      <c r="Y390" s="62"/>
      <c r="Z390" s="62"/>
      <c r="AA390" s="62"/>
      <c r="AB390" s="62"/>
      <c r="AC390" s="62"/>
      <c r="AD390" s="62"/>
      <c r="AE390" s="61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  <c r="BL390" s="6"/>
      <c r="BM390" s="6"/>
      <c r="BN390" s="6"/>
      <c r="BO390" s="6"/>
      <c r="BP390" s="6"/>
      <c r="BQ390" s="6"/>
      <c r="BR390" s="5"/>
      <c r="BS390" s="62"/>
      <c r="BT390" s="62"/>
      <c r="BU390" s="62"/>
      <c r="BV390" s="62"/>
      <c r="BW390" s="62"/>
      <c r="BX390" s="62"/>
      <c r="BY390" s="62"/>
      <c r="BZ390" s="62"/>
      <c r="CA390" s="62"/>
      <c r="CB390" s="62"/>
      <c r="CC390" s="62"/>
      <c r="CD390" s="62"/>
      <c r="CE390" s="62"/>
      <c r="CF390" s="62"/>
      <c r="CG390" s="5"/>
      <c r="CH390" s="5"/>
    </row>
    <row r="391" spans="2:86" hidden="1" outlineLevel="2">
      <c r="B391" s="12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2"/>
      <c r="S391" s="62"/>
      <c r="T391" s="62"/>
      <c r="U391" s="62"/>
      <c r="V391" s="62"/>
      <c r="W391" s="62"/>
      <c r="X391" s="62"/>
      <c r="Y391" s="62"/>
      <c r="Z391" s="62"/>
      <c r="AA391" s="62"/>
      <c r="AB391" s="62"/>
      <c r="AC391" s="62"/>
      <c r="AD391" s="62"/>
      <c r="AE391" s="61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  <c r="BL391" s="6"/>
      <c r="BM391" s="6"/>
      <c r="BN391" s="6"/>
      <c r="BO391" s="6"/>
      <c r="BP391" s="6"/>
      <c r="BQ391" s="6"/>
      <c r="BR391" s="5"/>
      <c r="BS391" s="62"/>
      <c r="BT391" s="62"/>
      <c r="BU391" s="62"/>
      <c r="BV391" s="62"/>
      <c r="BW391" s="62"/>
      <c r="BX391" s="62"/>
      <c r="BY391" s="62"/>
      <c r="BZ391" s="62"/>
      <c r="CA391" s="62"/>
      <c r="CB391" s="62"/>
      <c r="CC391" s="62"/>
      <c r="CD391" s="62"/>
      <c r="CE391" s="62"/>
      <c r="CF391" s="62"/>
      <c r="CG391" s="5"/>
      <c r="CH391" s="5"/>
    </row>
    <row r="392" spans="2:86" hidden="1" outlineLevel="2">
      <c r="B392" s="12" t="s">
        <v>466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>
        <f t="shared" ref="O392:Q395" si="562">O387/100*COS</f>
        <v>-633.05256672999997</v>
      </c>
      <c r="P392" s="6">
        <f t="shared" si="562"/>
        <v>-818.1925695299999</v>
      </c>
      <c r="Q392" s="6">
        <f t="shared" si="562"/>
        <v>-1218.3517195399997</v>
      </c>
      <c r="R392" s="62"/>
      <c r="S392" s="62"/>
      <c r="T392" s="62"/>
      <c r="U392" s="62"/>
      <c r="V392" s="62"/>
      <c r="W392" s="62"/>
      <c r="X392" s="62"/>
      <c r="Y392" s="62"/>
      <c r="Z392" s="62"/>
      <c r="AA392" s="62"/>
      <c r="AB392" s="62"/>
      <c r="AC392" s="62"/>
      <c r="AD392" s="62"/>
      <c r="AE392" s="61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  <c r="BL392" s="6"/>
      <c r="BM392" s="6"/>
      <c r="BN392" s="6"/>
      <c r="BO392" s="6"/>
      <c r="BP392" s="6"/>
      <c r="BQ392" s="6"/>
      <c r="BR392" s="5"/>
      <c r="BS392" s="62"/>
      <c r="BT392" s="62"/>
      <c r="BU392" s="62"/>
      <c r="BV392" s="62"/>
      <c r="BW392" s="62"/>
      <c r="BX392" s="62"/>
      <c r="BY392" s="62"/>
      <c r="BZ392" s="62"/>
      <c r="CA392" s="62"/>
      <c r="CB392" s="62"/>
      <c r="CC392" s="62"/>
      <c r="CD392" s="62"/>
      <c r="CE392" s="62"/>
      <c r="CF392" s="62"/>
      <c r="CG392" s="5"/>
      <c r="CH392" s="5"/>
    </row>
    <row r="393" spans="2:86" hidden="1" outlineLevel="2">
      <c r="B393" s="12" t="s">
        <v>467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>
        <f t="shared" si="562"/>
        <v>-197.18030767000002</v>
      </c>
      <c r="P393" s="6">
        <f t="shared" si="562"/>
        <v>-263.48574273000003</v>
      </c>
      <c r="Q393" s="6">
        <f t="shared" si="562"/>
        <v>-399.11521846999989</v>
      </c>
      <c r="R393" s="62"/>
      <c r="S393" s="62"/>
      <c r="T393" s="62"/>
      <c r="U393" s="62"/>
      <c r="V393" s="62"/>
      <c r="W393" s="62"/>
      <c r="X393" s="62"/>
      <c r="Y393" s="62"/>
      <c r="Z393" s="62"/>
      <c r="AA393" s="62"/>
      <c r="AB393" s="62"/>
      <c r="AC393" s="62"/>
      <c r="AD393" s="62"/>
      <c r="AE393" s="61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  <c r="BL393" s="6"/>
      <c r="BM393" s="6"/>
      <c r="BN393" s="6"/>
      <c r="BO393" s="6"/>
      <c r="BP393" s="6"/>
      <c r="BQ393" s="6"/>
      <c r="BR393" s="5"/>
      <c r="BS393" s="62"/>
      <c r="BT393" s="62"/>
      <c r="BU393" s="62"/>
      <c r="BV393" s="62"/>
      <c r="BW393" s="62"/>
      <c r="BX393" s="62"/>
      <c r="BY393" s="62"/>
      <c r="BZ393" s="62"/>
      <c r="CA393" s="62"/>
      <c r="CB393" s="62"/>
      <c r="CC393" s="62"/>
      <c r="CD393" s="62"/>
      <c r="CE393" s="62"/>
      <c r="CF393" s="62"/>
      <c r="CG393" s="5"/>
      <c r="CH393" s="5"/>
    </row>
    <row r="394" spans="2:86" hidden="1" outlineLevel="2">
      <c r="B394" s="12" t="s">
        <v>468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>
        <f t="shared" si="562"/>
        <v>-93.401198370000003</v>
      </c>
      <c r="P394" s="6">
        <f t="shared" si="562"/>
        <v>-110.94136536000001</v>
      </c>
      <c r="Q394" s="6">
        <f t="shared" si="562"/>
        <v>-147.04244890999999</v>
      </c>
      <c r="R394" s="62"/>
      <c r="S394" s="62"/>
      <c r="T394" s="62"/>
      <c r="U394" s="62"/>
      <c r="V394" s="62"/>
      <c r="W394" s="62"/>
      <c r="X394" s="62"/>
      <c r="Y394" s="62"/>
      <c r="Z394" s="62"/>
      <c r="AA394" s="62"/>
      <c r="AB394" s="62"/>
      <c r="AC394" s="62"/>
      <c r="AD394" s="62"/>
      <c r="AE394" s="61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  <c r="BL394" s="6"/>
      <c r="BM394" s="6"/>
      <c r="BN394" s="6"/>
      <c r="BO394" s="6"/>
      <c r="BP394" s="6"/>
      <c r="BQ394" s="6"/>
      <c r="BR394" s="5"/>
      <c r="BS394" s="62"/>
      <c r="BT394" s="62"/>
      <c r="BU394" s="62"/>
      <c r="BV394" s="62"/>
      <c r="BW394" s="62"/>
      <c r="BX394" s="62"/>
      <c r="BY394" s="62"/>
      <c r="BZ394" s="62"/>
      <c r="CA394" s="62"/>
      <c r="CB394" s="62"/>
      <c r="CC394" s="62"/>
      <c r="CD394" s="62"/>
      <c r="CE394" s="62"/>
      <c r="CF394" s="62"/>
      <c r="CG394" s="5"/>
      <c r="CH394" s="5"/>
    </row>
    <row r="395" spans="2:86" hidden="1" outlineLevel="2">
      <c r="B395" s="12" t="s">
        <v>17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>
        <f t="shared" si="562"/>
        <v>-114.15702023</v>
      </c>
      <c r="P395" s="6">
        <f t="shared" si="562"/>
        <v>-194.14738938000002</v>
      </c>
      <c r="Q395" s="6">
        <f t="shared" si="562"/>
        <v>-336.09702607999992</v>
      </c>
      <c r="R395" s="62"/>
      <c r="S395" s="62"/>
      <c r="T395" s="62"/>
      <c r="U395" s="62"/>
      <c r="V395" s="62"/>
      <c r="W395" s="62"/>
      <c r="X395" s="62"/>
      <c r="Y395" s="62"/>
      <c r="Z395" s="62"/>
      <c r="AA395" s="62"/>
      <c r="AB395" s="62"/>
      <c r="AC395" s="62"/>
      <c r="AD395" s="62"/>
      <c r="AE395" s="61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  <c r="BL395" s="6"/>
      <c r="BM395" s="6"/>
      <c r="BN395" s="6"/>
      <c r="BO395" s="6"/>
      <c r="BP395" s="6"/>
      <c r="BQ395" s="6"/>
      <c r="BR395" s="5"/>
      <c r="BS395" s="62"/>
      <c r="BT395" s="62"/>
      <c r="BU395" s="62"/>
      <c r="BV395" s="62"/>
      <c r="BW395" s="62"/>
      <c r="BX395" s="62"/>
      <c r="BY395" s="62"/>
      <c r="BZ395" s="62"/>
      <c r="CA395" s="62"/>
      <c r="CB395" s="62"/>
      <c r="CC395" s="62"/>
      <c r="CD395" s="62"/>
      <c r="CE395" s="62"/>
      <c r="CF395" s="62"/>
      <c r="CG395" s="5"/>
      <c r="CH395" s="5"/>
    </row>
    <row r="396" spans="2:86" hidden="1" outlineLevel="2">
      <c r="B396" s="12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2"/>
      <c r="S396" s="62"/>
      <c r="T396" s="62"/>
      <c r="U396" s="62"/>
      <c r="V396" s="62"/>
      <c r="W396" s="62"/>
      <c r="X396" s="62"/>
      <c r="Y396" s="62"/>
      <c r="Z396" s="62"/>
      <c r="AA396" s="62"/>
      <c r="AB396" s="62"/>
      <c r="AC396" s="62"/>
      <c r="AD396" s="62"/>
      <c r="AE396" s="61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  <c r="BL396" s="6"/>
      <c r="BM396" s="6"/>
      <c r="BN396" s="6"/>
      <c r="BO396" s="6"/>
      <c r="BP396" s="6"/>
      <c r="BQ396" s="6"/>
      <c r="BR396" s="5"/>
      <c r="BS396" s="62"/>
      <c r="BT396" s="62"/>
      <c r="BU396" s="62"/>
      <c r="BV396" s="62"/>
      <c r="BW396" s="62"/>
      <c r="BX396" s="62"/>
      <c r="BY396" s="62"/>
      <c r="BZ396" s="62"/>
      <c r="CA396" s="62"/>
      <c r="CB396" s="62"/>
      <c r="CC396" s="62"/>
      <c r="CD396" s="62"/>
      <c r="CE396" s="62"/>
      <c r="CF396" s="62"/>
      <c r="CG396" s="5"/>
      <c r="CH396" s="5"/>
    </row>
    <row r="397" spans="2:86" hidden="1" outlineLevel="2">
      <c r="B397" s="115" t="s">
        <v>469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2"/>
      <c r="S397" s="62"/>
      <c r="T397" s="62"/>
      <c r="U397" s="62"/>
      <c r="V397" s="62"/>
      <c r="W397" s="62"/>
      <c r="X397" s="62"/>
      <c r="Y397" s="62"/>
      <c r="Z397" s="62"/>
      <c r="AA397" s="62"/>
      <c r="AB397" s="62"/>
      <c r="AC397" s="62"/>
      <c r="AD397" s="62"/>
      <c r="AE397" s="61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  <c r="BL397" s="6"/>
      <c r="BM397" s="6"/>
      <c r="BN397" s="6"/>
      <c r="BO397" s="6"/>
      <c r="BP397" s="6"/>
      <c r="BQ397" s="6"/>
      <c r="BR397" s="5"/>
      <c r="BS397" s="62"/>
      <c r="BT397" s="62"/>
      <c r="BU397" s="62"/>
      <c r="BV397" s="62"/>
      <c r="BW397" s="62"/>
      <c r="BX397" s="62"/>
      <c r="BY397" s="62"/>
      <c r="BZ397" s="62"/>
      <c r="CA397" s="62"/>
      <c r="CB397" s="62"/>
      <c r="CC397" s="62"/>
      <c r="CD397" s="62"/>
      <c r="CE397" s="62"/>
      <c r="CF397" s="62"/>
      <c r="CG397" s="5"/>
      <c r="CH397" s="5"/>
    </row>
    <row r="398" spans="2:86" hidden="1" outlineLevel="2">
      <c r="B398" s="12" t="s">
        <v>466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>
        <f t="shared" ref="P398:Q401" si="563">(P392/O392-1)*1</f>
        <v>0.29245597053074279</v>
      </c>
      <c r="Q398" s="6">
        <f t="shared" si="563"/>
        <v>0.48907697883380452</v>
      </c>
      <c r="R398" s="62"/>
      <c r="S398" s="62"/>
      <c r="T398" s="62"/>
      <c r="U398" s="62"/>
      <c r="V398" s="62"/>
      <c r="W398" s="62"/>
      <c r="X398" s="62"/>
      <c r="Y398" s="62"/>
      <c r="Z398" s="62"/>
      <c r="AA398" s="62"/>
      <c r="AB398" s="62"/>
      <c r="AC398" s="62"/>
      <c r="AD398" s="62"/>
      <c r="AE398" s="61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  <c r="BL398" s="6"/>
      <c r="BM398" s="6"/>
      <c r="BN398" s="6"/>
      <c r="BO398" s="6"/>
      <c r="BP398" s="6"/>
      <c r="BQ398" s="6"/>
      <c r="BR398" s="5"/>
      <c r="BS398" s="62"/>
      <c r="BT398" s="62"/>
      <c r="BU398" s="62"/>
      <c r="BV398" s="62"/>
      <c r="BW398" s="62"/>
      <c r="BX398" s="62"/>
      <c r="BY398" s="62"/>
      <c r="BZ398" s="62"/>
      <c r="CA398" s="62"/>
      <c r="CB398" s="62"/>
      <c r="CC398" s="62"/>
      <c r="CD398" s="62"/>
      <c r="CE398" s="62"/>
      <c r="CF398" s="62"/>
      <c r="CG398" s="5"/>
      <c r="CH398" s="5"/>
    </row>
    <row r="399" spans="2:86" hidden="1" outlineLevel="2">
      <c r="B399" s="12" t="s">
        <v>467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>
        <f t="shared" si="563"/>
        <v>0.33626803732839505</v>
      </c>
      <c r="Q399" s="6">
        <f t="shared" si="563"/>
        <v>0.51475071984817999</v>
      </c>
      <c r="R399" s="62"/>
      <c r="S399" s="62"/>
      <c r="T399" s="62"/>
      <c r="U399" s="62"/>
      <c r="V399" s="62"/>
      <c r="W399" s="62"/>
      <c r="X399" s="62"/>
      <c r="Y399" s="62"/>
      <c r="Z399" s="62"/>
      <c r="AA399" s="62"/>
      <c r="AB399" s="62"/>
      <c r="AC399" s="62"/>
      <c r="AD399" s="62"/>
      <c r="AE399" s="61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  <c r="BL399" s="6"/>
      <c r="BM399" s="6"/>
      <c r="BN399" s="6"/>
      <c r="BO399" s="6"/>
      <c r="BP399" s="6"/>
      <c r="BQ399" s="6"/>
      <c r="BR399" s="5"/>
      <c r="BS399" s="62"/>
      <c r="BT399" s="62"/>
      <c r="BU399" s="62"/>
      <c r="BV399" s="62"/>
      <c r="BW399" s="62"/>
      <c r="BX399" s="62"/>
      <c r="BY399" s="62"/>
      <c r="BZ399" s="62"/>
      <c r="CA399" s="62"/>
      <c r="CB399" s="62"/>
      <c r="CC399" s="62"/>
      <c r="CD399" s="62"/>
      <c r="CE399" s="62"/>
      <c r="CF399" s="62"/>
      <c r="CG399" s="5"/>
      <c r="CH399" s="5"/>
    </row>
    <row r="400" spans="2:86" hidden="1" outlineLevel="2">
      <c r="B400" s="12" t="s">
        <v>468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>
        <f t="shared" si="563"/>
        <v>0.1877938109585735</v>
      </c>
      <c r="Q400" s="6">
        <f t="shared" si="563"/>
        <v>0.32540687986715788</v>
      </c>
      <c r="R400" s="62"/>
      <c r="S400" s="62"/>
      <c r="T400" s="62"/>
      <c r="U400" s="62"/>
      <c r="V400" s="62"/>
      <c r="W400" s="62"/>
      <c r="X400" s="62"/>
      <c r="Y400" s="62"/>
      <c r="Z400" s="62"/>
      <c r="AA400" s="62"/>
      <c r="AB400" s="62"/>
      <c r="AC400" s="62"/>
      <c r="AD400" s="62"/>
      <c r="AE400" s="61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  <c r="BL400" s="6"/>
      <c r="BM400" s="6"/>
      <c r="BN400" s="6"/>
      <c r="BO400" s="6"/>
      <c r="BP400" s="6"/>
      <c r="BQ400" s="6"/>
      <c r="BR400" s="5"/>
      <c r="BS400" s="62"/>
      <c r="BT400" s="62"/>
      <c r="BU400" s="62"/>
      <c r="BV400" s="62"/>
      <c r="BW400" s="62"/>
      <c r="BX400" s="62"/>
      <c r="BY400" s="62"/>
      <c r="BZ400" s="62"/>
      <c r="CA400" s="62"/>
      <c r="CB400" s="62"/>
      <c r="CC400" s="62"/>
      <c r="CD400" s="62"/>
      <c r="CE400" s="62"/>
      <c r="CF400" s="62"/>
      <c r="CG400" s="5"/>
      <c r="CH400" s="5"/>
    </row>
    <row r="401" spans="1:86" hidden="1" outlineLevel="2">
      <c r="B401" s="12" t="s">
        <v>17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>
        <f t="shared" si="563"/>
        <v>0.70070477478159399</v>
      </c>
      <c r="Q401" s="6">
        <f t="shared" si="563"/>
        <v>0.73114367982649142</v>
      </c>
      <c r="R401" s="62"/>
      <c r="S401" s="62"/>
      <c r="T401" s="62"/>
      <c r="U401" s="62"/>
      <c r="V401" s="62"/>
      <c r="W401" s="62"/>
      <c r="X401" s="62"/>
      <c r="Y401" s="62"/>
      <c r="Z401" s="62"/>
      <c r="AA401" s="62"/>
      <c r="AB401" s="62"/>
      <c r="AC401" s="62"/>
      <c r="AD401" s="62"/>
      <c r="AE401" s="61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6"/>
      <c r="BQ401" s="6"/>
      <c r="BR401" s="5"/>
      <c r="BS401" s="62"/>
      <c r="BT401" s="62"/>
      <c r="BU401" s="62"/>
      <c r="BV401" s="62"/>
      <c r="BW401" s="62"/>
      <c r="BX401" s="62"/>
      <c r="BY401" s="62"/>
      <c r="BZ401" s="62"/>
      <c r="CA401" s="62"/>
      <c r="CB401" s="62"/>
      <c r="CC401" s="62"/>
      <c r="CD401" s="62"/>
      <c r="CE401" s="62"/>
      <c r="CF401" s="62"/>
      <c r="CG401" s="5"/>
      <c r="CH401" s="5"/>
    </row>
    <row r="402" spans="1:86" hidden="1" outlineLevel="2">
      <c r="B402" s="12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2"/>
      <c r="S402" s="62"/>
      <c r="T402" s="62"/>
      <c r="U402" s="62"/>
      <c r="V402" s="62"/>
      <c r="W402" s="62"/>
      <c r="X402" s="62"/>
      <c r="Y402" s="62"/>
      <c r="Z402" s="62"/>
      <c r="AA402" s="62"/>
      <c r="AB402" s="62"/>
      <c r="AC402" s="62"/>
      <c r="AD402" s="62"/>
      <c r="AE402" s="61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6"/>
      <c r="BQ402" s="6"/>
      <c r="BR402" s="5"/>
      <c r="BS402" s="62"/>
      <c r="BT402" s="62"/>
      <c r="BU402" s="62"/>
      <c r="BV402" s="62"/>
      <c r="BW402" s="62"/>
      <c r="BX402" s="62"/>
      <c r="BY402" s="62"/>
      <c r="BZ402" s="62"/>
      <c r="CA402" s="62"/>
      <c r="CB402" s="62"/>
      <c r="CC402" s="62"/>
      <c r="CD402" s="62"/>
      <c r="CE402" s="62"/>
      <c r="CF402" s="62"/>
      <c r="CG402" s="5"/>
      <c r="CH402" s="5"/>
    </row>
    <row r="403" spans="1:86" hidden="1" outlineLevel="2">
      <c r="B403" s="115" t="s">
        <v>134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2"/>
      <c r="S403" s="62"/>
      <c r="T403" s="62"/>
      <c r="U403" s="62"/>
      <c r="V403" s="62"/>
      <c r="W403" s="62"/>
      <c r="X403" s="62"/>
      <c r="Y403" s="62"/>
      <c r="Z403" s="62"/>
      <c r="AA403" s="62"/>
      <c r="AB403" s="62"/>
      <c r="AC403" s="62"/>
      <c r="AD403" s="62"/>
      <c r="AE403" s="61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6"/>
      <c r="BQ403" s="6"/>
      <c r="BR403" s="5"/>
      <c r="BS403" s="62"/>
      <c r="BT403" s="62"/>
      <c r="BU403" s="62"/>
      <c r="BV403" s="62"/>
      <c r="BW403" s="62"/>
      <c r="BX403" s="62"/>
      <c r="BY403" s="62"/>
      <c r="BZ403" s="62"/>
      <c r="CA403" s="62"/>
      <c r="CB403" s="62"/>
      <c r="CC403" s="62"/>
      <c r="CD403" s="62"/>
      <c r="CE403" s="62"/>
      <c r="CF403" s="62"/>
      <c r="CG403" s="5"/>
      <c r="CH403" s="5"/>
    </row>
    <row r="404" spans="1:86" hidden="1" outlineLevel="2">
      <c r="B404" s="12" t="s">
        <v>466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>
        <f t="shared" ref="O404:Q407" si="564">-O392/Rev_Net*100</f>
        <v>15.222032769310562</v>
      </c>
      <c r="P404" s="6">
        <f t="shared" si="564"/>
        <v>15.188996085867091</v>
      </c>
      <c r="Q404" s="6">
        <f t="shared" si="564"/>
        <v>16.583166687692916</v>
      </c>
      <c r="R404" s="62"/>
      <c r="S404" s="62"/>
      <c r="T404" s="62"/>
      <c r="U404" s="62"/>
      <c r="V404" s="62"/>
      <c r="W404" s="62"/>
      <c r="X404" s="62"/>
      <c r="Y404" s="62"/>
      <c r="Z404" s="62"/>
      <c r="AA404" s="62"/>
      <c r="AB404" s="62"/>
      <c r="AC404" s="62"/>
      <c r="AD404" s="62"/>
      <c r="AE404" s="61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6"/>
      <c r="BQ404" s="6"/>
      <c r="BR404" s="5"/>
      <c r="BS404" s="62"/>
      <c r="BT404" s="62"/>
      <c r="BU404" s="62"/>
      <c r="BV404" s="62"/>
      <c r="BW404" s="62"/>
      <c r="BX404" s="62"/>
      <c r="BY404" s="62"/>
      <c r="BZ404" s="62"/>
      <c r="CA404" s="62"/>
      <c r="CB404" s="62"/>
      <c r="CC404" s="62"/>
      <c r="CD404" s="62"/>
      <c r="CE404" s="62"/>
      <c r="CF404" s="62"/>
      <c r="CG404" s="5"/>
      <c r="CH404" s="5"/>
    </row>
    <row r="405" spans="1:86" hidden="1" outlineLevel="2">
      <c r="B405" s="12" t="s">
        <v>467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>
        <f t="shared" si="564"/>
        <v>4.7412888953590286</v>
      </c>
      <c r="P405" s="6">
        <f t="shared" si="564"/>
        <v>4.8913716208724543</v>
      </c>
      <c r="Q405" s="6">
        <f t="shared" si="564"/>
        <v>5.4324166735545747</v>
      </c>
      <c r="R405" s="62"/>
      <c r="S405" s="62"/>
      <c r="T405" s="62"/>
      <c r="U405" s="62"/>
      <c r="V405" s="62"/>
      <c r="W405" s="62"/>
      <c r="X405" s="62"/>
      <c r="Y405" s="62"/>
      <c r="Z405" s="62"/>
      <c r="AA405" s="62"/>
      <c r="AB405" s="62"/>
      <c r="AC405" s="62"/>
      <c r="AD405" s="62"/>
      <c r="AE405" s="61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6"/>
      <c r="BQ405" s="6"/>
      <c r="BR405" s="5"/>
      <c r="BS405" s="62"/>
      <c r="BT405" s="62"/>
      <c r="BU405" s="62"/>
      <c r="BV405" s="62"/>
      <c r="BW405" s="62"/>
      <c r="BX405" s="62"/>
      <c r="BY405" s="62"/>
      <c r="BZ405" s="62"/>
      <c r="CA405" s="62"/>
      <c r="CB405" s="62"/>
      <c r="CC405" s="62"/>
      <c r="CD405" s="62"/>
      <c r="CE405" s="62"/>
      <c r="CF405" s="62"/>
      <c r="CG405" s="5"/>
      <c r="CH405" s="5"/>
    </row>
    <row r="406" spans="1:86" hidden="1" outlineLevel="2">
      <c r="B406" s="12" t="s">
        <v>468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>
        <f t="shared" si="564"/>
        <v>2.2458736872753291</v>
      </c>
      <c r="P406" s="6">
        <f t="shared" si="564"/>
        <v>2.0595248929989278</v>
      </c>
      <c r="Q406" s="6">
        <f t="shared" si="564"/>
        <v>2.0014166692043176</v>
      </c>
      <c r="R406" s="62"/>
      <c r="S406" s="62"/>
      <c r="T406" s="62"/>
      <c r="U406" s="62"/>
      <c r="V406" s="62"/>
      <c r="W406" s="62"/>
      <c r="X406" s="62"/>
      <c r="Y406" s="62"/>
      <c r="Z406" s="62"/>
      <c r="AA406" s="62"/>
      <c r="AB406" s="62"/>
      <c r="AC406" s="62"/>
      <c r="AD406" s="62"/>
      <c r="AE406" s="61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6"/>
      <c r="BQ406" s="6"/>
      <c r="BR406" s="5"/>
      <c r="BS406" s="62"/>
      <c r="BT406" s="62"/>
      <c r="BU406" s="62"/>
      <c r="BV406" s="62"/>
      <c r="BW406" s="62"/>
      <c r="BX406" s="62"/>
      <c r="BY406" s="62"/>
      <c r="BZ406" s="62"/>
      <c r="CA406" s="62"/>
      <c r="CB406" s="62"/>
      <c r="CC406" s="62"/>
      <c r="CD406" s="62"/>
      <c r="CE406" s="62"/>
      <c r="CF406" s="62"/>
      <c r="CG406" s="5"/>
      <c r="CH406" s="5"/>
    </row>
    <row r="407" spans="1:86" hidden="1" outlineLevel="2">
      <c r="B407" s="12" t="s">
        <v>17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>
        <f t="shared" si="564"/>
        <v>2.7449567288920687</v>
      </c>
      <c r="P407" s="6">
        <f t="shared" si="564"/>
        <v>3.6041685627481237</v>
      </c>
      <c r="Q407" s="6">
        <f t="shared" si="564"/>
        <v>4.5746666724670106</v>
      </c>
      <c r="R407" s="62"/>
      <c r="S407" s="62"/>
      <c r="T407" s="62"/>
      <c r="U407" s="62"/>
      <c r="V407" s="62"/>
      <c r="W407" s="62"/>
      <c r="X407" s="62"/>
      <c r="Y407" s="62"/>
      <c r="Z407" s="62"/>
      <c r="AA407" s="62"/>
      <c r="AB407" s="62"/>
      <c r="AC407" s="62"/>
      <c r="AD407" s="62"/>
      <c r="AE407" s="61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6"/>
      <c r="BQ407" s="6"/>
      <c r="BR407" s="5"/>
      <c r="BS407" s="62"/>
      <c r="BT407" s="62"/>
      <c r="BU407" s="62"/>
      <c r="BV407" s="62"/>
      <c r="BW407" s="62"/>
      <c r="BX407" s="62"/>
      <c r="BY407" s="62"/>
      <c r="BZ407" s="62"/>
      <c r="CA407" s="62"/>
      <c r="CB407" s="62"/>
      <c r="CC407" s="62"/>
      <c r="CD407" s="62"/>
      <c r="CE407" s="62"/>
      <c r="CF407" s="62"/>
      <c r="CG407" s="5"/>
      <c r="CH407" s="5"/>
    </row>
    <row r="408" spans="1:86" hidden="1" outlineLevel="2">
      <c r="B408" s="12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2"/>
      <c r="S408" s="62"/>
      <c r="T408" s="62"/>
      <c r="U408" s="62"/>
      <c r="V408" s="62"/>
      <c r="W408" s="62"/>
      <c r="X408" s="62"/>
      <c r="Y408" s="62"/>
      <c r="Z408" s="62"/>
      <c r="AA408" s="62"/>
      <c r="AB408" s="62"/>
      <c r="AC408" s="62"/>
      <c r="AD408" s="62"/>
      <c r="AE408" s="61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6"/>
      <c r="BQ408" s="6"/>
      <c r="BR408" s="5"/>
      <c r="BS408" s="62"/>
      <c r="BT408" s="62"/>
      <c r="BU408" s="62"/>
      <c r="BV408" s="62"/>
      <c r="BW408" s="62"/>
      <c r="BX408" s="62"/>
      <c r="BY408" s="62"/>
      <c r="BZ408" s="62"/>
      <c r="CA408" s="62"/>
      <c r="CB408" s="62"/>
      <c r="CC408" s="62"/>
      <c r="CD408" s="62"/>
      <c r="CE408" s="62"/>
      <c r="CF408" s="62"/>
      <c r="CG408" s="5"/>
      <c r="CH408" s="5"/>
    </row>
    <row r="409" spans="1:86" hidden="1" outlineLevel="2">
      <c r="B409" s="115" t="s">
        <v>470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2"/>
      <c r="S409" s="62"/>
      <c r="T409" s="62"/>
      <c r="U409" s="62"/>
      <c r="V409" s="62"/>
      <c r="W409" s="62"/>
      <c r="X409" s="62"/>
      <c r="Y409" s="62"/>
      <c r="Z409" s="62"/>
      <c r="AA409" s="62"/>
      <c r="AB409" s="62"/>
      <c r="AC409" s="62"/>
      <c r="AD409" s="62"/>
      <c r="AE409" s="61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6"/>
      <c r="BQ409" s="6"/>
      <c r="BR409" s="5"/>
      <c r="BS409" s="62"/>
      <c r="BT409" s="62"/>
      <c r="BU409" s="62"/>
      <c r="BV409" s="62"/>
      <c r="BW409" s="62"/>
      <c r="BX409" s="62"/>
      <c r="BY409" s="62"/>
      <c r="BZ409" s="62"/>
      <c r="CA409" s="62"/>
      <c r="CB409" s="62"/>
      <c r="CC409" s="62"/>
      <c r="CD409" s="62"/>
      <c r="CE409" s="62"/>
      <c r="CF409" s="62"/>
      <c r="CG409" s="5"/>
      <c r="CH409" s="5"/>
    </row>
    <row r="410" spans="1:86" hidden="1" outlineLevel="2">
      <c r="B410" s="12" t="s">
        <v>466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>
        <f t="shared" ref="O410:Q413" si="565">-O392/GP*100</f>
        <v>20.283644187360302</v>
      </c>
      <c r="P410" s="6">
        <f t="shared" si="565"/>
        <v>20.454924311311448</v>
      </c>
      <c r="Q410" s="6">
        <f t="shared" si="565"/>
        <v>23.223013228304477</v>
      </c>
      <c r="R410" s="62"/>
      <c r="S410" s="62"/>
      <c r="T410" s="62"/>
      <c r="U410" s="62"/>
      <c r="V410" s="62"/>
      <c r="W410" s="62"/>
      <c r="X410" s="62"/>
      <c r="Y410" s="62"/>
      <c r="Z410" s="62"/>
      <c r="AA410" s="62"/>
      <c r="AB410" s="62"/>
      <c r="AC410" s="62"/>
      <c r="AD410" s="62"/>
      <c r="AE410" s="61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/>
      <c r="BN410" s="6"/>
      <c r="BO410" s="6"/>
      <c r="BP410" s="6"/>
      <c r="BQ410" s="6"/>
      <c r="BR410" s="5"/>
      <c r="BS410" s="62"/>
      <c r="BT410" s="62"/>
      <c r="BU410" s="62"/>
      <c r="BV410" s="62"/>
      <c r="BW410" s="62"/>
      <c r="BX410" s="62"/>
      <c r="BY410" s="62"/>
      <c r="BZ410" s="62"/>
      <c r="CA410" s="62"/>
      <c r="CB410" s="62"/>
      <c r="CC410" s="62"/>
      <c r="CD410" s="62"/>
      <c r="CE410" s="62"/>
      <c r="CF410" s="62"/>
      <c r="CG410" s="5"/>
      <c r="CH410" s="5"/>
    </row>
    <row r="411" spans="1:86" hidden="1" outlineLevel="2">
      <c r="B411" s="12" t="s">
        <v>467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>
        <f t="shared" si="565"/>
        <v>6.3178563862269801</v>
      </c>
      <c r="P411" s="6">
        <f t="shared" si="565"/>
        <v>6.5871790155070773</v>
      </c>
      <c r="Q411" s="6">
        <f t="shared" si="565"/>
        <v>7.6075388161687076</v>
      </c>
      <c r="R411" s="62"/>
      <c r="S411" s="62"/>
      <c r="T411" s="62"/>
      <c r="U411" s="62"/>
      <c r="V411" s="62"/>
      <c r="W411" s="62"/>
      <c r="X411" s="62"/>
      <c r="Y411" s="62"/>
      <c r="Z411" s="62"/>
      <c r="AA411" s="62"/>
      <c r="AB411" s="62"/>
      <c r="AC411" s="62"/>
      <c r="AD411" s="62"/>
      <c r="AE411" s="61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/>
      <c r="BN411" s="6"/>
      <c r="BO411" s="6"/>
      <c r="BP411" s="6"/>
      <c r="BQ411" s="6"/>
      <c r="BR411" s="5"/>
      <c r="BS411" s="62"/>
      <c r="BT411" s="62"/>
      <c r="BU411" s="62"/>
      <c r="BV411" s="62"/>
      <c r="BW411" s="62"/>
      <c r="BX411" s="62"/>
      <c r="BY411" s="62"/>
      <c r="BZ411" s="62"/>
      <c r="CA411" s="62"/>
      <c r="CB411" s="62"/>
      <c r="CC411" s="62"/>
      <c r="CD411" s="62"/>
      <c r="CE411" s="62"/>
      <c r="CF411" s="62"/>
      <c r="CG411" s="5"/>
      <c r="CH411" s="5"/>
    </row>
    <row r="412" spans="1:86" hidden="1" outlineLevel="2">
      <c r="B412" s="12" t="s">
        <v>468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>
        <f t="shared" si="565"/>
        <v>2.9926688145285691</v>
      </c>
      <c r="P412" s="6">
        <f t="shared" si="565"/>
        <v>2.7735490591608749</v>
      </c>
      <c r="Q412" s="6">
        <f t="shared" si="565"/>
        <v>2.8027774585884719</v>
      </c>
      <c r="R412" s="62"/>
      <c r="S412" s="62"/>
      <c r="T412" s="62"/>
      <c r="U412" s="62"/>
      <c r="V412" s="62"/>
      <c r="W412" s="62"/>
      <c r="X412" s="62"/>
      <c r="Y412" s="62"/>
      <c r="Z412" s="62"/>
      <c r="AA412" s="62"/>
      <c r="AB412" s="62"/>
      <c r="AC412" s="62"/>
      <c r="AD412" s="62"/>
      <c r="AE412" s="61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/>
      <c r="BN412" s="6"/>
      <c r="BO412" s="6"/>
      <c r="BP412" s="6"/>
      <c r="BQ412" s="6"/>
      <c r="BR412" s="5"/>
      <c r="BS412" s="62"/>
      <c r="BT412" s="62"/>
      <c r="BU412" s="62"/>
      <c r="BV412" s="62"/>
      <c r="BW412" s="62"/>
      <c r="BX412" s="62"/>
      <c r="BY412" s="62"/>
      <c r="BZ412" s="62"/>
      <c r="CA412" s="62"/>
      <c r="CB412" s="62"/>
      <c r="CC412" s="62"/>
      <c r="CD412" s="62"/>
      <c r="CE412" s="62"/>
      <c r="CF412" s="62"/>
      <c r="CG412" s="5"/>
      <c r="CH412" s="5"/>
    </row>
    <row r="413" spans="1:86" hidden="1" outlineLevel="2">
      <c r="B413" s="12" t="s">
        <v>17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>
        <f t="shared" si="565"/>
        <v>3.6577063288682514</v>
      </c>
      <c r="P413" s="6">
        <f t="shared" si="565"/>
        <v>4.8537108535315312</v>
      </c>
      <c r="Q413" s="6">
        <f t="shared" si="565"/>
        <v>6.4063484767736494</v>
      </c>
      <c r="R413" s="62"/>
      <c r="S413" s="62"/>
      <c r="T413" s="62"/>
      <c r="U413" s="62"/>
      <c r="V413" s="62"/>
      <c r="W413" s="62"/>
      <c r="X413" s="62"/>
      <c r="Y413" s="62"/>
      <c r="Z413" s="62"/>
      <c r="AA413" s="62"/>
      <c r="AB413" s="62"/>
      <c r="AC413" s="62"/>
      <c r="AD413" s="62"/>
      <c r="AE413" s="61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6"/>
      <c r="BQ413" s="6"/>
      <c r="BR413" s="5"/>
      <c r="BS413" s="62"/>
      <c r="BT413" s="62"/>
      <c r="BU413" s="62"/>
      <c r="BV413" s="62"/>
      <c r="BW413" s="62"/>
      <c r="BX413" s="62"/>
      <c r="BY413" s="62"/>
      <c r="BZ413" s="62"/>
      <c r="CA413" s="62"/>
      <c r="CB413" s="62"/>
      <c r="CC413" s="62"/>
      <c r="CD413" s="62"/>
      <c r="CE413" s="62"/>
      <c r="CF413" s="62"/>
      <c r="CG413" s="5"/>
      <c r="CH413" s="5"/>
    </row>
    <row r="414" spans="1:86" hidden="1" outlineLevel="2"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330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6"/>
      <c r="BQ414" s="6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</row>
    <row r="415" spans="1:86" outlineLevel="1">
      <c r="A415" s="3" t="s">
        <v>59</v>
      </c>
      <c r="B415" s="13" t="s">
        <v>18</v>
      </c>
      <c r="C415" s="6">
        <f t="shared" ref="C415:R415" si="566">Tax_Sur</f>
        <v>-0.45555399999999996</v>
      </c>
      <c r="D415" s="6">
        <f t="shared" si="566"/>
        <v>-2.3986900000000002</v>
      </c>
      <c r="E415" s="6">
        <f t="shared" si="566"/>
        <v>-5.2640349999999998</v>
      </c>
      <c r="F415" s="6">
        <f t="shared" si="566"/>
        <v>-9.5322900000000015</v>
      </c>
      <c r="G415" s="6">
        <f t="shared" si="566"/>
        <v>-20.208995999999999</v>
      </c>
      <c r="H415" s="6">
        <f t="shared" si="566"/>
        <v>-34.99</v>
      </c>
      <c r="I415" s="6">
        <f t="shared" si="566"/>
        <v>-54.075096000000002</v>
      </c>
      <c r="J415" s="6">
        <f t="shared" si="566"/>
        <v>-88.167080999999996</v>
      </c>
      <c r="K415" s="6">
        <f t="shared" si="566"/>
        <v>-106.334164</v>
      </c>
      <c r="L415" s="6">
        <f t="shared" si="566"/>
        <v>-134.55501799999999</v>
      </c>
      <c r="M415" s="6">
        <f t="shared" si="566"/>
        <v>-185.479524</v>
      </c>
      <c r="N415" s="492">
        <f t="shared" si="566"/>
        <v>-228.21956399999999</v>
      </c>
      <c r="O415" s="492">
        <f t="shared" si="566"/>
        <v>-250.40100899999999</v>
      </c>
      <c r="P415" s="492">
        <f t="shared" si="566"/>
        <v>-330.27152000000001</v>
      </c>
      <c r="Q415" s="492">
        <f t="shared" si="566"/>
        <v>-425.63873799999999</v>
      </c>
      <c r="R415" s="492">
        <f t="shared" si="566"/>
        <v>-599.37834699999996</v>
      </c>
      <c r="S415" s="493">
        <f>Tax_Sur</f>
        <v>-559.64682400000004</v>
      </c>
      <c r="T415" s="493">
        <f>Tax_Sur</f>
        <v>-197.354446</v>
      </c>
      <c r="U415" s="553">
        <f t="shared" ref="U415:AD415" ca="1" si="567">VLOOKUP($A415,INDIRECT($T$2,FALSE),MATCH(U$4,Period_A_CTRP,FALSE),FALSE)</f>
        <v>-234.69890504297905</v>
      </c>
      <c r="V415" s="553">
        <f t="shared" ca="1" si="567"/>
        <v>-294.97291763156636</v>
      </c>
      <c r="W415" s="553">
        <f t="shared" ca="1" si="567"/>
        <v>-360.478945779414</v>
      </c>
      <c r="X415" s="553">
        <f t="shared" ca="1" si="567"/>
        <v>-434.02830147765007</v>
      </c>
      <c r="Y415" s="553">
        <f t="shared" ca="1" si="567"/>
        <v>-518.0199309719053</v>
      </c>
      <c r="Z415" s="553">
        <f t="shared" ca="1" si="567"/>
        <v>-599.71674675490431</v>
      </c>
      <c r="AA415" s="553">
        <f t="shared" ca="1" si="567"/>
        <v>-688.13208557437497</v>
      </c>
      <c r="AB415" s="553">
        <f t="shared" ca="1" si="567"/>
        <v>-783.40903518287473</v>
      </c>
      <c r="AC415" s="553">
        <f t="shared" ca="1" si="567"/>
        <v>-884.99528722597438</v>
      </c>
      <c r="AD415" s="553">
        <f t="shared" ca="1" si="567"/>
        <v>-989.36613209172424</v>
      </c>
      <c r="AE415" s="346"/>
      <c r="AF415" s="6">
        <f t="shared" ref="AF415:BW415" si="568">Tax_Sur</f>
        <v>-16.965212000000001</v>
      </c>
      <c r="AG415" s="6">
        <f t="shared" si="568"/>
        <v>-21.159382000000001</v>
      </c>
      <c r="AH415" s="6">
        <f t="shared" si="568"/>
        <v>-23.160551000000002</v>
      </c>
      <c r="AI415" s="6">
        <f t="shared" si="568"/>
        <v>-26.881936</v>
      </c>
      <c r="AJ415" s="6">
        <f t="shared" si="568"/>
        <v>-26.173023000000001</v>
      </c>
      <c r="AK415" s="6">
        <f t="shared" si="568"/>
        <v>-26.841571999999999</v>
      </c>
      <c r="AL415" s="6">
        <f t="shared" si="568"/>
        <v>-26.909296999999999</v>
      </c>
      <c r="AM415" s="6">
        <f t="shared" si="568"/>
        <v>-26.410271999999999</v>
      </c>
      <c r="AN415" s="6">
        <f t="shared" si="568"/>
        <v>-28.023671</v>
      </c>
      <c r="AO415" s="6">
        <f t="shared" si="568"/>
        <v>-31.371684999999999</v>
      </c>
      <c r="AP415" s="6">
        <f t="shared" si="568"/>
        <v>-37.970770000000002</v>
      </c>
      <c r="AQ415" s="6">
        <f t="shared" si="568"/>
        <v>-37.188892000000003</v>
      </c>
      <c r="AR415" s="6">
        <f t="shared" si="568"/>
        <v>-40.483224</v>
      </c>
      <c r="AS415" s="6">
        <f t="shared" si="568"/>
        <v>-46.465221999999997</v>
      </c>
      <c r="AT415" s="6">
        <f t="shared" si="568"/>
        <v>-50.520117999999997</v>
      </c>
      <c r="AU415" s="6">
        <f t="shared" si="568"/>
        <v>-48.010959999999997</v>
      </c>
      <c r="AV415" s="6">
        <f t="shared" si="568"/>
        <v>-49.584200000000003</v>
      </c>
      <c r="AW415" s="6">
        <f t="shared" si="568"/>
        <v>-53.360163999999997</v>
      </c>
      <c r="AX415" s="6">
        <f t="shared" si="568"/>
        <v>-64.512791000000007</v>
      </c>
      <c r="AY415" s="6">
        <f t="shared" si="568"/>
        <v>-60.762408999999998</v>
      </c>
      <c r="AZ415" s="492">
        <f t="shared" si="568"/>
        <v>-52.790604000000002</v>
      </c>
      <c r="BA415" s="492">
        <f t="shared" si="568"/>
        <v>-57.326573000000003</v>
      </c>
      <c r="BB415" s="492">
        <f t="shared" si="568"/>
        <v>-74.345010000000002</v>
      </c>
      <c r="BC415" s="492">
        <f t="shared" si="568"/>
        <v>-65.938822000000002</v>
      </c>
      <c r="BD415" s="492">
        <f t="shared" si="568"/>
        <v>-67.900120000000001</v>
      </c>
      <c r="BE415" s="492">
        <f t="shared" si="568"/>
        <v>-75.294640000000001</v>
      </c>
      <c r="BF415" s="492">
        <f t="shared" si="568"/>
        <v>-99.510606999999993</v>
      </c>
      <c r="BG415" s="492">
        <f t="shared" si="568"/>
        <v>-87.566153</v>
      </c>
      <c r="BH415" s="492">
        <f t="shared" si="568"/>
        <v>-91.384691000000004</v>
      </c>
      <c r="BI415" s="492">
        <f t="shared" si="568"/>
        <v>-97.244864000000007</v>
      </c>
      <c r="BJ415" s="492">
        <f t="shared" si="568"/>
        <v>-129.901116</v>
      </c>
      <c r="BK415" s="492">
        <f t="shared" si="568"/>
        <v>-107.10806700000001</v>
      </c>
      <c r="BL415" s="492">
        <f t="shared" si="568"/>
        <v>-128.526318</v>
      </c>
      <c r="BM415" s="492">
        <f t="shared" si="568"/>
        <v>-138.35266799999999</v>
      </c>
      <c r="BN415" s="492">
        <f t="shared" si="568"/>
        <v>-174.16816900000001</v>
      </c>
      <c r="BO415" s="492">
        <f t="shared" si="568"/>
        <v>-158.33119199999999</v>
      </c>
      <c r="BP415" s="492">
        <f t="shared" si="568"/>
        <v>-221.13473400000001</v>
      </c>
      <c r="BQ415" s="492">
        <f t="shared" si="568"/>
        <v>-131.10743500000001</v>
      </c>
      <c r="BR415" s="492">
        <f t="shared" si="568"/>
        <v>-95.928078999999997</v>
      </c>
      <c r="BS415" s="492">
        <f t="shared" si="568"/>
        <v>-111.47657599999999</v>
      </c>
      <c r="BT415" s="492">
        <f t="shared" si="568"/>
        <v>-48.208523</v>
      </c>
      <c r="BU415" s="492">
        <f t="shared" si="568"/>
        <v>-45.794148999999997</v>
      </c>
      <c r="BV415" s="492">
        <f t="shared" si="568"/>
        <v>-57.274816000000001</v>
      </c>
      <c r="BW415" s="492">
        <f t="shared" si="568"/>
        <v>-46.076957999999998</v>
      </c>
      <c r="BX415" s="534">
        <f t="shared" ref="BX415:CE415" ca="1" si="569">VLOOKUP($A415,INDIRECT($T$2,FALSE),MATCH(BX$4,Period_A_CTRP,FALSE),FALSE)</f>
        <v>-47.248529334174698</v>
      </c>
      <c r="BY415" s="534">
        <f t="shared" ca="1" si="569"/>
        <v>-52.811813071296996</v>
      </c>
      <c r="BZ415" s="534">
        <f t="shared" ca="1" si="569"/>
        <v>-65.641683106076002</v>
      </c>
      <c r="CA415" s="534">
        <f t="shared" ca="1" si="569"/>
        <v>-68.996879531431375</v>
      </c>
      <c r="CB415" s="534">
        <f t="shared" ca="1" si="569"/>
        <v>-64.240341177120555</v>
      </c>
      <c r="CC415" s="534">
        <f t="shared" ca="1" si="569"/>
        <v>-68.965748523637714</v>
      </c>
      <c r="CD415" s="534">
        <f t="shared" ca="1" si="569"/>
        <v>-78.614644738920148</v>
      </c>
      <c r="CE415" s="534">
        <f t="shared" ca="1" si="569"/>
        <v>-83.152183191887957</v>
      </c>
      <c r="CF415" s="5"/>
      <c r="CG415" s="5"/>
      <c r="CH415" s="5"/>
    </row>
    <row r="416" spans="1:86" outlineLevel="1">
      <c r="B416" s="12" t="s">
        <v>134</v>
      </c>
      <c r="C416" s="6">
        <f t="shared" ref="C416:M416" si="570">-C415/Rev_Gross*100</f>
        <v>6.5941602496422487</v>
      </c>
      <c r="D416" s="6">
        <f t="shared" si="570"/>
        <v>5.1715668582657495</v>
      </c>
      <c r="E416" s="6">
        <f t="shared" si="570"/>
        <v>4.9984812371470264</v>
      </c>
      <c r="F416" s="6">
        <f t="shared" si="570"/>
        <v>5.2180598190645204</v>
      </c>
      <c r="G416" s="6">
        <f t="shared" si="570"/>
        <v>5.7082871270292541</v>
      </c>
      <c r="H416" s="6">
        <f t="shared" si="570"/>
        <v>6.2907396859915892</v>
      </c>
      <c r="I416" s="6">
        <f t="shared" si="570"/>
        <v>6.4836173656079117</v>
      </c>
      <c r="J416" s="6">
        <f t="shared" si="570"/>
        <v>6.8491083809428019</v>
      </c>
      <c r="K416" s="6">
        <f t="shared" si="570"/>
        <v>6.6954382301881097</v>
      </c>
      <c r="L416" s="6">
        <f t="shared" si="570"/>
        <v>6.3392744679363844</v>
      </c>
      <c r="M416" s="6">
        <f t="shared" si="570"/>
        <v>6.0481539266924456</v>
      </c>
      <c r="N416" s="323">
        <f t="shared" ref="N416:AB416" si="571">-N415/Rev_Gross</f>
        <v>6.1245553835879644E-2</v>
      </c>
      <c r="O416" s="323">
        <f t="shared" si="571"/>
        <v>5.6790676012295579E-2</v>
      </c>
      <c r="P416" s="323">
        <f t="shared" si="571"/>
        <v>5.7769902803903858E-2</v>
      </c>
      <c r="Q416" s="323">
        <f t="shared" si="571"/>
        <v>5.4761738272294941E-2</v>
      </c>
      <c r="R416" s="323">
        <f t="shared" si="571"/>
        <v>5.2133699308446829E-2</v>
      </c>
      <c r="S416" s="323">
        <f t="shared" si="571"/>
        <v>2.8282007969647947E-2</v>
      </c>
      <c r="T416" s="323">
        <f>-T415/Rev_Gross</f>
        <v>7.315659722742696E-3</v>
      </c>
      <c r="U416" s="323">
        <f t="shared" ca="1" si="571"/>
        <v>7.315659722742696E-3</v>
      </c>
      <c r="V416" s="323">
        <f t="shared" ca="1" si="571"/>
        <v>7.3156597227426951E-3</v>
      </c>
      <c r="W416" s="323">
        <f t="shared" ca="1" si="571"/>
        <v>7.315659722742696E-3</v>
      </c>
      <c r="X416" s="323">
        <f t="shared" ca="1" si="571"/>
        <v>7.315659722742696E-3</v>
      </c>
      <c r="Y416" s="323">
        <f t="shared" ca="1" si="571"/>
        <v>7.315659722742696E-3</v>
      </c>
      <c r="Z416" s="323">
        <f t="shared" ca="1" si="571"/>
        <v>7.3156597227426968E-3</v>
      </c>
      <c r="AA416" s="323">
        <f t="shared" ca="1" si="571"/>
        <v>7.315659722742696E-3</v>
      </c>
      <c r="AB416" s="323">
        <f t="shared" ca="1" si="571"/>
        <v>7.315659722742696E-3</v>
      </c>
      <c r="AC416" s="323">
        <f ca="1">-AC415/Rev_Gross</f>
        <v>7.315659722742696E-3</v>
      </c>
      <c r="AD416" s="323">
        <f ca="1">-AD415/Rev_Gross</f>
        <v>7.315659722742696E-3</v>
      </c>
      <c r="AE416" s="328"/>
      <c r="AF416" s="323">
        <f t="shared" ref="AF416:BU416" si="572">-AF415/Rev_Gross</f>
        <v>6.8083793283138766E-2</v>
      </c>
      <c r="AG416" s="323">
        <f t="shared" si="572"/>
        <v>6.8437567617830777E-2</v>
      </c>
      <c r="AH416" s="323">
        <f t="shared" si="572"/>
        <v>6.6970732389801987E-2</v>
      </c>
      <c r="AI416" s="323">
        <f t="shared" si="572"/>
        <v>7.0171689011959984E-2</v>
      </c>
      <c r="AJ416" s="323">
        <f t="shared" si="572"/>
        <v>7.138187311166877E-2</v>
      </c>
      <c r="AK416" s="323">
        <f t="shared" si="572"/>
        <v>6.6789143582787078E-2</v>
      </c>
      <c r="AL416" s="323">
        <f t="shared" si="572"/>
        <v>6.7773674501944672E-2</v>
      </c>
      <c r="AM416" s="323">
        <f t="shared" si="572"/>
        <v>6.2473284725754759E-2</v>
      </c>
      <c r="AN416" s="323">
        <f t="shared" si="572"/>
        <v>6.5384040284675801E-2</v>
      </c>
      <c r="AO416" s="323">
        <f t="shared" si="572"/>
        <v>6.1796814595540886E-2</v>
      </c>
      <c r="AP416" s="323">
        <f t="shared" si="572"/>
        <v>6.5085320848655259E-2</v>
      </c>
      <c r="AQ416" s="323">
        <f t="shared" si="572"/>
        <v>6.1683107996407451E-2</v>
      </c>
      <c r="AR416" s="323">
        <f t="shared" si="572"/>
        <v>6.4545432098106814E-2</v>
      </c>
      <c r="AS416" s="323">
        <f t="shared" si="572"/>
        <v>6.2651516099039489E-2</v>
      </c>
      <c r="AT416" s="323">
        <f t="shared" si="572"/>
        <v>5.855878580315009E-2</v>
      </c>
      <c r="AU416" s="323">
        <f t="shared" si="572"/>
        <v>5.7488689607876786E-2</v>
      </c>
      <c r="AV416" s="323">
        <f t="shared" si="572"/>
        <v>6.0906228800012716E-2</v>
      </c>
      <c r="AW416" s="323">
        <f t="shared" si="572"/>
        <v>6.0199564643862814E-2</v>
      </c>
      <c r="AX416" s="323">
        <f t="shared" si="572"/>
        <v>6.2078470562589888E-2</v>
      </c>
      <c r="AY416" s="323">
        <f t="shared" si="572"/>
        <v>6.1587964375771312E-2</v>
      </c>
      <c r="AZ416" s="323">
        <f t="shared" si="572"/>
        <v>5.4784826752543467E-2</v>
      </c>
      <c r="BA416" s="323">
        <f t="shared" si="572"/>
        <v>5.5605490702051452E-2</v>
      </c>
      <c r="BB416" s="323">
        <f t="shared" si="572"/>
        <v>5.9602481891747071E-2</v>
      </c>
      <c r="BC416" s="323">
        <f t="shared" si="572"/>
        <v>5.648861129158738E-2</v>
      </c>
      <c r="BD416" s="323">
        <f t="shared" si="572"/>
        <v>5.5274880951752398E-2</v>
      </c>
      <c r="BE416" s="323">
        <f t="shared" si="572"/>
        <v>5.7034897880566614E-2</v>
      </c>
      <c r="BF416" s="323">
        <f t="shared" si="572"/>
        <v>6.0659215449343565E-2</v>
      </c>
      <c r="BG416" s="323">
        <f t="shared" si="572"/>
        <v>5.7308732687543856E-2</v>
      </c>
      <c r="BH416" s="323">
        <f t="shared" si="572"/>
        <v>5.4617604523556164E-2</v>
      </c>
      <c r="BI416" s="323">
        <f t="shared" si="572"/>
        <v>5.3445756710791763E-2</v>
      </c>
      <c r="BJ416" s="323">
        <f t="shared" si="572"/>
        <v>5.7491810301126677E-2</v>
      </c>
      <c r="BK416" s="323">
        <f t="shared" si="572"/>
        <v>5.3013118361342947E-2</v>
      </c>
      <c r="BL416" s="157">
        <f t="shared" si="572"/>
        <v>5.2603521194689869E-2</v>
      </c>
      <c r="BM416" s="157">
        <f t="shared" si="572"/>
        <v>5.1905174796761495E-2</v>
      </c>
      <c r="BN416" s="157">
        <f t="shared" si="572"/>
        <v>5.1901125648047657E-2</v>
      </c>
      <c r="BO416" s="157">
        <f t="shared" si="572"/>
        <v>5.2213397573345463E-2</v>
      </c>
      <c r="BP416" s="157">
        <f t="shared" si="572"/>
        <v>5.0267704404647576E-2</v>
      </c>
      <c r="BQ416" s="157">
        <f t="shared" si="572"/>
        <v>2.8863081117960418E-2</v>
      </c>
      <c r="BR416" s="157">
        <f t="shared" si="572"/>
        <v>1.6925115273595314E-2</v>
      </c>
      <c r="BS416" s="157">
        <f t="shared" si="572"/>
        <v>2.1525733998947881E-2</v>
      </c>
      <c r="BT416" s="157">
        <f t="shared" si="572"/>
        <v>7.8601659084976926E-3</v>
      </c>
      <c r="BU416" s="157">
        <f t="shared" si="572"/>
        <v>7.0871624279594814E-3</v>
      </c>
      <c r="BV416" s="157">
        <f>-BV415/Rev_Gross</f>
        <v>7.198085914335392E-3</v>
      </c>
      <c r="BW416" s="157">
        <f>-BW415/Rev_Gross</f>
        <v>7.1712868167532881E-3</v>
      </c>
      <c r="BX416" s="157">
        <f t="shared" ref="BX416:CE416" ca="1" si="573">-BX415/Rev_Gross</f>
        <v>6.9999999999999993E-3</v>
      </c>
      <c r="BY416" s="157">
        <f t="shared" ca="1" si="573"/>
        <v>7.0000000000000001E-3</v>
      </c>
      <c r="BZ416" s="157">
        <f t="shared" ca="1" si="573"/>
        <v>7.000000000000001E-3</v>
      </c>
      <c r="CA416" s="157">
        <f t="shared" ca="1" si="573"/>
        <v>8.204150942246512E-3</v>
      </c>
      <c r="CB416" s="157">
        <f t="shared" ca="1" si="573"/>
        <v>7.000000000000001E-3</v>
      </c>
      <c r="CC416" s="157">
        <f t="shared" ca="1" si="573"/>
        <v>7.0000000000000001E-3</v>
      </c>
      <c r="CD416" s="157">
        <f t="shared" ca="1" si="573"/>
        <v>6.9999999999999993E-3</v>
      </c>
      <c r="CE416" s="157">
        <f t="shared" ca="1" si="573"/>
        <v>8.2650911207709475E-3</v>
      </c>
      <c r="CF416" s="5"/>
      <c r="CG416" s="5"/>
      <c r="CH416" s="5"/>
    </row>
    <row r="417" spans="1:96" outlineLevel="1"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  <c r="CC417" s="6"/>
      <c r="CD417" s="6"/>
      <c r="CE417" s="6"/>
      <c r="CF417" s="5"/>
      <c r="CG417" s="5"/>
      <c r="CH417" s="5"/>
    </row>
    <row r="418" spans="1:96" outlineLevel="1">
      <c r="A418" s="51" t="s">
        <v>300</v>
      </c>
      <c r="B418" s="56" t="s">
        <v>300</v>
      </c>
      <c r="C418" s="5"/>
      <c r="D418" s="5"/>
      <c r="E418" s="5"/>
      <c r="F418" s="5"/>
      <c r="G418" s="5"/>
      <c r="H418" s="5"/>
      <c r="I418" s="5">
        <f>OP+Dep_Expenses+Amort_Int</f>
        <v>267.60969499999999</v>
      </c>
      <c r="J418" s="5">
        <f>OP+Dep_Expenses+Amort_Int</f>
        <v>429.23819499999996</v>
      </c>
      <c r="K418" s="5">
        <f>OP+Dep_Expenses+Amort_Int</f>
        <v>496.74081100000024</v>
      </c>
      <c r="L418" s="5">
        <f>OP+Dep_Expenses+Amort_Int</f>
        <v>738.11014200000022</v>
      </c>
      <c r="M418" s="5">
        <f>OP+Dep_Expenses+Amort_Int</f>
        <v>1124.2090899999994</v>
      </c>
      <c r="N418" s="5">
        <f>NP+Dep_Expenses+Amort_Int</f>
        <v>1163.6707139999999</v>
      </c>
      <c r="O418" s="5">
        <f>NP+Dep_Expenses+Amort_Int</f>
        <v>810.60543799999959</v>
      </c>
      <c r="P418" s="5">
        <f>NP+Dep_Expenses+Amort_Int</f>
        <v>1116.5509760000002</v>
      </c>
      <c r="Q418" s="5">
        <f>NP+Dep_Expenses+Amort_Int</f>
        <v>421.95285600000176</v>
      </c>
      <c r="R418" s="5">
        <f>NP+Dep_Expenses+Amort_Int</f>
        <v>2820.9619680000019</v>
      </c>
      <c r="S418" s="5">
        <f>NP+Model!S741+Model!S739</f>
        <v>-711.86747500000001</v>
      </c>
      <c r="T418" s="5">
        <f>NP+Model!T741+Model!T739</f>
        <v>3044.0720658345663</v>
      </c>
      <c r="U418" s="5">
        <f ca="1">NP+Model!U741+Model!U739</f>
        <v>3165.8571657337725</v>
      </c>
      <c r="V418" s="5">
        <f ca="1">NP+Model!V741+Model!V739</f>
        <v>5814.1868464106346</v>
      </c>
      <c r="W418" s="5">
        <f ca="1">NP+Model!W741+Model!W739</f>
        <v>7786.9735992190745</v>
      </c>
      <c r="X418" s="5">
        <f ca="1">NP+Model!X741+Model!X739</f>
        <v>9691.6776624546928</v>
      </c>
      <c r="Y418" s="5">
        <f ca="1">NP+Model!Y741+Model!Y739</f>
        <v>12585.130939359633</v>
      </c>
      <c r="Z418" s="5">
        <f ca="1">NP+Model!Z741+Model!Z739</f>
        <v>15288.635199949869</v>
      </c>
      <c r="AA418" s="5">
        <f ca="1">NP+Model!AA741+Model!AA739</f>
        <v>18236.651012486127</v>
      </c>
      <c r="AB418" s="5">
        <f ca="1">NP+Model!AB741+Model!AB739</f>
        <v>21560.016069794943</v>
      </c>
      <c r="AC418" s="5">
        <f ca="1">NP+Model!AC741+Model!AC739</f>
        <v>24365.064291672406</v>
      </c>
      <c r="AD418" s="5">
        <f ca="1">NP+Model!AD741+Model!AD739</f>
        <v>27260.368092774348</v>
      </c>
      <c r="AE418" s="5"/>
      <c r="AF418" s="5">
        <f t="shared" ref="AF418:AY418" si="574">OP+Dep_Expenses+Amort_Int</f>
        <v>71.07765599999999</v>
      </c>
      <c r="AG418" s="5">
        <f t="shared" si="574"/>
        <v>95.201663999999965</v>
      </c>
      <c r="AH418" s="5">
        <f t="shared" si="574"/>
        <v>111.00157499999995</v>
      </c>
      <c r="AI418" s="5">
        <f t="shared" si="574"/>
        <v>127.063909</v>
      </c>
      <c r="AJ418" s="5">
        <f t="shared" si="574"/>
        <v>110.31769300000002</v>
      </c>
      <c r="AK418" s="5">
        <f t="shared" si="574"/>
        <v>127.29742300000007</v>
      </c>
      <c r="AL418" s="5">
        <f t="shared" si="574"/>
        <v>106.63153100000002</v>
      </c>
      <c r="AM418" s="5">
        <f t="shared" si="574"/>
        <v>116.96022899999994</v>
      </c>
      <c r="AN418" s="5">
        <f t="shared" si="574"/>
        <v>135.23890500000005</v>
      </c>
      <c r="AO418" s="5">
        <f t="shared" si="574"/>
        <v>163.67803399999997</v>
      </c>
      <c r="AP418" s="5">
        <f t="shared" si="574"/>
        <v>199.19754900000007</v>
      </c>
      <c r="AQ418" s="5">
        <f t="shared" si="574"/>
        <v>189.251734</v>
      </c>
      <c r="AR418" s="5">
        <f t="shared" si="574"/>
        <v>196.44173300000006</v>
      </c>
      <c r="AS418" s="5">
        <f t="shared" si="574"/>
        <v>257.37818299999998</v>
      </c>
      <c r="AT418" s="5">
        <f t="shared" si="574"/>
        <v>308.02164899999985</v>
      </c>
      <c r="AU418" s="5">
        <f t="shared" si="574"/>
        <v>292.28372200000001</v>
      </c>
      <c r="AV418" s="5">
        <f t="shared" si="574"/>
        <v>262.74167199999999</v>
      </c>
      <c r="AW418" s="5">
        <f t="shared" si="574"/>
        <v>268.37875300000007</v>
      </c>
      <c r="AX418" s="5">
        <f t="shared" si="574"/>
        <v>304.29226100000011</v>
      </c>
      <c r="AY418" s="5">
        <f t="shared" si="574"/>
        <v>230.58148399999993</v>
      </c>
      <c r="AZ418" s="5">
        <f t="shared" ref="AZ418:CE418" si="575">NP+Dep_Expenses+Amort_Int</f>
        <v>208.36734200000004</v>
      </c>
      <c r="BA418" s="5">
        <f t="shared" si="575"/>
        <v>119.66973899999999</v>
      </c>
      <c r="BB418" s="5">
        <f t="shared" si="575"/>
        <v>193.81679699999995</v>
      </c>
      <c r="BC418" s="5">
        <f t="shared" si="575"/>
        <v>192.55202600000001</v>
      </c>
      <c r="BD418" s="5">
        <f t="shared" si="575"/>
        <v>153.47147299999969</v>
      </c>
      <c r="BE418" s="5">
        <f t="shared" si="575"/>
        <v>210.3810940000003</v>
      </c>
      <c r="BF418" s="5">
        <f t="shared" si="575"/>
        <v>372.98771599999969</v>
      </c>
      <c r="BG418" s="5">
        <f t="shared" si="575"/>
        <v>261.47940100000005</v>
      </c>
      <c r="BH418" s="5">
        <f t="shared" si="575"/>
        <v>115.35175300000013</v>
      </c>
      <c r="BI418" s="5">
        <f t="shared" si="575"/>
        <v>134.88818000000015</v>
      </c>
      <c r="BJ418" s="5">
        <f t="shared" si="575"/>
        <v>216.92455400000037</v>
      </c>
      <c r="BK418" s="5">
        <f t="shared" si="575"/>
        <v>-224.42470600000013</v>
      </c>
      <c r="BL418" s="5">
        <f t="shared" si="575"/>
        <v>-125.98668100000073</v>
      </c>
      <c r="BM418" s="5">
        <f t="shared" si="575"/>
        <v>142.77842200000043</v>
      </c>
      <c r="BN418" s="5">
        <f t="shared" si="575"/>
        <v>2415.1362810000001</v>
      </c>
      <c r="BO418" s="5">
        <f t="shared" si="575"/>
        <v>75.727861999999988</v>
      </c>
      <c r="BP418" s="5">
        <f t="shared" si="575"/>
        <v>-1578.684091000001</v>
      </c>
      <c r="BQ418" s="5">
        <f t="shared" si="575"/>
        <v>-521.25253399999849</v>
      </c>
      <c r="BR418" s="5">
        <f t="shared" si="575"/>
        <v>23.917442000000154</v>
      </c>
      <c r="BS418" s="5">
        <f t="shared" si="575"/>
        <v>645.31598799999949</v>
      </c>
      <c r="BT418" s="5">
        <f t="shared" si="575"/>
        <v>82.447981000000269</v>
      </c>
      <c r="BU418" s="5">
        <f t="shared" si="575"/>
        <v>326.87206899999927</v>
      </c>
      <c r="BV418" s="5">
        <f t="shared" si="575"/>
        <v>1229.1177869999999</v>
      </c>
      <c r="BW418" s="5">
        <f t="shared" si="575"/>
        <v>503.57370000000026</v>
      </c>
      <c r="BX418" s="5">
        <f t="shared" ca="1" si="575"/>
        <v>105.99110078567713</v>
      </c>
      <c r="BY418" s="5">
        <f t="shared" ca="1" si="575"/>
        <v>317.22710858116324</v>
      </c>
      <c r="BZ418" s="5">
        <f t="shared" ca="1" si="575"/>
        <v>781.59845861517442</v>
      </c>
      <c r="CA418" s="5">
        <f t="shared" ca="1" si="575"/>
        <v>934.08285189678224</v>
      </c>
      <c r="CB418" s="5">
        <f t="shared" ca="1" si="575"/>
        <v>980.90738232194212</v>
      </c>
      <c r="CC418" s="5">
        <f t="shared" ca="1" si="575"/>
        <v>1128.2748035616373</v>
      </c>
      <c r="CD418" s="5">
        <f t="shared" ca="1" si="575"/>
        <v>1456.9085146557131</v>
      </c>
      <c r="CE418" s="5">
        <f t="shared" ca="1" si="575"/>
        <v>1203.6786182406324</v>
      </c>
      <c r="CF418" s="5"/>
      <c r="CG418" s="5"/>
      <c r="CH418" s="5"/>
      <c r="CI418" s="5"/>
      <c r="CP418" s="5"/>
      <c r="CQ418" s="5"/>
      <c r="CR418" s="5"/>
    </row>
    <row r="419" spans="1:96" outlineLevel="1">
      <c r="A419" s="51" t="s">
        <v>480</v>
      </c>
      <c r="B419" s="56" t="s">
        <v>329</v>
      </c>
      <c r="C419" s="5"/>
      <c r="D419" s="5"/>
      <c r="E419" s="5"/>
      <c r="F419" s="5"/>
      <c r="G419" s="5"/>
      <c r="H419" s="5"/>
      <c r="I419" s="5">
        <f>OP_NONGP+Dep_Expenses+Amort_Int</f>
        <v>322.29172199999999</v>
      </c>
      <c r="J419" s="5">
        <f>OP_NONGP+Dep_Expenses+Amort_Int</f>
        <v>516.15207999999996</v>
      </c>
      <c r="K419" s="5">
        <f>OP_NONGP+Dep_Expenses+Amort_Int</f>
        <v>625.25828600000023</v>
      </c>
      <c r="L419" s="5">
        <f>OP_NONGP+Dep_Expenses+Amort_Int</f>
        <v>868.6389690000002</v>
      </c>
      <c r="M419" s="5">
        <f>OP_NONGP+Dep_Expenses+Amort_Int</f>
        <v>1366.7705479999995</v>
      </c>
      <c r="N419" s="5">
        <f>NP_NONGP+Dep_Expenses+Amort_Int</f>
        <v>1506.4620709999999</v>
      </c>
      <c r="O419" s="5">
        <f>NP_NONGP+Dep_Expenses+Amort_Int</f>
        <v>1242.3267599999997</v>
      </c>
      <c r="P419" s="5">
        <f>NP_NONGP+Dep_Expenses+Amort_Int</f>
        <v>1554.4804530000004</v>
      </c>
      <c r="Q419" s="5">
        <f>NP_NONGP+Dep_Expenses+Amort_Int</f>
        <v>918.59634500000175</v>
      </c>
      <c r="R419" s="5">
        <f>NP_NONGP+Dep_Expenses+Amort_Int</f>
        <v>3463.5584420000018</v>
      </c>
      <c r="S419" s="5">
        <f>NP_NONGP+Model!S741+Model!S739</f>
        <v>2847.8512309999992</v>
      </c>
      <c r="T419" s="5">
        <f>NP_NONGP+Model!T741+Model!T739</f>
        <v>4877.8841708345653</v>
      </c>
      <c r="U419" s="5">
        <f ca="1">NP_NONGP+Model!U741+Model!U739</f>
        <v>5301.2012682718014</v>
      </c>
      <c r="V419" s="5">
        <f ca="1">NP_NONGP+Model!V741+Model!V739</f>
        <v>8233.4320995590042</v>
      </c>
      <c r="W419" s="5">
        <f ca="1">NP_NONGP+Model!W741+Model!W739</f>
        <v>10743.472065041111</v>
      </c>
      <c r="X419" s="5">
        <f ca="1">NP_NONGP+Model!X741+Model!X739</f>
        <v>13251.397369988572</v>
      </c>
      <c r="Y419" s="5">
        <f ca="1">NP_NONGP+Model!Y741+Model!Y739</f>
        <v>16833.715077532441</v>
      </c>
      <c r="Z419" s="5">
        <f ca="1">NP_NONGP+Model!Z741+Model!Z739</f>
        <v>20207.262660632794</v>
      </c>
      <c r="AA419" s="5">
        <f ca="1">NP_NONGP+Model!AA741+Model!AA739</f>
        <v>23880.424328802066</v>
      </c>
      <c r="AB419" s="5">
        <f ca="1">NP_NONGP+Model!AB741+Model!AB739</f>
        <v>27985.211321133142</v>
      </c>
      <c r="AC419" s="5">
        <f ca="1">NP_NONGP+Model!AC741+Model!AC739</f>
        <v>31623.427753888085</v>
      </c>
      <c r="AD419" s="5">
        <f ca="1">NP_NONGP+Model!AD741+Model!AD739</f>
        <v>35374.737838671754</v>
      </c>
      <c r="AE419" s="5"/>
      <c r="AF419" s="5">
        <f t="shared" ref="AF419:AY419" si="576">OP_NONGP+Dep_Expenses+Amort_Int</f>
        <v>89.666133999999985</v>
      </c>
      <c r="AG419" s="5">
        <f t="shared" si="576"/>
        <v>118.30009699999997</v>
      </c>
      <c r="AH419" s="5">
        <f t="shared" si="576"/>
        <v>133.85665099999994</v>
      </c>
      <c r="AI419" s="5">
        <f t="shared" si="576"/>
        <v>149.43570699999998</v>
      </c>
      <c r="AJ419" s="5">
        <f t="shared" si="576"/>
        <v>143.77334700000003</v>
      </c>
      <c r="AK419" s="5">
        <f t="shared" si="576"/>
        <v>158.58110700000006</v>
      </c>
      <c r="AL419" s="5">
        <f t="shared" si="576"/>
        <v>137.91670200000002</v>
      </c>
      <c r="AM419" s="5">
        <f t="shared" si="576"/>
        <v>149.45319499999994</v>
      </c>
      <c r="AN419" s="5">
        <f t="shared" si="576"/>
        <v>162.21340700000005</v>
      </c>
      <c r="AO419" s="5">
        <f t="shared" si="576"/>
        <v>190.65973199999996</v>
      </c>
      <c r="AP419" s="5">
        <f t="shared" si="576"/>
        <v>226.16426200000006</v>
      </c>
      <c r="AQ419" s="5">
        <f t="shared" si="576"/>
        <v>238.85764699999999</v>
      </c>
      <c r="AR419" s="5">
        <f t="shared" si="576"/>
        <v>260.66477100000009</v>
      </c>
      <c r="AS419" s="5">
        <f t="shared" si="576"/>
        <v>315.60407499999997</v>
      </c>
      <c r="AT419" s="5">
        <f t="shared" si="576"/>
        <v>368.26531599999987</v>
      </c>
      <c r="AU419" s="5">
        <f t="shared" si="576"/>
        <v>352.15258299999999</v>
      </c>
      <c r="AV419" s="5">
        <f t="shared" si="576"/>
        <v>333.11000300000001</v>
      </c>
      <c r="AW419" s="5">
        <f t="shared" si="576"/>
        <v>355.57878100000005</v>
      </c>
      <c r="AX419" s="5">
        <f t="shared" si="576"/>
        <v>394.79903000000013</v>
      </c>
      <c r="AY419" s="5">
        <f t="shared" si="576"/>
        <v>325.29771299999993</v>
      </c>
      <c r="AZ419" s="5">
        <f t="shared" ref="AZ419:CE419" si="577">NP_NONGP+Dep_Expenses+Amort_Int</f>
        <v>309.04580700000002</v>
      </c>
      <c r="BA419" s="5">
        <f t="shared" si="577"/>
        <v>228.483555</v>
      </c>
      <c r="BB419" s="5">
        <f t="shared" si="577"/>
        <v>302.30633599999999</v>
      </c>
      <c r="BC419" s="5">
        <f t="shared" si="577"/>
        <v>306.29152800000003</v>
      </c>
      <c r="BD419" s="5">
        <f t="shared" si="577"/>
        <v>265.05954399999968</v>
      </c>
      <c r="BE419" s="5">
        <f t="shared" si="577"/>
        <v>321.54853900000029</v>
      </c>
      <c r="BF419" s="5">
        <f t="shared" si="577"/>
        <v>481.8868939999997</v>
      </c>
      <c r="BG419" s="5">
        <f t="shared" si="577"/>
        <v>367.75418400000007</v>
      </c>
      <c r="BH419" s="5">
        <f t="shared" si="577"/>
        <v>236.9959960000001</v>
      </c>
      <c r="BI419" s="5">
        <f t="shared" si="577"/>
        <v>246.22600800000015</v>
      </c>
      <c r="BJ419" s="5">
        <f t="shared" si="577"/>
        <v>353.9782720000004</v>
      </c>
      <c r="BK419" s="5">
        <f t="shared" si="577"/>
        <v>-97.81700600000012</v>
      </c>
      <c r="BL419" s="5">
        <f t="shared" si="577"/>
        <v>32.924016999999267</v>
      </c>
      <c r="BM419" s="5">
        <f t="shared" si="577"/>
        <v>295.87236700000045</v>
      </c>
      <c r="BN419" s="5">
        <f t="shared" si="577"/>
        <v>2549.2418889999999</v>
      </c>
      <c r="BO419" s="5">
        <f t="shared" si="577"/>
        <v>272.21408499999995</v>
      </c>
      <c r="BP419" s="5">
        <f t="shared" si="577"/>
        <v>256.95194099999912</v>
      </c>
      <c r="BQ419" s="5">
        <f t="shared" si="577"/>
        <v>56.786621000001446</v>
      </c>
      <c r="BR419" s="5">
        <f t="shared" si="577"/>
        <v>580.75067400000012</v>
      </c>
      <c r="BS419" s="5">
        <f t="shared" si="577"/>
        <v>1234.5258749999994</v>
      </c>
      <c r="BT419" s="5">
        <f t="shared" si="577"/>
        <v>604.18916500000023</v>
      </c>
      <c r="BU419" s="5">
        <f t="shared" si="577"/>
        <v>854.73083799999927</v>
      </c>
      <c r="BV419" s="5">
        <f t="shared" si="577"/>
        <v>1613.1514079999999</v>
      </c>
      <c r="BW419" s="5">
        <f t="shared" si="577"/>
        <v>903.75223100000028</v>
      </c>
      <c r="BX419" s="5">
        <f t="shared" ca="1" si="577"/>
        <v>645.97429317624506</v>
      </c>
      <c r="BY419" s="5">
        <f t="shared" ca="1" si="577"/>
        <v>845.34523929413331</v>
      </c>
      <c r="BZ419" s="5">
        <f t="shared" ca="1" si="577"/>
        <v>1344.2414566672544</v>
      </c>
      <c r="CA419" s="5">
        <f t="shared" ca="1" si="577"/>
        <v>1438.682633279192</v>
      </c>
      <c r="CB419" s="5">
        <f t="shared" ca="1" si="577"/>
        <v>1531.5388781258325</v>
      </c>
      <c r="CC419" s="5">
        <f t="shared" ca="1" si="577"/>
        <v>1719.4097909071033</v>
      </c>
      <c r="CD419" s="5">
        <f t="shared" ca="1" si="577"/>
        <v>2130.7483267036</v>
      </c>
      <c r="CE419" s="5">
        <f t="shared" ca="1" si="577"/>
        <v>1807.3175761917582</v>
      </c>
      <c r="CF419" s="5"/>
      <c r="CG419" s="5"/>
      <c r="CH419" s="5"/>
      <c r="CI419" s="5"/>
      <c r="CP419" s="5"/>
      <c r="CQ419" s="5"/>
      <c r="CR419" s="5"/>
    </row>
    <row r="420" spans="1:96" outlineLevel="1">
      <c r="A420" s="51"/>
      <c r="B420" s="65"/>
      <c r="C420" s="5"/>
      <c r="D420" s="5"/>
      <c r="E420" s="5"/>
      <c r="F420" s="5"/>
      <c r="G420" s="5"/>
      <c r="H420" s="5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  <c r="AU420" s="9"/>
      <c r="AV420" s="9"/>
      <c r="AW420" s="9"/>
      <c r="AX420" s="9"/>
      <c r="AY420" s="9"/>
      <c r="AZ420" s="9"/>
      <c r="BA420" s="9"/>
      <c r="BB420" s="9"/>
      <c r="BC420" s="9"/>
      <c r="BD420" s="9"/>
      <c r="BE420" s="9"/>
      <c r="BF420" s="9"/>
      <c r="BG420" s="9"/>
      <c r="BH420" s="9"/>
      <c r="BI420" s="9"/>
      <c r="BJ420" s="9"/>
      <c r="BK420" s="9"/>
      <c r="BL420" s="9"/>
      <c r="BM420" s="9"/>
      <c r="BN420" s="9"/>
      <c r="BO420" s="9"/>
      <c r="BP420" s="9"/>
      <c r="BQ420" s="9"/>
      <c r="BR420" s="9"/>
      <c r="BS420" s="9"/>
      <c r="BT420" s="9"/>
      <c r="BU420" s="9"/>
      <c r="BV420" s="9"/>
      <c r="BW420" s="9"/>
      <c r="BX420" s="9"/>
      <c r="BY420" s="9"/>
      <c r="BZ420" s="9"/>
      <c r="CA420" s="9"/>
      <c r="CB420" s="9"/>
      <c r="CC420" s="9"/>
      <c r="CD420" s="9"/>
      <c r="CE420" s="9"/>
      <c r="CF420" s="9"/>
      <c r="CG420" s="5"/>
      <c r="CH420" s="5"/>
      <c r="CI420" s="9"/>
      <c r="CP420" s="9"/>
      <c r="CQ420" s="9"/>
      <c r="CR420" s="9"/>
    </row>
    <row r="421" spans="1:96" outlineLevel="1">
      <c r="B421" s="517" t="s">
        <v>72</v>
      </c>
      <c r="C421" s="517"/>
      <c r="D421" s="517"/>
      <c r="E421" s="517"/>
      <c r="F421" s="517"/>
      <c r="G421" s="517"/>
      <c r="H421" s="517"/>
      <c r="I421" s="517"/>
      <c r="J421" s="517"/>
      <c r="K421" s="517"/>
      <c r="L421" s="517"/>
      <c r="M421" s="517"/>
      <c r="N421" s="517"/>
      <c r="O421" s="517"/>
      <c r="P421" s="517"/>
      <c r="Q421" s="517"/>
      <c r="R421" s="527"/>
      <c r="S421" s="527"/>
      <c r="T421" s="517"/>
      <c r="U421" s="517"/>
      <c r="V421" s="517"/>
      <c r="W421" s="517"/>
      <c r="X421" s="517"/>
      <c r="Y421" s="517"/>
      <c r="Z421" s="517"/>
      <c r="AA421" s="517"/>
      <c r="AB421" s="517"/>
      <c r="AC421" s="517"/>
      <c r="AD421" s="517"/>
      <c r="AE421" s="517"/>
      <c r="AF421" s="517"/>
      <c r="AG421" s="517"/>
      <c r="AH421" s="517"/>
      <c r="AI421" s="517"/>
      <c r="AJ421" s="517"/>
      <c r="AK421" s="517"/>
      <c r="AL421" s="517"/>
      <c r="AM421" s="517"/>
      <c r="AN421" s="517"/>
      <c r="AO421" s="517"/>
      <c r="AP421" s="517"/>
      <c r="AQ421" s="517"/>
      <c r="AR421" s="517"/>
      <c r="AS421" s="517"/>
      <c r="AT421" s="517"/>
      <c r="AU421" s="517"/>
      <c r="AV421" s="517"/>
      <c r="AW421" s="517"/>
      <c r="AX421" s="517"/>
      <c r="AY421" s="517"/>
      <c r="AZ421" s="517"/>
      <c r="BA421" s="517"/>
      <c r="BB421" s="517"/>
      <c r="BC421" s="517"/>
      <c r="BD421" s="517"/>
      <c r="BE421" s="517"/>
      <c r="BF421" s="517"/>
      <c r="BG421" s="517"/>
      <c r="BH421" s="517"/>
      <c r="BI421" s="517"/>
      <c r="BJ421" s="517"/>
      <c r="BK421" s="517"/>
      <c r="BL421" s="517"/>
      <c r="BM421" s="517"/>
      <c r="BN421" s="517"/>
      <c r="BO421" s="517"/>
      <c r="BP421" s="517"/>
      <c r="BQ421" s="517"/>
      <c r="BR421" s="517"/>
      <c r="BS421" s="517"/>
      <c r="BT421" s="517"/>
      <c r="BU421" s="517"/>
      <c r="BV421" s="517"/>
      <c r="BW421" s="517"/>
      <c r="BX421" s="517"/>
      <c r="BY421" s="517"/>
      <c r="BZ421" s="517"/>
      <c r="CA421" s="517"/>
      <c r="CB421" s="517"/>
      <c r="CC421" s="517"/>
      <c r="CD421" s="517"/>
      <c r="CE421" s="517"/>
      <c r="CF421" s="464"/>
      <c r="CG421" s="5"/>
      <c r="CH421" s="5"/>
      <c r="CI421" s="214"/>
      <c r="CP421" s="214"/>
      <c r="CQ421" s="214"/>
      <c r="CR421" s="214"/>
    </row>
    <row r="422" spans="1:96" outlineLevel="1">
      <c r="B422" s="115" t="s">
        <v>72</v>
      </c>
      <c r="C422" s="220"/>
      <c r="D422" s="220"/>
      <c r="E422" s="220"/>
      <c r="F422" s="220"/>
      <c r="G422" s="220"/>
      <c r="H422" s="220">
        <f t="shared" ref="H422:R422" si="578">SBC</f>
        <v>1.7768520000000001</v>
      </c>
      <c r="I422" s="220">
        <f t="shared" si="578"/>
        <v>54.682027000000005</v>
      </c>
      <c r="J422" s="220">
        <f t="shared" si="578"/>
        <v>86.913884999999993</v>
      </c>
      <c r="K422" s="220">
        <f t="shared" si="578"/>
        <v>128.51747499999999</v>
      </c>
      <c r="L422" s="220">
        <f t="shared" si="578"/>
        <v>130.52882699999998</v>
      </c>
      <c r="M422" s="220">
        <f t="shared" si="578"/>
        <v>242.56145800000002</v>
      </c>
      <c r="N422" s="568">
        <f t="shared" si="578"/>
        <v>342.791357</v>
      </c>
      <c r="O422" s="568">
        <f t="shared" si="578"/>
        <v>431.72132199999999</v>
      </c>
      <c r="P422" s="568">
        <f t="shared" si="578"/>
        <v>437.92947700000002</v>
      </c>
      <c r="Q422" s="568">
        <f t="shared" si="578"/>
        <v>496.64348899999999</v>
      </c>
      <c r="R422" s="568">
        <f t="shared" si="578"/>
        <v>642.59647399999994</v>
      </c>
      <c r="S422" s="568">
        <f>SBC</f>
        <v>3559.7187059999997</v>
      </c>
      <c r="T422" s="568">
        <f>SBC</f>
        <v>1833.812105</v>
      </c>
      <c r="U422" s="221">
        <f ca="1">SUM(BX422:CA422)</f>
        <v>2135.344102538028</v>
      </c>
      <c r="V422" s="195">
        <f t="shared" ref="V422:AB422" ca="1" si="579">V425*Rev_Gross</f>
        <v>2419.2452531483691</v>
      </c>
      <c r="W422" s="195">
        <f t="shared" ca="1" si="579"/>
        <v>2956.4984658220355</v>
      </c>
      <c r="X422" s="195">
        <f t="shared" ca="1" si="579"/>
        <v>3559.7197075338786</v>
      </c>
      <c r="Y422" s="195">
        <f t="shared" ca="1" si="579"/>
        <v>4248.5841381728096</v>
      </c>
      <c r="Z422" s="195">
        <f t="shared" ca="1" si="579"/>
        <v>4918.6274606829247</v>
      </c>
      <c r="AA422" s="195">
        <f t="shared" ca="1" si="579"/>
        <v>5643.7733163159401</v>
      </c>
      <c r="AB422" s="195">
        <f t="shared" ca="1" si="579"/>
        <v>6425.1952513381975</v>
      </c>
      <c r="AC422" s="195">
        <f ca="1">AC425*Rev_Gross</f>
        <v>7258.3634622156778</v>
      </c>
      <c r="AD422" s="195">
        <f ca="1">AD425*Rev_Gross</f>
        <v>8114.3697458973948</v>
      </c>
      <c r="AE422" s="195"/>
      <c r="AF422" s="569">
        <f t="shared" ref="AF422:BT422" si="580">SBC</f>
        <v>18.588477999999999</v>
      </c>
      <c r="AG422" s="569">
        <f t="shared" si="580"/>
        <v>23.098433</v>
      </c>
      <c r="AH422" s="569">
        <f t="shared" si="580"/>
        <v>22.855075999999997</v>
      </c>
      <c r="AI422" s="569">
        <f t="shared" si="580"/>
        <v>22.371797999999998</v>
      </c>
      <c r="AJ422" s="569">
        <f t="shared" si="580"/>
        <v>33.455654000000003</v>
      </c>
      <c r="AK422" s="569">
        <f t="shared" si="580"/>
        <v>31.283684000000001</v>
      </c>
      <c r="AL422" s="569">
        <f t="shared" si="580"/>
        <v>31.285170999999998</v>
      </c>
      <c r="AM422" s="569">
        <f t="shared" si="580"/>
        <v>32.492965999999996</v>
      </c>
      <c r="AN422" s="569">
        <f t="shared" si="580"/>
        <v>26.974502000000001</v>
      </c>
      <c r="AO422" s="569">
        <f t="shared" si="580"/>
        <v>26.981698000000002</v>
      </c>
      <c r="AP422" s="569">
        <f t="shared" si="580"/>
        <v>26.966712999999999</v>
      </c>
      <c r="AQ422" s="569">
        <f t="shared" si="580"/>
        <v>49.605913000000001</v>
      </c>
      <c r="AR422" s="569">
        <f t="shared" si="580"/>
        <v>64.223038000000003</v>
      </c>
      <c r="AS422" s="569">
        <f t="shared" si="580"/>
        <v>58.225892000000002</v>
      </c>
      <c r="AT422" s="569">
        <f t="shared" si="580"/>
        <v>60.243667000000002</v>
      </c>
      <c r="AU422" s="569">
        <f t="shared" si="580"/>
        <v>59.868861000000003</v>
      </c>
      <c r="AV422" s="569">
        <f t="shared" si="580"/>
        <v>70.368330999999998</v>
      </c>
      <c r="AW422" s="569">
        <f t="shared" si="580"/>
        <v>87.200028000000003</v>
      </c>
      <c r="AX422" s="569">
        <f t="shared" si="580"/>
        <v>90.506768999999991</v>
      </c>
      <c r="AY422" s="569">
        <f t="shared" si="580"/>
        <v>94.716228999999998</v>
      </c>
      <c r="AZ422" s="569">
        <f t="shared" si="580"/>
        <v>100.67846499999999</v>
      </c>
      <c r="BA422" s="569">
        <f t="shared" si="580"/>
        <v>108.813816</v>
      </c>
      <c r="BB422" s="569">
        <f t="shared" si="580"/>
        <v>108.48953900000001</v>
      </c>
      <c r="BC422" s="569">
        <f t="shared" si="580"/>
        <v>113.739502</v>
      </c>
      <c r="BD422" s="569">
        <f t="shared" si="580"/>
        <v>111.588071</v>
      </c>
      <c r="BE422" s="569">
        <f t="shared" si="580"/>
        <v>111.167445</v>
      </c>
      <c r="BF422" s="569">
        <f t="shared" si="580"/>
        <v>108.89917800000001</v>
      </c>
      <c r="BG422" s="569">
        <f t="shared" si="580"/>
        <v>106.274783</v>
      </c>
      <c r="BH422" s="569">
        <f t="shared" si="580"/>
        <v>121.64424299999999</v>
      </c>
      <c r="BI422" s="569">
        <f t="shared" si="580"/>
        <v>111.337828</v>
      </c>
      <c r="BJ422" s="569">
        <f t="shared" si="580"/>
        <v>137.053718</v>
      </c>
      <c r="BK422" s="569">
        <f t="shared" si="580"/>
        <v>126.60770000000001</v>
      </c>
      <c r="BL422" s="569">
        <f t="shared" si="580"/>
        <v>158.910698</v>
      </c>
      <c r="BM422" s="569">
        <f t="shared" si="580"/>
        <v>153.09394500000002</v>
      </c>
      <c r="BN422" s="569">
        <f t="shared" si="580"/>
        <v>134.10560799999999</v>
      </c>
      <c r="BO422" s="569">
        <f t="shared" si="580"/>
        <v>196.486223</v>
      </c>
      <c r="BP422" s="568">
        <f t="shared" si="580"/>
        <v>1835.6360320000001</v>
      </c>
      <c r="BQ422" s="568">
        <f t="shared" si="580"/>
        <v>578.03915499999994</v>
      </c>
      <c r="BR422" s="568">
        <f t="shared" si="580"/>
        <v>556.83323199999995</v>
      </c>
      <c r="BS422" s="568">
        <f>SBC</f>
        <v>589.20988699999998</v>
      </c>
      <c r="BT422" s="568">
        <f t="shared" si="580"/>
        <v>521.74118399999998</v>
      </c>
      <c r="BU422" s="220">
        <f t="shared" ref="BU422:CA422" si="581">BU425*Rev_Gross</f>
        <v>527.85876900000005</v>
      </c>
      <c r="BV422" s="220">
        <f>BV425*Rev_Gross</f>
        <v>384.03362099999998</v>
      </c>
      <c r="BW422" s="220">
        <f>BW425*Rev_Gross</f>
        <v>400.17853100000002</v>
      </c>
      <c r="BX422" s="220">
        <f t="shared" ca="1" si="581"/>
        <v>539.98319239056798</v>
      </c>
      <c r="BY422" s="220">
        <f t="shared" ca="1" si="581"/>
        <v>528.11813071297001</v>
      </c>
      <c r="BZ422" s="220">
        <f t="shared" ca="1" si="581"/>
        <v>562.64299805207997</v>
      </c>
      <c r="CA422" s="220">
        <f t="shared" ca="1" si="581"/>
        <v>504.5997813824099</v>
      </c>
      <c r="CB422" s="220">
        <f ca="1">CB425*Rev_Gross</f>
        <v>550.6314958038904</v>
      </c>
      <c r="CC422" s="220">
        <f ca="1">CC425*Rev_Gross</f>
        <v>591.13498734546613</v>
      </c>
      <c r="CD422" s="220">
        <f ca="1">CD425*Rev_Gross</f>
        <v>673.83981204788699</v>
      </c>
      <c r="CE422" s="220">
        <f ca="1">CE425*Rev_Gross</f>
        <v>603.6389579511258</v>
      </c>
      <c r="CF422" s="195"/>
      <c r="CG422" s="5"/>
      <c r="CH422" s="5"/>
    </row>
    <row r="423" spans="1:96" outlineLevel="1">
      <c r="B423" s="12" t="s">
        <v>82</v>
      </c>
      <c r="C423" s="5"/>
      <c r="D423" s="126"/>
      <c r="E423" s="126"/>
      <c r="F423" s="126"/>
      <c r="G423" s="126"/>
      <c r="H423" s="126"/>
      <c r="I423" s="126">
        <f>(I422/H422-1)*1</f>
        <v>29.774666094868905</v>
      </c>
      <c r="J423" s="126">
        <f>(J422/I422-1)*1</f>
        <v>0.58944153624736662</v>
      </c>
      <c r="K423" s="126">
        <f>(K422/J422-1)*1</f>
        <v>0.47867599060840504</v>
      </c>
      <c r="L423" s="126">
        <f>(L422/K422-1)*1</f>
        <v>1.5650416412242629E-2</v>
      </c>
      <c r="M423" s="126">
        <f>(M422/L422-1)*1</f>
        <v>0.85829799880144519</v>
      </c>
      <c r="N423" s="323">
        <f t="shared" ref="N423:AD423" si="582">(N422/M422-1)</f>
        <v>0.41321444810906427</v>
      </c>
      <c r="O423" s="323">
        <f t="shared" si="582"/>
        <v>0.25942884260060262</v>
      </c>
      <c r="P423" s="323">
        <f t="shared" si="582"/>
        <v>1.4380005535144846E-2</v>
      </c>
      <c r="Q423" s="323">
        <f t="shared" si="582"/>
        <v>0.13407184280495454</v>
      </c>
      <c r="R423" s="323">
        <f t="shared" si="582"/>
        <v>0.29387878474734208</v>
      </c>
      <c r="S423" s="323">
        <f t="shared" si="582"/>
        <v>4.5395864279205487</v>
      </c>
      <c r="T423" s="323">
        <f t="shared" si="582"/>
        <v>-0.48484353499363264</v>
      </c>
      <c r="U423" s="323">
        <f t="shared" ca="1" si="582"/>
        <v>0.16442905830749122</v>
      </c>
      <c r="V423" s="323">
        <f t="shared" ca="1" si="582"/>
        <v>0.13295334942640014</v>
      </c>
      <c r="W423" s="323">
        <f t="shared" ca="1" si="582"/>
        <v>0.22207472019403296</v>
      </c>
      <c r="X423" s="323">
        <f t="shared" ca="1" si="582"/>
        <v>0.20403232022111717</v>
      </c>
      <c r="Y423" s="323">
        <f t="shared" ca="1" si="582"/>
        <v>0.19351648085690609</v>
      </c>
      <c r="Z423" s="323">
        <f t="shared" ca="1" si="582"/>
        <v>0.15770979241999461</v>
      </c>
      <c r="AA423" s="323">
        <f t="shared" ca="1" si="582"/>
        <v>0.14742849736628205</v>
      </c>
      <c r="AB423" s="323">
        <f t="shared" ca="1" si="582"/>
        <v>0.13845735667008374</v>
      </c>
      <c r="AC423" s="323">
        <f t="shared" ca="1" si="582"/>
        <v>0.12967204548436939</v>
      </c>
      <c r="AD423" s="323">
        <f t="shared" ca="1" si="582"/>
        <v>0.11793378605766502</v>
      </c>
      <c r="AE423" s="323"/>
      <c r="AF423" s="126"/>
      <c r="AG423" s="126"/>
      <c r="AH423" s="126"/>
      <c r="AI423" s="126"/>
      <c r="AJ423" s="323">
        <f>(AJ422/AF422-1)</f>
        <v>0.79980598734334274</v>
      </c>
      <c r="AK423" s="323">
        <f t="shared" ref="AK423:AR423" si="583">(AK422/AG422-1)</f>
        <v>0.35436390858202382</v>
      </c>
      <c r="AL423" s="323">
        <f t="shared" si="583"/>
        <v>0.36885000951211033</v>
      </c>
      <c r="AM423" s="323">
        <f t="shared" si="583"/>
        <v>0.45240744619632256</v>
      </c>
      <c r="AN423" s="323">
        <f t="shared" si="583"/>
        <v>-0.19372366775433536</v>
      </c>
      <c r="AO423" s="323">
        <f t="shared" si="583"/>
        <v>-0.13751532588041737</v>
      </c>
      <c r="AP423" s="323">
        <f t="shared" si="583"/>
        <v>-0.13803530113356266</v>
      </c>
      <c r="AQ423" s="323">
        <f t="shared" si="583"/>
        <v>0.52666620215587612</v>
      </c>
      <c r="AR423" s="323">
        <f t="shared" si="583"/>
        <v>1.3808794690630433</v>
      </c>
      <c r="AS423" s="323">
        <f t="shared" ref="AS423:CA423" si="584">(AS422/AO422-1)</f>
        <v>1.1579773074326161</v>
      </c>
      <c r="AT423" s="323">
        <f t="shared" si="584"/>
        <v>1.234001118341713</v>
      </c>
      <c r="AU423" s="323">
        <f t="shared" si="584"/>
        <v>0.20688961011563278</v>
      </c>
      <c r="AV423" s="323">
        <f t="shared" si="584"/>
        <v>9.5686737833859503E-2</v>
      </c>
      <c r="AW423" s="323">
        <f t="shared" si="584"/>
        <v>0.49761600904284986</v>
      </c>
      <c r="AX423" s="323">
        <f t="shared" si="584"/>
        <v>0.50234495187685013</v>
      </c>
      <c r="AY423" s="323">
        <f t="shared" si="584"/>
        <v>0.58206164971135821</v>
      </c>
      <c r="AZ423" s="323">
        <f t="shared" si="584"/>
        <v>0.4307354397818528</v>
      </c>
      <c r="BA423" s="323">
        <f t="shared" si="584"/>
        <v>0.24786446169489751</v>
      </c>
      <c r="BB423" s="323">
        <f t="shared" si="584"/>
        <v>0.19868977976663849</v>
      </c>
      <c r="BC423" s="323">
        <f t="shared" si="584"/>
        <v>0.20084491539459415</v>
      </c>
      <c r="BD423" s="323">
        <f t="shared" si="584"/>
        <v>0.10836086942724066</v>
      </c>
      <c r="BE423" s="323">
        <f t="shared" si="584"/>
        <v>2.1629872809533657E-2</v>
      </c>
      <c r="BF423" s="323">
        <f t="shared" si="584"/>
        <v>3.7758387009092509E-3</v>
      </c>
      <c r="BG423" s="323">
        <f t="shared" si="584"/>
        <v>-6.5629960292950873E-2</v>
      </c>
      <c r="BH423" s="323">
        <f t="shared" si="584"/>
        <v>9.0118700949674002E-2</v>
      </c>
      <c r="BI423" s="323">
        <f t="shared" si="584"/>
        <v>1.5326699286828394E-3</v>
      </c>
      <c r="BJ423" s="323">
        <f t="shared" si="584"/>
        <v>0.25853767234129155</v>
      </c>
      <c r="BK423" s="323">
        <f t="shared" si="584"/>
        <v>0.1913240039266888</v>
      </c>
      <c r="BL423" s="323">
        <f t="shared" si="584"/>
        <v>0.30635609282389153</v>
      </c>
      <c r="BM423" s="323">
        <f t="shared" si="584"/>
        <v>0.37503980228534739</v>
      </c>
      <c r="BN423" s="323">
        <f t="shared" si="584"/>
        <v>-2.1510616734965238E-2</v>
      </c>
      <c r="BO423" s="323">
        <f t="shared" si="584"/>
        <v>0.55192948770098482</v>
      </c>
      <c r="BP423" s="323">
        <f t="shared" si="584"/>
        <v>10.551368505095864</v>
      </c>
      <c r="BQ423" s="323">
        <f t="shared" si="584"/>
        <v>2.7757153295644703</v>
      </c>
      <c r="BR423" s="323">
        <f t="shared" si="584"/>
        <v>3.1521994516441101</v>
      </c>
      <c r="BS423" s="323">
        <f t="shared" si="584"/>
        <v>1.9987338450696361</v>
      </c>
      <c r="BT423" s="323">
        <f t="shared" si="584"/>
        <v>-0.71577089635163582</v>
      </c>
      <c r="BU423" s="323">
        <f t="shared" si="584"/>
        <v>-8.681139602039567E-2</v>
      </c>
      <c r="BV423" s="323">
        <f t="shared" si="584"/>
        <v>-0.3103256075061267</v>
      </c>
      <c r="BW423" s="323">
        <f t="shared" si="584"/>
        <v>-0.32082176516498262</v>
      </c>
      <c r="BX423" s="323">
        <f t="shared" ca="1" si="584"/>
        <v>3.4963711798085662E-2</v>
      </c>
      <c r="BY423" s="323">
        <f t="shared" ca="1" si="584"/>
        <v>4.9134679236506607E-4</v>
      </c>
      <c r="BZ423" s="323">
        <f t="shared" ca="1" si="584"/>
        <v>0.46508786545040537</v>
      </c>
      <c r="CA423" s="323">
        <f t="shared" ca="1" si="584"/>
        <v>0.26093666274768212</v>
      </c>
      <c r="CB423" s="323">
        <f ca="1">(CB422/BX422-1)</f>
        <v>1.971969417451902E-2</v>
      </c>
      <c r="CC423" s="323">
        <f ca="1">(CC422/BY422-1)</f>
        <v>0.11932341074414943</v>
      </c>
      <c r="CD423" s="323">
        <f ca="1">(CD422/BZ422-1)</f>
        <v>0.19763298286974207</v>
      </c>
      <c r="CE423" s="323">
        <f ca="1">(CE422/CA422-1)</f>
        <v>0.19627272984024402</v>
      </c>
      <c r="CF423" s="62"/>
      <c r="CG423" s="5"/>
      <c r="CH423" s="5"/>
    </row>
    <row r="424" spans="1:96" outlineLevel="1">
      <c r="B424" s="12" t="s">
        <v>83</v>
      </c>
      <c r="C424" s="5"/>
      <c r="D424" s="5"/>
      <c r="E424" s="5"/>
      <c r="F424" s="5"/>
      <c r="G424" s="5"/>
      <c r="H424" s="126"/>
      <c r="I424" s="126"/>
      <c r="J424" s="126"/>
      <c r="K424" s="126"/>
      <c r="L424" s="126"/>
      <c r="M424" s="126"/>
      <c r="N424" s="126"/>
      <c r="O424" s="126"/>
      <c r="P424" s="126"/>
      <c r="Q424" s="126"/>
      <c r="R424" s="126"/>
      <c r="S424" s="126"/>
      <c r="T424" s="324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126"/>
      <c r="AG424" s="323">
        <f>(AG422/AF422-1)</f>
        <v>0.24262099349930644</v>
      </c>
      <c r="AH424" s="323">
        <f t="shared" ref="AH424:CA424" si="585">(AH422/AG422-1)</f>
        <v>-1.0535649755981424E-2</v>
      </c>
      <c r="AI424" s="323">
        <f t="shared" si="585"/>
        <v>-2.1145324565973844E-2</v>
      </c>
      <c r="AJ424" s="323">
        <f t="shared" si="585"/>
        <v>0.49543876625383465</v>
      </c>
      <c r="AK424" s="323">
        <f t="shared" si="585"/>
        <v>-6.4920865095030034E-2</v>
      </c>
      <c r="AL424" s="323">
        <f t="shared" si="585"/>
        <v>4.7532765002911148E-5</v>
      </c>
      <c r="AM424" s="323">
        <f t="shared" si="585"/>
        <v>3.8605990039178639E-2</v>
      </c>
      <c r="AN424" s="323">
        <f t="shared" si="585"/>
        <v>-0.16983564996805756</v>
      </c>
      <c r="AO424" s="323">
        <f t="shared" si="585"/>
        <v>2.6677044862588595E-4</v>
      </c>
      <c r="AP424" s="323">
        <f t="shared" si="585"/>
        <v>-5.5537646296399679E-4</v>
      </c>
      <c r="AQ424" s="323">
        <f t="shared" si="585"/>
        <v>0.83952389748057188</v>
      </c>
      <c r="AR424" s="323">
        <f t="shared" si="585"/>
        <v>0.29466497270194392</v>
      </c>
      <c r="AS424" s="323">
        <f t="shared" si="585"/>
        <v>-9.3379979938040258E-2</v>
      </c>
      <c r="AT424" s="323">
        <f t="shared" si="585"/>
        <v>3.4654256563385832E-2</v>
      </c>
      <c r="AU424" s="323">
        <f t="shared" si="585"/>
        <v>-6.2215004275885111E-3</v>
      </c>
      <c r="AV424" s="323">
        <f t="shared" si="585"/>
        <v>0.17537447388551453</v>
      </c>
      <c r="AW424" s="323">
        <f t="shared" si="585"/>
        <v>0.23919420513185119</v>
      </c>
      <c r="AX424" s="323">
        <f t="shared" si="585"/>
        <v>3.7921329566545481E-2</v>
      </c>
      <c r="AY424" s="323">
        <f t="shared" si="585"/>
        <v>4.6509891431435468E-2</v>
      </c>
      <c r="AZ424" s="323">
        <f t="shared" si="585"/>
        <v>6.2948409823199158E-2</v>
      </c>
      <c r="BA424" s="323">
        <f t="shared" si="585"/>
        <v>8.0805274494401669E-2</v>
      </c>
      <c r="BB424" s="323">
        <f t="shared" si="585"/>
        <v>-2.9801087023728634E-3</v>
      </c>
      <c r="BC424" s="323">
        <f t="shared" si="585"/>
        <v>4.839142140699848E-2</v>
      </c>
      <c r="BD424" s="323">
        <f t="shared" si="585"/>
        <v>-1.891542482751507E-2</v>
      </c>
      <c r="BE424" s="323">
        <f t="shared" si="585"/>
        <v>-3.7694530986202013E-3</v>
      </c>
      <c r="BF424" s="323">
        <f t="shared" si="585"/>
        <v>-2.0404058040553119E-2</v>
      </c>
      <c r="BG424" s="323">
        <f t="shared" si="585"/>
        <v>-2.4099309546670833E-2</v>
      </c>
      <c r="BH424" s="323">
        <f t="shared" si="585"/>
        <v>0.14462000830432165</v>
      </c>
      <c r="BI424" s="323">
        <f t="shared" si="585"/>
        <v>-8.4725875601034284E-2</v>
      </c>
      <c r="BJ424" s="323">
        <f t="shared" si="585"/>
        <v>0.23097172328527904</v>
      </c>
      <c r="BK424" s="323">
        <f t="shared" si="585"/>
        <v>-7.6218421159504723E-2</v>
      </c>
      <c r="BL424" s="323">
        <f t="shared" si="585"/>
        <v>0.2551424439429828</v>
      </c>
      <c r="BM424" s="323">
        <f t="shared" si="585"/>
        <v>-3.6603910707131759E-2</v>
      </c>
      <c r="BN424" s="323">
        <f t="shared" si="585"/>
        <v>-0.12403062054479053</v>
      </c>
      <c r="BO424" s="323">
        <f t="shared" si="585"/>
        <v>0.46516037569435587</v>
      </c>
      <c r="BP424" s="323">
        <f t="shared" si="585"/>
        <v>8.3423142038818678</v>
      </c>
      <c r="BQ424" s="323">
        <f t="shared" si="585"/>
        <v>-0.68510143355041753</v>
      </c>
      <c r="BR424" s="323">
        <f t="shared" si="585"/>
        <v>-3.6685962908516112E-2</v>
      </c>
      <c r="BS424" s="323">
        <f t="shared" si="585"/>
        <v>5.8144257812543731E-2</v>
      </c>
      <c r="BT424" s="323">
        <f t="shared" si="585"/>
        <v>-0.11450707886712708</v>
      </c>
      <c r="BU424" s="323">
        <f t="shared" si="585"/>
        <v>1.1725325099120498E-2</v>
      </c>
      <c r="BV424" s="323">
        <f t="shared" si="585"/>
        <v>-0.27246899444802075</v>
      </c>
      <c r="BW424" s="323">
        <f t="shared" si="585"/>
        <v>4.204035562813413E-2</v>
      </c>
      <c r="BX424" s="323">
        <f t="shared" ca="1" si="585"/>
        <v>0.34935572640844126</v>
      </c>
      <c r="BY424" s="323">
        <f t="shared" ca="1" si="585"/>
        <v>-2.1973020354707606E-2</v>
      </c>
      <c r="BZ424" s="323">
        <f t="shared" ca="1" si="585"/>
        <v>6.5373380180113738E-2</v>
      </c>
      <c r="CA424" s="323">
        <f t="shared" ca="1" si="585"/>
        <v>-0.1031617151028642</v>
      </c>
      <c r="CB424" s="323">
        <f ca="1">(CB422/CA422-1)</f>
        <v>9.1224206033881483E-2</v>
      </c>
      <c r="CC424" s="323">
        <f ca="1">(CC422/CB422-1)</f>
        <v>7.3558254204916018E-2</v>
      </c>
      <c r="CD424" s="323">
        <f ca="1">(CD422/CC422-1)</f>
        <v>0.13990852592537761</v>
      </c>
      <c r="CE424" s="323">
        <f ca="1">(CE422/CD422-1)</f>
        <v>-0.10418033016394745</v>
      </c>
      <c r="CF424" s="62"/>
      <c r="CG424" s="5"/>
      <c r="CH424" s="5"/>
    </row>
    <row r="425" spans="1:96" outlineLevel="1">
      <c r="B425" s="12" t="s">
        <v>306</v>
      </c>
      <c r="C425" s="6"/>
      <c r="D425" s="6"/>
      <c r="E425" s="6"/>
      <c r="F425" s="6"/>
      <c r="G425" s="6"/>
      <c r="H425" s="6">
        <f t="shared" ref="H425:M425" si="586">SBC/Rev_Gross*100</f>
        <v>0.31945451250453066</v>
      </c>
      <c r="I425" s="6">
        <f t="shared" si="586"/>
        <v>6.5563885424048198</v>
      </c>
      <c r="J425" s="6">
        <f t="shared" si="586"/>
        <v>6.7517560003353045</v>
      </c>
      <c r="K425" s="6">
        <f t="shared" si="586"/>
        <v>8.0922328534246493</v>
      </c>
      <c r="L425" s="6">
        <f t="shared" si="586"/>
        <v>6.1495890129551718</v>
      </c>
      <c r="M425" s="6">
        <f t="shared" si="586"/>
        <v>7.9094932045811417</v>
      </c>
      <c r="N425" s="323">
        <f t="shared" ref="N425:U425" si="587">SBC/Rev_Gross</f>
        <v>9.1992317142529201E-2</v>
      </c>
      <c r="O425" s="323">
        <f t="shared" si="587"/>
        <v>9.7913925439900823E-2</v>
      </c>
      <c r="P425" s="323">
        <f t="shared" si="587"/>
        <v>7.6601044259748619E-2</v>
      </c>
      <c r="Q425" s="323">
        <f t="shared" si="587"/>
        <v>6.3897052432425439E-2</v>
      </c>
      <c r="R425" s="323">
        <f t="shared" si="587"/>
        <v>5.5892795460267389E-2</v>
      </c>
      <c r="S425" s="323">
        <f t="shared" si="587"/>
        <v>0.17989201134606431</v>
      </c>
      <c r="T425" s="323">
        <f t="shared" si="587"/>
        <v>6.7976909705021293E-2</v>
      </c>
      <c r="U425" s="610">
        <f t="shared" ca="1" si="587"/>
        <v>6.655953866624531E-2</v>
      </c>
      <c r="V425" s="42">
        <v>0.06</v>
      </c>
      <c r="W425" s="42">
        <f t="shared" ref="W425:AD425" si="588">V425</f>
        <v>0.06</v>
      </c>
      <c r="X425" s="457">
        <f t="shared" si="588"/>
        <v>0.06</v>
      </c>
      <c r="Y425" s="42">
        <f>X425</f>
        <v>0.06</v>
      </c>
      <c r="Z425" s="42">
        <f t="shared" si="588"/>
        <v>0.06</v>
      </c>
      <c r="AA425" s="42">
        <f t="shared" si="588"/>
        <v>0.06</v>
      </c>
      <c r="AB425" s="42">
        <f t="shared" si="588"/>
        <v>0.06</v>
      </c>
      <c r="AC425" s="42">
        <f t="shared" si="588"/>
        <v>0.06</v>
      </c>
      <c r="AD425" s="42">
        <f t="shared" si="588"/>
        <v>0.06</v>
      </c>
      <c r="AE425" s="42"/>
      <c r="AF425" s="323">
        <f t="shared" ref="AF425:BW425" si="589">SBC/Rev_Gross</f>
        <v>7.4598189141413168E-2</v>
      </c>
      <c r="AG425" s="323">
        <f t="shared" si="589"/>
        <v>7.4709203241542399E-2</v>
      </c>
      <c r="AH425" s="323">
        <f t="shared" si="589"/>
        <v>6.608742505929957E-2</v>
      </c>
      <c r="AI425" s="323">
        <f t="shared" si="589"/>
        <v>5.8398578580589888E-2</v>
      </c>
      <c r="AJ425" s="323">
        <f t="shared" si="589"/>
        <v>9.1243844805236826E-2</v>
      </c>
      <c r="AK425" s="323">
        <f t="shared" si="589"/>
        <v>7.7842328402916897E-2</v>
      </c>
      <c r="AL425" s="323">
        <f t="shared" si="589"/>
        <v>7.8794737599115983E-2</v>
      </c>
      <c r="AM425" s="323">
        <f t="shared" si="589"/>
        <v>7.6861848166587171E-2</v>
      </c>
      <c r="AN425" s="323">
        <f t="shared" si="589"/>
        <v>6.293614870896351E-2</v>
      </c>
      <c r="AO425" s="323">
        <f t="shared" si="589"/>
        <v>5.3149296532171493E-2</v>
      </c>
      <c r="AP425" s="323">
        <f t="shared" si="589"/>
        <v>4.6223375713439638E-2</v>
      </c>
      <c r="AQ425" s="323">
        <f t="shared" si="589"/>
        <v>8.2278517166883919E-2</v>
      </c>
      <c r="AR425" s="323">
        <f t="shared" si="589"/>
        <v>0.10239559325519958</v>
      </c>
      <c r="AS425" s="323">
        <f t="shared" si="589"/>
        <v>7.850904941375153E-2</v>
      </c>
      <c r="AT425" s="323">
        <f t="shared" si="589"/>
        <v>6.9829527948634285E-2</v>
      </c>
      <c r="AU425" s="323">
        <f t="shared" si="589"/>
        <v>7.168743068678736E-2</v>
      </c>
      <c r="AV425" s="323">
        <f t="shared" si="589"/>
        <v>8.6436196775606489E-2</v>
      </c>
      <c r="AW425" s="323">
        <f t="shared" si="589"/>
        <v>9.83768288743012E-2</v>
      </c>
      <c r="AX425" s="323">
        <f t="shared" si="589"/>
        <v>8.7091593899287695E-2</v>
      </c>
      <c r="AY425" s="323">
        <f t="shared" si="589"/>
        <v>9.6003101810189881E-2</v>
      </c>
      <c r="AZ425" s="323">
        <f t="shared" si="589"/>
        <v>0.10448170403083493</v>
      </c>
      <c r="BA425" s="323">
        <f t="shared" si="589"/>
        <v>0.10554696220621347</v>
      </c>
      <c r="BB425" s="323">
        <f t="shared" si="589"/>
        <v>8.6976190919760291E-2</v>
      </c>
      <c r="BC425" s="323">
        <f t="shared" si="589"/>
        <v>9.7438600237303691E-2</v>
      </c>
      <c r="BD425" s="323">
        <f t="shared" si="589"/>
        <v>9.083956464525679E-2</v>
      </c>
      <c r="BE425" s="323">
        <f t="shared" si="589"/>
        <v>8.4208170372001317E-2</v>
      </c>
      <c r="BF425" s="323">
        <f t="shared" si="589"/>
        <v>6.6382257125196867E-2</v>
      </c>
      <c r="BG425" s="323">
        <f t="shared" si="589"/>
        <v>6.9552822885501547E-2</v>
      </c>
      <c r="BH425" s="323">
        <f t="shared" si="589"/>
        <v>7.2702737012497687E-2</v>
      </c>
      <c r="BI425" s="323">
        <f t="shared" si="589"/>
        <v>6.1191246747961711E-2</v>
      </c>
      <c r="BJ425" s="323">
        <f t="shared" si="589"/>
        <v>6.0657418496082138E-2</v>
      </c>
      <c r="BK425" s="323">
        <f t="shared" si="589"/>
        <v>6.2664458182756677E-2</v>
      </c>
      <c r="BL425" s="323">
        <f t="shared" si="589"/>
        <v>6.5039304014808549E-2</v>
      </c>
      <c r="BM425" s="323">
        <f t="shared" si="589"/>
        <v>5.7435596222479728E-2</v>
      </c>
      <c r="BN425" s="323">
        <f t="shared" si="589"/>
        <v>3.9962709896294676E-2</v>
      </c>
      <c r="BO425" s="323">
        <f t="shared" si="589"/>
        <v>6.4795907550446633E-2</v>
      </c>
      <c r="BP425" s="323">
        <f t="shared" si="589"/>
        <v>0.41727144253645926</v>
      </c>
      <c r="BQ425" s="323">
        <f t="shared" si="589"/>
        <v>0.12725434694166882</v>
      </c>
      <c r="BR425" s="323">
        <f t="shared" si="589"/>
        <v>9.8245130497908159E-2</v>
      </c>
      <c r="BS425" s="323">
        <f t="shared" si="589"/>
        <v>0.11377435289286368</v>
      </c>
      <c r="BT425" s="323">
        <f t="shared" si="589"/>
        <v>8.5067370090056937E-2</v>
      </c>
      <c r="BU425" s="323">
        <f t="shared" si="589"/>
        <v>8.1692113875197106E-2</v>
      </c>
      <c r="BV425" s="323">
        <f t="shared" si="589"/>
        <v>4.8263917564594472E-2</v>
      </c>
      <c r="BW425" s="323">
        <f t="shared" si="589"/>
        <v>6.22826494689167E-2</v>
      </c>
      <c r="BX425" s="319">
        <v>0.08</v>
      </c>
      <c r="BY425" s="319">
        <v>7.0000000000000007E-2</v>
      </c>
      <c r="BZ425" s="319">
        <v>0.06</v>
      </c>
      <c r="CA425" s="319">
        <f>BZ425</f>
        <v>0.06</v>
      </c>
      <c r="CB425" s="319">
        <f>V425</f>
        <v>0.06</v>
      </c>
      <c r="CC425" s="319">
        <f>CB425</f>
        <v>0.06</v>
      </c>
      <c r="CD425" s="319">
        <f>CC425</f>
        <v>0.06</v>
      </c>
      <c r="CE425" s="319">
        <f>CD425</f>
        <v>0.06</v>
      </c>
      <c r="CF425" s="74"/>
      <c r="CG425" s="5"/>
      <c r="CH425" s="5"/>
    </row>
    <row r="426" spans="1:96" outlineLevel="1">
      <c r="B426" s="12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  <c r="BL426" s="6"/>
      <c r="BM426" s="6"/>
      <c r="BN426" s="6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  <c r="CC426" s="6"/>
      <c r="CD426" s="6"/>
      <c r="CE426" s="6"/>
      <c r="CF426" s="5"/>
      <c r="CG426" s="5"/>
      <c r="CH426" s="5"/>
    </row>
    <row r="427" spans="1:96" outlineLevel="1">
      <c r="B427" s="115" t="s">
        <v>698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  <c r="BL427" s="6"/>
      <c r="BM427" s="6"/>
      <c r="BN427" s="6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  <c r="CC427" s="6"/>
      <c r="CD427" s="6"/>
      <c r="CE427" s="6"/>
      <c r="CF427" s="5"/>
      <c r="CG427" s="5"/>
      <c r="CH427" s="5"/>
    </row>
    <row r="428" spans="1:96" outlineLevel="1">
      <c r="B428" s="12" t="s">
        <v>140</v>
      </c>
      <c r="C428" s="6"/>
      <c r="D428" s="6"/>
      <c r="E428" s="6"/>
      <c r="F428" s="6"/>
      <c r="G428" s="6"/>
      <c r="H428" s="6">
        <f t="shared" ref="H428:R428" si="590">SBC_RD</f>
        <v>0.40269300000000002</v>
      </c>
      <c r="I428" s="6">
        <f t="shared" si="590"/>
        <v>13.694058</v>
      </c>
      <c r="J428" s="6">
        <f t="shared" si="590"/>
        <v>22.707705000000001</v>
      </c>
      <c r="K428" s="6">
        <f t="shared" si="590"/>
        <v>32.666099000000003</v>
      </c>
      <c r="L428" s="6">
        <f t="shared" si="590"/>
        <v>33.862927999999997</v>
      </c>
      <c r="M428" s="6">
        <f t="shared" si="590"/>
        <v>64.254080000000002</v>
      </c>
      <c r="N428" s="6">
        <f t="shared" si="590"/>
        <v>98.955335000000005</v>
      </c>
      <c r="O428" s="6">
        <f t="shared" si="590"/>
        <v>132.58317700000001</v>
      </c>
      <c r="P428" s="6">
        <f t="shared" si="590"/>
        <v>138.66819599999999</v>
      </c>
      <c r="Q428" s="6">
        <f t="shared" si="590"/>
        <v>184.66457600000001</v>
      </c>
      <c r="R428" s="6">
        <f t="shared" si="590"/>
        <v>291.64293099999998</v>
      </c>
      <c r="S428" s="62">
        <f>SBC_RD</f>
        <v>2079.514506</v>
      </c>
      <c r="T428" s="62">
        <f>SBC_RD</f>
        <v>1012.746515</v>
      </c>
      <c r="U428" s="221">
        <f ca="1">SUM(BX428:CA428)</f>
        <v>1140.4447765872596</v>
      </c>
      <c r="V428" s="62">
        <f t="shared" ref="V428:AD428" ca="1" si="591">V$422*V433</f>
        <v>1292.0707294703784</v>
      </c>
      <c r="W428" s="62">
        <f t="shared" ca="1" si="591"/>
        <v>1579.0069751884125</v>
      </c>
      <c r="X428" s="62">
        <f t="shared" ca="1" si="591"/>
        <v>1901.1754319814324</v>
      </c>
      <c r="Y428" s="62">
        <f t="shared" ca="1" si="591"/>
        <v>2269.0842110700873</v>
      </c>
      <c r="Z428" s="62">
        <f t="shared" ca="1" si="591"/>
        <v>2626.9410109814376</v>
      </c>
      <c r="AA428" s="62">
        <f t="shared" ca="1" si="591"/>
        <v>3014.2269769002933</v>
      </c>
      <c r="AB428" s="62">
        <f t="shared" ca="1" si="591"/>
        <v>3431.5688765255654</v>
      </c>
      <c r="AC428" s="62">
        <f t="shared" ca="1" si="591"/>
        <v>3876.5474319651344</v>
      </c>
      <c r="AD428" s="62">
        <f t="shared" ca="1" si="591"/>
        <v>4333.7233474489012</v>
      </c>
      <c r="AE428" s="62"/>
      <c r="AF428" s="570">
        <f t="shared" ref="AF428:BW428" si="592">SBC_RD</f>
        <v>4.844239</v>
      </c>
      <c r="AG428" s="570">
        <f t="shared" si="592"/>
        <v>5.9093910000000003</v>
      </c>
      <c r="AH428" s="570">
        <f t="shared" si="592"/>
        <v>5.9181509999999999</v>
      </c>
      <c r="AI428" s="570">
        <f t="shared" si="592"/>
        <v>6.0359239999999996</v>
      </c>
      <c r="AJ428" s="570">
        <f t="shared" si="592"/>
        <v>8.1021040000000006</v>
      </c>
      <c r="AK428" s="570">
        <f t="shared" si="592"/>
        <v>7.8435699999999997</v>
      </c>
      <c r="AL428" s="570">
        <f t="shared" si="592"/>
        <v>8.131437</v>
      </c>
      <c r="AM428" s="570">
        <f t="shared" si="592"/>
        <v>8.5889880000000005</v>
      </c>
      <c r="AN428" s="570">
        <f t="shared" si="592"/>
        <v>7.2428400000000002</v>
      </c>
      <c r="AO428" s="570">
        <f t="shared" si="592"/>
        <v>7.2793400000000004</v>
      </c>
      <c r="AP428" s="570">
        <f t="shared" si="592"/>
        <v>7.0212630000000003</v>
      </c>
      <c r="AQ428" s="570">
        <f t="shared" si="592"/>
        <v>12.319485</v>
      </c>
      <c r="AR428" s="570">
        <f t="shared" si="592"/>
        <v>15.993081</v>
      </c>
      <c r="AS428" s="570">
        <f t="shared" si="592"/>
        <v>14.981755</v>
      </c>
      <c r="AT428" s="570">
        <f t="shared" si="592"/>
        <v>16.58372</v>
      </c>
      <c r="AU428" s="570">
        <f t="shared" si="592"/>
        <v>16.695523999999999</v>
      </c>
      <c r="AV428" s="570">
        <f t="shared" si="592"/>
        <v>19.924206999999999</v>
      </c>
      <c r="AW428" s="570">
        <f t="shared" si="592"/>
        <v>24.155875000000002</v>
      </c>
      <c r="AX428" s="570">
        <f t="shared" si="592"/>
        <v>26.713733000000001</v>
      </c>
      <c r="AY428" s="570">
        <f t="shared" si="592"/>
        <v>28.161519999999999</v>
      </c>
      <c r="AZ428" s="570">
        <f t="shared" si="592"/>
        <v>29.767589999999998</v>
      </c>
      <c r="BA428" s="570">
        <f t="shared" si="592"/>
        <v>33.262981000000003</v>
      </c>
      <c r="BB428" s="570">
        <f t="shared" si="592"/>
        <v>33.671461999999998</v>
      </c>
      <c r="BC428" s="570">
        <f t="shared" si="592"/>
        <v>35.881143999999999</v>
      </c>
      <c r="BD428" s="570">
        <f t="shared" si="592"/>
        <v>34.854917999999998</v>
      </c>
      <c r="BE428" s="570">
        <f t="shared" si="592"/>
        <v>35.003222000000001</v>
      </c>
      <c r="BF428" s="570">
        <f t="shared" si="592"/>
        <v>34.621727999999997</v>
      </c>
      <c r="BG428" s="570">
        <f t="shared" si="592"/>
        <v>34.188327999999998</v>
      </c>
      <c r="BH428" s="570">
        <f t="shared" si="592"/>
        <v>44.381633999999998</v>
      </c>
      <c r="BI428" s="570">
        <f t="shared" si="592"/>
        <v>41.555508000000003</v>
      </c>
      <c r="BJ428" s="570">
        <f t="shared" si="592"/>
        <v>48.049514000000002</v>
      </c>
      <c r="BK428" s="570">
        <f t="shared" si="592"/>
        <v>50.67792</v>
      </c>
      <c r="BL428" s="570">
        <f t="shared" si="592"/>
        <v>69.471053999999995</v>
      </c>
      <c r="BM428" s="570">
        <f t="shared" si="592"/>
        <v>71.542652000000004</v>
      </c>
      <c r="BN428" s="570">
        <f t="shared" si="592"/>
        <v>63.703926000000003</v>
      </c>
      <c r="BO428" s="570">
        <f t="shared" si="592"/>
        <v>86.925298999999995</v>
      </c>
      <c r="BP428" s="492">
        <f t="shared" si="592"/>
        <v>1071.6525340000001</v>
      </c>
      <c r="BQ428" s="492">
        <f t="shared" si="592"/>
        <v>345.176289</v>
      </c>
      <c r="BR428" s="492">
        <f t="shared" si="592"/>
        <v>324.427727</v>
      </c>
      <c r="BS428" s="492">
        <f t="shared" si="592"/>
        <v>338.25795599999998</v>
      </c>
      <c r="BT428" s="492">
        <f t="shared" si="592"/>
        <v>283.24188900000001</v>
      </c>
      <c r="BU428" s="492">
        <f t="shared" si="592"/>
        <v>305.27140300000002</v>
      </c>
      <c r="BV428" s="492">
        <f t="shared" si="592"/>
        <v>210.50583599999999</v>
      </c>
      <c r="BW428" s="492">
        <f t="shared" si="592"/>
        <v>213.72738699999999</v>
      </c>
      <c r="BX428" s="62">
        <f t="shared" ref="BX428:CA430" ca="1" si="593">BX$422*BX433</f>
        <v>288.39427353876306</v>
      </c>
      <c r="BY428" s="62">
        <f t="shared" ca="1" si="593"/>
        <v>282.05738029611467</v>
      </c>
      <c r="BZ428" s="62">
        <f t="shared" ca="1" si="593"/>
        <v>300.49642465081951</v>
      </c>
      <c r="CA428" s="62">
        <f t="shared" ca="1" si="593"/>
        <v>269.49669810156234</v>
      </c>
      <c r="CB428" s="62">
        <f t="shared" ref="CB428:CE430" ca="1" si="594">CB$422*CB433</f>
        <v>294.08132041463</v>
      </c>
      <c r="CC428" s="62">
        <f t="shared" ca="1" si="594"/>
        <v>315.71342893860674</v>
      </c>
      <c r="CD428" s="62">
        <f t="shared" ca="1" si="594"/>
        <v>359.88442939625361</v>
      </c>
      <c r="CE428" s="62">
        <f t="shared" ca="1" si="594"/>
        <v>322.39155072088806</v>
      </c>
      <c r="CF428" s="62"/>
      <c r="CG428" s="5"/>
      <c r="CH428" s="5"/>
    </row>
    <row r="429" spans="1:96" outlineLevel="1">
      <c r="B429" s="12" t="s">
        <v>139</v>
      </c>
      <c r="C429" s="6"/>
      <c r="D429" s="6"/>
      <c r="E429" s="6"/>
      <c r="F429" s="6"/>
      <c r="G429" s="6"/>
      <c r="H429" s="6">
        <f t="shared" ref="H429:R429" si="595">SBC_SM</f>
        <v>0.258523</v>
      </c>
      <c r="I429" s="6">
        <f t="shared" si="595"/>
        <v>8.5579420000000006</v>
      </c>
      <c r="J429" s="6">
        <f t="shared" si="595"/>
        <v>13.648562</v>
      </c>
      <c r="K429" s="6">
        <f t="shared" si="595"/>
        <v>18.815878000000001</v>
      </c>
      <c r="L429" s="6">
        <f t="shared" si="595"/>
        <v>18.864101999999999</v>
      </c>
      <c r="M429" s="6">
        <f t="shared" si="595"/>
        <v>33.202984000000001</v>
      </c>
      <c r="N429" s="6">
        <f t="shared" si="595"/>
        <v>48.191018999999997</v>
      </c>
      <c r="O429" s="6">
        <f t="shared" si="595"/>
        <v>55.892394000000003</v>
      </c>
      <c r="P429" s="6">
        <f t="shared" si="595"/>
        <v>49.104528000000002</v>
      </c>
      <c r="Q429" s="6">
        <f t="shared" si="595"/>
        <v>54.391508000000002</v>
      </c>
      <c r="R429" s="6">
        <f t="shared" si="595"/>
        <v>65.574256000000005</v>
      </c>
      <c r="S429" s="62">
        <f>SBC_SM</f>
        <v>392.64166299999999</v>
      </c>
      <c r="T429" s="62">
        <f>SBC_SM</f>
        <v>185.78559899999999</v>
      </c>
      <c r="U429" s="221">
        <f ca="1">SUM(BX429:CA429)</f>
        <v>214.90006808316934</v>
      </c>
      <c r="V429" s="62">
        <f t="shared" ref="V429:AD429" ca="1" si="596">V$422*V434</f>
        <v>243.47175192678813</v>
      </c>
      <c r="W429" s="62">
        <f t="shared" ca="1" si="596"/>
        <v>297.54067311108059</v>
      </c>
      <c r="X429" s="62">
        <f t="shared" ca="1" si="596"/>
        <v>358.24858700608735</v>
      </c>
      <c r="Y429" s="62">
        <f t="shared" ca="1" si="596"/>
        <v>427.57559283546448</v>
      </c>
      <c r="Z429" s="62">
        <f t="shared" ca="1" si="596"/>
        <v>495.00845082540167</v>
      </c>
      <c r="AA429" s="62">
        <f t="shared" ca="1" si="596"/>
        <v>567.9868029142018</v>
      </c>
      <c r="AB429" s="62">
        <f t="shared" ca="1" si="596"/>
        <v>646.62875426919402</v>
      </c>
      <c r="AC429" s="62">
        <f t="shared" ca="1" si="596"/>
        <v>730.47842750428993</v>
      </c>
      <c r="AD429" s="62">
        <f t="shared" ca="1" si="596"/>
        <v>816.62651409332045</v>
      </c>
      <c r="AE429" s="62"/>
      <c r="AF429" s="570">
        <f t="shared" ref="AF429:BW429" si="597">SBC_SM</f>
        <v>2.9717750000000001</v>
      </c>
      <c r="AG429" s="570">
        <f t="shared" si="597"/>
        <v>3.562392</v>
      </c>
      <c r="AH429" s="570">
        <f t="shared" si="597"/>
        <v>3.5406689999999998</v>
      </c>
      <c r="AI429" s="570">
        <f t="shared" si="597"/>
        <v>3.5737260000000002</v>
      </c>
      <c r="AJ429" s="570">
        <f t="shared" si="597"/>
        <v>5.033868</v>
      </c>
      <c r="AK429" s="570">
        <f t="shared" si="597"/>
        <v>4.5161990000000003</v>
      </c>
      <c r="AL429" s="570">
        <f t="shared" si="597"/>
        <v>4.4966299999999997</v>
      </c>
      <c r="AM429" s="570">
        <f t="shared" si="597"/>
        <v>4.7691809999999997</v>
      </c>
      <c r="AN429" s="570">
        <f t="shared" si="597"/>
        <v>4.0251650000000003</v>
      </c>
      <c r="AO429" s="570">
        <f t="shared" si="597"/>
        <v>4.0403719999999996</v>
      </c>
      <c r="AP429" s="570">
        <f t="shared" si="597"/>
        <v>3.902164</v>
      </c>
      <c r="AQ429" s="570">
        <f t="shared" si="597"/>
        <v>6.896401</v>
      </c>
      <c r="AR429" s="570">
        <f t="shared" si="597"/>
        <v>8.84314</v>
      </c>
      <c r="AS429" s="570">
        <f t="shared" si="597"/>
        <v>8.0331360000000007</v>
      </c>
      <c r="AT429" s="570">
        <f t="shared" si="597"/>
        <v>8.1684459999999994</v>
      </c>
      <c r="AU429" s="570">
        <f t="shared" si="597"/>
        <v>8.1582620000000006</v>
      </c>
      <c r="AV429" s="570">
        <f t="shared" si="597"/>
        <v>10.220801</v>
      </c>
      <c r="AW429" s="570">
        <f t="shared" si="597"/>
        <v>11.94012</v>
      </c>
      <c r="AX429" s="570">
        <f t="shared" si="597"/>
        <v>12.693885</v>
      </c>
      <c r="AY429" s="570">
        <f t="shared" si="597"/>
        <v>13.336213000000001</v>
      </c>
      <c r="AZ429" s="570">
        <f t="shared" si="597"/>
        <v>13.547719000000001</v>
      </c>
      <c r="BA429" s="570">
        <f t="shared" si="597"/>
        <v>13.936624</v>
      </c>
      <c r="BB429" s="570">
        <f t="shared" si="597"/>
        <v>14.028219</v>
      </c>
      <c r="BC429" s="570">
        <f t="shared" si="597"/>
        <v>14.379832</v>
      </c>
      <c r="BD429" s="570">
        <f t="shared" si="597"/>
        <v>13.292481</v>
      </c>
      <c r="BE429" s="570">
        <f t="shared" si="597"/>
        <v>12.325365</v>
      </c>
      <c r="BF429" s="570">
        <f t="shared" si="597"/>
        <v>11.917951</v>
      </c>
      <c r="BG429" s="570">
        <f t="shared" si="597"/>
        <v>11.568731</v>
      </c>
      <c r="BH429" s="570">
        <f t="shared" si="597"/>
        <v>12.995817000000001</v>
      </c>
      <c r="BI429" s="570">
        <f t="shared" si="597"/>
        <v>11.715564000000001</v>
      </c>
      <c r="BJ429" s="570">
        <f t="shared" si="597"/>
        <v>14.630609</v>
      </c>
      <c r="BK429" s="570">
        <f t="shared" si="597"/>
        <v>15.049518000000001</v>
      </c>
      <c r="BL429" s="570">
        <f t="shared" si="597"/>
        <v>17.634267000000001</v>
      </c>
      <c r="BM429" s="570">
        <f t="shared" si="597"/>
        <v>16.189634999999999</v>
      </c>
      <c r="BN429" s="570">
        <f t="shared" si="597"/>
        <v>13.900587</v>
      </c>
      <c r="BO429" s="570">
        <f t="shared" si="597"/>
        <v>17.849767</v>
      </c>
      <c r="BP429" s="492">
        <f t="shared" si="597"/>
        <v>184.425162</v>
      </c>
      <c r="BQ429" s="492">
        <f t="shared" si="597"/>
        <v>69.056291999999999</v>
      </c>
      <c r="BR429" s="492">
        <f t="shared" si="597"/>
        <v>70.609154000000004</v>
      </c>
      <c r="BS429" s="492">
        <f t="shared" si="597"/>
        <v>68.550655000000006</v>
      </c>
      <c r="BT429" s="492">
        <f t="shared" si="597"/>
        <v>48.779212000000001</v>
      </c>
      <c r="BU429" s="492">
        <f t="shared" si="597"/>
        <v>58.994568000000001</v>
      </c>
      <c r="BV429" s="492">
        <f t="shared" si="597"/>
        <v>37.738031999999997</v>
      </c>
      <c r="BW429" s="492">
        <f t="shared" si="597"/>
        <v>40.273786999999999</v>
      </c>
      <c r="BX429" s="62">
        <f t="shared" ca="1" si="593"/>
        <v>54.343665112603844</v>
      </c>
      <c r="BY429" s="62">
        <f t="shared" ca="1" si="593"/>
        <v>53.149570652935182</v>
      </c>
      <c r="BZ429" s="62">
        <f t="shared" ca="1" si="593"/>
        <v>56.624137741639323</v>
      </c>
      <c r="CA429" s="62">
        <f t="shared" ca="1" si="593"/>
        <v>50.782694575990988</v>
      </c>
      <c r="CB429" s="62">
        <f t="shared" ca="1" si="594"/>
        <v>55.415305568946863</v>
      </c>
      <c r="CC429" s="62">
        <f t="shared" ca="1" si="594"/>
        <v>59.491558702830559</v>
      </c>
      <c r="CD429" s="62">
        <f t="shared" ca="1" si="594"/>
        <v>67.81493498594665</v>
      </c>
      <c r="CE429" s="62">
        <f t="shared" ca="1" si="594"/>
        <v>60.749952669064086</v>
      </c>
      <c r="CF429" s="62"/>
      <c r="CG429" s="5"/>
      <c r="CH429" s="5"/>
    </row>
    <row r="430" spans="1:96" outlineLevel="1">
      <c r="B430" s="12" t="s">
        <v>138</v>
      </c>
      <c r="C430" s="6"/>
      <c r="D430" s="6"/>
      <c r="E430" s="6"/>
      <c r="F430" s="6"/>
      <c r="G430" s="6"/>
      <c r="H430" s="6">
        <f t="shared" ref="H430:R430" si="598">SBC_GA</f>
        <v>1.1156360000000001</v>
      </c>
      <c r="I430" s="6">
        <f t="shared" si="598"/>
        <v>32.430027000000003</v>
      </c>
      <c r="J430" s="6">
        <f t="shared" si="598"/>
        <v>50.557617999999998</v>
      </c>
      <c r="K430" s="6">
        <f t="shared" si="598"/>
        <v>77.035498000000004</v>
      </c>
      <c r="L430" s="6">
        <f t="shared" si="598"/>
        <v>77.801796999999993</v>
      </c>
      <c r="M430" s="6">
        <f t="shared" si="598"/>
        <v>145.10439400000001</v>
      </c>
      <c r="N430" s="6">
        <f t="shared" si="598"/>
        <v>195.645003</v>
      </c>
      <c r="O430" s="6">
        <f t="shared" si="598"/>
        <v>243.24575100000001</v>
      </c>
      <c r="P430" s="6">
        <f t="shared" si="598"/>
        <v>250.15675300000001</v>
      </c>
      <c r="Q430" s="6">
        <f t="shared" si="598"/>
        <v>257.58740499999999</v>
      </c>
      <c r="R430" s="6">
        <f t="shared" si="598"/>
        <v>285.37928699999998</v>
      </c>
      <c r="S430" s="62">
        <f>SBC_GA</f>
        <v>1087.562537</v>
      </c>
      <c r="T430" s="62">
        <f>SBC_GA</f>
        <v>635.279991</v>
      </c>
      <c r="U430" s="221">
        <f ca="1">SUM(BX430:CA430)</f>
        <v>779.99925786759923</v>
      </c>
      <c r="V430" s="62">
        <f t="shared" ref="V430:AD430" ca="1" si="599">V$422*V435</f>
        <v>883.70277175120293</v>
      </c>
      <c r="W430" s="62">
        <f t="shared" ca="1" si="599"/>
        <v>1079.9508175225426</v>
      </c>
      <c r="X430" s="62">
        <f t="shared" ca="1" si="599"/>
        <v>1300.2956885463593</v>
      </c>
      <c r="Y430" s="62">
        <f t="shared" ca="1" si="599"/>
        <v>1551.9243342672582</v>
      </c>
      <c r="Z430" s="62">
        <f t="shared" ca="1" si="599"/>
        <v>1796.6779988760859</v>
      </c>
      <c r="AA430" s="62">
        <f t="shared" ca="1" si="599"/>
        <v>2061.559536501446</v>
      </c>
      <c r="AB430" s="62">
        <f t="shared" ca="1" si="599"/>
        <v>2346.9976205434391</v>
      </c>
      <c r="AC430" s="62">
        <f t="shared" ca="1" si="599"/>
        <v>2651.3376027462541</v>
      </c>
      <c r="AD430" s="62">
        <f t="shared" ca="1" si="599"/>
        <v>2964.0198843551739</v>
      </c>
      <c r="AE430" s="62"/>
      <c r="AF430" s="570">
        <f t="shared" ref="AF430:BW430" si="600">SBC_GA</f>
        <v>10.772463999999999</v>
      </c>
      <c r="AG430" s="570">
        <f t="shared" si="600"/>
        <v>13.62665</v>
      </c>
      <c r="AH430" s="570">
        <f t="shared" si="600"/>
        <v>13.396255999999999</v>
      </c>
      <c r="AI430" s="570">
        <f t="shared" si="600"/>
        <v>12.762148</v>
      </c>
      <c r="AJ430" s="570">
        <f t="shared" si="600"/>
        <v>20.319682</v>
      </c>
      <c r="AK430" s="570">
        <f t="shared" si="600"/>
        <v>18.923915000000001</v>
      </c>
      <c r="AL430" s="570">
        <f t="shared" si="600"/>
        <v>18.657104</v>
      </c>
      <c r="AM430" s="570">
        <f t="shared" si="600"/>
        <v>19.134796999999999</v>
      </c>
      <c r="AN430" s="570">
        <f t="shared" si="600"/>
        <v>15.706497000000001</v>
      </c>
      <c r="AO430" s="570">
        <f t="shared" si="600"/>
        <v>15.661986000000001</v>
      </c>
      <c r="AP430" s="570">
        <f t="shared" si="600"/>
        <v>16.043285999999998</v>
      </c>
      <c r="AQ430" s="570">
        <f t="shared" si="600"/>
        <v>30.390027</v>
      </c>
      <c r="AR430" s="570">
        <f t="shared" si="600"/>
        <v>39.386817000000001</v>
      </c>
      <c r="AS430" s="570">
        <f t="shared" si="600"/>
        <v>35.211001000000003</v>
      </c>
      <c r="AT430" s="570">
        <f t="shared" si="600"/>
        <v>35.491501</v>
      </c>
      <c r="AU430" s="570">
        <f t="shared" si="600"/>
        <v>35.015075000000003</v>
      </c>
      <c r="AV430" s="570">
        <f t="shared" si="600"/>
        <v>40.223323000000001</v>
      </c>
      <c r="AW430" s="570">
        <f t="shared" si="600"/>
        <v>51.104033000000001</v>
      </c>
      <c r="AX430" s="570">
        <f t="shared" si="600"/>
        <v>51.099150999999999</v>
      </c>
      <c r="AY430" s="570">
        <f t="shared" si="600"/>
        <v>53.218496000000002</v>
      </c>
      <c r="AZ430" s="570">
        <f t="shared" si="600"/>
        <v>57.363155999999996</v>
      </c>
      <c r="BA430" s="570">
        <f t="shared" si="600"/>
        <v>61.614210999999997</v>
      </c>
      <c r="BB430" s="570">
        <f t="shared" si="600"/>
        <v>60.789858000000002</v>
      </c>
      <c r="BC430" s="570">
        <f t="shared" si="600"/>
        <v>63.478526000000002</v>
      </c>
      <c r="BD430" s="570">
        <f t="shared" si="600"/>
        <v>63.440671999999999</v>
      </c>
      <c r="BE430" s="570">
        <f t="shared" si="600"/>
        <v>63.838858000000002</v>
      </c>
      <c r="BF430" s="570">
        <f t="shared" si="600"/>
        <v>62.359499</v>
      </c>
      <c r="BG430" s="570">
        <f t="shared" si="600"/>
        <v>60.517724000000001</v>
      </c>
      <c r="BH430" s="570">
        <f t="shared" si="600"/>
        <v>64.266791999999995</v>
      </c>
      <c r="BI430" s="570">
        <f t="shared" si="600"/>
        <v>58.066755999999998</v>
      </c>
      <c r="BJ430" s="570">
        <f t="shared" si="600"/>
        <v>74.373594999999995</v>
      </c>
      <c r="BK430" s="570">
        <f t="shared" si="600"/>
        <v>60.880262000000002</v>
      </c>
      <c r="BL430" s="570">
        <f t="shared" si="600"/>
        <v>71.805376999999993</v>
      </c>
      <c r="BM430" s="570">
        <f t="shared" si="600"/>
        <v>65.361658000000006</v>
      </c>
      <c r="BN430" s="570">
        <f t="shared" si="600"/>
        <v>56.501094999999999</v>
      </c>
      <c r="BO430" s="570">
        <f t="shared" si="600"/>
        <v>91.711157</v>
      </c>
      <c r="BP430" s="492">
        <f t="shared" si="600"/>
        <v>579.55833600000005</v>
      </c>
      <c r="BQ430" s="492">
        <f t="shared" si="600"/>
        <v>163.80657400000001</v>
      </c>
      <c r="BR430" s="492">
        <f t="shared" si="600"/>
        <v>161.79635099999999</v>
      </c>
      <c r="BS430" s="492">
        <f t="shared" si="600"/>
        <v>182.401276</v>
      </c>
      <c r="BT430" s="492">
        <f t="shared" si="600"/>
        <v>189.72008299999999</v>
      </c>
      <c r="BU430" s="492">
        <f t="shared" si="600"/>
        <v>163.59279799999999</v>
      </c>
      <c r="BV430" s="492">
        <f t="shared" si="600"/>
        <v>135.78975299999999</v>
      </c>
      <c r="BW430" s="492">
        <f t="shared" si="600"/>
        <v>146.177357</v>
      </c>
      <c r="BX430" s="62">
        <f t="shared" ca="1" si="593"/>
        <v>197.24525373920113</v>
      </c>
      <c r="BY430" s="62">
        <f t="shared" ca="1" si="593"/>
        <v>192.91117976392019</v>
      </c>
      <c r="BZ430" s="62">
        <f t="shared" ca="1" si="593"/>
        <v>205.52243565962118</v>
      </c>
      <c r="CA430" s="62">
        <f t="shared" ca="1" si="593"/>
        <v>184.32038870485661</v>
      </c>
      <c r="CB430" s="62">
        <f t="shared" ca="1" si="594"/>
        <v>201.13486982031355</v>
      </c>
      <c r="CC430" s="62">
        <f t="shared" ca="1" si="594"/>
        <v>215.92999970402889</v>
      </c>
      <c r="CD430" s="62">
        <f t="shared" ca="1" si="594"/>
        <v>246.14044766568676</v>
      </c>
      <c r="CE430" s="62">
        <f t="shared" ca="1" si="594"/>
        <v>220.49745456117367</v>
      </c>
      <c r="CF430" s="62"/>
      <c r="CG430" s="5"/>
      <c r="CH430" s="5"/>
    </row>
    <row r="431" spans="1:96" outlineLevel="1"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  <c r="BL431" s="6"/>
      <c r="BM431" s="6"/>
      <c r="BN431" s="6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  <c r="CC431" s="6"/>
      <c r="CD431" s="6"/>
      <c r="CE431" s="6"/>
      <c r="CF431" s="5"/>
      <c r="CG431" s="5"/>
      <c r="CH431" s="5"/>
    </row>
    <row r="432" spans="1:96" outlineLevel="1">
      <c r="B432" s="115" t="s">
        <v>142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  <c r="BL432" s="6"/>
      <c r="BM432" s="6"/>
      <c r="BN432" s="6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  <c r="CC432" s="6"/>
      <c r="CD432" s="6"/>
      <c r="CE432" s="6"/>
      <c r="CF432" s="5"/>
      <c r="CG432" s="5"/>
      <c r="CH432" s="5"/>
    </row>
    <row r="433" spans="1:96" outlineLevel="1">
      <c r="B433" s="12" t="s">
        <v>140</v>
      </c>
      <c r="C433" s="6"/>
      <c r="D433" s="6"/>
      <c r="E433" s="6"/>
      <c r="F433" s="6"/>
      <c r="G433" s="6"/>
      <c r="H433" s="6">
        <f t="shared" ref="H433:M433" si="601">SBC_RD/SBC*100</f>
        <v>22.663283154702814</v>
      </c>
      <c r="I433" s="6">
        <f t="shared" si="601"/>
        <v>25.04306945314957</v>
      </c>
      <c r="J433" s="6">
        <f t="shared" si="601"/>
        <v>26.126671244761411</v>
      </c>
      <c r="K433" s="6">
        <f t="shared" si="601"/>
        <v>25.417632115788148</v>
      </c>
      <c r="L433" s="6">
        <f t="shared" si="601"/>
        <v>25.94287314019914</v>
      </c>
      <c r="M433" s="6">
        <f t="shared" si="601"/>
        <v>26.489814387576775</v>
      </c>
      <c r="N433" s="323">
        <f t="shared" ref="N433:U433" si="602">SBC_RD/SBC</f>
        <v>0.28867511674163943</v>
      </c>
      <c r="O433" s="323">
        <f t="shared" si="602"/>
        <v>0.30710361115775514</v>
      </c>
      <c r="P433" s="323">
        <f t="shared" si="602"/>
        <v>0.31664503826034984</v>
      </c>
      <c r="Q433" s="323">
        <f t="shared" si="602"/>
        <v>0.37182522290149267</v>
      </c>
      <c r="R433" s="323">
        <f t="shared" si="602"/>
        <v>0.45385081120130766</v>
      </c>
      <c r="S433" s="323">
        <f t="shared" si="602"/>
        <v>0.58417944723972814</v>
      </c>
      <c r="T433" s="323">
        <f t="shared" si="602"/>
        <v>0.55226296753014403</v>
      </c>
      <c r="U433" s="323">
        <f t="shared" ca="1" si="602"/>
        <v>0.5340800928673507</v>
      </c>
      <c r="V433" s="42">
        <f t="shared" ref="V433:AD433" ca="1" si="603">U433</f>
        <v>0.5340800928673507</v>
      </c>
      <c r="W433" s="42">
        <f t="shared" ca="1" si="603"/>
        <v>0.5340800928673507</v>
      </c>
      <c r="X433" s="42">
        <f t="shared" ca="1" si="603"/>
        <v>0.5340800928673507</v>
      </c>
      <c r="Y433" s="42">
        <f t="shared" ca="1" si="603"/>
        <v>0.5340800928673507</v>
      </c>
      <c r="Z433" s="42">
        <f t="shared" ca="1" si="603"/>
        <v>0.5340800928673507</v>
      </c>
      <c r="AA433" s="42">
        <f t="shared" ca="1" si="603"/>
        <v>0.5340800928673507</v>
      </c>
      <c r="AB433" s="42">
        <f t="shared" ca="1" si="603"/>
        <v>0.5340800928673507</v>
      </c>
      <c r="AC433" s="42">
        <f t="shared" ca="1" si="603"/>
        <v>0.5340800928673507</v>
      </c>
      <c r="AD433" s="42">
        <f t="shared" ca="1" si="603"/>
        <v>0.5340800928673507</v>
      </c>
      <c r="AE433" s="42"/>
      <c r="AF433" s="323">
        <f t="shared" ref="AF433:BW433" si="604">SBC_RD/SBC</f>
        <v>0.26060439160215271</v>
      </c>
      <c r="AG433" s="323">
        <f t="shared" si="604"/>
        <v>0.25583514691234682</v>
      </c>
      <c r="AH433" s="323">
        <f t="shared" si="604"/>
        <v>0.25894252112747296</v>
      </c>
      <c r="AI433" s="323">
        <f t="shared" si="604"/>
        <v>0.26980057660095091</v>
      </c>
      <c r="AJ433" s="323">
        <f t="shared" si="604"/>
        <v>0.24217443186135293</v>
      </c>
      <c r="AK433" s="323">
        <f t="shared" si="604"/>
        <v>0.25072398762242964</v>
      </c>
      <c r="AL433" s="323">
        <f t="shared" si="604"/>
        <v>0.25991345867983273</v>
      </c>
      <c r="AM433" s="323">
        <f t="shared" si="604"/>
        <v>0.26433376380598811</v>
      </c>
      <c r="AN433" s="323">
        <f t="shared" si="604"/>
        <v>0.26850690329704696</v>
      </c>
      <c r="AO433" s="323">
        <f t="shared" si="604"/>
        <v>0.26978806152229562</v>
      </c>
      <c r="AP433" s="323">
        <f t="shared" si="604"/>
        <v>0.26036777266847466</v>
      </c>
      <c r="AQ433" s="323">
        <f t="shared" si="604"/>
        <v>0.24834710732972498</v>
      </c>
      <c r="AR433" s="323">
        <f t="shared" si="604"/>
        <v>0.24902404959416588</v>
      </c>
      <c r="AS433" s="323">
        <f t="shared" si="604"/>
        <v>0.25730400145694632</v>
      </c>
      <c r="AT433" s="323">
        <f t="shared" si="604"/>
        <v>0.27527739969746529</v>
      </c>
      <c r="AU433" s="323">
        <f t="shared" si="604"/>
        <v>0.27886824170581764</v>
      </c>
      <c r="AV433" s="323">
        <f t="shared" si="604"/>
        <v>0.28314167348945651</v>
      </c>
      <c r="AW433" s="323">
        <f t="shared" si="604"/>
        <v>0.27701682618725765</v>
      </c>
      <c r="AX433" s="323">
        <f t="shared" si="604"/>
        <v>0.29515729370473942</v>
      </c>
      <c r="AY433" s="323">
        <f t="shared" si="604"/>
        <v>0.29732518172783251</v>
      </c>
      <c r="AZ433" s="323">
        <f t="shared" si="604"/>
        <v>0.29566988332609168</v>
      </c>
      <c r="BA433" s="323">
        <f t="shared" si="604"/>
        <v>0.30568711054118353</v>
      </c>
      <c r="BB433" s="323">
        <f t="shared" si="604"/>
        <v>0.31036597915675534</v>
      </c>
      <c r="BC433" s="323">
        <f t="shared" si="604"/>
        <v>0.31546774312410825</v>
      </c>
      <c r="BD433" s="323">
        <f t="shared" si="604"/>
        <v>0.31235344143550969</v>
      </c>
      <c r="BE433" s="323">
        <f t="shared" si="604"/>
        <v>0.3148693576613189</v>
      </c>
      <c r="BF433" s="323">
        <f t="shared" si="604"/>
        <v>0.31792460361822011</v>
      </c>
      <c r="BG433" s="323">
        <f t="shared" si="604"/>
        <v>0.32169746232274121</v>
      </c>
      <c r="BH433" s="323">
        <f t="shared" si="604"/>
        <v>0.3648477963729036</v>
      </c>
      <c r="BI433" s="323">
        <f t="shared" si="604"/>
        <v>0.3732379977809519</v>
      </c>
      <c r="BJ433" s="323">
        <f t="shared" si="604"/>
        <v>0.35058891288159</v>
      </c>
      <c r="BK433" s="323">
        <f t="shared" si="604"/>
        <v>0.40027518073545287</v>
      </c>
      <c r="BL433" s="323">
        <f t="shared" si="604"/>
        <v>0.43717040371945254</v>
      </c>
      <c r="BM433" s="323">
        <f t="shared" si="604"/>
        <v>0.46731209389110717</v>
      </c>
      <c r="BN433" s="323">
        <f t="shared" si="604"/>
        <v>0.47502805400949383</v>
      </c>
      <c r="BO433" s="323">
        <f t="shared" si="604"/>
        <v>0.44239895129950152</v>
      </c>
      <c r="BP433" s="323">
        <f t="shared" si="604"/>
        <v>0.5838044772047708</v>
      </c>
      <c r="BQ433" s="323">
        <f t="shared" si="604"/>
        <v>0.5971503591309486</v>
      </c>
      <c r="BR433" s="323">
        <f t="shared" si="604"/>
        <v>0.58262996595002081</v>
      </c>
      <c r="BS433" s="323">
        <f t="shared" si="604"/>
        <v>0.57408737270561105</v>
      </c>
      <c r="BT433" s="323">
        <f t="shared" si="604"/>
        <v>0.54287815048159971</v>
      </c>
      <c r="BU433" s="323">
        <f t="shared" si="604"/>
        <v>0.57832022678778305</v>
      </c>
      <c r="BV433" s="323">
        <f t="shared" si="604"/>
        <v>0.5481442886481025</v>
      </c>
      <c r="BW433" s="323">
        <f t="shared" si="604"/>
        <v>0.5340800928673507</v>
      </c>
      <c r="BX433" s="319">
        <f t="shared" ref="BX433:CA434" si="605">BW433</f>
        <v>0.5340800928673507</v>
      </c>
      <c r="BY433" s="319">
        <f t="shared" si="605"/>
        <v>0.5340800928673507</v>
      </c>
      <c r="BZ433" s="319">
        <f t="shared" si="605"/>
        <v>0.5340800928673507</v>
      </c>
      <c r="CA433" s="319">
        <f t="shared" si="605"/>
        <v>0.5340800928673507</v>
      </c>
      <c r="CB433" s="319">
        <f t="shared" ref="CB433:CE434" si="606">CA433</f>
        <v>0.5340800928673507</v>
      </c>
      <c r="CC433" s="319">
        <f t="shared" si="606"/>
        <v>0.5340800928673507</v>
      </c>
      <c r="CD433" s="319">
        <f t="shared" si="606"/>
        <v>0.5340800928673507</v>
      </c>
      <c r="CE433" s="319">
        <f t="shared" si="606"/>
        <v>0.5340800928673507</v>
      </c>
      <c r="CF433" s="37"/>
      <c r="CG433" s="5"/>
      <c r="CH433" s="5"/>
    </row>
    <row r="434" spans="1:96" outlineLevel="1">
      <c r="B434" s="12" t="s">
        <v>139</v>
      </c>
      <c r="C434" s="6"/>
      <c r="D434" s="6"/>
      <c r="E434" s="6"/>
      <c r="F434" s="6"/>
      <c r="G434" s="6"/>
      <c r="H434" s="6">
        <f t="shared" ref="H434:M434" si="607">SBC_SM/SBC*100</f>
        <v>14.549495399729409</v>
      </c>
      <c r="I434" s="6">
        <f t="shared" si="607"/>
        <v>15.650374482277329</v>
      </c>
      <c r="J434" s="6">
        <f t="shared" si="607"/>
        <v>15.703546101983591</v>
      </c>
      <c r="K434" s="6">
        <f t="shared" si="607"/>
        <v>14.640715591401094</v>
      </c>
      <c r="L434" s="6">
        <f t="shared" si="607"/>
        <v>14.452058164898702</v>
      </c>
      <c r="M434" s="6">
        <f t="shared" si="607"/>
        <v>13.688483023547787</v>
      </c>
      <c r="N434" s="323">
        <f t="shared" ref="N434:U434" si="608">SBC_SM/SBC</f>
        <v>0.14058411338533253</v>
      </c>
      <c r="O434" s="323">
        <f t="shared" si="608"/>
        <v>0.12946405737171351</v>
      </c>
      <c r="P434" s="323">
        <f t="shared" si="608"/>
        <v>0.11212884854517341</v>
      </c>
      <c r="Q434" s="323">
        <f t="shared" si="608"/>
        <v>0.10951821418119911</v>
      </c>
      <c r="R434" s="323">
        <f t="shared" si="608"/>
        <v>0.1020457762424635</v>
      </c>
      <c r="S434" s="323">
        <f t="shared" si="608"/>
        <v>0.11030131744348005</v>
      </c>
      <c r="T434" s="323">
        <f t="shared" si="608"/>
        <v>0.10131114223395313</v>
      </c>
      <c r="U434" s="323">
        <f t="shared" ca="1" si="608"/>
        <v>0.10063954930155911</v>
      </c>
      <c r="V434" s="42">
        <f t="shared" ref="V434:AD434" ca="1" si="609">U434</f>
        <v>0.10063954930155911</v>
      </c>
      <c r="W434" s="42">
        <f t="shared" ca="1" si="609"/>
        <v>0.10063954930155911</v>
      </c>
      <c r="X434" s="42">
        <f t="shared" ca="1" si="609"/>
        <v>0.10063954930155911</v>
      </c>
      <c r="Y434" s="42">
        <f t="shared" ca="1" si="609"/>
        <v>0.10063954930155911</v>
      </c>
      <c r="Z434" s="42">
        <f t="shared" ca="1" si="609"/>
        <v>0.10063954930155911</v>
      </c>
      <c r="AA434" s="42">
        <f t="shared" ca="1" si="609"/>
        <v>0.10063954930155911</v>
      </c>
      <c r="AB434" s="42">
        <f t="shared" ca="1" si="609"/>
        <v>0.10063954930155911</v>
      </c>
      <c r="AC434" s="42">
        <f t="shared" ca="1" si="609"/>
        <v>0.10063954930155911</v>
      </c>
      <c r="AD434" s="42">
        <f t="shared" ca="1" si="609"/>
        <v>0.10063954930155911</v>
      </c>
      <c r="AE434" s="42"/>
      <c r="AF434" s="323">
        <f t="shared" ref="AF434:BW434" si="610">SBC_SM/SBC</f>
        <v>0.15987188407786804</v>
      </c>
      <c r="AG434" s="323">
        <f t="shared" si="610"/>
        <v>0.15422656593198336</v>
      </c>
      <c r="AH434" s="323">
        <f t="shared" si="610"/>
        <v>0.154918277235219</v>
      </c>
      <c r="AI434" s="323">
        <f t="shared" si="610"/>
        <v>0.15974245789274516</v>
      </c>
      <c r="AJ434" s="323">
        <f t="shared" si="610"/>
        <v>0.15046389468279411</v>
      </c>
      <c r="AK434" s="323">
        <f t="shared" si="610"/>
        <v>0.14436276111215035</v>
      </c>
      <c r="AL434" s="323">
        <f t="shared" si="610"/>
        <v>0.14373039546435593</v>
      </c>
      <c r="AM434" s="323">
        <f t="shared" si="610"/>
        <v>0.14677579756800288</v>
      </c>
      <c r="AN434" s="323">
        <f t="shared" si="610"/>
        <v>0.1492211051755469</v>
      </c>
      <c r="AO434" s="323">
        <f t="shared" si="610"/>
        <v>0.14974491227349737</v>
      </c>
      <c r="AP434" s="323">
        <f t="shared" si="610"/>
        <v>0.14470298994171074</v>
      </c>
      <c r="AQ434" s="323">
        <f t="shared" si="610"/>
        <v>0.13902376920267548</v>
      </c>
      <c r="AR434" s="323">
        <f t="shared" si="610"/>
        <v>0.13769420250720621</v>
      </c>
      <c r="AS434" s="323">
        <f t="shared" si="610"/>
        <v>0.13796501391511529</v>
      </c>
      <c r="AT434" s="323">
        <f t="shared" si="610"/>
        <v>0.13559011937304546</v>
      </c>
      <c r="AU434" s="323">
        <f t="shared" si="610"/>
        <v>0.1362688693877106</v>
      </c>
      <c r="AV434" s="323">
        <f t="shared" si="610"/>
        <v>0.14524717091840647</v>
      </c>
      <c r="AW434" s="323">
        <f t="shared" si="610"/>
        <v>0.13692793768368974</v>
      </c>
      <c r="AX434" s="323">
        <f t="shared" si="610"/>
        <v>0.14025343231510121</v>
      </c>
      <c r="AY434" s="323">
        <f t="shared" si="610"/>
        <v>0.14080177326316487</v>
      </c>
      <c r="AZ434" s="323">
        <f t="shared" si="610"/>
        <v>0.1345642188724272</v>
      </c>
      <c r="BA434" s="323">
        <f t="shared" si="610"/>
        <v>0.12807770660299239</v>
      </c>
      <c r="BB434" s="323">
        <f t="shared" si="610"/>
        <v>0.12930480790410584</v>
      </c>
      <c r="BC434" s="323">
        <f t="shared" si="610"/>
        <v>0.12642777352761753</v>
      </c>
      <c r="BD434" s="323">
        <f t="shared" si="610"/>
        <v>0.11912098561144588</v>
      </c>
      <c r="BE434" s="323">
        <f t="shared" si="610"/>
        <v>0.11087207230498101</v>
      </c>
      <c r="BF434" s="323">
        <f t="shared" si="610"/>
        <v>0.1094402291998935</v>
      </c>
      <c r="BG434" s="323">
        <f t="shared" si="610"/>
        <v>0.10885678308089324</v>
      </c>
      <c r="BH434" s="323">
        <f t="shared" si="610"/>
        <v>0.10683462430688152</v>
      </c>
      <c r="BI434" s="323">
        <f t="shared" si="610"/>
        <v>0.10522536868601388</v>
      </c>
      <c r="BJ434" s="323">
        <f t="shared" si="610"/>
        <v>0.10675090915811565</v>
      </c>
      <c r="BK434" s="323">
        <f t="shared" si="610"/>
        <v>0.11886732007610912</v>
      </c>
      <c r="BL434" s="323">
        <f t="shared" si="610"/>
        <v>0.11096966549099169</v>
      </c>
      <c r="BM434" s="323">
        <f t="shared" si="610"/>
        <v>0.1057496754688763</v>
      </c>
      <c r="BN434" s="323">
        <f t="shared" si="610"/>
        <v>0.10365403212668034</v>
      </c>
      <c r="BO434" s="323">
        <f t="shared" si="610"/>
        <v>9.0844878218255543E-2</v>
      </c>
      <c r="BP434" s="323">
        <f t="shared" si="610"/>
        <v>0.10046935164977193</v>
      </c>
      <c r="BQ434" s="323">
        <f t="shared" si="610"/>
        <v>0.11946646071060707</v>
      </c>
      <c r="BR434" s="323">
        <f t="shared" si="610"/>
        <v>0.12680484917609947</v>
      </c>
      <c r="BS434" s="323">
        <f t="shared" si="610"/>
        <v>0.11634335491047185</v>
      </c>
      <c r="BT434" s="323">
        <f t="shared" si="610"/>
        <v>9.3493121677739752E-2</v>
      </c>
      <c r="BU434" s="323">
        <f t="shared" si="610"/>
        <v>0.11176203080184123</v>
      </c>
      <c r="BV434" s="323">
        <f t="shared" si="610"/>
        <v>9.8267521217888371E-2</v>
      </c>
      <c r="BW434" s="323">
        <f t="shared" si="610"/>
        <v>0.10063954930155911</v>
      </c>
      <c r="BX434" s="319">
        <f t="shared" si="605"/>
        <v>0.10063954930155911</v>
      </c>
      <c r="BY434" s="319">
        <f t="shared" si="605"/>
        <v>0.10063954930155911</v>
      </c>
      <c r="BZ434" s="319">
        <f t="shared" si="605"/>
        <v>0.10063954930155911</v>
      </c>
      <c r="CA434" s="319">
        <f t="shared" si="605"/>
        <v>0.10063954930155911</v>
      </c>
      <c r="CB434" s="319">
        <f t="shared" si="606"/>
        <v>0.10063954930155911</v>
      </c>
      <c r="CC434" s="319">
        <f t="shared" si="606"/>
        <v>0.10063954930155911</v>
      </c>
      <c r="CD434" s="319">
        <f t="shared" si="606"/>
        <v>0.10063954930155911</v>
      </c>
      <c r="CE434" s="319">
        <f t="shared" si="606"/>
        <v>0.10063954930155911</v>
      </c>
      <c r="CF434" s="37"/>
      <c r="CG434" s="5"/>
      <c r="CH434" s="5"/>
    </row>
    <row r="435" spans="1:96" outlineLevel="1">
      <c r="B435" s="12" t="s">
        <v>138</v>
      </c>
      <c r="C435" s="6"/>
      <c r="D435" s="6"/>
      <c r="E435" s="6"/>
      <c r="F435" s="6"/>
      <c r="G435" s="6"/>
      <c r="H435" s="6">
        <f t="shared" ref="H435:M435" si="611">SBC_GA/SBC*100</f>
        <v>62.787221445567774</v>
      </c>
      <c r="I435" s="6">
        <f t="shared" si="611"/>
        <v>59.306556064573101</v>
      </c>
      <c r="J435" s="6">
        <f t="shared" si="611"/>
        <v>58.169782653254998</v>
      </c>
      <c r="K435" s="6">
        <f t="shared" si="611"/>
        <v>59.94165229281078</v>
      </c>
      <c r="L435" s="6">
        <f t="shared" si="611"/>
        <v>59.605068694902165</v>
      </c>
      <c r="M435" s="6">
        <f t="shared" si="611"/>
        <v>59.821702588875439</v>
      </c>
      <c r="N435" s="323">
        <f t="shared" ref="N435:U435" si="612">SBC_GA/SBC</f>
        <v>0.57074076987302802</v>
      </c>
      <c r="O435" s="323">
        <f t="shared" si="612"/>
        <v>0.5634323314705314</v>
      </c>
      <c r="P435" s="323">
        <f t="shared" si="612"/>
        <v>0.57122611319447669</v>
      </c>
      <c r="Q435" s="323">
        <f t="shared" si="612"/>
        <v>0.51865656291730822</v>
      </c>
      <c r="R435" s="323">
        <f t="shared" si="612"/>
        <v>0.44410341255622887</v>
      </c>
      <c r="S435" s="323">
        <f t="shared" si="612"/>
        <v>0.30551923531679193</v>
      </c>
      <c r="T435" s="323">
        <f t="shared" si="612"/>
        <v>0.34642589023590287</v>
      </c>
      <c r="U435" s="323">
        <f t="shared" ca="1" si="612"/>
        <v>0.36528035783109031</v>
      </c>
      <c r="V435" s="42">
        <f t="shared" ref="V435:AD435" ca="1" si="613">U435</f>
        <v>0.36528035783109031</v>
      </c>
      <c r="W435" s="42">
        <f t="shared" ca="1" si="613"/>
        <v>0.36528035783109031</v>
      </c>
      <c r="X435" s="42">
        <f t="shared" ca="1" si="613"/>
        <v>0.36528035783109031</v>
      </c>
      <c r="Y435" s="42">
        <f t="shared" ca="1" si="613"/>
        <v>0.36528035783109031</v>
      </c>
      <c r="Z435" s="42">
        <f t="shared" ca="1" si="613"/>
        <v>0.36528035783109031</v>
      </c>
      <c r="AA435" s="42">
        <f t="shared" ca="1" si="613"/>
        <v>0.36528035783109031</v>
      </c>
      <c r="AB435" s="42">
        <f t="shared" ca="1" si="613"/>
        <v>0.36528035783109031</v>
      </c>
      <c r="AC435" s="42">
        <f t="shared" ca="1" si="613"/>
        <v>0.36528035783109031</v>
      </c>
      <c r="AD435" s="42">
        <f t="shared" ca="1" si="613"/>
        <v>0.36528035783109031</v>
      </c>
      <c r="AE435" s="42"/>
      <c r="AF435" s="323">
        <f t="shared" ref="AF435:BW435" si="614">SBC_GA/SBC</f>
        <v>0.57952372431997934</v>
      </c>
      <c r="AG435" s="323">
        <f t="shared" si="614"/>
        <v>0.58993828715566976</v>
      </c>
      <c r="AH435" s="323">
        <f t="shared" si="614"/>
        <v>0.58613920163730815</v>
      </c>
      <c r="AI435" s="323">
        <f t="shared" si="614"/>
        <v>0.57045696550630398</v>
      </c>
      <c r="AJ435" s="323">
        <f t="shared" si="614"/>
        <v>0.6073616734558529</v>
      </c>
      <c r="AK435" s="323">
        <f t="shared" si="614"/>
        <v>0.60491325126542006</v>
      </c>
      <c r="AL435" s="323">
        <f t="shared" si="614"/>
        <v>0.59635614585581143</v>
      </c>
      <c r="AM435" s="323">
        <f t="shared" si="614"/>
        <v>0.58889043862600909</v>
      </c>
      <c r="AN435" s="323">
        <f t="shared" si="614"/>
        <v>0.58227199152740616</v>
      </c>
      <c r="AO435" s="323">
        <f t="shared" si="614"/>
        <v>0.58046702620420698</v>
      </c>
      <c r="AP435" s="323">
        <f t="shared" si="614"/>
        <v>0.59492923738981462</v>
      </c>
      <c r="AQ435" s="323">
        <f t="shared" si="614"/>
        <v>0.61262912346759946</v>
      </c>
      <c r="AR435" s="323">
        <f t="shared" si="614"/>
        <v>0.61328174789862788</v>
      </c>
      <c r="AS435" s="323">
        <f t="shared" si="614"/>
        <v>0.60473098462793839</v>
      </c>
      <c r="AT435" s="323">
        <f t="shared" si="614"/>
        <v>0.58913248092948922</v>
      </c>
      <c r="AU435" s="323">
        <f t="shared" si="614"/>
        <v>0.58486288890647176</v>
      </c>
      <c r="AV435" s="323">
        <f t="shared" si="614"/>
        <v>0.57161115559213704</v>
      </c>
      <c r="AW435" s="323">
        <f t="shared" si="614"/>
        <v>0.58605523612905264</v>
      </c>
      <c r="AX435" s="323">
        <f t="shared" si="614"/>
        <v>0.56458927398015946</v>
      </c>
      <c r="AY435" s="323">
        <f t="shared" si="614"/>
        <v>0.5618730450090027</v>
      </c>
      <c r="AZ435" s="323">
        <f t="shared" si="614"/>
        <v>0.56976589780148124</v>
      </c>
      <c r="BA435" s="323">
        <f t="shared" si="614"/>
        <v>0.56623518285582408</v>
      </c>
      <c r="BB435" s="323">
        <f t="shared" si="614"/>
        <v>0.56032921293913873</v>
      </c>
      <c r="BC435" s="323">
        <f t="shared" si="614"/>
        <v>0.55810448334827423</v>
      </c>
      <c r="BD435" s="323">
        <f t="shared" si="614"/>
        <v>0.5685255729530444</v>
      </c>
      <c r="BE435" s="323">
        <f t="shared" si="614"/>
        <v>0.57425857003370007</v>
      </c>
      <c r="BF435" s="323">
        <f t="shared" si="614"/>
        <v>0.57263516718188634</v>
      </c>
      <c r="BG435" s="323">
        <f t="shared" si="614"/>
        <v>0.56944575459636559</v>
      </c>
      <c r="BH435" s="323">
        <f t="shared" si="614"/>
        <v>0.52831757932021495</v>
      </c>
      <c r="BI435" s="323">
        <f t="shared" si="614"/>
        <v>0.52153663353303426</v>
      </c>
      <c r="BJ435" s="323">
        <f t="shared" si="614"/>
        <v>0.54266017796029431</v>
      </c>
      <c r="BK435" s="323">
        <f t="shared" si="614"/>
        <v>0.48085749918843795</v>
      </c>
      <c r="BL435" s="323">
        <f t="shared" si="614"/>
        <v>0.45185993078955572</v>
      </c>
      <c r="BM435" s="323">
        <f t="shared" si="614"/>
        <v>0.42693823064001646</v>
      </c>
      <c r="BN435" s="323">
        <f t="shared" si="614"/>
        <v>0.42131791386382594</v>
      </c>
      <c r="BO435" s="323">
        <f t="shared" si="614"/>
        <v>0.46675617048224294</v>
      </c>
      <c r="BP435" s="323">
        <f t="shared" si="614"/>
        <v>0.31572617114545726</v>
      </c>
      <c r="BQ435" s="323">
        <f t="shared" si="614"/>
        <v>0.28338318015844449</v>
      </c>
      <c r="BR435" s="323">
        <f t="shared" si="614"/>
        <v>0.29056518487387978</v>
      </c>
      <c r="BS435" s="323">
        <f t="shared" si="614"/>
        <v>0.30956927238391707</v>
      </c>
      <c r="BT435" s="323">
        <f t="shared" si="614"/>
        <v>0.36362872784066053</v>
      </c>
      <c r="BU435" s="323">
        <f t="shared" si="614"/>
        <v>0.30991774241037562</v>
      </c>
      <c r="BV435" s="323">
        <f t="shared" si="614"/>
        <v>0.35358819013400911</v>
      </c>
      <c r="BW435" s="323">
        <f t="shared" si="614"/>
        <v>0.36528035783109014</v>
      </c>
      <c r="BX435" s="319">
        <f t="shared" ref="BX435:CE435" si="615">1-BX434-BX433</f>
        <v>0.36528035783109025</v>
      </c>
      <c r="BY435" s="319">
        <f t="shared" si="615"/>
        <v>0.36528035783109025</v>
      </c>
      <c r="BZ435" s="319">
        <f t="shared" si="615"/>
        <v>0.36528035783109025</v>
      </c>
      <c r="CA435" s="319">
        <f t="shared" si="615"/>
        <v>0.36528035783109025</v>
      </c>
      <c r="CB435" s="319">
        <f t="shared" si="615"/>
        <v>0.36528035783109025</v>
      </c>
      <c r="CC435" s="319">
        <f t="shared" si="615"/>
        <v>0.36528035783109025</v>
      </c>
      <c r="CD435" s="319">
        <f t="shared" si="615"/>
        <v>0.36528035783109025</v>
      </c>
      <c r="CE435" s="319">
        <f t="shared" si="615"/>
        <v>0.36528035783109025</v>
      </c>
      <c r="CF435" s="37"/>
      <c r="CG435" s="5"/>
      <c r="CH435" s="5"/>
    </row>
    <row r="436" spans="1:96" outlineLevel="1"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  <c r="CC436" s="6"/>
      <c r="CD436" s="6"/>
      <c r="CE436" s="6"/>
      <c r="CF436" s="5"/>
      <c r="CG436" s="5"/>
      <c r="CH436" s="5"/>
    </row>
    <row r="437" spans="1:96" s="55" customFormat="1" outlineLevel="1">
      <c r="A437" s="3"/>
      <c r="B437" s="517" t="s">
        <v>597</v>
      </c>
      <c r="C437" s="517"/>
      <c r="D437" s="517"/>
      <c r="E437" s="517"/>
      <c r="F437" s="517"/>
      <c r="G437" s="517"/>
      <c r="H437" s="517"/>
      <c r="I437" s="517"/>
      <c r="J437" s="517"/>
      <c r="K437" s="571"/>
      <c r="L437" s="571"/>
      <c r="M437" s="571"/>
      <c r="N437" s="571"/>
      <c r="O437" s="571"/>
      <c r="P437" s="571"/>
      <c r="Q437" s="571"/>
      <c r="R437" s="571"/>
      <c r="S437" s="571"/>
      <c r="T437" s="517"/>
      <c r="U437" s="517"/>
      <c r="V437" s="517"/>
      <c r="W437" s="517"/>
      <c r="X437" s="517"/>
      <c r="Y437" s="517"/>
      <c r="Z437" s="517"/>
      <c r="AA437" s="517"/>
      <c r="AB437" s="517"/>
      <c r="AC437" s="517"/>
      <c r="AD437" s="517"/>
      <c r="AE437" s="517"/>
      <c r="AF437" s="517"/>
      <c r="AG437" s="517"/>
      <c r="AH437" s="517"/>
      <c r="AI437" s="517"/>
      <c r="AJ437" s="517"/>
      <c r="AK437" s="517"/>
      <c r="AL437" s="517"/>
      <c r="AM437" s="517"/>
      <c r="AN437" s="517"/>
      <c r="AO437" s="517"/>
      <c r="AP437" s="517"/>
      <c r="AQ437" s="517"/>
      <c r="AR437" s="517"/>
      <c r="AS437" s="517"/>
      <c r="AT437" s="517"/>
      <c r="AU437" s="517"/>
      <c r="AV437" s="517"/>
      <c r="AW437" s="517"/>
      <c r="AX437" s="517"/>
      <c r="AY437" s="517"/>
      <c r="AZ437" s="517"/>
      <c r="BA437" s="517"/>
      <c r="BB437" s="517"/>
      <c r="BC437" s="517"/>
      <c r="BD437" s="517"/>
      <c r="BE437" s="517"/>
      <c r="BF437" s="517"/>
      <c r="BG437" s="517"/>
      <c r="BH437" s="517"/>
      <c r="BI437" s="517"/>
      <c r="BJ437" s="517"/>
      <c r="BK437" s="517"/>
      <c r="BL437" s="517"/>
      <c r="BM437" s="517"/>
      <c r="BN437" s="517"/>
      <c r="BO437" s="517"/>
      <c r="BP437" s="517"/>
      <c r="BQ437" s="517"/>
      <c r="BR437" s="517"/>
      <c r="BS437" s="517"/>
      <c r="BT437" s="517"/>
      <c r="BU437" s="517"/>
      <c r="BV437" s="517"/>
      <c r="BW437" s="517"/>
      <c r="BX437" s="517"/>
      <c r="BY437" s="517"/>
      <c r="BZ437" s="517"/>
      <c r="CA437" s="517"/>
      <c r="CB437" s="517"/>
      <c r="CC437" s="517"/>
      <c r="CD437" s="517"/>
      <c r="CE437" s="517"/>
      <c r="CF437" s="31"/>
      <c r="CG437" s="5"/>
      <c r="CH437" s="5"/>
      <c r="CI437" s="214"/>
      <c r="CJ437"/>
      <c r="CK437"/>
      <c r="CL437"/>
      <c r="CM437"/>
      <c r="CN437"/>
      <c r="CO437"/>
      <c r="CP437" s="214"/>
      <c r="CQ437" s="214"/>
      <c r="CR437" s="214"/>
    </row>
    <row r="438" spans="1:96" s="115" customFormat="1" outlineLevel="1">
      <c r="A438" s="3" t="s">
        <v>539</v>
      </c>
      <c r="B438" s="115" t="s">
        <v>135</v>
      </c>
      <c r="C438" s="220">
        <f t="shared" ref="C438:R438" si="616">Exp_ToT</f>
        <v>-36.243581999999996</v>
      </c>
      <c r="D438" s="220">
        <f t="shared" si="616"/>
        <v>-55.696122000000003</v>
      </c>
      <c r="E438" s="220">
        <f t="shared" si="616"/>
        <v>-63.105498000000004</v>
      </c>
      <c r="F438" s="220">
        <f t="shared" si="616"/>
        <v>-89.417238999999981</v>
      </c>
      <c r="G438" s="220">
        <f t="shared" si="616"/>
        <v>-149.67491599999997</v>
      </c>
      <c r="H438" s="220">
        <f t="shared" si="616"/>
        <v>-213.09530000000001</v>
      </c>
      <c r="I438" s="220">
        <f t="shared" si="616"/>
        <v>-371.60371999999995</v>
      </c>
      <c r="J438" s="220">
        <f t="shared" si="616"/>
        <v>-558.56028000000003</v>
      </c>
      <c r="K438" s="568">
        <f t="shared" si="616"/>
        <v>-694.18729299999995</v>
      </c>
      <c r="L438" s="568">
        <f t="shared" si="616"/>
        <v>-850.0379630000001</v>
      </c>
      <c r="M438" s="568">
        <f t="shared" si="616"/>
        <v>-1201.8468680000001</v>
      </c>
      <c r="N438" s="568">
        <f t="shared" si="616"/>
        <v>-1626.9606739999999</v>
      </c>
      <c r="O438" s="568">
        <f t="shared" si="616"/>
        <v>-2466.3943440000003</v>
      </c>
      <c r="P438" s="568">
        <f t="shared" si="616"/>
        <v>-3161.536791</v>
      </c>
      <c r="Q438" s="568">
        <f t="shared" si="616"/>
        <v>-5397.1090999999997</v>
      </c>
      <c r="R438" s="568">
        <f t="shared" si="616"/>
        <v>-7473.0852969999996</v>
      </c>
      <c r="S438" s="567">
        <f>Exp_ToT</f>
        <v>-16067.168108</v>
      </c>
      <c r="T438" s="567">
        <f>Exp_ToT</f>
        <v>-19175.251370999998</v>
      </c>
      <c r="U438" s="544">
        <f t="shared" ref="U438:AD438" ca="1" si="617">+VLOOKUP($A438,INDIRECT($T$2),MATCH(U$4,Period_A_CTRP,FALSE),FALSE)</f>
        <v>-23248.321228532681</v>
      </c>
      <c r="V438" s="544">
        <f t="shared" ca="1" si="617"/>
        <v>-27617.789098040466</v>
      </c>
      <c r="W438" s="544">
        <f t="shared" ca="1" si="617"/>
        <v>-32772.711974673861</v>
      </c>
      <c r="X438" s="544">
        <f t="shared" ca="1" si="617"/>
        <v>-38281.511768989876</v>
      </c>
      <c r="Y438" s="544">
        <f t="shared" ca="1" si="617"/>
        <v>-44283.78089430221</v>
      </c>
      <c r="Z438" s="544">
        <f t="shared" ca="1" si="617"/>
        <v>-50453.992710735518</v>
      </c>
      <c r="AA438" s="544">
        <f t="shared" ca="1" si="617"/>
        <v>-56958.601477011696</v>
      </c>
      <c r="AB438" s="544">
        <f t="shared" ca="1" si="617"/>
        <v>-63781.907092272246</v>
      </c>
      <c r="AC438" s="544">
        <f t="shared" ca="1" si="617"/>
        <v>-72052.637449821195</v>
      </c>
      <c r="AD438" s="544">
        <f t="shared" ca="1" si="617"/>
        <v>-80550.077779718908</v>
      </c>
      <c r="AE438" s="546"/>
      <c r="AF438" s="568">
        <f t="shared" ref="AF438:BW438" si="618">Exp_ToT</f>
        <v>-112.57871</v>
      </c>
      <c r="AG438" s="568">
        <f t="shared" si="618"/>
        <v>-135.59356399999999</v>
      </c>
      <c r="AH438" s="568">
        <f t="shared" si="618"/>
        <v>-147.65715</v>
      </c>
      <c r="AI438" s="568">
        <f t="shared" si="618"/>
        <v>-162.71085600000001</v>
      </c>
      <c r="AJ438" s="568">
        <f t="shared" si="618"/>
        <v>-162.17433699999998</v>
      </c>
      <c r="AK438" s="568">
        <f t="shared" si="618"/>
        <v>-168.074489</v>
      </c>
      <c r="AL438" s="568">
        <f t="shared" si="618"/>
        <v>-177.10157799999999</v>
      </c>
      <c r="AM438" s="568">
        <f t="shared" si="618"/>
        <v>-186.83688900000001</v>
      </c>
      <c r="AN438" s="568">
        <f t="shared" si="618"/>
        <v>-175.368067</v>
      </c>
      <c r="AO438" s="568">
        <f t="shared" si="618"/>
        <v>-204.54743000000002</v>
      </c>
      <c r="AP438" s="568">
        <f t="shared" si="618"/>
        <v>-221.87888000000001</v>
      </c>
      <c r="AQ438" s="568">
        <f t="shared" si="618"/>
        <v>-248.24358599999999</v>
      </c>
      <c r="AR438" s="568">
        <f t="shared" si="618"/>
        <v>-261.90263199999998</v>
      </c>
      <c r="AS438" s="568">
        <f t="shared" si="618"/>
        <v>-286.647358</v>
      </c>
      <c r="AT438" s="568">
        <f t="shared" si="618"/>
        <v>-327.98331100000001</v>
      </c>
      <c r="AU438" s="568">
        <f t="shared" si="618"/>
        <v>-325.31356700000003</v>
      </c>
      <c r="AV438" s="568">
        <f t="shared" si="618"/>
        <v>-337.07443899999998</v>
      </c>
      <c r="AW438" s="568">
        <f t="shared" si="618"/>
        <v>-374.885175</v>
      </c>
      <c r="AX438" s="568">
        <f t="shared" si="618"/>
        <v>-444.282488</v>
      </c>
      <c r="AY438" s="568">
        <f t="shared" si="618"/>
        <v>-470.71857199999999</v>
      </c>
      <c r="AZ438" s="568">
        <f t="shared" si="618"/>
        <v>-508.29546300000004</v>
      </c>
      <c r="BA438" s="568">
        <f t="shared" si="618"/>
        <v>-564.40628900000002</v>
      </c>
      <c r="BB438" s="568">
        <f t="shared" si="618"/>
        <v>-696.94899399999997</v>
      </c>
      <c r="BC438" s="568">
        <f t="shared" si="618"/>
        <v>-696.74359800000002</v>
      </c>
      <c r="BD438" s="568">
        <f t="shared" si="618"/>
        <v>-696.31970100000001</v>
      </c>
      <c r="BE438" s="568">
        <f t="shared" si="618"/>
        <v>-739.80396799999994</v>
      </c>
      <c r="BF438" s="568">
        <f t="shared" si="618"/>
        <v>-862.31250399999999</v>
      </c>
      <c r="BG438" s="568">
        <f t="shared" si="618"/>
        <v>-863.10061799999994</v>
      </c>
      <c r="BH438" s="568">
        <f t="shared" si="618"/>
        <v>-1061.4291040000001</v>
      </c>
      <c r="BI438" s="568">
        <f t="shared" si="618"/>
        <v>-1152.7398780000001</v>
      </c>
      <c r="BJ438" s="568">
        <f t="shared" si="618"/>
        <v>-1452.3477669999997</v>
      </c>
      <c r="BK438" s="568">
        <f t="shared" si="618"/>
        <v>-1730.592351</v>
      </c>
      <c r="BL438" s="568">
        <f t="shared" si="618"/>
        <v>-1790.4372860000001</v>
      </c>
      <c r="BM438" s="568">
        <f t="shared" si="618"/>
        <v>-1736.233923</v>
      </c>
      <c r="BN438" s="568">
        <f t="shared" si="618"/>
        <v>-1930.788</v>
      </c>
      <c r="BO438" s="568">
        <f t="shared" si="618"/>
        <v>-2015.626088</v>
      </c>
      <c r="BP438" s="568">
        <f t="shared" si="618"/>
        <v>-4869.4377039999999</v>
      </c>
      <c r="BQ438" s="568">
        <f t="shared" si="618"/>
        <v>-3574.0492469999999</v>
      </c>
      <c r="BR438" s="568">
        <f t="shared" si="618"/>
        <v>-3890.1457370000003</v>
      </c>
      <c r="BS438" s="568">
        <f t="shared" si="618"/>
        <v>-3733.5354200000002</v>
      </c>
      <c r="BT438" s="568">
        <f t="shared" si="618"/>
        <v>-4481.5813129999997</v>
      </c>
      <c r="BU438" s="568">
        <f t="shared" si="618"/>
        <v>-4646.4128010000004</v>
      </c>
      <c r="BV438" s="568">
        <f t="shared" si="618"/>
        <v>-5237.1941299999999</v>
      </c>
      <c r="BW438" s="568">
        <f t="shared" si="618"/>
        <v>-4810.0631270000003</v>
      </c>
      <c r="BX438" s="544">
        <f t="shared" ref="BX438:CE438" ca="1" si="619">+VLOOKUP($A438,INDIRECT($T$2),MATCH(BX$4,Period_A_CTRP,FALSE),FALSE)</f>
        <v>-5268.1975211806694</v>
      </c>
      <c r="BY438" s="544">
        <f t="shared" ca="1" si="619"/>
        <v>-5693.7170126637739</v>
      </c>
      <c r="BZ438" s="544">
        <f t="shared" ca="1" si="619"/>
        <v>-6611.3365486109651</v>
      </c>
      <c r="CA438" s="544">
        <f t="shared" ca="1" si="619"/>
        <v>-5675.0701460772725</v>
      </c>
      <c r="CB438" s="544">
        <f t="shared" ca="1" si="619"/>
        <v>-6379.0658788880701</v>
      </c>
      <c r="CC438" s="544">
        <f t="shared" ca="1" si="619"/>
        <v>-6750.4659879915489</v>
      </c>
      <c r="CD438" s="544">
        <f t="shared" ca="1" si="619"/>
        <v>-7471.8727558929959</v>
      </c>
      <c r="CE438" s="544">
        <f t="shared" ca="1" si="619"/>
        <v>-7016.3844752678524</v>
      </c>
      <c r="CF438" s="62"/>
      <c r="CG438" s="5"/>
      <c r="CH438" s="5"/>
      <c r="CI438" s="116"/>
      <c r="CJ438"/>
      <c r="CK438"/>
      <c r="CL438"/>
      <c r="CM438"/>
      <c r="CN438"/>
      <c r="CO438"/>
      <c r="CP438" s="116"/>
      <c r="CQ438" s="116"/>
      <c r="CR438" s="116"/>
    </row>
    <row r="439" spans="1:96" outlineLevel="1">
      <c r="B439" s="12" t="s">
        <v>82</v>
      </c>
      <c r="C439" s="5"/>
      <c r="D439" s="126">
        <f t="shared" ref="D439:M439" si="620">(D438/C438-1)*1</f>
        <v>0.53671681789068226</v>
      </c>
      <c r="E439" s="126">
        <f t="shared" si="620"/>
        <v>0.13303217053424299</v>
      </c>
      <c r="F439" s="126">
        <f t="shared" si="620"/>
        <v>0.41694847254037959</v>
      </c>
      <c r="G439" s="126">
        <f t="shared" si="620"/>
        <v>0.67389328583496066</v>
      </c>
      <c r="H439" s="126">
        <f t="shared" si="620"/>
        <v>0.42372085914516266</v>
      </c>
      <c r="I439" s="126">
        <f t="shared" si="620"/>
        <v>0.74383817944365704</v>
      </c>
      <c r="J439" s="126">
        <f t="shared" si="620"/>
        <v>0.50310734241304189</v>
      </c>
      <c r="K439" s="126">
        <f t="shared" si="620"/>
        <v>0.24281535557809431</v>
      </c>
      <c r="L439" s="126">
        <f t="shared" si="620"/>
        <v>0.22450809971827046</v>
      </c>
      <c r="M439" s="126">
        <f t="shared" si="620"/>
        <v>0.41387434480970353</v>
      </c>
      <c r="N439" s="323">
        <f>(N438/M438-1)</f>
        <v>0.35371711431709607</v>
      </c>
      <c r="O439" s="323">
        <f t="shared" ref="O439:AD439" si="621">(O438/N438-1)</f>
        <v>0.51595203462182782</v>
      </c>
      <c r="P439" s="323">
        <f t="shared" si="621"/>
        <v>0.28184562160186322</v>
      </c>
      <c r="Q439" s="323">
        <f t="shared" si="621"/>
        <v>0.70711570251658662</v>
      </c>
      <c r="R439" s="323">
        <f t="shared" si="621"/>
        <v>0.38464595740708662</v>
      </c>
      <c r="S439" s="323">
        <f>(S438/R438-1)</f>
        <v>1.1500046459325191</v>
      </c>
      <c r="T439" s="323">
        <f>(T438/S438-1)</f>
        <v>0.19344312837882449</v>
      </c>
      <c r="U439" s="323">
        <f t="shared" ca="1" si="621"/>
        <v>0.21241285335600124</v>
      </c>
      <c r="V439" s="323">
        <f t="shared" ca="1" si="621"/>
        <v>0.18794767271819768</v>
      </c>
      <c r="W439" s="323">
        <f t="shared" ca="1" si="621"/>
        <v>0.18665226453623496</v>
      </c>
      <c r="X439" s="323">
        <f t="shared" ca="1" si="621"/>
        <v>0.16809105693093418</v>
      </c>
      <c r="Y439" s="323">
        <f t="shared" ca="1" si="621"/>
        <v>0.1567928968305401</v>
      </c>
      <c r="Z439" s="323">
        <f t="shared" ca="1" si="621"/>
        <v>0.13933344650856583</v>
      </c>
      <c r="AA439" s="323">
        <f t="shared" ca="1" si="621"/>
        <v>0.12892158611843896</v>
      </c>
      <c r="AB439" s="323">
        <f t="shared" ca="1" si="621"/>
        <v>0.11979412131483613</v>
      </c>
      <c r="AC439" s="323">
        <f t="shared" ca="1" si="621"/>
        <v>0.12967204548436939</v>
      </c>
      <c r="AD439" s="323">
        <f t="shared" ca="1" si="621"/>
        <v>0.11793378605766502</v>
      </c>
      <c r="AE439" s="323"/>
      <c r="AF439" s="126"/>
      <c r="AG439" s="126"/>
      <c r="AH439" s="126"/>
      <c r="AI439" s="126"/>
      <c r="AJ439" s="323">
        <f>(AJ438/AF438-1)</f>
        <v>0.44054179515824954</v>
      </c>
      <c r="AK439" s="323">
        <f t="shared" ref="AK439:CA439" si="622">(AK438/AG438-1)</f>
        <v>0.23954621474511884</v>
      </c>
      <c r="AL439" s="323">
        <f t="shared" si="622"/>
        <v>0.19941078369723364</v>
      </c>
      <c r="AM439" s="323">
        <f t="shared" si="622"/>
        <v>0.14827549674989116</v>
      </c>
      <c r="AN439" s="323">
        <f t="shared" si="622"/>
        <v>8.1355226998708341E-2</v>
      </c>
      <c r="AO439" s="323">
        <f t="shared" si="622"/>
        <v>0.21700462227792361</v>
      </c>
      <c r="AP439" s="323">
        <f t="shared" si="622"/>
        <v>0.25283400919217125</v>
      </c>
      <c r="AQ439" s="323">
        <f t="shared" si="622"/>
        <v>0.32866473707983856</v>
      </c>
      <c r="AR439" s="323">
        <f t="shared" si="622"/>
        <v>0.4934453944799424</v>
      </c>
      <c r="AS439" s="323">
        <f t="shared" si="622"/>
        <v>0.4013735494012316</v>
      </c>
      <c r="AT439" s="323">
        <f t="shared" si="622"/>
        <v>0.4782087912107722</v>
      </c>
      <c r="AU439" s="323">
        <f t="shared" si="622"/>
        <v>0.31046111700948464</v>
      </c>
      <c r="AV439" s="323">
        <f t="shared" si="622"/>
        <v>0.28702196089423038</v>
      </c>
      <c r="AW439" s="323">
        <f t="shared" si="622"/>
        <v>0.30782707231510575</v>
      </c>
      <c r="AX439" s="323">
        <f t="shared" si="622"/>
        <v>0.35458870344777993</v>
      </c>
      <c r="AY439" s="323">
        <f t="shared" si="622"/>
        <v>0.44696877028802162</v>
      </c>
      <c r="AZ439" s="323">
        <f t="shared" si="622"/>
        <v>0.50796205285681739</v>
      </c>
      <c r="BA439" s="323">
        <f t="shared" si="622"/>
        <v>0.50554443503934232</v>
      </c>
      <c r="BB439" s="323">
        <f t="shared" si="622"/>
        <v>0.56870687642318218</v>
      </c>
      <c r="BC439" s="323">
        <f t="shared" si="622"/>
        <v>0.48017018967333214</v>
      </c>
      <c r="BD439" s="323">
        <f t="shared" si="622"/>
        <v>0.36991130491361468</v>
      </c>
      <c r="BE439" s="323">
        <f t="shared" si="622"/>
        <v>0.31076492664666233</v>
      </c>
      <c r="BF439" s="323">
        <f t="shared" si="622"/>
        <v>0.2372677361235993</v>
      </c>
      <c r="BG439" s="323">
        <f t="shared" si="622"/>
        <v>0.23876361473220165</v>
      </c>
      <c r="BH439" s="323">
        <f t="shared" si="622"/>
        <v>0.5243416242218315</v>
      </c>
      <c r="BI439" s="323">
        <f t="shared" si="622"/>
        <v>0.55816936359011282</v>
      </c>
      <c r="BJ439" s="323">
        <f t="shared" si="622"/>
        <v>0.68424760195753787</v>
      </c>
      <c r="BK439" s="323">
        <f t="shared" si="622"/>
        <v>1.0050876049772453</v>
      </c>
      <c r="BL439" s="323">
        <f t="shared" si="622"/>
        <v>0.68681759267079601</v>
      </c>
      <c r="BM439" s="323">
        <f t="shared" si="622"/>
        <v>0.50618015055778254</v>
      </c>
      <c r="BN439" s="323">
        <f t="shared" si="622"/>
        <v>0.32942539236885149</v>
      </c>
      <c r="BO439" s="323">
        <f t="shared" si="622"/>
        <v>0.16470299134010213</v>
      </c>
      <c r="BP439" s="323">
        <f t="shared" si="622"/>
        <v>1.7196918552108391</v>
      </c>
      <c r="BQ439" s="323">
        <f t="shared" si="622"/>
        <v>1.0585067482292247</v>
      </c>
      <c r="BR439" s="323">
        <f t="shared" si="622"/>
        <v>1.0147969310975622</v>
      </c>
      <c r="BS439" s="323">
        <f t="shared" si="622"/>
        <v>0.85229564264302193</v>
      </c>
      <c r="BT439" s="323">
        <f t="shared" si="622"/>
        <v>-7.9651166023008257E-2</v>
      </c>
      <c r="BU439" s="323">
        <f t="shared" si="622"/>
        <v>0.30004162782595278</v>
      </c>
      <c r="BV439" s="323">
        <f t="shared" si="622"/>
        <v>0.34627196101882163</v>
      </c>
      <c r="BW439" s="323">
        <f t="shared" si="622"/>
        <v>0.28834002785488511</v>
      </c>
      <c r="BX439" s="323">
        <f t="shared" ca="1" si="622"/>
        <v>0.1755220207427417</v>
      </c>
      <c r="BY439" s="323">
        <f t="shared" ca="1" si="622"/>
        <v>0.22540059536646706</v>
      </c>
      <c r="BZ439" s="323">
        <f t="shared" ca="1" si="622"/>
        <v>0.26238141732030185</v>
      </c>
      <c r="CA439" s="323">
        <f t="shared" ca="1" si="622"/>
        <v>0.17983277895497607</v>
      </c>
      <c r="CB439" s="323">
        <f ca="1">(CB438/BX438-1)</f>
        <v>0.21086308044472135</v>
      </c>
      <c r="CC439" s="323">
        <f ca="1">(CC438/BY438-1)</f>
        <v>0.18559913901189495</v>
      </c>
      <c r="CD439" s="323">
        <f ca="1">(CD438/BZ438-1)</f>
        <v>0.13016070214468645</v>
      </c>
      <c r="CE439" s="323">
        <f ca="1">(CE438/CA438-1)</f>
        <v>0.23635202643578324</v>
      </c>
      <c r="CF439" s="62"/>
      <c r="CG439" s="5"/>
      <c r="CH439" s="5"/>
    </row>
    <row r="440" spans="1:96" outlineLevel="1">
      <c r="B440" s="12" t="s">
        <v>83</v>
      </c>
      <c r="C440" s="5"/>
      <c r="D440" s="5"/>
      <c r="E440" s="5"/>
      <c r="F440" s="5"/>
      <c r="G440" s="5"/>
      <c r="H440" s="126"/>
      <c r="I440" s="126"/>
      <c r="J440" s="126"/>
      <c r="K440" s="126"/>
      <c r="L440" s="126"/>
      <c r="M440" s="126"/>
      <c r="N440" s="126"/>
      <c r="O440" s="126"/>
      <c r="P440" s="126"/>
      <c r="Q440" s="126"/>
      <c r="R440" s="126"/>
      <c r="S440" s="324"/>
      <c r="T440" s="324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126"/>
      <c r="AG440" s="323">
        <f>(AG438/AF438-1)</f>
        <v>0.20443344927295737</v>
      </c>
      <c r="AH440" s="323">
        <f t="shared" ref="AH440:CA440" si="623">(AH438/AG438-1)</f>
        <v>8.8968721258776196E-2</v>
      </c>
      <c r="AI440" s="323">
        <f t="shared" si="623"/>
        <v>0.10195040334992256</v>
      </c>
      <c r="AJ440" s="323">
        <f t="shared" si="623"/>
        <v>-3.2973767896594675E-3</v>
      </c>
      <c r="AK440" s="323">
        <f t="shared" si="623"/>
        <v>3.6381539207402502E-2</v>
      </c>
      <c r="AL440" s="323">
        <f t="shared" si="623"/>
        <v>5.3708858814379479E-2</v>
      </c>
      <c r="AM440" s="323">
        <f t="shared" si="623"/>
        <v>5.4970210372716322E-2</v>
      </c>
      <c r="AN440" s="323">
        <f t="shared" si="623"/>
        <v>-6.1384141329820618E-2</v>
      </c>
      <c r="AO440" s="323">
        <f t="shared" si="623"/>
        <v>0.16638926059440462</v>
      </c>
      <c r="AP440" s="323">
        <f t="shared" si="623"/>
        <v>8.4730715022916625E-2</v>
      </c>
      <c r="AQ440" s="323">
        <f t="shared" si="623"/>
        <v>0.11882476601648606</v>
      </c>
      <c r="AR440" s="323">
        <f t="shared" si="623"/>
        <v>5.5022754948439889E-2</v>
      </c>
      <c r="AS440" s="323">
        <f t="shared" si="623"/>
        <v>9.4480631259940884E-2</v>
      </c>
      <c r="AT440" s="323">
        <f t="shared" si="623"/>
        <v>0.14420489792199653</v>
      </c>
      <c r="AU440" s="323">
        <f t="shared" si="623"/>
        <v>-8.1398775805393564E-3</v>
      </c>
      <c r="AV440" s="323">
        <f t="shared" si="623"/>
        <v>3.615241783014822E-2</v>
      </c>
      <c r="AW440" s="323">
        <f t="shared" si="623"/>
        <v>0.11217325203350703</v>
      </c>
      <c r="AX440" s="323">
        <f t="shared" si="623"/>
        <v>0.18511618390884621</v>
      </c>
      <c r="AY440" s="323">
        <f t="shared" si="623"/>
        <v>5.9502871965549931E-2</v>
      </c>
      <c r="AZ440" s="323">
        <f t="shared" si="623"/>
        <v>7.9828783556048055E-2</v>
      </c>
      <c r="BA440" s="323">
        <f t="shared" si="623"/>
        <v>0.11039017674647233</v>
      </c>
      <c r="BB440" s="323">
        <f t="shared" si="623"/>
        <v>0.23483562742512243</v>
      </c>
      <c r="BC440" s="323">
        <f t="shared" si="623"/>
        <v>-2.9470736275993836E-4</v>
      </c>
      <c r="BD440" s="323">
        <f t="shared" si="623"/>
        <v>-6.0839740934370834E-4</v>
      </c>
      <c r="BE440" s="323">
        <f t="shared" si="623"/>
        <v>6.2448709892239496E-2</v>
      </c>
      <c r="BF440" s="323">
        <f t="shared" si="623"/>
        <v>0.16559594338374795</v>
      </c>
      <c r="BG440" s="323">
        <f t="shared" si="623"/>
        <v>9.1395404374194911E-4</v>
      </c>
      <c r="BH440" s="323">
        <f t="shared" si="623"/>
        <v>0.2297860549093016</v>
      </c>
      <c r="BI440" s="323">
        <f t="shared" si="623"/>
        <v>8.6026258047659621E-2</v>
      </c>
      <c r="BJ440" s="323">
        <f t="shared" si="623"/>
        <v>0.25990936439174672</v>
      </c>
      <c r="BK440" s="323">
        <f t="shared" si="623"/>
        <v>0.19158261562569701</v>
      </c>
      <c r="BL440" s="323">
        <f t="shared" si="623"/>
        <v>3.4580607596826241E-2</v>
      </c>
      <c r="BM440" s="323">
        <f t="shared" si="623"/>
        <v>-3.0273812673492384E-2</v>
      </c>
      <c r="BN440" s="323">
        <f t="shared" si="623"/>
        <v>0.1120552216050672</v>
      </c>
      <c r="BO440" s="323">
        <f t="shared" si="623"/>
        <v>4.3939618435581806E-2</v>
      </c>
      <c r="BP440" s="323">
        <f t="shared" si="623"/>
        <v>1.4158437584183519</v>
      </c>
      <c r="BQ440" s="323">
        <f t="shared" si="623"/>
        <v>-0.26602423847334633</v>
      </c>
      <c r="BR440" s="323">
        <f t="shared" si="623"/>
        <v>8.844211933154722E-2</v>
      </c>
      <c r="BS440" s="323">
        <f t="shared" si="623"/>
        <v>-4.0258213339013582E-2</v>
      </c>
      <c r="BT440" s="323">
        <f t="shared" si="623"/>
        <v>0.20035859014295876</v>
      </c>
      <c r="BU440" s="323">
        <f t="shared" si="623"/>
        <v>3.6779760644276127E-2</v>
      </c>
      <c r="BV440" s="323">
        <f t="shared" si="623"/>
        <v>0.12714783518004502</v>
      </c>
      <c r="BW440" s="323">
        <f t="shared" si="623"/>
        <v>-8.1557221748432607E-2</v>
      </c>
      <c r="BX440" s="323">
        <f t="shared" ca="1" si="623"/>
        <v>9.5244985790114534E-2</v>
      </c>
      <c r="BY440" s="323">
        <f t="shared" ca="1" si="623"/>
        <v>8.0771362457902063E-2</v>
      </c>
      <c r="BZ440" s="323">
        <f t="shared" ca="1" si="623"/>
        <v>0.16116353059104505</v>
      </c>
      <c r="CA440" s="323">
        <f t="shared" ca="1" si="623"/>
        <v>-0.14161529906239623</v>
      </c>
      <c r="CB440" s="323">
        <f ca="1">(CB438/CA438-1)</f>
        <v>0.12405057817609788</v>
      </c>
      <c r="CC440" s="323">
        <f ca="1">(CC438/CB438-1)</f>
        <v>5.8221707716274107E-2</v>
      </c>
      <c r="CD440" s="323">
        <f ca="1">(CD438/CC438-1)</f>
        <v>0.10686769908696125</v>
      </c>
      <c r="CE440" s="323">
        <f ca="1">(CE438/CD438-1)</f>
        <v>-6.0960390454441793E-2</v>
      </c>
      <c r="CF440" s="62"/>
      <c r="CG440" s="5"/>
      <c r="CH440" s="5"/>
    </row>
    <row r="441" spans="1:96" outlineLevel="1">
      <c r="B441" s="12" t="s">
        <v>768</v>
      </c>
      <c r="C441" s="5"/>
      <c r="D441" s="5"/>
      <c r="E441" s="5"/>
      <c r="F441" s="5"/>
      <c r="G441" s="5"/>
      <c r="H441" s="324"/>
      <c r="I441" s="324"/>
      <c r="J441" s="324"/>
      <c r="K441" s="324"/>
      <c r="L441" s="324"/>
      <c r="M441" s="324"/>
      <c r="N441" s="324"/>
      <c r="O441" s="324"/>
      <c r="P441" s="324"/>
      <c r="Q441" s="324"/>
      <c r="R441" s="324"/>
      <c r="S441" s="324"/>
      <c r="T441" s="324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324"/>
      <c r="AG441" s="355">
        <f>-(AG438-AF438)</f>
        <v>23.014853999999985</v>
      </c>
      <c r="AH441" s="355">
        <f t="shared" ref="AH441:CA441" si="624">-(AH438-AG438)</f>
        <v>12.063586000000015</v>
      </c>
      <c r="AI441" s="355">
        <f t="shared" si="624"/>
        <v>15.053706000000005</v>
      </c>
      <c r="AJ441" s="355">
        <f t="shared" si="624"/>
        <v>-0.53651900000002684</v>
      </c>
      <c r="AK441" s="355">
        <f t="shared" si="624"/>
        <v>5.9001520000000198</v>
      </c>
      <c r="AL441" s="355">
        <f t="shared" si="624"/>
        <v>9.0270889999999895</v>
      </c>
      <c r="AM441" s="355">
        <f t="shared" si="624"/>
        <v>9.7353110000000243</v>
      </c>
      <c r="AN441" s="355">
        <f t="shared" si="624"/>
        <v>-11.468822000000017</v>
      </c>
      <c r="AO441" s="355">
        <f t="shared" si="624"/>
        <v>29.179363000000023</v>
      </c>
      <c r="AP441" s="355">
        <f t="shared" si="624"/>
        <v>17.33144999999999</v>
      </c>
      <c r="AQ441" s="355">
        <f t="shared" si="624"/>
        <v>26.364705999999984</v>
      </c>
      <c r="AR441" s="355">
        <f t="shared" si="624"/>
        <v>13.659045999999989</v>
      </c>
      <c r="AS441" s="355">
        <f t="shared" si="624"/>
        <v>24.744726000000014</v>
      </c>
      <c r="AT441" s="355">
        <f t="shared" si="624"/>
        <v>41.335953000000018</v>
      </c>
      <c r="AU441" s="355">
        <f t="shared" si="624"/>
        <v>-2.6697439999999801</v>
      </c>
      <c r="AV441" s="355">
        <f t="shared" si="624"/>
        <v>11.760871999999949</v>
      </c>
      <c r="AW441" s="355">
        <f t="shared" si="624"/>
        <v>37.81073600000002</v>
      </c>
      <c r="AX441" s="355">
        <f t="shared" si="624"/>
        <v>69.397312999999997</v>
      </c>
      <c r="AY441" s="355">
        <f t="shared" si="624"/>
        <v>26.436083999999994</v>
      </c>
      <c r="AZ441" s="355">
        <f t="shared" si="624"/>
        <v>37.576891000000046</v>
      </c>
      <c r="BA441" s="355">
        <f t="shared" si="624"/>
        <v>56.110825999999975</v>
      </c>
      <c r="BB441" s="355">
        <f t="shared" si="624"/>
        <v>132.54270499999996</v>
      </c>
      <c r="BC441" s="355">
        <f t="shared" si="624"/>
        <v>-0.20539599999995062</v>
      </c>
      <c r="BD441" s="355">
        <f t="shared" si="624"/>
        <v>-0.42389700000001085</v>
      </c>
      <c r="BE441" s="355">
        <f t="shared" si="624"/>
        <v>43.484266999999932</v>
      </c>
      <c r="BF441" s="355">
        <f t="shared" si="624"/>
        <v>122.50853600000005</v>
      </c>
      <c r="BG441" s="355">
        <f t="shared" si="624"/>
        <v>0.78811399999995047</v>
      </c>
      <c r="BH441" s="355">
        <f t="shared" si="624"/>
        <v>198.32848600000011</v>
      </c>
      <c r="BI441" s="355">
        <f t="shared" si="624"/>
        <v>91.310774000000038</v>
      </c>
      <c r="BJ441" s="355">
        <f t="shared" si="624"/>
        <v>299.60788899999966</v>
      </c>
      <c r="BK441" s="355">
        <f t="shared" si="624"/>
        <v>278.24458400000026</v>
      </c>
      <c r="BL441" s="355">
        <f t="shared" si="624"/>
        <v>59.844935000000078</v>
      </c>
      <c r="BM441" s="355">
        <f t="shared" si="624"/>
        <v>-54.203363000000081</v>
      </c>
      <c r="BN441" s="355">
        <f t="shared" si="624"/>
        <v>194.55407700000001</v>
      </c>
      <c r="BO441" s="355">
        <f t="shared" si="624"/>
        <v>84.838087999999971</v>
      </c>
      <c r="BP441" s="355">
        <f t="shared" si="624"/>
        <v>2853.811616</v>
      </c>
      <c r="BQ441" s="355">
        <f t="shared" si="624"/>
        <v>-1295.388457</v>
      </c>
      <c r="BR441" s="355">
        <f t="shared" si="624"/>
        <v>316.09649000000036</v>
      </c>
      <c r="BS441" s="355">
        <f t="shared" si="624"/>
        <v>-156.61031700000012</v>
      </c>
      <c r="BT441" s="355">
        <f t="shared" si="624"/>
        <v>748.04589299999952</v>
      </c>
      <c r="BU441" s="355">
        <f t="shared" si="624"/>
        <v>164.83148800000072</v>
      </c>
      <c r="BV441" s="355">
        <f t="shared" si="624"/>
        <v>590.78132899999946</v>
      </c>
      <c r="BW441" s="355">
        <f t="shared" si="624"/>
        <v>-427.13100299999951</v>
      </c>
      <c r="BX441" s="355">
        <f t="shared" ca="1" si="624"/>
        <v>458.13439418066901</v>
      </c>
      <c r="BY441" s="355">
        <f t="shared" ca="1" si="624"/>
        <v>425.5194914831045</v>
      </c>
      <c r="BZ441" s="355">
        <f t="shared" ca="1" si="624"/>
        <v>917.61953594719125</v>
      </c>
      <c r="CA441" s="355">
        <f t="shared" ca="1" si="624"/>
        <v>-936.2664025336926</v>
      </c>
      <c r="CB441" s="355">
        <f ca="1">-(CB438-CA438)</f>
        <v>703.99573281079756</v>
      </c>
      <c r="CC441" s="355">
        <f ca="1">-(CC438-CB438)</f>
        <v>371.40010910347883</v>
      </c>
      <c r="CD441" s="355">
        <f ca="1">-(CD438-CC438)</f>
        <v>721.40676790144698</v>
      </c>
      <c r="CE441" s="355">
        <f ca="1">-(CE438-CD438)</f>
        <v>-455.48828062514349</v>
      </c>
      <c r="CF441" s="62"/>
      <c r="CG441" s="5"/>
      <c r="CH441" s="5"/>
    </row>
    <row r="442" spans="1:96" outlineLevel="1">
      <c r="A442" s="3" t="s">
        <v>153</v>
      </c>
      <c r="B442" s="12" t="s">
        <v>164</v>
      </c>
      <c r="C442" s="6">
        <f t="shared" ref="C442:M442" si="625">-Exp_ToT/Rev_Net*100</f>
        <v>561.66416546255539</v>
      </c>
      <c r="D442" s="6">
        <f t="shared" si="625"/>
        <v>126.62935698409984</v>
      </c>
      <c r="E442" s="6">
        <f t="shared" si="625"/>
        <v>63.07480958214591</v>
      </c>
      <c r="F442" s="6">
        <f t="shared" si="625"/>
        <v>51.642524994783614</v>
      </c>
      <c r="G442" s="6">
        <f t="shared" si="625"/>
        <v>44.837002419120523</v>
      </c>
      <c r="H442" s="6">
        <f t="shared" si="625"/>
        <v>40.883600230534114</v>
      </c>
      <c r="I442" s="6">
        <f t="shared" si="625"/>
        <v>47.644462445790687</v>
      </c>
      <c r="J442" s="6">
        <f t="shared" si="625"/>
        <v>46.581193194428707</v>
      </c>
      <c r="K442" s="6">
        <f t="shared" si="625"/>
        <v>46.846804149900564</v>
      </c>
      <c r="L442" s="6">
        <f t="shared" si="625"/>
        <v>42.758303060473764</v>
      </c>
      <c r="M442" s="6">
        <f t="shared" si="625"/>
        <v>41.712928481894579</v>
      </c>
      <c r="N442" s="323">
        <f t="shared" ref="N442:AD442" si="626">-Exp_ToT/Rev_Net</f>
        <v>0.46510043267026413</v>
      </c>
      <c r="O442" s="323">
        <f t="shared" si="626"/>
        <v>0.59305557704851286</v>
      </c>
      <c r="P442" s="323">
        <f t="shared" si="626"/>
        <v>0.58691036477401148</v>
      </c>
      <c r="Q442" s="323">
        <f t="shared" si="626"/>
        <v>0.73460855680292625</v>
      </c>
      <c r="R442" s="323">
        <f t="shared" si="626"/>
        <v>0.68575715748401955</v>
      </c>
      <c r="S442" s="323">
        <f>-Exp_ToT/Rev_Net</f>
        <v>0.83559395683791704</v>
      </c>
      <c r="T442" s="323">
        <f>-Exp_ToT/Rev_Net</f>
        <v>0.71603866976775377</v>
      </c>
      <c r="U442" s="323">
        <f t="shared" ca="1" si="626"/>
        <v>0.72999999999999987</v>
      </c>
      <c r="V442" s="323">
        <f t="shared" ca="1" si="626"/>
        <v>0.69</v>
      </c>
      <c r="W442" s="323">
        <f t="shared" ca="1" si="626"/>
        <v>0.67</v>
      </c>
      <c r="X442" s="323">
        <f t="shared" ca="1" si="626"/>
        <v>0.65</v>
      </c>
      <c r="Y442" s="323">
        <f t="shared" ca="1" si="626"/>
        <v>0.63</v>
      </c>
      <c r="Z442" s="323">
        <f t="shared" ca="1" si="626"/>
        <v>0.62</v>
      </c>
      <c r="AA442" s="323">
        <f t="shared" ca="1" si="626"/>
        <v>0.61</v>
      </c>
      <c r="AB442" s="323">
        <f t="shared" ca="1" si="626"/>
        <v>0.6</v>
      </c>
      <c r="AC442" s="323">
        <f t="shared" ca="1" si="626"/>
        <v>0.6</v>
      </c>
      <c r="AD442" s="323">
        <f t="shared" ca="1" si="626"/>
        <v>0.60000000000000009</v>
      </c>
      <c r="AE442" s="323"/>
      <c r="AF442" s="323">
        <f t="shared" ref="AF442:CE442" si="627">-Exp_ToT/Rev_Net</f>
        <v>0.48480139053208382</v>
      </c>
      <c r="AG442" s="323">
        <f t="shared" si="627"/>
        <v>0.47078074989051832</v>
      </c>
      <c r="AH442" s="323">
        <f t="shared" si="627"/>
        <v>0.45760986232935474</v>
      </c>
      <c r="AI442" s="323">
        <f t="shared" si="627"/>
        <v>0.45678848960599416</v>
      </c>
      <c r="AJ442" s="323">
        <f t="shared" si="627"/>
        <v>0.47629829548626784</v>
      </c>
      <c r="AK442" s="323">
        <f t="shared" si="627"/>
        <v>0.44814643365157009</v>
      </c>
      <c r="AL442" s="323">
        <f t="shared" si="627"/>
        <v>0.47847554780065238</v>
      </c>
      <c r="AM442" s="323">
        <f t="shared" si="627"/>
        <v>0.47141179232365132</v>
      </c>
      <c r="AN442" s="323">
        <f t="shared" si="627"/>
        <v>0.43778819834627719</v>
      </c>
      <c r="AO442" s="323">
        <f t="shared" si="627"/>
        <v>0.42946261856757884</v>
      </c>
      <c r="AP442" s="323">
        <f t="shared" si="627"/>
        <v>0.40679689763914056</v>
      </c>
      <c r="AQ442" s="323">
        <f t="shared" si="627"/>
        <v>0.43881504622734124</v>
      </c>
      <c r="AR442" s="323">
        <f t="shared" si="627"/>
        <v>0.44638293551397895</v>
      </c>
      <c r="AS442" s="323">
        <f t="shared" si="627"/>
        <v>0.41233521848911764</v>
      </c>
      <c r="AT442" s="323">
        <f t="shared" si="627"/>
        <v>0.40381853218596797</v>
      </c>
      <c r="AU442" s="323">
        <f t="shared" si="627"/>
        <v>0.41329259552045261</v>
      </c>
      <c r="AV442" s="323">
        <f t="shared" si="627"/>
        <v>0.44089508699025287</v>
      </c>
      <c r="AW442" s="323">
        <f t="shared" si="627"/>
        <v>0.45002725767676383</v>
      </c>
      <c r="AX442" s="323">
        <f t="shared" si="627"/>
        <v>0.45581421805136879</v>
      </c>
      <c r="AY442" s="323">
        <f t="shared" si="627"/>
        <v>0.5084270291356261</v>
      </c>
      <c r="AZ442" s="323">
        <f t="shared" si="627"/>
        <v>0.55807068536328408</v>
      </c>
      <c r="BA442" s="323">
        <f t="shared" si="627"/>
        <v>0.57969571240136331</v>
      </c>
      <c r="BB442" s="323">
        <f t="shared" si="627"/>
        <v>0.59415812656583633</v>
      </c>
      <c r="BC442" s="323">
        <f t="shared" si="627"/>
        <v>0.63262384038031194</v>
      </c>
      <c r="BD442" s="323">
        <f t="shared" si="627"/>
        <v>0.60001277078511217</v>
      </c>
      <c r="BE442" s="323">
        <f t="shared" si="627"/>
        <v>0.59428893342186817</v>
      </c>
      <c r="BF442" s="323">
        <f t="shared" si="627"/>
        <v>0.55958867699458448</v>
      </c>
      <c r="BG442" s="323">
        <f t="shared" si="627"/>
        <v>0.59920644753895791</v>
      </c>
      <c r="BH442" s="323">
        <f t="shared" si="627"/>
        <v>0.67103115090909748</v>
      </c>
      <c r="BI442" s="323">
        <f t="shared" si="627"/>
        <v>0.66931778914592222</v>
      </c>
      <c r="BJ442" s="323">
        <f t="shared" si="627"/>
        <v>0.68199091679490775</v>
      </c>
      <c r="BK442" s="323">
        <f t="shared" si="627"/>
        <v>0.90450711332552192</v>
      </c>
      <c r="BL442" s="323">
        <f t="shared" si="627"/>
        <v>0.77348179643188186</v>
      </c>
      <c r="BM442" s="323">
        <f t="shared" si="627"/>
        <v>0.68703613655502116</v>
      </c>
      <c r="BN442" s="323">
        <f t="shared" si="627"/>
        <v>0.60686061223234267</v>
      </c>
      <c r="BO442" s="323">
        <f t="shared" si="627"/>
        <v>0.70131782629229322</v>
      </c>
      <c r="BP442" s="323">
        <f t="shared" si="627"/>
        <v>1.1654930739653919</v>
      </c>
      <c r="BQ442" s="323">
        <f t="shared" si="627"/>
        <v>0.81020596593398642</v>
      </c>
      <c r="BR442" s="323">
        <f t="shared" si="627"/>
        <v>0.69817638987921782</v>
      </c>
      <c r="BS442" s="323">
        <f t="shared" si="627"/>
        <v>0.73679253326946637</v>
      </c>
      <c r="BT442" s="323">
        <f t="shared" si="627"/>
        <v>0.73648902751529599</v>
      </c>
      <c r="BU442" s="323">
        <f t="shared" si="627"/>
        <v>0.7242175732063092</v>
      </c>
      <c r="BV442" s="323">
        <f t="shared" si="627"/>
        <v>0.66296315092050617</v>
      </c>
      <c r="BW442" s="323">
        <f t="shared" si="627"/>
        <v>0.75403193671578095</v>
      </c>
      <c r="BX442" s="323">
        <f t="shared" ca="1" si="627"/>
        <v>0.78600000000000003</v>
      </c>
      <c r="BY442" s="323">
        <f t="shared" ca="1" si="627"/>
        <v>0.76</v>
      </c>
      <c r="BZ442" s="323">
        <f t="shared" ca="1" si="627"/>
        <v>0.71</v>
      </c>
      <c r="CA442" s="323">
        <f t="shared" ca="1" si="627"/>
        <v>0.680382508335305</v>
      </c>
      <c r="CB442" s="323">
        <f t="shared" ca="1" si="627"/>
        <v>0.7</v>
      </c>
      <c r="CC442" s="323">
        <f t="shared" ca="1" si="627"/>
        <v>0.69</v>
      </c>
      <c r="CD442" s="323">
        <f t="shared" ca="1" si="627"/>
        <v>0.67</v>
      </c>
      <c r="CE442" s="323">
        <f t="shared" ca="1" si="627"/>
        <v>0.70322089735519488</v>
      </c>
      <c r="CF442" s="5"/>
      <c r="CG442" s="5"/>
      <c r="CH442" s="5"/>
    </row>
    <row r="443" spans="1:96" outlineLevel="1">
      <c r="B443" s="12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323"/>
      <c r="O443" s="323"/>
      <c r="P443" s="323"/>
      <c r="Q443" s="323"/>
      <c r="R443" s="323"/>
      <c r="S443" s="323"/>
      <c r="T443" s="323"/>
      <c r="U443" s="323"/>
      <c r="V443" s="323"/>
      <c r="W443" s="323"/>
      <c r="X443" s="323"/>
      <c r="Y443" s="323"/>
      <c r="Z443" s="323"/>
      <c r="AA443" s="323"/>
      <c r="AB443" s="323"/>
      <c r="AC443" s="323"/>
      <c r="AD443" s="323"/>
      <c r="AE443" s="323"/>
      <c r="AF443" s="323"/>
      <c r="AG443" s="323"/>
      <c r="AH443" s="323"/>
      <c r="AI443" s="323"/>
      <c r="AJ443" s="323"/>
      <c r="AK443" s="323"/>
      <c r="AL443" s="323"/>
      <c r="AM443" s="323"/>
      <c r="AN443" s="323"/>
      <c r="AO443" s="323"/>
      <c r="AP443" s="323"/>
      <c r="AQ443" s="323"/>
      <c r="AR443" s="323"/>
      <c r="AS443" s="323"/>
      <c r="AT443" s="323"/>
      <c r="AU443" s="323"/>
      <c r="AV443" s="323"/>
      <c r="AW443" s="323"/>
      <c r="AX443" s="323"/>
      <c r="AY443" s="323"/>
      <c r="AZ443" s="323"/>
      <c r="BA443" s="323"/>
      <c r="BB443" s="323"/>
      <c r="BC443" s="323"/>
      <c r="BD443" s="323"/>
      <c r="BE443" s="323"/>
      <c r="BF443" s="323"/>
      <c r="BG443" s="323"/>
      <c r="BH443" s="323"/>
      <c r="BI443" s="323"/>
      <c r="BJ443" s="323"/>
      <c r="BK443" s="323"/>
      <c r="BL443" s="323"/>
      <c r="BM443" s="323"/>
      <c r="BN443" s="323"/>
      <c r="BO443" s="323"/>
      <c r="BP443" s="323"/>
      <c r="BQ443" s="323"/>
      <c r="BR443" s="323"/>
      <c r="BS443" s="323"/>
      <c r="BT443" s="323"/>
      <c r="BU443" s="323"/>
      <c r="BV443" s="323"/>
      <c r="BW443" s="323"/>
      <c r="BX443" s="323"/>
      <c r="BY443" s="323"/>
      <c r="BZ443" s="323"/>
      <c r="CA443" s="323"/>
      <c r="CB443" s="323"/>
      <c r="CC443" s="323"/>
      <c r="CD443" s="323"/>
      <c r="CE443" s="323"/>
      <c r="CF443" s="5"/>
      <c r="CG443" s="5"/>
      <c r="CH443" s="5"/>
    </row>
    <row r="444" spans="1:96" outlineLevel="1">
      <c r="A444" s="3" t="s">
        <v>785</v>
      </c>
      <c r="B444" s="12" t="s">
        <v>601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492">
        <f t="shared" ref="N444:AB444" si="628">N438+N422</f>
        <v>-1284.1693169999999</v>
      </c>
      <c r="O444" s="492">
        <f t="shared" si="628"/>
        <v>-2034.6730220000004</v>
      </c>
      <c r="P444" s="492">
        <f t="shared" si="628"/>
        <v>-2723.6073139999999</v>
      </c>
      <c r="Q444" s="492">
        <f t="shared" si="628"/>
        <v>-4900.4656109999996</v>
      </c>
      <c r="R444" s="492">
        <f t="shared" si="628"/>
        <v>-6830.4888229999997</v>
      </c>
      <c r="S444" s="492">
        <f>S438+S422</f>
        <v>-12507.449402</v>
      </c>
      <c r="T444" s="492">
        <f>T438+T422</f>
        <v>-17341.439265999998</v>
      </c>
      <c r="U444" s="6">
        <f t="shared" ca="1" si="628"/>
        <v>-21112.977125994654</v>
      </c>
      <c r="V444" s="6">
        <f t="shared" ca="1" si="628"/>
        <v>-25198.543844892098</v>
      </c>
      <c r="W444" s="6">
        <f t="shared" ca="1" si="628"/>
        <v>-29816.213508851826</v>
      </c>
      <c r="X444" s="6">
        <f t="shared" ca="1" si="628"/>
        <v>-34721.792061455999</v>
      </c>
      <c r="Y444" s="6">
        <f t="shared" ca="1" si="628"/>
        <v>-40035.1967561294</v>
      </c>
      <c r="Z444" s="6">
        <f t="shared" ca="1" si="628"/>
        <v>-45535.365250052593</v>
      </c>
      <c r="AA444" s="6">
        <f t="shared" ca="1" si="628"/>
        <v>-51314.828160695753</v>
      </c>
      <c r="AB444" s="6">
        <f t="shared" ca="1" si="628"/>
        <v>-57356.711840934047</v>
      </c>
      <c r="AC444" s="6">
        <f ca="1">AC438+AC422</f>
        <v>-64794.27398760552</v>
      </c>
      <c r="AD444" s="6">
        <f ca="1">AD438+AD422</f>
        <v>-72435.708033821516</v>
      </c>
      <c r="AE444" s="6"/>
      <c r="AF444" s="492">
        <f t="shared" ref="AF444:AY444" si="629">AF438+AF422</f>
        <v>-93.990232000000006</v>
      </c>
      <c r="AG444" s="492">
        <f t="shared" si="629"/>
        <v>-112.49513099999999</v>
      </c>
      <c r="AH444" s="492">
        <f t="shared" si="629"/>
        <v>-124.802074</v>
      </c>
      <c r="AI444" s="492">
        <f t="shared" si="629"/>
        <v>-140.33905800000002</v>
      </c>
      <c r="AJ444" s="492">
        <f t="shared" si="629"/>
        <v>-128.71868299999997</v>
      </c>
      <c r="AK444" s="492">
        <f t="shared" si="629"/>
        <v>-136.79080500000001</v>
      </c>
      <c r="AL444" s="492">
        <f t="shared" si="629"/>
        <v>-145.816407</v>
      </c>
      <c r="AM444" s="492">
        <f t="shared" si="629"/>
        <v>-154.34392300000002</v>
      </c>
      <c r="AN444" s="492">
        <f t="shared" si="629"/>
        <v>-148.393565</v>
      </c>
      <c r="AO444" s="492">
        <f t="shared" si="629"/>
        <v>-177.56573200000003</v>
      </c>
      <c r="AP444" s="492">
        <f t="shared" si="629"/>
        <v>-194.91216700000001</v>
      </c>
      <c r="AQ444" s="492">
        <f t="shared" si="629"/>
        <v>-198.63767300000001</v>
      </c>
      <c r="AR444" s="492">
        <f t="shared" si="629"/>
        <v>-197.67959399999998</v>
      </c>
      <c r="AS444" s="492">
        <f t="shared" si="629"/>
        <v>-228.42146600000001</v>
      </c>
      <c r="AT444" s="492">
        <f t="shared" si="629"/>
        <v>-267.739644</v>
      </c>
      <c r="AU444" s="492">
        <f t="shared" si="629"/>
        <v>-265.44470600000005</v>
      </c>
      <c r="AV444" s="492">
        <f t="shared" si="629"/>
        <v>-266.70610799999997</v>
      </c>
      <c r="AW444" s="492">
        <f t="shared" si="629"/>
        <v>-287.68514700000003</v>
      </c>
      <c r="AX444" s="492">
        <f t="shared" si="629"/>
        <v>-353.77571899999998</v>
      </c>
      <c r="AY444" s="492">
        <f t="shared" si="629"/>
        <v>-376.002343</v>
      </c>
      <c r="AZ444" s="492">
        <f t="shared" ref="AZ444:CA444" si="630">AZ438+AZ422</f>
        <v>-407.61699800000008</v>
      </c>
      <c r="BA444" s="492">
        <f t="shared" si="630"/>
        <v>-455.59247300000004</v>
      </c>
      <c r="BB444" s="492">
        <f t="shared" si="630"/>
        <v>-588.45945499999993</v>
      </c>
      <c r="BC444" s="492">
        <f t="shared" si="630"/>
        <v>-583.004096</v>
      </c>
      <c r="BD444" s="492">
        <f t="shared" si="630"/>
        <v>-584.73163</v>
      </c>
      <c r="BE444" s="492">
        <f t="shared" si="630"/>
        <v>-628.6365229999999</v>
      </c>
      <c r="BF444" s="492">
        <f t="shared" si="630"/>
        <v>-753.41332599999998</v>
      </c>
      <c r="BG444" s="492">
        <f t="shared" si="630"/>
        <v>-756.82583499999998</v>
      </c>
      <c r="BH444" s="492">
        <f t="shared" si="630"/>
        <v>-939.78486100000009</v>
      </c>
      <c r="BI444" s="492">
        <f t="shared" si="630"/>
        <v>-1041.4020500000001</v>
      </c>
      <c r="BJ444" s="492">
        <f t="shared" si="630"/>
        <v>-1315.2940489999996</v>
      </c>
      <c r="BK444" s="492">
        <f t="shared" si="630"/>
        <v>-1603.984651</v>
      </c>
      <c r="BL444" s="492">
        <f t="shared" si="630"/>
        <v>-1631.5265880000002</v>
      </c>
      <c r="BM444" s="492">
        <f t="shared" si="630"/>
        <v>-1583.1399779999999</v>
      </c>
      <c r="BN444" s="492">
        <f t="shared" si="630"/>
        <v>-1796.6823919999999</v>
      </c>
      <c r="BO444" s="492">
        <f t="shared" si="630"/>
        <v>-1819.1398650000001</v>
      </c>
      <c r="BP444" s="492">
        <f t="shared" si="630"/>
        <v>-3033.8016719999996</v>
      </c>
      <c r="BQ444" s="492">
        <f t="shared" si="630"/>
        <v>-2996.010092</v>
      </c>
      <c r="BR444" s="492">
        <f t="shared" si="630"/>
        <v>-3333.3125050000003</v>
      </c>
      <c r="BS444" s="492">
        <f t="shared" si="630"/>
        <v>-3144.3255330000002</v>
      </c>
      <c r="BT444" s="492">
        <f t="shared" si="630"/>
        <v>-3959.8401289999997</v>
      </c>
      <c r="BU444" s="6">
        <f t="shared" si="630"/>
        <v>-4118.554032</v>
      </c>
      <c r="BV444" s="6">
        <f>BV438+BV422</f>
        <v>-4853.1605090000003</v>
      </c>
      <c r="BW444" s="6">
        <f>BW438+BW422</f>
        <v>-4409.8845959999999</v>
      </c>
      <c r="BX444" s="6">
        <f t="shared" ca="1" si="630"/>
        <v>-4728.2143287901017</v>
      </c>
      <c r="BY444" s="6">
        <f t="shared" ca="1" si="630"/>
        <v>-5165.5988819508038</v>
      </c>
      <c r="BZ444" s="6">
        <f t="shared" ca="1" si="630"/>
        <v>-6048.6935505588854</v>
      </c>
      <c r="CA444" s="6">
        <f t="shared" ca="1" si="630"/>
        <v>-5170.4703646948628</v>
      </c>
      <c r="CB444" s="6">
        <f ca="1">CB438+CB422</f>
        <v>-5828.4343830841799</v>
      </c>
      <c r="CC444" s="6">
        <f ca="1">CC438+CC422</f>
        <v>-6159.3310006460824</v>
      </c>
      <c r="CD444" s="6">
        <f ca="1">CD438+CD422</f>
        <v>-6798.032943845109</v>
      </c>
      <c r="CE444" s="6">
        <f ca="1">CE438+CE422</f>
        <v>-6412.7455173167264</v>
      </c>
      <c r="CF444" s="5"/>
      <c r="CG444" s="5"/>
      <c r="CH444" s="5"/>
    </row>
    <row r="445" spans="1:96" outlineLevel="1">
      <c r="B445" s="12" t="s">
        <v>82</v>
      </c>
      <c r="C445" s="5"/>
      <c r="D445" s="324"/>
      <c r="E445" s="324"/>
      <c r="F445" s="324"/>
      <c r="G445" s="324"/>
      <c r="H445" s="324"/>
      <c r="I445" s="324"/>
      <c r="J445" s="324"/>
      <c r="K445" s="324"/>
      <c r="L445" s="324"/>
      <c r="M445" s="324"/>
      <c r="N445" s="323"/>
      <c r="O445" s="323">
        <f t="shared" ref="O445:AD445" si="631">(O444/N444-1)</f>
        <v>0.58442737656532917</v>
      </c>
      <c r="P445" s="323">
        <f t="shared" si="631"/>
        <v>0.33859705444111365</v>
      </c>
      <c r="Q445" s="323">
        <f t="shared" si="631"/>
        <v>0.7992555629478677</v>
      </c>
      <c r="R445" s="323">
        <f t="shared" si="631"/>
        <v>0.39384486397939544</v>
      </c>
      <c r="S445" s="323">
        <f t="shared" si="631"/>
        <v>0.83112068932522432</v>
      </c>
      <c r="T445" s="323">
        <f t="shared" si="631"/>
        <v>0.38648886024891849</v>
      </c>
      <c r="U445" s="323">
        <f t="shared" ca="1" si="631"/>
        <v>0.21748701489784739</v>
      </c>
      <c r="V445" s="323">
        <f t="shared" ca="1" si="631"/>
        <v>0.19350974021883571</v>
      </c>
      <c r="W445" s="323">
        <f t="shared" ca="1" si="631"/>
        <v>0.18325144867034693</v>
      </c>
      <c r="X445" s="323">
        <f t="shared" ca="1" si="631"/>
        <v>0.16452721440124529</v>
      </c>
      <c r="Y445" s="323">
        <f t="shared" ca="1" si="631"/>
        <v>0.15302795101326905</v>
      </c>
      <c r="Z445" s="323">
        <f t="shared" ca="1" si="631"/>
        <v>0.13738332616240023</v>
      </c>
      <c r="AA445" s="323">
        <f t="shared" ca="1" si="631"/>
        <v>0.12692251130315646</v>
      </c>
      <c r="AB445" s="323">
        <f t="shared" ca="1" si="631"/>
        <v>0.11774147740138075</v>
      </c>
      <c r="AC445" s="323">
        <f t="shared" ca="1" si="631"/>
        <v>0.12967204548436939</v>
      </c>
      <c r="AD445" s="323">
        <f t="shared" ca="1" si="631"/>
        <v>0.11793378605766502</v>
      </c>
      <c r="AE445" s="323"/>
      <c r="AF445" s="573"/>
      <c r="AG445" s="573"/>
      <c r="AH445" s="573"/>
      <c r="AI445" s="573"/>
      <c r="AJ445" s="560">
        <f t="shared" ref="AJ445:CA445" si="632">(AJ444/AF444-1)</f>
        <v>0.36949000189721803</v>
      </c>
      <c r="AK445" s="560">
        <f t="shared" si="632"/>
        <v>0.21597089388695423</v>
      </c>
      <c r="AL445" s="560">
        <f t="shared" si="632"/>
        <v>0.16838128026622368</v>
      </c>
      <c r="AM445" s="560">
        <f t="shared" si="632"/>
        <v>9.9793066873799186E-2</v>
      </c>
      <c r="AN445" s="560">
        <f t="shared" si="632"/>
        <v>0.15285179696874329</v>
      </c>
      <c r="AO445" s="560">
        <f t="shared" si="632"/>
        <v>0.29808236745152583</v>
      </c>
      <c r="AP445" s="560">
        <f t="shared" si="632"/>
        <v>0.33669571902152273</v>
      </c>
      <c r="AQ445" s="560">
        <f t="shared" si="632"/>
        <v>0.28698084860781981</v>
      </c>
      <c r="AR445" s="560">
        <f t="shared" si="632"/>
        <v>0.33213050040276326</v>
      </c>
      <c r="AS445" s="560">
        <f t="shared" si="632"/>
        <v>0.28640511559966964</v>
      </c>
      <c r="AT445" s="560">
        <f t="shared" si="632"/>
        <v>0.37364253920587709</v>
      </c>
      <c r="AU445" s="560">
        <f t="shared" si="632"/>
        <v>0.33632609560423132</v>
      </c>
      <c r="AV445" s="560">
        <f t="shared" si="632"/>
        <v>0.34918381105133189</v>
      </c>
      <c r="AW445" s="560">
        <f t="shared" si="632"/>
        <v>0.25944882518178058</v>
      </c>
      <c r="AX445" s="560">
        <f t="shared" si="632"/>
        <v>0.32134230745447612</v>
      </c>
      <c r="AY445" s="560">
        <f t="shared" si="632"/>
        <v>0.41649968713258101</v>
      </c>
      <c r="AZ445" s="560">
        <f t="shared" si="632"/>
        <v>0.52833769371341188</v>
      </c>
      <c r="BA445" s="560">
        <f t="shared" si="632"/>
        <v>0.58364961747573285</v>
      </c>
      <c r="BB445" s="560">
        <f t="shared" si="632"/>
        <v>0.66336869207239157</v>
      </c>
      <c r="BC445" s="560">
        <f t="shared" si="632"/>
        <v>0.55053314654478092</v>
      </c>
      <c r="BD445" s="560">
        <f t="shared" si="632"/>
        <v>0.434512380173115</v>
      </c>
      <c r="BE445" s="560">
        <f t="shared" si="632"/>
        <v>0.37982201255550563</v>
      </c>
      <c r="BF445" s="560">
        <f t="shared" si="632"/>
        <v>0.2803147601732392</v>
      </c>
      <c r="BG445" s="560">
        <f t="shared" si="632"/>
        <v>0.29814840100197171</v>
      </c>
      <c r="BH445" s="560">
        <f t="shared" si="632"/>
        <v>0.60720715758099164</v>
      </c>
      <c r="BI445" s="560">
        <f t="shared" si="632"/>
        <v>0.65660443181090877</v>
      </c>
      <c r="BJ445" s="560">
        <f t="shared" si="632"/>
        <v>0.74578017617915049</v>
      </c>
      <c r="BK445" s="560">
        <f t="shared" si="632"/>
        <v>1.1193576868316075</v>
      </c>
      <c r="BL445" s="560">
        <f t="shared" si="632"/>
        <v>0.7360639181439208</v>
      </c>
      <c r="BM445" s="560">
        <f t="shared" si="632"/>
        <v>0.52020055846826851</v>
      </c>
      <c r="BN445" s="560">
        <f t="shared" si="632"/>
        <v>0.36599294535392546</v>
      </c>
      <c r="BO445" s="560">
        <f t="shared" si="632"/>
        <v>0.13413795067543965</v>
      </c>
      <c r="BP445" s="560">
        <f t="shared" si="632"/>
        <v>0.85948650442710361</v>
      </c>
      <c r="BQ445" s="560">
        <f t="shared" si="632"/>
        <v>0.89244800436717919</v>
      </c>
      <c r="BR445" s="560">
        <f t="shared" si="632"/>
        <v>0.85525973863943805</v>
      </c>
      <c r="BS445" s="560">
        <f t="shared" si="632"/>
        <v>0.72846826871115811</v>
      </c>
      <c r="BT445" s="560">
        <f t="shared" si="632"/>
        <v>0.30524027511314533</v>
      </c>
      <c r="BU445" s="323">
        <f t="shared" si="632"/>
        <v>0.37467962574539948</v>
      </c>
      <c r="BV445" s="323">
        <f t="shared" si="632"/>
        <v>0.45595725024887801</v>
      </c>
      <c r="BW445" s="323">
        <f t="shared" si="632"/>
        <v>0.40248983437555519</v>
      </c>
      <c r="BX445" s="323">
        <f t="shared" ca="1" si="632"/>
        <v>0.19404172258442753</v>
      </c>
      <c r="BY445" s="323">
        <f t="shared" ca="1" si="632"/>
        <v>0.25422632356296937</v>
      </c>
      <c r="BZ445" s="323">
        <f t="shared" ca="1" si="632"/>
        <v>0.24634112952617482</v>
      </c>
      <c r="CA445" s="323">
        <f t="shared" ca="1" si="632"/>
        <v>0.17247294166943838</v>
      </c>
      <c r="CB445" s="323">
        <f ca="1">(CB444/BX444-1)</f>
        <v>0.2326925087965741</v>
      </c>
      <c r="CC445" s="323">
        <f ca="1">(CC444/BY444-1)</f>
        <v>0.19237500653941453</v>
      </c>
      <c r="CD445" s="323">
        <f ca="1">(CD444/BZ444-1)</f>
        <v>0.12388450283069585</v>
      </c>
      <c r="CE445" s="323">
        <f ca="1">(CE444/CA444-1)</f>
        <v>0.24026347024526018</v>
      </c>
      <c r="CF445" s="62"/>
      <c r="CG445" s="5"/>
      <c r="CH445" s="5"/>
    </row>
    <row r="446" spans="1:96" outlineLevel="1">
      <c r="B446" s="12" t="s">
        <v>83</v>
      </c>
      <c r="C446" s="5"/>
      <c r="D446" s="5"/>
      <c r="E446" s="5"/>
      <c r="F446" s="5"/>
      <c r="G446" s="5"/>
      <c r="H446" s="324"/>
      <c r="I446" s="324"/>
      <c r="J446" s="324"/>
      <c r="K446" s="324"/>
      <c r="L446" s="324"/>
      <c r="M446" s="324"/>
      <c r="N446" s="324"/>
      <c r="O446" s="324"/>
      <c r="P446" s="324"/>
      <c r="Q446" s="324"/>
      <c r="R446" s="324"/>
      <c r="S446" s="324"/>
      <c r="T446" s="324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573"/>
      <c r="AG446" s="560">
        <f t="shared" ref="AG446:CA446" si="633">(AG444/AF444-1)</f>
        <v>0.19688108653673697</v>
      </c>
      <c r="AH446" s="560">
        <f t="shared" si="633"/>
        <v>0.10939978371152814</v>
      </c>
      <c r="AI446" s="560">
        <f t="shared" si="633"/>
        <v>0.12449299520455104</v>
      </c>
      <c r="AJ446" s="560">
        <f t="shared" si="633"/>
        <v>-8.2802144788516774E-2</v>
      </c>
      <c r="AK446" s="560">
        <f t="shared" si="633"/>
        <v>6.271134703887582E-2</v>
      </c>
      <c r="AL446" s="560">
        <f t="shared" si="633"/>
        <v>6.5981057718024205E-2</v>
      </c>
      <c r="AM446" s="560">
        <f t="shared" si="633"/>
        <v>5.8481183122280678E-2</v>
      </c>
      <c r="AN446" s="560">
        <f t="shared" si="633"/>
        <v>-3.8552590113962726E-2</v>
      </c>
      <c r="AO446" s="560">
        <f t="shared" si="633"/>
        <v>0.19658646923133105</v>
      </c>
      <c r="AP446" s="560">
        <f t="shared" si="633"/>
        <v>9.7690217614736508E-2</v>
      </c>
      <c r="AQ446" s="560">
        <f t="shared" si="633"/>
        <v>1.9113768305700551E-2</v>
      </c>
      <c r="AR446" s="560">
        <f t="shared" si="633"/>
        <v>-4.8232492131541349E-3</v>
      </c>
      <c r="AS446" s="560">
        <f t="shared" si="633"/>
        <v>0.15551363384528205</v>
      </c>
      <c r="AT446" s="560">
        <f t="shared" si="633"/>
        <v>0.17212996085052712</v>
      </c>
      <c r="AU446" s="560">
        <f t="shared" si="633"/>
        <v>-8.5715285406143815E-3</v>
      </c>
      <c r="AV446" s="560">
        <f t="shared" si="633"/>
        <v>4.7520329902526193E-3</v>
      </c>
      <c r="AW446" s="560">
        <f t="shared" si="633"/>
        <v>7.8659762077890161E-2</v>
      </c>
      <c r="AX446" s="560">
        <f t="shared" si="633"/>
        <v>0.22973230522742272</v>
      </c>
      <c r="AY446" s="560">
        <f t="shared" si="633"/>
        <v>6.2826878178148915E-2</v>
      </c>
      <c r="AZ446" s="560">
        <f t="shared" si="633"/>
        <v>8.4081005314374124E-2</v>
      </c>
      <c r="BA446" s="560">
        <f t="shared" si="633"/>
        <v>0.11769743468843252</v>
      </c>
      <c r="BB446" s="560">
        <f t="shared" si="633"/>
        <v>0.29163559512977266</v>
      </c>
      <c r="BC446" s="560">
        <f t="shared" si="633"/>
        <v>-9.2705775285740755E-3</v>
      </c>
      <c r="BD446" s="560">
        <f t="shared" si="633"/>
        <v>2.9631592845618115E-3</v>
      </c>
      <c r="BE446" s="560">
        <f t="shared" si="633"/>
        <v>7.5085544799414983E-2</v>
      </c>
      <c r="BF446" s="560">
        <f t="shared" si="633"/>
        <v>0.19848799494584912</v>
      </c>
      <c r="BG446" s="560">
        <f t="shared" si="633"/>
        <v>4.529398249587091E-3</v>
      </c>
      <c r="BH446" s="560">
        <f t="shared" si="633"/>
        <v>0.24174521737884391</v>
      </c>
      <c r="BI446" s="560">
        <f t="shared" si="633"/>
        <v>0.10812813997862447</v>
      </c>
      <c r="BJ446" s="560">
        <f t="shared" si="633"/>
        <v>0.26300313025118349</v>
      </c>
      <c r="BK446" s="560">
        <f t="shared" si="633"/>
        <v>0.21948749955911984</v>
      </c>
      <c r="BL446" s="560">
        <f t="shared" si="633"/>
        <v>1.7170947978105255E-2</v>
      </c>
      <c r="BM446" s="560">
        <f t="shared" si="633"/>
        <v>-2.9657261092701392E-2</v>
      </c>
      <c r="BN446" s="560">
        <f t="shared" si="633"/>
        <v>0.13488536513983473</v>
      </c>
      <c r="BO446" s="560">
        <f t="shared" si="633"/>
        <v>1.249941174911906E-2</v>
      </c>
      <c r="BP446" s="560">
        <f t="shared" si="633"/>
        <v>0.66771215911977144</v>
      </c>
      <c r="BQ446" s="560">
        <f t="shared" si="633"/>
        <v>-1.245683933422248E-2</v>
      </c>
      <c r="BR446" s="560">
        <f t="shared" si="633"/>
        <v>0.11258387076220844</v>
      </c>
      <c r="BS446" s="560">
        <f t="shared" si="633"/>
        <v>-5.6696445867742029E-2</v>
      </c>
      <c r="BT446" s="560">
        <f t="shared" si="633"/>
        <v>0.25936073966931694</v>
      </c>
      <c r="BU446" s="323">
        <f t="shared" si="633"/>
        <v>4.0080886558438111E-2</v>
      </c>
      <c r="BV446" s="323">
        <f t="shared" si="633"/>
        <v>0.1783651425457371</v>
      </c>
      <c r="BW446" s="323">
        <f t="shared" si="633"/>
        <v>-9.133757521062047E-2</v>
      </c>
      <c r="BX446" s="323">
        <f t="shared" ca="1" si="633"/>
        <v>7.2185501878857306E-2</v>
      </c>
      <c r="BY446" s="323">
        <f t="shared" ca="1" si="633"/>
        <v>9.2505229827985369E-2</v>
      </c>
      <c r="BZ446" s="323">
        <f t="shared" ca="1" si="633"/>
        <v>0.17095688008097487</v>
      </c>
      <c r="CA446" s="323">
        <f t="shared" ca="1" si="633"/>
        <v>-0.14519221027206386</v>
      </c>
      <c r="CB446" s="323">
        <f ca="1">(CB444/CA444-1)</f>
        <v>0.12725419004082172</v>
      </c>
      <c r="CC446" s="323">
        <f ca="1">(CC444/CB444-1)</f>
        <v>5.6772813385745691E-2</v>
      </c>
      <c r="CD446" s="323">
        <f ca="1">(CD444/CC444-1)</f>
        <v>0.10369664223793618</v>
      </c>
      <c r="CE446" s="323">
        <f ca="1">(CE444/CD444-1)</f>
        <v>-5.6676310590289103E-2</v>
      </c>
      <c r="CF446" s="62"/>
      <c r="CG446" s="5"/>
      <c r="CH446" s="5"/>
    </row>
    <row r="447" spans="1:96" outlineLevel="1">
      <c r="B447" s="12" t="s">
        <v>269</v>
      </c>
      <c r="C447" s="5"/>
      <c r="D447" s="5"/>
      <c r="E447" s="5"/>
      <c r="F447" s="5"/>
      <c r="G447" s="5"/>
      <c r="H447" s="324"/>
      <c r="I447" s="324">
        <f>-I442/Rev_Gross*100</f>
        <v>-5.7125828142511752</v>
      </c>
      <c r="J447" s="324">
        <f>-J442/Rev_Gross*100</f>
        <v>-3.6185800537309096</v>
      </c>
      <c r="K447" s="324">
        <f>-K442/Rev_Gross*100</f>
        <v>-2.9497564251069792</v>
      </c>
      <c r="L447" s="324">
        <f>-L442/Rev_Gross*100</f>
        <v>-2.0144668174586213</v>
      </c>
      <c r="M447" s="324">
        <f>-M442/Rev_Gross*100</f>
        <v>-1.3601836297122039</v>
      </c>
      <c r="N447" s="323">
        <f>-N442/Rev_Gross</f>
        <v>-1.2481547632874093E-4</v>
      </c>
      <c r="O447" s="323">
        <f>-O442/Rev_Gross</f>
        <v>-1.3450435870027621E-4</v>
      </c>
      <c r="P447" s="323">
        <f>-P442/Rev_Gross</f>
        <v>-1.0266024369160987E-4</v>
      </c>
      <c r="Q447" s="323">
        <f>-Q442/Rev_Gross</f>
        <v>-9.4513111539744679E-5</v>
      </c>
      <c r="R447" s="323">
        <f t="shared" ref="R447:AD447" si="634">-R444/Rev_Gross</f>
        <v>0.59411330457686506</v>
      </c>
      <c r="S447" s="323">
        <f t="shared" si="634"/>
        <v>0.63206967054517293</v>
      </c>
      <c r="T447" s="323">
        <f>-T444/Rev_Gross</f>
        <v>0.64282346480638619</v>
      </c>
      <c r="U447" s="323">
        <f t="shared" ca="1" si="634"/>
        <v>0.65810002973615245</v>
      </c>
      <c r="V447" s="323">
        <f t="shared" ca="1" si="634"/>
        <v>0.62495219479130759</v>
      </c>
      <c r="W447" s="323">
        <f t="shared" ca="1" si="634"/>
        <v>0.60509850798576248</v>
      </c>
      <c r="X447" s="323">
        <f t="shared" ca="1" si="634"/>
        <v>0.58524482118021726</v>
      </c>
      <c r="Y447" s="323">
        <f t="shared" ca="1" si="634"/>
        <v>0.56539113437467214</v>
      </c>
      <c r="Z447" s="323">
        <f t="shared" ca="1" si="634"/>
        <v>0.55546429097189953</v>
      </c>
      <c r="AA447" s="323">
        <f t="shared" ca="1" si="634"/>
        <v>0.54553744756912692</v>
      </c>
      <c r="AB447" s="323">
        <f t="shared" ca="1" si="634"/>
        <v>0.53561060416635431</v>
      </c>
      <c r="AC447" s="323">
        <f t="shared" ca="1" si="634"/>
        <v>0.53561060416635442</v>
      </c>
      <c r="AD447" s="323">
        <f t="shared" ca="1" si="634"/>
        <v>0.53561060416635442</v>
      </c>
      <c r="AE447" s="323"/>
      <c r="AF447" s="560">
        <f t="shared" ref="AF447:BK447" si="635">-AF442/Rev_Gross</f>
        <v>-1.9455764924343189E-3</v>
      </c>
      <c r="AG447" s="560">
        <f t="shared" si="635"/>
        <v>-1.5226857478070686E-3</v>
      </c>
      <c r="AH447" s="560">
        <f t="shared" si="635"/>
        <v>-1.3232184169104327E-3</v>
      </c>
      <c r="AI447" s="560">
        <f t="shared" si="635"/>
        <v>-1.1923850959571789E-3</v>
      </c>
      <c r="AJ447" s="560">
        <f t="shared" si="635"/>
        <v>-1.2990117531209479E-3</v>
      </c>
      <c r="AK447" s="560">
        <f t="shared" si="635"/>
        <v>-1.1151104154133997E-3</v>
      </c>
      <c r="AL447" s="560">
        <f t="shared" si="635"/>
        <v>-1.205087075808078E-3</v>
      </c>
      <c r="AM447" s="560">
        <f t="shared" si="635"/>
        <v>-1.115120780464277E-3</v>
      </c>
      <c r="AN447" s="560">
        <f t="shared" si="635"/>
        <v>-1.0214351002346776E-3</v>
      </c>
      <c r="AO447" s="560">
        <f t="shared" si="635"/>
        <v>-8.4596736883390752E-4</v>
      </c>
      <c r="AP447" s="560">
        <f t="shared" si="635"/>
        <v>-6.9728653390702989E-4</v>
      </c>
      <c r="AQ447" s="560">
        <f t="shared" si="635"/>
        <v>-7.2783765342859948E-4</v>
      </c>
      <c r="AR447" s="560">
        <f t="shared" si="635"/>
        <v>-7.1170170275892855E-4</v>
      </c>
      <c r="AS447" s="560">
        <f t="shared" si="635"/>
        <v>-5.5597338111011111E-4</v>
      </c>
      <c r="AT447" s="560">
        <f t="shared" si="635"/>
        <v>-4.6807339067617718E-4</v>
      </c>
      <c r="AU447" s="560">
        <f t="shared" si="635"/>
        <v>-4.9487970540703762E-4</v>
      </c>
      <c r="AV447" s="560">
        <f t="shared" si="635"/>
        <v>-5.4156882726815901E-4</v>
      </c>
      <c r="AW447" s="560">
        <f t="shared" si="635"/>
        <v>-5.0770917776813156E-4</v>
      </c>
      <c r="AX447" s="560">
        <f t="shared" si="635"/>
        <v>-4.3861456121642331E-4</v>
      </c>
      <c r="AY447" s="560">
        <f t="shared" si="635"/>
        <v>-5.1533483075175937E-4</v>
      </c>
      <c r="AZ447" s="560">
        <f t="shared" si="635"/>
        <v>-5.7915241532945354E-4</v>
      </c>
      <c r="BA447" s="560">
        <f t="shared" si="635"/>
        <v>-5.622918458068843E-4</v>
      </c>
      <c r="BB447" s="560">
        <f t="shared" si="635"/>
        <v>-4.7633726835835552E-4</v>
      </c>
      <c r="BC447" s="560">
        <f t="shared" si="635"/>
        <v>-5.4195754684599408E-4</v>
      </c>
      <c r="BD447" s="560">
        <f t="shared" si="635"/>
        <v>-4.8844736172304511E-4</v>
      </c>
      <c r="BE447" s="560">
        <f t="shared" si="635"/>
        <v>-4.5016761656961374E-4</v>
      </c>
      <c r="BF447" s="560">
        <f t="shared" si="635"/>
        <v>-3.4111147689841372E-4</v>
      </c>
      <c r="BG447" s="560">
        <f t="shared" si="635"/>
        <v>-3.9215793945707433E-4</v>
      </c>
      <c r="BH447" s="560">
        <f t="shared" si="635"/>
        <v>-4.0105310443452527E-4</v>
      </c>
      <c r="BI447" s="560">
        <f t="shared" si="635"/>
        <v>-3.6785691551687478E-4</v>
      </c>
      <c r="BJ447" s="560">
        <f t="shared" si="635"/>
        <v>-3.0183645547328711E-4</v>
      </c>
      <c r="BK447" s="560">
        <f t="shared" si="635"/>
        <v>-4.4768563190858939E-4</v>
      </c>
      <c r="BL447" s="560">
        <f t="shared" ref="BL447:CA447" si="636">-BL444/Rev_Gross</f>
        <v>0.66775462634476201</v>
      </c>
      <c r="BM447" s="560">
        <f t="shared" si="636"/>
        <v>0.59393980957296133</v>
      </c>
      <c r="BN447" s="560">
        <f t="shared" si="636"/>
        <v>0.53540115344972594</v>
      </c>
      <c r="BO447" s="560">
        <f t="shared" si="636"/>
        <v>0.59990373225237259</v>
      </c>
      <c r="BP447" s="560">
        <f t="shared" si="636"/>
        <v>0.68963497010117625</v>
      </c>
      <c r="BQ447" s="560">
        <f t="shared" si="636"/>
        <v>0.65956657847530953</v>
      </c>
      <c r="BR447" s="560">
        <f t="shared" si="636"/>
        <v>0.58811454350130132</v>
      </c>
      <c r="BS447" s="560">
        <f t="shared" si="636"/>
        <v>0.60715818029303326</v>
      </c>
      <c r="BT447" s="560">
        <f t="shared" si="636"/>
        <v>0.64563273147918065</v>
      </c>
      <c r="BU447" s="323">
        <f t="shared" si="636"/>
        <v>0.63739281175661622</v>
      </c>
      <c r="BV447" s="323">
        <f>-BV444/Rev_Gross</f>
        <v>0.6099271676375474</v>
      </c>
      <c r="BW447" s="323">
        <f>-BW444/Rev_Gross</f>
        <v>0.68634190795968342</v>
      </c>
      <c r="BX447" s="323">
        <f t="shared" ca="1" si="636"/>
        <v>0.70049800000000007</v>
      </c>
      <c r="BY447" s="323">
        <f t="shared" ca="1" si="636"/>
        <v>0.68467999999999996</v>
      </c>
      <c r="BZ447" s="323">
        <f t="shared" ca="1" si="636"/>
        <v>0.64502999999999999</v>
      </c>
      <c r="CA447" s="323">
        <f t="shared" ca="1" si="636"/>
        <v>0.61480054753845792</v>
      </c>
      <c r="CB447" s="323">
        <f ca="1">-CB444/Rev_Gross</f>
        <v>0.6351</v>
      </c>
      <c r="CC447" s="323">
        <f ca="1">-CC444/Rev_Gross</f>
        <v>0.62516999999999978</v>
      </c>
      <c r="CD447" s="323">
        <f ca="1">-CD444/Rev_Gross</f>
        <v>0.60531000000000001</v>
      </c>
      <c r="CE447" s="323">
        <f ca="1">-CE444/Rev_Gross</f>
        <v>0.63740871256052434</v>
      </c>
      <c r="CF447" s="62"/>
      <c r="CG447" s="5"/>
      <c r="CH447" s="5"/>
    </row>
    <row r="448" spans="1:96" outlineLevel="1"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492"/>
      <c r="AG448" s="492"/>
      <c r="AH448" s="492"/>
      <c r="AI448" s="492"/>
      <c r="AJ448" s="492"/>
      <c r="AK448" s="492"/>
      <c r="AL448" s="492"/>
      <c r="AM448" s="492"/>
      <c r="AN448" s="492"/>
      <c r="AO448" s="492"/>
      <c r="AP448" s="492"/>
      <c r="AQ448" s="492"/>
      <c r="AR448" s="492"/>
      <c r="AS448" s="492"/>
      <c r="AT448" s="492"/>
      <c r="AU448" s="492"/>
      <c r="AV448" s="492"/>
      <c r="AW448" s="492"/>
      <c r="AX448" s="492"/>
      <c r="AY448" s="492"/>
      <c r="AZ448" s="492"/>
      <c r="BA448" s="492"/>
      <c r="BB448" s="492"/>
      <c r="BC448" s="492"/>
      <c r="BD448" s="492"/>
      <c r="BE448" s="492"/>
      <c r="BF448" s="492"/>
      <c r="BG448" s="492"/>
      <c r="BH448" s="492"/>
      <c r="BI448" s="492"/>
      <c r="BJ448" s="492"/>
      <c r="BK448" s="492"/>
      <c r="BL448" s="492"/>
      <c r="BM448" s="492"/>
      <c r="BN448" s="492"/>
      <c r="BO448" s="492"/>
      <c r="BP448" s="492"/>
      <c r="BQ448" s="492"/>
      <c r="BR448" s="492"/>
      <c r="BS448" s="492"/>
      <c r="BT448" s="492"/>
      <c r="BU448" s="6"/>
      <c r="BV448" s="6"/>
      <c r="BW448" s="6"/>
      <c r="BX448" s="6"/>
      <c r="BY448" s="6"/>
      <c r="BZ448" s="6"/>
      <c r="CA448" s="6"/>
      <c r="CB448" s="6"/>
      <c r="CC448" s="6"/>
      <c r="CD448" s="6"/>
      <c r="CE448" s="6"/>
      <c r="CF448" s="5"/>
      <c r="CG448" s="5"/>
      <c r="CH448" s="5"/>
    </row>
    <row r="449" spans="1:96" outlineLevel="1">
      <c r="A449" s="3" t="s">
        <v>482</v>
      </c>
      <c r="B449" s="143" t="s">
        <v>22</v>
      </c>
      <c r="C449" s="222">
        <f t="shared" ref="C449:R449" si="637">Exp_RD</f>
        <v>-6.8173239999999993</v>
      </c>
      <c r="D449" s="222">
        <f t="shared" si="637"/>
        <v>-7.7590810000000001</v>
      </c>
      <c r="E449" s="222">
        <f t="shared" si="637"/>
        <v>-13.36492</v>
      </c>
      <c r="F449" s="222">
        <f t="shared" si="637"/>
        <v>-20.683820999999998</v>
      </c>
      <c r="G449" s="222">
        <f t="shared" si="637"/>
        <v>-37.959207999999997</v>
      </c>
      <c r="H449" s="222">
        <f t="shared" si="637"/>
        <v>-57.21</v>
      </c>
      <c r="I449" s="222">
        <f t="shared" si="637"/>
        <v>-105.93818400000001</v>
      </c>
      <c r="J449" s="222">
        <f t="shared" si="637"/>
        <v>-177.30199500000001</v>
      </c>
      <c r="K449" s="222">
        <f t="shared" si="637"/>
        <v>-235.80050399999999</v>
      </c>
      <c r="L449" s="222">
        <f t="shared" si="637"/>
        <v>-308.451348</v>
      </c>
      <c r="M449" s="222">
        <f t="shared" si="637"/>
        <v>-453.85300000000001</v>
      </c>
      <c r="N449" s="572">
        <f t="shared" si="637"/>
        <v>-601.485367</v>
      </c>
      <c r="O449" s="572">
        <f t="shared" si="637"/>
        <v>-911.90472199999999</v>
      </c>
      <c r="P449" s="572">
        <f t="shared" si="637"/>
        <v>-1245.719192</v>
      </c>
      <c r="Q449" s="572">
        <f t="shared" si="637"/>
        <v>-2321.3487529999998</v>
      </c>
      <c r="R449" s="572">
        <f t="shared" si="637"/>
        <v>-3296.6929359999999</v>
      </c>
      <c r="S449" s="572">
        <f>Exp_RD</f>
        <v>-7687.4215059999997</v>
      </c>
      <c r="T449" s="572">
        <f>Exp_RD</f>
        <v>-8259.2325079999991</v>
      </c>
      <c r="U449" s="224">
        <f t="shared" ref="U449:AD449" ca="1" si="638">U454*U$438</f>
        <v>-10013.59965155492</v>
      </c>
      <c r="V449" s="224">
        <f t="shared" ca="1" si="638"/>
        <v>-11895.632401596422</v>
      </c>
      <c r="W449" s="224">
        <f t="shared" ca="1" si="638"/>
        <v>-14115.979127445005</v>
      </c>
      <c r="X449" s="224">
        <f t="shared" ca="1" si="638"/>
        <v>-16488.748978592244</v>
      </c>
      <c r="Y449" s="224">
        <f t="shared" ca="1" si="638"/>
        <v>-19074.067696057329</v>
      </c>
      <c r="Z449" s="224">
        <f t="shared" ca="1" si="638"/>
        <v>-21731.723287086697</v>
      </c>
      <c r="AA449" s="224">
        <f t="shared" ca="1" si="638"/>
        <v>-24533.41152234493</v>
      </c>
      <c r="AB449" s="224">
        <f t="shared" ca="1" si="638"/>
        <v>-27472.36999851952</v>
      </c>
      <c r="AC449" s="224">
        <f t="shared" ca="1" si="638"/>
        <v>-31034.768410530967</v>
      </c>
      <c r="AD449" s="224">
        <f t="shared" ca="1" si="638"/>
        <v>-34694.816148607708</v>
      </c>
      <c r="AE449" s="224"/>
      <c r="AF449" s="572">
        <f t="shared" ref="AF449:BW449" si="639">Exp_RD</f>
        <v>-34.017541000000001</v>
      </c>
      <c r="AG449" s="572">
        <f t="shared" si="639"/>
        <v>-41.554054000000001</v>
      </c>
      <c r="AH449" s="572">
        <f t="shared" si="639"/>
        <v>-47.941336</v>
      </c>
      <c r="AI449" s="572">
        <f t="shared" si="639"/>
        <v>-53.789064000000003</v>
      </c>
      <c r="AJ449" s="572">
        <f t="shared" si="639"/>
        <v>-53.529592000000001</v>
      </c>
      <c r="AK449" s="572">
        <f t="shared" si="639"/>
        <v>-56.890321999999998</v>
      </c>
      <c r="AL449" s="572">
        <f t="shared" si="639"/>
        <v>-61.254022999999997</v>
      </c>
      <c r="AM449" s="572">
        <f t="shared" si="639"/>
        <v>-64.126566999999994</v>
      </c>
      <c r="AN449" s="572">
        <f t="shared" si="639"/>
        <v>-63.322718000000002</v>
      </c>
      <c r="AO449" s="572">
        <f t="shared" si="639"/>
        <v>-76.285781999999998</v>
      </c>
      <c r="AP449" s="572">
        <f t="shared" si="639"/>
        <v>-80.758571000000003</v>
      </c>
      <c r="AQ449" s="572">
        <f t="shared" si="639"/>
        <v>-88.084277</v>
      </c>
      <c r="AR449" s="572">
        <f t="shared" si="639"/>
        <v>-100.72181999999999</v>
      </c>
      <c r="AS449" s="572">
        <f t="shared" si="639"/>
        <v>-109.29397400000001</v>
      </c>
      <c r="AT449" s="572">
        <f t="shared" si="639"/>
        <v>-123.199772</v>
      </c>
      <c r="AU449" s="572">
        <f t="shared" si="639"/>
        <v>-120.637434</v>
      </c>
      <c r="AV449" s="572">
        <f t="shared" si="639"/>
        <v>-130.28671</v>
      </c>
      <c r="AW449" s="572">
        <f t="shared" si="639"/>
        <v>-136.82326900000001</v>
      </c>
      <c r="AX449" s="572">
        <f t="shared" si="639"/>
        <v>-161.57931099999999</v>
      </c>
      <c r="AY449" s="572">
        <f t="shared" si="639"/>
        <v>-172.796077</v>
      </c>
      <c r="AZ449" s="572">
        <f t="shared" si="639"/>
        <v>-196.21615</v>
      </c>
      <c r="BA449" s="572">
        <f t="shared" si="639"/>
        <v>-208.34401399999999</v>
      </c>
      <c r="BB449" s="572">
        <f t="shared" si="639"/>
        <v>-243.244924</v>
      </c>
      <c r="BC449" s="572">
        <f t="shared" si="639"/>
        <v>-264.09963399999998</v>
      </c>
      <c r="BD449" s="572">
        <f t="shared" si="639"/>
        <v>-267.53261700000002</v>
      </c>
      <c r="BE449" s="572">
        <f t="shared" si="639"/>
        <v>-309.85172399999999</v>
      </c>
      <c r="BF449" s="572">
        <f t="shared" si="639"/>
        <v>-335.46182900000002</v>
      </c>
      <c r="BG449" s="572">
        <f t="shared" si="639"/>
        <v>-332.87302199999999</v>
      </c>
      <c r="BH449" s="572">
        <f t="shared" si="639"/>
        <v>-440.653457</v>
      </c>
      <c r="BI449" s="572">
        <f t="shared" si="639"/>
        <v>-479.26219400000002</v>
      </c>
      <c r="BJ449" s="572">
        <f t="shared" si="639"/>
        <v>-612.24550299999999</v>
      </c>
      <c r="BK449" s="572">
        <f t="shared" si="639"/>
        <v>-789.18759899999998</v>
      </c>
      <c r="BL449" s="572">
        <f t="shared" si="639"/>
        <v>-808.44654200000002</v>
      </c>
      <c r="BM449" s="572">
        <f t="shared" si="639"/>
        <v>-796.50387999999998</v>
      </c>
      <c r="BN449" s="572">
        <f t="shared" si="639"/>
        <v>-831.30076799999995</v>
      </c>
      <c r="BO449" s="572">
        <f t="shared" si="639"/>
        <v>-860.44174599999997</v>
      </c>
      <c r="BP449" s="572">
        <f t="shared" si="639"/>
        <v>-2396.9215960000001</v>
      </c>
      <c r="BQ449" s="572">
        <f t="shared" si="639"/>
        <v>-1723.757548</v>
      </c>
      <c r="BR449" s="572">
        <f t="shared" si="639"/>
        <v>-1844.406031</v>
      </c>
      <c r="BS449" s="572">
        <f t="shared" si="639"/>
        <v>-1722.336331</v>
      </c>
      <c r="BT449" s="572">
        <f t="shared" si="639"/>
        <v>-1962.6852369999999</v>
      </c>
      <c r="BU449" s="572">
        <f t="shared" si="639"/>
        <v>-2036.7380209999999</v>
      </c>
      <c r="BV449" s="572">
        <f t="shared" si="639"/>
        <v>-2185.4393690000002</v>
      </c>
      <c r="BW449" s="572">
        <f t="shared" si="639"/>
        <v>-2074.3698810000001</v>
      </c>
      <c r="BX449" s="222">
        <f ca="1">BX454*BX$438</f>
        <v>-2265.3249341076876</v>
      </c>
      <c r="BY449" s="222">
        <f ca="1">BY454*BY$438</f>
        <v>-2448.2983154454228</v>
      </c>
      <c r="BZ449" s="222">
        <f ca="1">BZ454*BZ$438</f>
        <v>-2842.8747159027148</v>
      </c>
      <c r="CA449" s="223">
        <f ca="1">U449-SUM(BX449:BZ449)</f>
        <v>-2457.1016860990949</v>
      </c>
      <c r="CB449" s="222">
        <f ca="1">CB454*CB$438</f>
        <v>-2742.99832792187</v>
      </c>
      <c r="CC449" s="222">
        <f ca="1">CC454*CC$438</f>
        <v>-2902.7003748363659</v>
      </c>
      <c r="CD449" s="222">
        <f ca="1">CD454*CD$438</f>
        <v>-3212.9052850339881</v>
      </c>
      <c r="CE449" s="223">
        <f ca="1">V449-SUM(CB449:CD449)</f>
        <v>-3037.028413804197</v>
      </c>
      <c r="CF449" s="62"/>
      <c r="CG449" s="5"/>
      <c r="CH449" s="5"/>
      <c r="CI449" s="143"/>
      <c r="CP449" s="143"/>
      <c r="CQ449" s="143"/>
      <c r="CR449" s="143"/>
    </row>
    <row r="450" spans="1:96" outlineLevel="1">
      <c r="B450" s="12" t="s">
        <v>82</v>
      </c>
      <c r="C450" s="5"/>
      <c r="D450" s="126">
        <f t="shared" ref="D450:M450" si="640">(D449/C449-1)*1</f>
        <v>0.13814174007279112</v>
      </c>
      <c r="E450" s="126">
        <f t="shared" si="640"/>
        <v>0.72248749561964876</v>
      </c>
      <c r="F450" s="126">
        <f t="shared" si="640"/>
        <v>0.54762026259790542</v>
      </c>
      <c r="G450" s="126">
        <f t="shared" si="640"/>
        <v>0.83521255574586539</v>
      </c>
      <c r="H450" s="126">
        <f t="shared" si="640"/>
        <v>0.50714419542156963</v>
      </c>
      <c r="I450" s="126">
        <f t="shared" si="640"/>
        <v>0.85174242265338229</v>
      </c>
      <c r="J450" s="126">
        <f t="shared" si="640"/>
        <v>0.67363634437985076</v>
      </c>
      <c r="K450" s="126">
        <f t="shared" si="640"/>
        <v>0.32993711661281644</v>
      </c>
      <c r="L450" s="126">
        <f t="shared" si="640"/>
        <v>0.30810300558136205</v>
      </c>
      <c r="M450" s="126">
        <f t="shared" si="640"/>
        <v>0.47139249979870401</v>
      </c>
      <c r="N450" s="323">
        <f>(N449/M449-1)</f>
        <v>0.32528674923378276</v>
      </c>
      <c r="O450" s="323">
        <f t="shared" ref="O450:AD450" si="641">(O449/N449-1)</f>
        <v>0.51608795829608267</v>
      </c>
      <c r="P450" s="323">
        <f t="shared" si="641"/>
        <v>0.3660628812929867</v>
      </c>
      <c r="Q450" s="323">
        <f t="shared" si="641"/>
        <v>0.86346069636534883</v>
      </c>
      <c r="R450" s="323">
        <f t="shared" si="641"/>
        <v>0.42016271003635808</v>
      </c>
      <c r="S450" s="323">
        <f>(S449/R449-1)</f>
        <v>1.3318585185939198</v>
      </c>
      <c r="T450" s="323">
        <f>(T449/S449-1)</f>
        <v>7.4382678451247131E-2</v>
      </c>
      <c r="U450" s="323">
        <f t="shared" ca="1" si="641"/>
        <v>0.21241285335600102</v>
      </c>
      <c r="V450" s="323">
        <f t="shared" ca="1" si="641"/>
        <v>0.18794767271819768</v>
      </c>
      <c r="W450" s="323">
        <f t="shared" ca="1" si="641"/>
        <v>0.18665226453623496</v>
      </c>
      <c r="X450" s="323">
        <f t="shared" ca="1" si="641"/>
        <v>0.1680910569309344</v>
      </c>
      <c r="Y450" s="323">
        <f t="shared" ca="1" si="641"/>
        <v>0.15679289683053987</v>
      </c>
      <c r="Z450" s="323">
        <f t="shared" ca="1" si="641"/>
        <v>0.13933344650856583</v>
      </c>
      <c r="AA450" s="323">
        <f t="shared" ca="1" si="641"/>
        <v>0.12892158611843896</v>
      </c>
      <c r="AB450" s="323">
        <f t="shared" ca="1" si="641"/>
        <v>0.11979412131483635</v>
      </c>
      <c r="AC450" s="323">
        <f t="shared" ca="1" si="641"/>
        <v>0.12967204548436939</v>
      </c>
      <c r="AD450" s="323">
        <f t="shared" ca="1" si="641"/>
        <v>0.11793378605766502</v>
      </c>
      <c r="AE450" s="323"/>
      <c r="AF450" s="573"/>
      <c r="AG450" s="573"/>
      <c r="AH450" s="573"/>
      <c r="AI450" s="573"/>
      <c r="AJ450" s="560">
        <f>(AJ449/AF449-1)</f>
        <v>0.57358793217887194</v>
      </c>
      <c r="AK450" s="560">
        <f t="shared" ref="AK450:CA450" si="642">(AK449/AG449-1)</f>
        <v>0.36906791332561673</v>
      </c>
      <c r="AL450" s="560">
        <f t="shared" si="642"/>
        <v>0.27768702565986048</v>
      </c>
      <c r="AM450" s="560">
        <f t="shared" si="642"/>
        <v>0.19218596181558367</v>
      </c>
      <c r="AN450" s="560">
        <f t="shared" si="642"/>
        <v>0.18294789170072501</v>
      </c>
      <c r="AO450" s="560">
        <f t="shared" si="642"/>
        <v>0.34092723187610008</v>
      </c>
      <c r="AP450" s="560">
        <f t="shared" si="642"/>
        <v>0.31842068560949888</v>
      </c>
      <c r="AQ450" s="560">
        <f t="shared" si="642"/>
        <v>0.37360038312981891</v>
      </c>
      <c r="AR450" s="560">
        <f t="shared" si="642"/>
        <v>0.59061112948436589</v>
      </c>
      <c r="AS450" s="560">
        <f t="shared" si="642"/>
        <v>0.43269127135643726</v>
      </c>
      <c r="AT450" s="560">
        <f t="shared" si="642"/>
        <v>0.52553184726361724</v>
      </c>
      <c r="AU450" s="560">
        <f t="shared" si="642"/>
        <v>0.36956830558988418</v>
      </c>
      <c r="AV450" s="560">
        <f t="shared" si="642"/>
        <v>0.29353014073812411</v>
      </c>
      <c r="AW450" s="560">
        <f t="shared" si="642"/>
        <v>0.25188300866432045</v>
      </c>
      <c r="AX450" s="560">
        <f t="shared" si="642"/>
        <v>0.31152280866234072</v>
      </c>
      <c r="AY450" s="560">
        <f t="shared" si="642"/>
        <v>0.43235869058687038</v>
      </c>
      <c r="AZ450" s="560">
        <f t="shared" si="642"/>
        <v>0.50603350103782652</v>
      </c>
      <c r="BA450" s="560">
        <f t="shared" si="642"/>
        <v>0.5227235507726391</v>
      </c>
      <c r="BB450" s="560">
        <f t="shared" si="642"/>
        <v>0.50542122314161886</v>
      </c>
      <c r="BC450" s="560">
        <f t="shared" si="642"/>
        <v>0.52838906174935896</v>
      </c>
      <c r="BD450" s="560">
        <f t="shared" si="642"/>
        <v>0.36345870102945144</v>
      </c>
      <c r="BE450" s="560">
        <f t="shared" si="642"/>
        <v>0.48721203000341551</v>
      </c>
      <c r="BF450" s="560">
        <f t="shared" si="642"/>
        <v>0.37911132320278162</v>
      </c>
      <c r="BG450" s="560">
        <f t="shared" si="642"/>
        <v>0.26040697958710535</v>
      </c>
      <c r="BH450" s="560">
        <f t="shared" si="642"/>
        <v>0.6471018074031698</v>
      </c>
      <c r="BI450" s="560">
        <f t="shared" si="642"/>
        <v>0.54674690143082771</v>
      </c>
      <c r="BJ450" s="560">
        <f t="shared" si="642"/>
        <v>0.82508246862268186</v>
      </c>
      <c r="BK450" s="560">
        <f t="shared" si="642"/>
        <v>1.3708367660987557</v>
      </c>
      <c r="BL450" s="560">
        <f t="shared" si="642"/>
        <v>0.83465380597252414</v>
      </c>
      <c r="BM450" s="560">
        <f t="shared" si="642"/>
        <v>0.66193764075619943</v>
      </c>
      <c r="BN450" s="560">
        <f t="shared" si="642"/>
        <v>0.35778991258674875</v>
      </c>
      <c r="BO450" s="560">
        <f t="shared" si="642"/>
        <v>9.0287970934018746E-2</v>
      </c>
      <c r="BP450" s="560">
        <f t="shared" si="642"/>
        <v>1.9648485972496128</v>
      </c>
      <c r="BQ450" s="560">
        <f t="shared" si="642"/>
        <v>1.1641546152920186</v>
      </c>
      <c r="BR450" s="560">
        <f t="shared" si="642"/>
        <v>1.218698817562021</v>
      </c>
      <c r="BS450" s="560">
        <f t="shared" si="642"/>
        <v>1.0016884803727319</v>
      </c>
      <c r="BT450" s="560">
        <f t="shared" si="642"/>
        <v>-0.1811641898194154</v>
      </c>
      <c r="BU450" s="323">
        <f t="shared" si="642"/>
        <v>0.18156873242593607</v>
      </c>
      <c r="BV450" s="323">
        <f t="shared" si="642"/>
        <v>0.18490144375373729</v>
      </c>
      <c r="BW450" s="323">
        <f t="shared" si="642"/>
        <v>0.20439303500937411</v>
      </c>
      <c r="BX450" s="323">
        <f t="shared" ca="1" si="642"/>
        <v>0.15419675626147678</v>
      </c>
      <c r="BY450" s="323">
        <f t="shared" ca="1" si="642"/>
        <v>0.20206835155134706</v>
      </c>
      <c r="BZ450" s="323">
        <f t="shared" ca="1" si="642"/>
        <v>0.30082525108145175</v>
      </c>
      <c r="CA450" s="323">
        <f t="shared" ca="1" si="642"/>
        <v>0.18450509169299623</v>
      </c>
      <c r="CB450" s="323">
        <f ca="1">(CB449/BX449-1)</f>
        <v>0.21086308044472135</v>
      </c>
      <c r="CC450" s="323">
        <f ca="1">(CC449/BY449-1)</f>
        <v>0.18559913901189495</v>
      </c>
      <c r="CD450" s="323">
        <f ca="1">(CD449/BZ449-1)</f>
        <v>0.13016070214468645</v>
      </c>
      <c r="CE450" s="323">
        <f ca="1">(CE449/CA449-1)</f>
        <v>0.23602064618896423</v>
      </c>
      <c r="CF450" s="62"/>
      <c r="CG450" s="5"/>
      <c r="CH450" s="5"/>
    </row>
    <row r="451" spans="1:96" outlineLevel="1">
      <c r="B451" s="12" t="s">
        <v>83</v>
      </c>
      <c r="C451" s="5"/>
      <c r="D451" s="5"/>
      <c r="E451" s="5"/>
      <c r="F451" s="5"/>
      <c r="G451" s="5"/>
      <c r="H451" s="126"/>
      <c r="I451" s="126"/>
      <c r="J451" s="126"/>
      <c r="K451" s="126"/>
      <c r="L451" s="126"/>
      <c r="M451" s="126"/>
      <c r="N451" s="126"/>
      <c r="O451" s="126"/>
      <c r="P451" s="126"/>
      <c r="Q451" s="126"/>
      <c r="R451" s="126"/>
      <c r="S451" s="324"/>
      <c r="T451" s="324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573"/>
      <c r="AG451" s="560">
        <f>(AG449/AF449-1)</f>
        <v>0.2215478479176376</v>
      </c>
      <c r="AH451" s="560">
        <f t="shared" ref="AH451:CA451" si="643">(AH449/AG449-1)</f>
        <v>0.153710201175558</v>
      </c>
      <c r="AI451" s="560">
        <f t="shared" si="643"/>
        <v>0.12197674257555113</v>
      </c>
      <c r="AJ451" s="560">
        <f t="shared" si="643"/>
        <v>-4.8238801850131185E-3</v>
      </c>
      <c r="AK451" s="560">
        <f t="shared" si="643"/>
        <v>6.2782656740593135E-2</v>
      </c>
      <c r="AL451" s="560">
        <f t="shared" si="643"/>
        <v>7.6703749365313767E-2</v>
      </c>
      <c r="AM451" s="560">
        <f t="shared" si="643"/>
        <v>4.6895597371620745E-2</v>
      </c>
      <c r="AN451" s="560">
        <f t="shared" si="643"/>
        <v>-1.253535059813804E-2</v>
      </c>
      <c r="AO451" s="560">
        <f t="shared" si="643"/>
        <v>0.20471427016130295</v>
      </c>
      <c r="AP451" s="560">
        <f t="shared" si="643"/>
        <v>5.863201349892444E-2</v>
      </c>
      <c r="AQ451" s="560">
        <f t="shared" si="643"/>
        <v>9.0711189032802508E-2</v>
      </c>
      <c r="AR451" s="560">
        <f t="shared" si="643"/>
        <v>0.14347104194316085</v>
      </c>
      <c r="AS451" s="560">
        <f t="shared" si="643"/>
        <v>8.5107219071299589E-2</v>
      </c>
      <c r="AT451" s="560">
        <f t="shared" si="643"/>
        <v>0.12723297992623084</v>
      </c>
      <c r="AU451" s="560">
        <f t="shared" si="643"/>
        <v>-2.0798236542190929E-2</v>
      </c>
      <c r="AV451" s="560">
        <f t="shared" si="643"/>
        <v>7.9985753012618011E-2</v>
      </c>
      <c r="AW451" s="560">
        <f t="shared" si="643"/>
        <v>5.0170573806031404E-2</v>
      </c>
      <c r="AX451" s="560">
        <f t="shared" si="643"/>
        <v>0.18093444324883046</v>
      </c>
      <c r="AY451" s="560">
        <f t="shared" si="643"/>
        <v>6.9419568202020665E-2</v>
      </c>
      <c r="AZ451" s="560">
        <f t="shared" si="643"/>
        <v>0.13553590687131178</v>
      </c>
      <c r="BA451" s="560">
        <f t="shared" si="643"/>
        <v>6.1808694136542774E-2</v>
      </c>
      <c r="BB451" s="560">
        <f t="shared" si="643"/>
        <v>0.16751577993500688</v>
      </c>
      <c r="BC451" s="560">
        <f t="shared" si="643"/>
        <v>8.5735437587178609E-2</v>
      </c>
      <c r="BD451" s="560">
        <f t="shared" si="643"/>
        <v>1.2998817711349142E-2</v>
      </c>
      <c r="BE451" s="560">
        <f t="shared" si="643"/>
        <v>0.15818298147922638</v>
      </c>
      <c r="BF451" s="560">
        <f t="shared" si="643"/>
        <v>8.2652775557898961E-2</v>
      </c>
      <c r="BG451" s="560">
        <f t="shared" si="643"/>
        <v>-7.7171432818964325E-3</v>
      </c>
      <c r="BH451" s="560">
        <f t="shared" si="643"/>
        <v>0.32378843545933256</v>
      </c>
      <c r="BI451" s="560">
        <f t="shared" si="643"/>
        <v>8.7617006939764153E-2</v>
      </c>
      <c r="BJ451" s="560">
        <f t="shared" si="643"/>
        <v>0.27747506618475315</v>
      </c>
      <c r="BK451" s="560">
        <f t="shared" si="643"/>
        <v>0.28900513786215587</v>
      </c>
      <c r="BL451" s="560">
        <f t="shared" si="643"/>
        <v>2.4403504343458504E-2</v>
      </c>
      <c r="BM451" s="560">
        <f t="shared" si="643"/>
        <v>-1.4772358318776768E-2</v>
      </c>
      <c r="BN451" s="560">
        <f t="shared" si="643"/>
        <v>4.3687028869212829E-2</v>
      </c>
      <c r="BO451" s="560">
        <f t="shared" si="643"/>
        <v>3.505467469987944E-2</v>
      </c>
      <c r="BP451" s="560">
        <f t="shared" si="643"/>
        <v>1.7856872439566644</v>
      </c>
      <c r="BQ451" s="560">
        <f t="shared" si="643"/>
        <v>-0.28084525131042293</v>
      </c>
      <c r="BR451" s="560">
        <f t="shared" si="643"/>
        <v>6.9991561829552573E-2</v>
      </c>
      <c r="BS451" s="560">
        <f t="shared" si="643"/>
        <v>-6.6183745850048159E-2</v>
      </c>
      <c r="BT451" s="560">
        <f t="shared" si="643"/>
        <v>0.13954818328685659</v>
      </c>
      <c r="BU451" s="323">
        <f t="shared" si="643"/>
        <v>3.7730341373123588E-2</v>
      </c>
      <c r="BV451" s="323">
        <f t="shared" si="643"/>
        <v>7.3009560614472502E-2</v>
      </c>
      <c r="BW451" s="323">
        <f t="shared" si="643"/>
        <v>-5.0822498018246343E-2</v>
      </c>
      <c r="BX451" s="323">
        <f t="shared" ca="1" si="643"/>
        <v>9.2054485970280764E-2</v>
      </c>
      <c r="BY451" s="323">
        <f t="shared" ca="1" si="643"/>
        <v>8.0771362457902063E-2</v>
      </c>
      <c r="BZ451" s="323">
        <f t="shared" ca="1" si="643"/>
        <v>0.16116353059104482</v>
      </c>
      <c r="CA451" s="323">
        <f t="shared" ca="1" si="643"/>
        <v>-0.13569821689490913</v>
      </c>
      <c r="CB451" s="323">
        <f ca="1">(CB449/CA449-1)</f>
        <v>0.11635523407118975</v>
      </c>
      <c r="CC451" s="323">
        <f ca="1">(CC449/CB449-1)</f>
        <v>5.8221707716274107E-2</v>
      </c>
      <c r="CD451" s="323">
        <f ca="1">(CD449/CC449-1)</f>
        <v>0.10686769908696125</v>
      </c>
      <c r="CE451" s="323">
        <f ca="1">(CE449/CD449-1)</f>
        <v>-5.47407581695738E-2</v>
      </c>
      <c r="CF451" s="62"/>
      <c r="CG451" s="5"/>
      <c r="CH451" s="5"/>
    </row>
    <row r="452" spans="1:96" outlineLevel="1">
      <c r="B452" s="12" t="s">
        <v>768</v>
      </c>
      <c r="C452" s="5"/>
      <c r="D452" s="5"/>
      <c r="E452" s="5"/>
      <c r="F452" s="5"/>
      <c r="G452" s="5"/>
      <c r="H452" s="324"/>
      <c r="I452" s="324"/>
      <c r="J452" s="324"/>
      <c r="K452" s="324"/>
      <c r="L452" s="324"/>
      <c r="M452" s="324"/>
      <c r="N452" s="324"/>
      <c r="O452" s="324"/>
      <c r="P452" s="324"/>
      <c r="Q452" s="324"/>
      <c r="R452" s="324"/>
      <c r="S452" s="324"/>
      <c r="T452" s="324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573"/>
      <c r="AG452" s="574">
        <f>-(AG449-AF449)</f>
        <v>7.5365129999999994</v>
      </c>
      <c r="AH452" s="574">
        <f t="shared" ref="AH452:CA452" si="644">-(AH449-AG449)</f>
        <v>6.387281999999999</v>
      </c>
      <c r="AI452" s="574">
        <f t="shared" si="644"/>
        <v>5.8477280000000036</v>
      </c>
      <c r="AJ452" s="574">
        <f t="shared" si="644"/>
        <v>-0.25947200000000237</v>
      </c>
      <c r="AK452" s="574">
        <f t="shared" si="644"/>
        <v>3.3607299999999967</v>
      </c>
      <c r="AL452" s="574">
        <f t="shared" si="644"/>
        <v>4.3637009999999989</v>
      </c>
      <c r="AM452" s="574">
        <f t="shared" si="644"/>
        <v>2.8725439999999978</v>
      </c>
      <c r="AN452" s="574">
        <f t="shared" si="644"/>
        <v>-0.80384899999999249</v>
      </c>
      <c r="AO452" s="574">
        <f t="shared" si="644"/>
        <v>12.963063999999996</v>
      </c>
      <c r="AP452" s="574">
        <f t="shared" si="644"/>
        <v>4.4727890000000059</v>
      </c>
      <c r="AQ452" s="574">
        <f t="shared" si="644"/>
        <v>7.3257059999999967</v>
      </c>
      <c r="AR452" s="574">
        <f t="shared" si="644"/>
        <v>12.637542999999994</v>
      </c>
      <c r="AS452" s="574">
        <f t="shared" si="644"/>
        <v>8.5721540000000118</v>
      </c>
      <c r="AT452" s="574">
        <f t="shared" si="644"/>
        <v>13.90579799999999</v>
      </c>
      <c r="AU452" s="574">
        <f t="shared" si="644"/>
        <v>-2.5623379999999969</v>
      </c>
      <c r="AV452" s="574">
        <f t="shared" si="644"/>
        <v>9.6492760000000004</v>
      </c>
      <c r="AW452" s="574">
        <f t="shared" si="644"/>
        <v>6.5365590000000111</v>
      </c>
      <c r="AX452" s="574">
        <f t="shared" si="644"/>
        <v>24.756041999999979</v>
      </c>
      <c r="AY452" s="574">
        <f t="shared" si="644"/>
        <v>11.216766000000007</v>
      </c>
      <c r="AZ452" s="574">
        <f t="shared" si="644"/>
        <v>23.420073000000002</v>
      </c>
      <c r="BA452" s="574">
        <f t="shared" si="644"/>
        <v>12.127863999999988</v>
      </c>
      <c r="BB452" s="574">
        <f t="shared" si="644"/>
        <v>34.90091000000001</v>
      </c>
      <c r="BC452" s="574">
        <f t="shared" si="644"/>
        <v>20.854709999999983</v>
      </c>
      <c r="BD452" s="574">
        <f t="shared" si="644"/>
        <v>3.4329830000000356</v>
      </c>
      <c r="BE452" s="574">
        <f t="shared" si="644"/>
        <v>42.319106999999974</v>
      </c>
      <c r="BF452" s="574">
        <f t="shared" si="644"/>
        <v>25.610105000000033</v>
      </c>
      <c r="BG452" s="574">
        <f t="shared" si="644"/>
        <v>-2.5888070000000312</v>
      </c>
      <c r="BH452" s="574">
        <f t="shared" si="644"/>
        <v>107.78043500000001</v>
      </c>
      <c r="BI452" s="574">
        <f t="shared" si="644"/>
        <v>38.608737000000019</v>
      </c>
      <c r="BJ452" s="574">
        <f t="shared" si="644"/>
        <v>132.98330899999996</v>
      </c>
      <c r="BK452" s="574">
        <f t="shared" si="644"/>
        <v>176.94209599999999</v>
      </c>
      <c r="BL452" s="574">
        <f t="shared" si="644"/>
        <v>19.258943000000045</v>
      </c>
      <c r="BM452" s="574">
        <f t="shared" si="644"/>
        <v>-11.942662000000041</v>
      </c>
      <c r="BN452" s="574">
        <f t="shared" si="644"/>
        <v>34.796887999999967</v>
      </c>
      <c r="BO452" s="574">
        <f t="shared" si="644"/>
        <v>29.140978000000018</v>
      </c>
      <c r="BP452" s="574">
        <f t="shared" si="644"/>
        <v>1536.4798500000002</v>
      </c>
      <c r="BQ452" s="574">
        <f t="shared" si="644"/>
        <v>-673.16404800000009</v>
      </c>
      <c r="BR452" s="574">
        <f t="shared" si="644"/>
        <v>120.64848299999994</v>
      </c>
      <c r="BS452" s="574">
        <f t="shared" si="644"/>
        <v>-122.06970000000001</v>
      </c>
      <c r="BT452" s="574">
        <f t="shared" si="644"/>
        <v>240.34890599999994</v>
      </c>
      <c r="BU452" s="355">
        <f t="shared" si="644"/>
        <v>74.052783999999974</v>
      </c>
      <c r="BV452" s="355">
        <f t="shared" si="644"/>
        <v>148.70134800000028</v>
      </c>
      <c r="BW452" s="355">
        <f t="shared" si="644"/>
        <v>-111.06948800000009</v>
      </c>
      <c r="BX452" s="355">
        <f t="shared" ca="1" si="644"/>
        <v>190.95505310768749</v>
      </c>
      <c r="BY452" s="355">
        <f t="shared" ca="1" si="644"/>
        <v>182.97338133773519</v>
      </c>
      <c r="BZ452" s="355">
        <f t="shared" ca="1" si="644"/>
        <v>394.57640045729204</v>
      </c>
      <c r="CA452" s="355">
        <f t="shared" ca="1" si="644"/>
        <v>-385.77302980361992</v>
      </c>
      <c r="CB452" s="355">
        <f ca="1">-(CB449-CA449)</f>
        <v>285.89664182277511</v>
      </c>
      <c r="CC452" s="355">
        <f ca="1">-(CC449-CB449)</f>
        <v>159.7020469144959</v>
      </c>
      <c r="CD452" s="355">
        <f ca="1">-(CD449-CC449)</f>
        <v>310.20491019762221</v>
      </c>
      <c r="CE452" s="355">
        <f ca="1">-(CE449-CD449)</f>
        <v>-175.87687122979105</v>
      </c>
      <c r="CF452" s="62"/>
      <c r="CG452" s="5"/>
      <c r="CH452" s="5"/>
    </row>
    <row r="453" spans="1:96" outlineLevel="1">
      <c r="B453" s="12" t="s">
        <v>269</v>
      </c>
      <c r="C453" s="5"/>
      <c r="D453" s="5"/>
      <c r="E453" s="5"/>
      <c r="F453" s="5"/>
      <c r="G453" s="5"/>
      <c r="H453" s="126"/>
      <c r="I453" s="126">
        <f>-I449/Rev_Gross*100</f>
        <v>12.702014425704695</v>
      </c>
      <c r="J453" s="126">
        <f>-J449/Rev_Gross*100</f>
        <v>13.773401207559303</v>
      </c>
      <c r="K453" s="126">
        <f>-K449/Rev_Gross*100</f>
        <v>14.847417328444172</v>
      </c>
      <c r="L453" s="126">
        <f>-L449/Rev_Gross*100</f>
        <v>14.532031462230272</v>
      </c>
      <c r="M453" s="126">
        <f>-M449/Rev_Gross*100</f>
        <v>14.799330647900232</v>
      </c>
      <c r="N453" s="323">
        <f t="shared" ref="N453:AB453" si="645">-N449/Rev_Gross</f>
        <v>0.16141606696826538</v>
      </c>
      <c r="O453" s="323">
        <f t="shared" si="645"/>
        <v>0.20681899736747655</v>
      </c>
      <c r="P453" s="323">
        <f t="shared" si="645"/>
        <v>0.21789670705726505</v>
      </c>
      <c r="Q453" s="323">
        <f t="shared" si="645"/>
        <v>0.29865959439646733</v>
      </c>
      <c r="R453" s="323">
        <f t="shared" si="645"/>
        <v>0.28674509030554746</v>
      </c>
      <c r="S453" s="323">
        <f>-S449/Rev_Gross</f>
        <v>0.3884873584107662</v>
      </c>
      <c r="T453" s="323">
        <f>-T449/Rev_Gross</f>
        <v>0.30615846677982994</v>
      </c>
      <c r="U453" s="323">
        <f t="shared" ca="1" si="645"/>
        <v>0.31212794809219779</v>
      </c>
      <c r="V453" s="323">
        <f t="shared" ca="1" si="645"/>
        <v>0.29502504682687192</v>
      </c>
      <c r="W453" s="323">
        <f t="shared" ca="1" si="645"/>
        <v>0.28647359619420898</v>
      </c>
      <c r="X453" s="323">
        <f t="shared" ca="1" si="645"/>
        <v>0.27792214556154604</v>
      </c>
      <c r="Y453" s="323">
        <f t="shared" ca="1" si="645"/>
        <v>0.2693706949288831</v>
      </c>
      <c r="Z453" s="323">
        <f t="shared" ca="1" si="645"/>
        <v>0.26509496961255163</v>
      </c>
      <c r="AA453" s="323">
        <f t="shared" ca="1" si="645"/>
        <v>0.26081924429622017</v>
      </c>
      <c r="AB453" s="323">
        <f t="shared" ca="1" si="645"/>
        <v>0.25654351897988864</v>
      </c>
      <c r="AC453" s="323">
        <f ca="1">-AC449/Rev_Gross</f>
        <v>0.25654351897988864</v>
      </c>
      <c r="AD453" s="323">
        <f ca="1">-AD449/Rev_Gross</f>
        <v>0.25654351897988864</v>
      </c>
      <c r="AE453" s="323"/>
      <c r="AF453" s="560">
        <f t="shared" ref="AF453:BU453" si="646">-AF449/Rev_Gross</f>
        <v>0.1365171993986693</v>
      </c>
      <c r="AG453" s="560">
        <f t="shared" si="646"/>
        <v>0.13440176940990015</v>
      </c>
      <c r="AH453" s="560">
        <f t="shared" si="646"/>
        <v>0.1386265112460226</v>
      </c>
      <c r="AI453" s="560">
        <f t="shared" si="646"/>
        <v>0.14040913836162741</v>
      </c>
      <c r="AJ453" s="560">
        <f t="shared" si="646"/>
        <v>0.14599163970716719</v>
      </c>
      <c r="AK453" s="560">
        <f t="shared" si="646"/>
        <v>0.14155861976075731</v>
      </c>
      <c r="AL453" s="560">
        <f t="shared" si="646"/>
        <v>0.15427419812329665</v>
      </c>
      <c r="AM453" s="560">
        <f t="shared" si="646"/>
        <v>0.15169087537895062</v>
      </c>
      <c r="AN453" s="560">
        <f t="shared" si="646"/>
        <v>0.14774278304391905</v>
      </c>
      <c r="AO453" s="560">
        <f t="shared" si="646"/>
        <v>0.15026984768366283</v>
      </c>
      <c r="AP453" s="560">
        <f t="shared" si="646"/>
        <v>0.13842746683340648</v>
      </c>
      <c r="AQ453" s="560">
        <f t="shared" si="646"/>
        <v>0.14610039930677332</v>
      </c>
      <c r="AR453" s="560">
        <f t="shared" si="646"/>
        <v>0.16058833144335877</v>
      </c>
      <c r="AS453" s="560">
        <f t="shared" si="646"/>
        <v>0.14736684506939415</v>
      </c>
      <c r="AT453" s="560">
        <f t="shared" si="646"/>
        <v>0.14280309201860789</v>
      </c>
      <c r="AU453" s="560">
        <f t="shared" si="646"/>
        <v>0.14445218338305924</v>
      </c>
      <c r="AV453" s="560">
        <f t="shared" si="646"/>
        <v>0.16003630529202659</v>
      </c>
      <c r="AW453" s="560">
        <f t="shared" si="646"/>
        <v>0.15436049310024857</v>
      </c>
      <c r="AX453" s="560">
        <f t="shared" si="646"/>
        <v>0.15548229034823582</v>
      </c>
      <c r="AY453" s="560">
        <f t="shared" si="646"/>
        <v>0.17514379053913146</v>
      </c>
      <c r="AZ453" s="560">
        <f t="shared" si="646"/>
        <v>0.20362842947963014</v>
      </c>
      <c r="BA453" s="560">
        <f t="shared" si="646"/>
        <v>0.20208902306623275</v>
      </c>
      <c r="BB453" s="560">
        <f t="shared" si="646"/>
        <v>0.19500974144692956</v>
      </c>
      <c r="BC453" s="560">
        <f t="shared" si="646"/>
        <v>0.22624944023532137</v>
      </c>
      <c r="BD453" s="560">
        <f t="shared" si="646"/>
        <v>0.21778803270724367</v>
      </c>
      <c r="BE453" s="560">
        <f t="shared" si="646"/>
        <v>0.23470942203133596</v>
      </c>
      <c r="BF453" s="560">
        <f t="shared" si="646"/>
        <v>0.2044892697754507</v>
      </c>
      <c r="BG453" s="560">
        <f t="shared" si="646"/>
        <v>0.21785279338116981</v>
      </c>
      <c r="BH453" s="560">
        <f t="shared" si="646"/>
        <v>0.26336398343092127</v>
      </c>
      <c r="BI453" s="560">
        <f t="shared" si="646"/>
        <v>0.26340240057515307</v>
      </c>
      <c r="BJ453" s="560">
        <f t="shared" si="646"/>
        <v>0.27096843660830355</v>
      </c>
      <c r="BK453" s="560">
        <f t="shared" si="646"/>
        <v>0.39060825918080527</v>
      </c>
      <c r="BL453" s="560">
        <f t="shared" si="646"/>
        <v>0.3308826975567038</v>
      </c>
      <c r="BM453" s="560">
        <f t="shared" si="646"/>
        <v>0.29882093143081812</v>
      </c>
      <c r="BN453" s="560">
        <f t="shared" si="646"/>
        <v>0.24772290975445985</v>
      </c>
      <c r="BO453" s="560">
        <f t="shared" si="646"/>
        <v>0.28375070259435381</v>
      </c>
      <c r="BP453" s="560">
        <f t="shared" si="646"/>
        <v>0.54486124404519876</v>
      </c>
      <c r="BQ453" s="560">
        <f t="shared" si="646"/>
        <v>0.37948232253663222</v>
      </c>
      <c r="BR453" s="560">
        <f t="shared" si="646"/>
        <v>0.32541863666413473</v>
      </c>
      <c r="BS453" s="560">
        <f t="shared" si="646"/>
        <v>0.33257707626245941</v>
      </c>
      <c r="BT453" s="560">
        <f t="shared" si="646"/>
        <v>0.32000631068865382</v>
      </c>
      <c r="BU453" s="323">
        <f t="shared" si="646"/>
        <v>0.31520824151635068</v>
      </c>
      <c r="BV453" s="323">
        <f>-BV449/Rev_Gross</f>
        <v>0.27465789394474754</v>
      </c>
      <c r="BW453" s="323">
        <f>-BW449/Rev_Gross</f>
        <v>0.32284903401577397</v>
      </c>
      <c r="BX453" s="323">
        <f t="shared" ref="BX453:CE453" ca="1" si="647">-BX449/Rev_Gross</f>
        <v>0.33561413999999995</v>
      </c>
      <c r="BY453" s="323">
        <f t="shared" ca="1" si="647"/>
        <v>0.32451239999999998</v>
      </c>
      <c r="BZ453" s="323">
        <f t="shared" ca="1" si="647"/>
        <v>0.30316289999999996</v>
      </c>
      <c r="CA453" s="323">
        <f t="shared" ca="1" si="647"/>
        <v>0.29216441743604149</v>
      </c>
      <c r="CB453" s="323">
        <f t="shared" ca="1" si="647"/>
        <v>0.29889299999999996</v>
      </c>
      <c r="CC453" s="323">
        <f t="shared" ca="1" si="647"/>
        <v>0.29462309999999992</v>
      </c>
      <c r="CD453" s="323">
        <f t="shared" ca="1" si="647"/>
        <v>0.28608329999999998</v>
      </c>
      <c r="CE453" s="323">
        <f t="shared" ca="1" si="647"/>
        <v>0.30187200880266174</v>
      </c>
      <c r="CF453" s="62"/>
      <c r="CG453" s="5"/>
      <c r="CH453" s="5"/>
    </row>
    <row r="454" spans="1:96" outlineLevel="1">
      <c r="B454" s="12" t="s">
        <v>136</v>
      </c>
      <c r="C454" s="6">
        <f t="shared" ref="C454:M454" si="648">C449/Exp_ToT*100</f>
        <v>18.809741266743448</v>
      </c>
      <c r="D454" s="6">
        <f t="shared" si="648"/>
        <v>13.931097393100366</v>
      </c>
      <c r="E454" s="6">
        <f t="shared" si="648"/>
        <v>21.178693495137299</v>
      </c>
      <c r="F454" s="6">
        <f t="shared" si="648"/>
        <v>23.13180459530852</v>
      </c>
      <c r="G454" s="6">
        <f t="shared" si="648"/>
        <v>25.361101923050356</v>
      </c>
      <c r="H454" s="6">
        <f t="shared" si="648"/>
        <v>26.847143038818782</v>
      </c>
      <c r="I454" s="6">
        <f t="shared" si="648"/>
        <v>28.508375535099599</v>
      </c>
      <c r="J454" s="6">
        <f t="shared" si="648"/>
        <v>31.74267869530572</v>
      </c>
      <c r="K454" s="6">
        <f t="shared" si="648"/>
        <v>33.967850805935164</v>
      </c>
      <c r="L454" s="6">
        <f t="shared" si="648"/>
        <v>36.286773229679859</v>
      </c>
      <c r="M454" s="6">
        <f t="shared" si="648"/>
        <v>37.762963991848586</v>
      </c>
      <c r="N454" s="323">
        <f t="shared" ref="N454:S454" si="649">N449/Exp_ToT</f>
        <v>0.3696987742925617</v>
      </c>
      <c r="O454" s="323">
        <f t="shared" si="649"/>
        <v>0.3697319223174475</v>
      </c>
      <c r="P454" s="323">
        <f t="shared" si="649"/>
        <v>0.39402331029207371</v>
      </c>
      <c r="Q454" s="323">
        <f t="shared" si="649"/>
        <v>0.43010965870599133</v>
      </c>
      <c r="R454" s="323">
        <f t="shared" si="649"/>
        <v>0.44114215280313024</v>
      </c>
      <c r="S454" s="323">
        <f t="shared" si="649"/>
        <v>0.47845528560645095</v>
      </c>
      <c r="T454" s="323">
        <f>T449/Exp_ToT</f>
        <v>0.43072355862259948</v>
      </c>
      <c r="U454" s="42">
        <f t="shared" ref="U454:AD454" si="650">T454</f>
        <v>0.43072355862259948</v>
      </c>
      <c r="V454" s="42">
        <f t="shared" si="650"/>
        <v>0.43072355862259948</v>
      </c>
      <c r="W454" s="42">
        <f t="shared" si="650"/>
        <v>0.43072355862259948</v>
      </c>
      <c r="X454" s="42">
        <f t="shared" si="650"/>
        <v>0.43072355862259948</v>
      </c>
      <c r="Y454" s="42">
        <f t="shared" si="650"/>
        <v>0.43072355862259948</v>
      </c>
      <c r="Z454" s="42">
        <f t="shared" si="650"/>
        <v>0.43072355862259948</v>
      </c>
      <c r="AA454" s="42">
        <f t="shared" si="650"/>
        <v>0.43072355862259948</v>
      </c>
      <c r="AB454" s="42">
        <f t="shared" si="650"/>
        <v>0.43072355862259948</v>
      </c>
      <c r="AC454" s="42">
        <f t="shared" si="650"/>
        <v>0.43072355862259948</v>
      </c>
      <c r="AD454" s="42">
        <f t="shared" si="650"/>
        <v>0.43072355862259948</v>
      </c>
      <c r="AE454" s="42"/>
      <c r="AF454" s="560">
        <f t="shared" ref="AF454:BS454" si="651">AF449/Exp_ToT</f>
        <v>0.30216673294622048</v>
      </c>
      <c r="AG454" s="560">
        <f t="shared" si="651"/>
        <v>0.30646037152618838</v>
      </c>
      <c r="AH454" s="560">
        <f t="shared" si="651"/>
        <v>0.32468008491292161</v>
      </c>
      <c r="AI454" s="560">
        <f t="shared" si="651"/>
        <v>0.33058067127371021</v>
      </c>
      <c r="AJ454" s="560">
        <f t="shared" si="651"/>
        <v>0.33007436928815692</v>
      </c>
      <c r="AK454" s="560">
        <f t="shared" si="651"/>
        <v>0.33848279021095223</v>
      </c>
      <c r="AL454" s="560">
        <f t="shared" si="651"/>
        <v>0.34586943657836861</v>
      </c>
      <c r="AM454" s="560">
        <f t="shared" si="651"/>
        <v>0.3432221941995619</v>
      </c>
      <c r="AN454" s="560">
        <f t="shared" si="651"/>
        <v>0.36108465516700944</v>
      </c>
      <c r="AO454" s="560">
        <f t="shared" si="651"/>
        <v>0.3729491101403718</v>
      </c>
      <c r="AP454" s="560">
        <f t="shared" si="651"/>
        <v>0.36397592686604513</v>
      </c>
      <c r="AQ454" s="560">
        <f t="shared" si="651"/>
        <v>0.35483002167073113</v>
      </c>
      <c r="AR454" s="560">
        <f t="shared" si="651"/>
        <v>0.38457734934103299</v>
      </c>
      <c r="AS454" s="560">
        <f t="shared" si="651"/>
        <v>0.38128373051322528</v>
      </c>
      <c r="AT454" s="560">
        <f t="shared" si="651"/>
        <v>0.37562817334934456</v>
      </c>
      <c r="AU454" s="560">
        <f t="shared" si="651"/>
        <v>0.37083431568041547</v>
      </c>
      <c r="AV454" s="560">
        <f t="shared" si="651"/>
        <v>0.38652207027777624</v>
      </c>
      <c r="AW454" s="560">
        <f t="shared" si="651"/>
        <v>0.3649738056459555</v>
      </c>
      <c r="AX454" s="560">
        <f t="shared" si="651"/>
        <v>0.36368597764762672</v>
      </c>
      <c r="AY454" s="560">
        <f t="shared" si="651"/>
        <v>0.36708999236172052</v>
      </c>
      <c r="AZ454" s="560">
        <f t="shared" si="651"/>
        <v>0.38602774229365883</v>
      </c>
      <c r="BA454" s="560">
        <f t="shared" si="651"/>
        <v>0.36913836372932401</v>
      </c>
      <c r="BB454" s="560">
        <f t="shared" si="651"/>
        <v>0.34901395381022676</v>
      </c>
      <c r="BC454" s="560">
        <f t="shared" si="651"/>
        <v>0.37904852625570873</v>
      </c>
      <c r="BD454" s="560">
        <f t="shared" si="651"/>
        <v>0.3842094609929757</v>
      </c>
      <c r="BE454" s="560">
        <f t="shared" si="651"/>
        <v>0.41882949727568913</v>
      </c>
      <c r="BF454" s="560">
        <f t="shared" si="651"/>
        <v>0.3890258200407587</v>
      </c>
      <c r="BG454" s="560">
        <f t="shared" si="651"/>
        <v>0.38567116632512943</v>
      </c>
      <c r="BH454" s="560">
        <f t="shared" si="651"/>
        <v>0.41515109708165682</v>
      </c>
      <c r="BI454" s="560">
        <f t="shared" si="651"/>
        <v>0.41575918656645972</v>
      </c>
      <c r="BJ454" s="560">
        <f t="shared" si="651"/>
        <v>0.42155571613861276</v>
      </c>
      <c r="BK454" s="560">
        <f t="shared" si="651"/>
        <v>0.45602166133692795</v>
      </c>
      <c r="BL454" s="560">
        <f t="shared" si="651"/>
        <v>0.4515358054266973</v>
      </c>
      <c r="BM454" s="560">
        <f t="shared" si="651"/>
        <v>0.45875378279888612</v>
      </c>
      <c r="BN454" s="560">
        <f t="shared" si="651"/>
        <v>0.43054999720321441</v>
      </c>
      <c r="BO454" s="560">
        <f t="shared" si="651"/>
        <v>0.42688559704730311</v>
      </c>
      <c r="BP454" s="560">
        <f t="shared" si="651"/>
        <v>0.49223786024227167</v>
      </c>
      <c r="BQ454" s="560">
        <f t="shared" si="651"/>
        <v>0.48229820824290398</v>
      </c>
      <c r="BR454" s="560">
        <f t="shared" si="651"/>
        <v>0.4741226050884067</v>
      </c>
      <c r="BS454" s="560">
        <f t="shared" si="651"/>
        <v>0.46131511750864812</v>
      </c>
      <c r="BT454" s="560">
        <f>BT449/Exp_ToT</f>
        <v>0.43794480115907247</v>
      </c>
      <c r="BU454" s="560">
        <f>BU449/Exp_ToT</f>
        <v>0.43834633473841439</v>
      </c>
      <c r="BV454" s="560">
        <f>BV449/Exp_ToT</f>
        <v>0.41729202980680807</v>
      </c>
      <c r="BW454" s="560">
        <f>BW449/Exp_ToT</f>
        <v>0.43125626966433778</v>
      </c>
      <c r="BX454" s="319">
        <v>0.43</v>
      </c>
      <c r="BY454" s="319">
        <v>0.43</v>
      </c>
      <c r="BZ454" s="319">
        <v>0.43</v>
      </c>
      <c r="CA454" s="323">
        <f ca="1">CA449/Exp_ToT</f>
        <v>0.43296410843441208</v>
      </c>
      <c r="CB454" s="319">
        <v>0.43</v>
      </c>
      <c r="CC454" s="319">
        <v>0.43</v>
      </c>
      <c r="CD454" s="319">
        <v>0.43</v>
      </c>
      <c r="CE454" s="323">
        <f ca="1">CE449/Exp_ToT</f>
        <v>0.43284806077965948</v>
      </c>
      <c r="CF454" s="37"/>
      <c r="CG454" s="5"/>
      <c r="CH454" s="5"/>
    </row>
    <row r="455" spans="1:96" outlineLevel="1">
      <c r="B455" s="12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323"/>
      <c r="O455" s="323"/>
      <c r="P455" s="323"/>
      <c r="Q455" s="323"/>
      <c r="R455" s="323"/>
      <c r="S455" s="323"/>
      <c r="T455" s="323"/>
      <c r="U455" s="42"/>
      <c r="V455" s="42"/>
      <c r="W455" s="42"/>
      <c r="X455" s="42"/>
      <c r="Y455" s="42"/>
      <c r="Z455" s="42"/>
      <c r="AA455" s="42"/>
      <c r="AB455" s="42"/>
      <c r="AC455" s="42"/>
      <c r="AD455" s="42"/>
      <c r="AE455" s="42"/>
      <c r="AF455" s="560"/>
      <c r="AG455" s="560"/>
      <c r="AH455" s="560"/>
      <c r="AI455" s="560"/>
      <c r="AJ455" s="560"/>
      <c r="AK455" s="560"/>
      <c r="AL455" s="560"/>
      <c r="AM455" s="560"/>
      <c r="AN455" s="560"/>
      <c r="AO455" s="560"/>
      <c r="AP455" s="560"/>
      <c r="AQ455" s="560"/>
      <c r="AR455" s="560"/>
      <c r="AS455" s="560"/>
      <c r="AT455" s="560"/>
      <c r="AU455" s="560"/>
      <c r="AV455" s="560"/>
      <c r="AW455" s="560"/>
      <c r="AX455" s="560"/>
      <c r="AY455" s="560"/>
      <c r="AZ455" s="560"/>
      <c r="BA455" s="560"/>
      <c r="BB455" s="560"/>
      <c r="BC455" s="560"/>
      <c r="BD455" s="560"/>
      <c r="BE455" s="560"/>
      <c r="BF455" s="560"/>
      <c r="BG455" s="560"/>
      <c r="BH455" s="560"/>
      <c r="BI455" s="560"/>
      <c r="BJ455" s="560"/>
      <c r="BK455" s="560"/>
      <c r="BL455" s="560"/>
      <c r="BM455" s="560"/>
      <c r="BN455" s="560"/>
      <c r="BO455" s="560"/>
      <c r="BP455" s="560"/>
      <c r="BQ455" s="560"/>
      <c r="BR455" s="560"/>
      <c r="BS455" s="560"/>
      <c r="BT455" s="560"/>
      <c r="BU455" s="319"/>
      <c r="BV455" s="319"/>
      <c r="BW455" s="319"/>
      <c r="BX455" s="319"/>
      <c r="BY455" s="319"/>
      <c r="BZ455" s="319"/>
      <c r="CA455" s="323"/>
      <c r="CB455" s="319"/>
      <c r="CC455" s="319"/>
      <c r="CD455" s="319"/>
      <c r="CE455" s="323"/>
      <c r="CF455" s="37"/>
      <c r="CG455" s="5"/>
      <c r="CH455" s="5"/>
    </row>
    <row r="456" spans="1:96" outlineLevel="1">
      <c r="A456" s="3" t="s">
        <v>784</v>
      </c>
      <c r="B456" s="12" t="s">
        <v>602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>
        <f t="shared" ref="N456:AB456" si="652">N449+N428</f>
        <v>-502.53003200000001</v>
      </c>
      <c r="O456" s="6">
        <f t="shared" si="652"/>
        <v>-779.32154500000001</v>
      </c>
      <c r="P456" s="6">
        <f t="shared" si="652"/>
        <v>-1107.0509959999999</v>
      </c>
      <c r="Q456" s="6">
        <f t="shared" si="652"/>
        <v>-2136.6841769999996</v>
      </c>
      <c r="R456" s="6">
        <f t="shared" si="652"/>
        <v>-3005.0500050000001</v>
      </c>
      <c r="S456" s="6">
        <f>S449+S428</f>
        <v>-5607.9069999999992</v>
      </c>
      <c r="T456" s="6">
        <f>T449+T428</f>
        <v>-7246.4859929999993</v>
      </c>
      <c r="U456" s="6">
        <f t="shared" ca="1" si="652"/>
        <v>-8873.1548749676604</v>
      </c>
      <c r="V456" s="6">
        <f t="shared" ca="1" si="652"/>
        <v>-10603.561672126043</v>
      </c>
      <c r="W456" s="6">
        <f t="shared" ca="1" si="652"/>
        <v>-12536.972152256592</v>
      </c>
      <c r="X456" s="6">
        <f t="shared" ca="1" si="652"/>
        <v>-14587.573546610813</v>
      </c>
      <c r="Y456" s="6">
        <f t="shared" ca="1" si="652"/>
        <v>-16804.983484987242</v>
      </c>
      <c r="Z456" s="6">
        <f t="shared" ca="1" si="652"/>
        <v>-19104.782276105259</v>
      </c>
      <c r="AA456" s="6">
        <f t="shared" ca="1" si="652"/>
        <v>-21519.184545444637</v>
      </c>
      <c r="AB456" s="6">
        <f t="shared" ca="1" si="652"/>
        <v>-24040.801121993954</v>
      </c>
      <c r="AC456" s="6">
        <f ca="1">AC449+AC428</f>
        <v>-27158.220978565834</v>
      </c>
      <c r="AD456" s="6">
        <f ca="1">AD449+AD428</f>
        <v>-30361.092801158808</v>
      </c>
      <c r="AE456" s="6"/>
      <c r="AF456" s="492">
        <f t="shared" ref="AF456:AY456" si="653">AF449+AF428</f>
        <v>-29.173302</v>
      </c>
      <c r="AG456" s="492">
        <f t="shared" si="653"/>
        <v>-35.644663000000001</v>
      </c>
      <c r="AH456" s="492">
        <f t="shared" si="653"/>
        <v>-42.023184999999998</v>
      </c>
      <c r="AI456" s="492">
        <f t="shared" si="653"/>
        <v>-47.753140000000002</v>
      </c>
      <c r="AJ456" s="492">
        <f t="shared" si="653"/>
        <v>-45.427487999999997</v>
      </c>
      <c r="AK456" s="492">
        <f t="shared" si="653"/>
        <v>-49.046751999999998</v>
      </c>
      <c r="AL456" s="492">
        <f t="shared" si="653"/>
        <v>-53.122585999999998</v>
      </c>
      <c r="AM456" s="492">
        <f t="shared" si="653"/>
        <v>-55.537578999999994</v>
      </c>
      <c r="AN456" s="492">
        <f t="shared" si="653"/>
        <v>-56.079878000000001</v>
      </c>
      <c r="AO456" s="492">
        <f t="shared" si="653"/>
        <v>-69.006441999999993</v>
      </c>
      <c r="AP456" s="492">
        <f t="shared" si="653"/>
        <v>-73.737307999999999</v>
      </c>
      <c r="AQ456" s="492">
        <f t="shared" si="653"/>
        <v>-75.764792</v>
      </c>
      <c r="AR456" s="492">
        <f t="shared" si="653"/>
        <v>-84.72873899999999</v>
      </c>
      <c r="AS456" s="492">
        <f t="shared" si="653"/>
        <v>-94.312218999999999</v>
      </c>
      <c r="AT456" s="492">
        <f t="shared" si="653"/>
        <v>-106.616052</v>
      </c>
      <c r="AU456" s="492">
        <f t="shared" si="653"/>
        <v>-103.94191000000001</v>
      </c>
      <c r="AV456" s="492">
        <f t="shared" si="653"/>
        <v>-110.362503</v>
      </c>
      <c r="AW456" s="492">
        <f t="shared" si="653"/>
        <v>-112.667394</v>
      </c>
      <c r="AX456" s="492">
        <f t="shared" si="653"/>
        <v>-134.865578</v>
      </c>
      <c r="AY456" s="492">
        <f t="shared" si="653"/>
        <v>-144.634557</v>
      </c>
      <c r="AZ456" s="492">
        <f t="shared" ref="AZ456:CA456" si="654">AZ449+AZ428</f>
        <v>-166.44855999999999</v>
      </c>
      <c r="BA456" s="492">
        <f t="shared" si="654"/>
        <v>-175.08103299999999</v>
      </c>
      <c r="BB456" s="492">
        <f t="shared" si="654"/>
        <v>-209.57346200000001</v>
      </c>
      <c r="BC456" s="492">
        <f t="shared" si="654"/>
        <v>-228.21848999999997</v>
      </c>
      <c r="BD456" s="492">
        <f t="shared" si="654"/>
        <v>-232.67769900000002</v>
      </c>
      <c r="BE456" s="492">
        <f t="shared" si="654"/>
        <v>-274.848502</v>
      </c>
      <c r="BF456" s="492">
        <f t="shared" si="654"/>
        <v>-300.840101</v>
      </c>
      <c r="BG456" s="492">
        <f t="shared" si="654"/>
        <v>-298.68469399999998</v>
      </c>
      <c r="BH456" s="492">
        <f t="shared" si="654"/>
        <v>-396.27182299999998</v>
      </c>
      <c r="BI456" s="492">
        <f t="shared" si="654"/>
        <v>-437.70668599999999</v>
      </c>
      <c r="BJ456" s="492">
        <f t="shared" si="654"/>
        <v>-564.19598899999994</v>
      </c>
      <c r="BK456" s="492">
        <f t="shared" si="654"/>
        <v>-738.50967900000001</v>
      </c>
      <c r="BL456" s="492">
        <f t="shared" si="654"/>
        <v>-738.97548800000004</v>
      </c>
      <c r="BM456" s="492">
        <f t="shared" si="654"/>
        <v>-724.96122800000001</v>
      </c>
      <c r="BN456" s="492">
        <f t="shared" si="654"/>
        <v>-767.59684199999992</v>
      </c>
      <c r="BO456" s="492">
        <f t="shared" si="654"/>
        <v>-773.51644699999997</v>
      </c>
      <c r="BP456" s="492">
        <f t="shared" si="654"/>
        <v>-1325.2690620000001</v>
      </c>
      <c r="BQ456" s="492">
        <f t="shared" si="654"/>
        <v>-1378.581259</v>
      </c>
      <c r="BR456" s="492">
        <f t="shared" si="654"/>
        <v>-1519.978304</v>
      </c>
      <c r="BS456" s="492">
        <f t="shared" si="654"/>
        <v>-1384.0783750000001</v>
      </c>
      <c r="BT456" s="492">
        <f t="shared" si="654"/>
        <v>-1679.4433479999998</v>
      </c>
      <c r="BU456" s="6">
        <f t="shared" si="654"/>
        <v>-1731.4666179999999</v>
      </c>
      <c r="BV456" s="6">
        <f>BV449+BV428</f>
        <v>-1974.9335330000001</v>
      </c>
      <c r="BW456" s="6">
        <f>BW449+BW428</f>
        <v>-1860.6424940000002</v>
      </c>
      <c r="BX456" s="6">
        <f t="shared" ca="1" si="654"/>
        <v>-1976.9306605689244</v>
      </c>
      <c r="BY456" s="6">
        <f t="shared" ca="1" si="654"/>
        <v>-2166.2409351493079</v>
      </c>
      <c r="BZ456" s="6">
        <f t="shared" ca="1" si="654"/>
        <v>-2542.3782912518955</v>
      </c>
      <c r="CA456" s="6">
        <f t="shared" ca="1" si="654"/>
        <v>-2187.6049879975326</v>
      </c>
      <c r="CB456" s="6">
        <f ca="1">CB449+CB428</f>
        <v>-2448.9170075072398</v>
      </c>
      <c r="CC456" s="6">
        <f ca="1">CC449+CC428</f>
        <v>-2586.9869458977591</v>
      </c>
      <c r="CD456" s="6">
        <f ca="1">CD449+CD428</f>
        <v>-2853.0208556377347</v>
      </c>
      <c r="CE456" s="6">
        <f ca="1">CE449+CE428</f>
        <v>-2714.636863083309</v>
      </c>
      <c r="CF456" s="37"/>
      <c r="CG456" s="5"/>
      <c r="CH456" s="5"/>
    </row>
    <row r="457" spans="1:96" outlineLevel="1">
      <c r="B457" s="12" t="s">
        <v>82</v>
      </c>
      <c r="C457" s="5"/>
      <c r="D457" s="324"/>
      <c r="E457" s="324"/>
      <c r="F457" s="324"/>
      <c r="G457" s="324"/>
      <c r="H457" s="324"/>
      <c r="I457" s="324"/>
      <c r="J457" s="324"/>
      <c r="K457" s="324"/>
      <c r="L457" s="324"/>
      <c r="M457" s="324"/>
      <c r="N457" s="323"/>
      <c r="O457" s="323">
        <f t="shared" ref="O457:AD457" si="655">(O456/N456-1)</f>
        <v>0.55079596317539092</v>
      </c>
      <c r="P457" s="323">
        <f t="shared" si="655"/>
        <v>0.42053174726485953</v>
      </c>
      <c r="Q457" s="323">
        <f t="shared" si="655"/>
        <v>0.93006842929573574</v>
      </c>
      <c r="R457" s="323">
        <f t="shared" si="655"/>
        <v>0.40640813338133341</v>
      </c>
      <c r="S457" s="323">
        <f t="shared" si="655"/>
        <v>0.86616095927495196</v>
      </c>
      <c r="T457" s="323">
        <f t="shared" si="655"/>
        <v>0.29219082859255696</v>
      </c>
      <c r="U457" s="323">
        <f t="shared" ca="1" si="655"/>
        <v>0.22447692351009851</v>
      </c>
      <c r="V457" s="323">
        <f t="shared" ca="1" si="655"/>
        <v>0.19501595785734427</v>
      </c>
      <c r="W457" s="323">
        <f t="shared" ca="1" si="655"/>
        <v>0.18233594898711947</v>
      </c>
      <c r="X457" s="323">
        <f t="shared" ca="1" si="655"/>
        <v>0.16356432553653888</v>
      </c>
      <c r="Y457" s="323">
        <f t="shared" ca="1" si="655"/>
        <v>0.15200677009725228</v>
      </c>
      <c r="Z457" s="323">
        <f t="shared" ca="1" si="655"/>
        <v>0.13685218989786851</v>
      </c>
      <c r="AA457" s="323">
        <f t="shared" ca="1" si="655"/>
        <v>0.12637685342057625</v>
      </c>
      <c r="AB457" s="323">
        <f t="shared" ca="1" si="655"/>
        <v>0.11717993175922237</v>
      </c>
      <c r="AC457" s="323">
        <f t="shared" ca="1" si="655"/>
        <v>0.12967204548436939</v>
      </c>
      <c r="AD457" s="323">
        <f t="shared" ca="1" si="655"/>
        <v>0.11793378605766502</v>
      </c>
      <c r="AE457" s="323"/>
      <c r="AF457" s="573"/>
      <c r="AG457" s="573"/>
      <c r="AH457" s="573"/>
      <c r="AI457" s="573"/>
      <c r="AJ457" s="560">
        <f t="shared" ref="AJ457:CA457" si="656">(AJ456/AF456-1)</f>
        <v>0.55715962492007232</v>
      </c>
      <c r="AK457" s="560">
        <f t="shared" si="656"/>
        <v>0.37599146329423827</v>
      </c>
      <c r="AL457" s="560">
        <f t="shared" si="656"/>
        <v>0.26412564873414524</v>
      </c>
      <c r="AM457" s="560">
        <f t="shared" si="656"/>
        <v>0.16301418084758379</v>
      </c>
      <c r="AN457" s="560">
        <f t="shared" si="656"/>
        <v>0.23449216474395418</v>
      </c>
      <c r="AO457" s="560">
        <f t="shared" si="656"/>
        <v>0.40695232989128405</v>
      </c>
      <c r="AP457" s="560">
        <f t="shared" si="656"/>
        <v>0.38805945930418373</v>
      </c>
      <c r="AQ457" s="560">
        <f t="shared" si="656"/>
        <v>0.36420768359384215</v>
      </c>
      <c r="AR457" s="560">
        <f t="shared" si="656"/>
        <v>0.51085811919918922</v>
      </c>
      <c r="AS457" s="560">
        <f t="shared" si="656"/>
        <v>0.36671615383386968</v>
      </c>
      <c r="AT457" s="560">
        <f t="shared" si="656"/>
        <v>0.44589021340459012</v>
      </c>
      <c r="AU457" s="560">
        <f t="shared" si="656"/>
        <v>0.3719025322474323</v>
      </c>
      <c r="AV457" s="560">
        <f t="shared" si="656"/>
        <v>0.30253918921182121</v>
      </c>
      <c r="AW457" s="560">
        <f t="shared" si="656"/>
        <v>0.19462138834841758</v>
      </c>
      <c r="AX457" s="560">
        <f t="shared" si="656"/>
        <v>0.26496503547139416</v>
      </c>
      <c r="AY457" s="560">
        <f t="shared" si="656"/>
        <v>0.39149412397751782</v>
      </c>
      <c r="AZ457" s="560">
        <f t="shared" si="656"/>
        <v>0.50819848658198685</v>
      </c>
      <c r="BA457" s="560">
        <f t="shared" si="656"/>
        <v>0.55396363387973624</v>
      </c>
      <c r="BB457" s="560">
        <f t="shared" si="656"/>
        <v>0.55394330494027177</v>
      </c>
      <c r="BC457" s="560">
        <f t="shared" si="656"/>
        <v>0.57789739004074914</v>
      </c>
      <c r="BD457" s="560">
        <f t="shared" si="656"/>
        <v>0.39789553601424998</v>
      </c>
      <c r="BE457" s="560">
        <f t="shared" si="656"/>
        <v>0.56983596275674264</v>
      </c>
      <c r="BF457" s="560">
        <f t="shared" si="656"/>
        <v>0.43548757618939371</v>
      </c>
      <c r="BG457" s="560">
        <f t="shared" si="656"/>
        <v>0.3087664106444663</v>
      </c>
      <c r="BH457" s="560">
        <f t="shared" si="656"/>
        <v>0.70309326894280466</v>
      </c>
      <c r="BI457" s="560">
        <f t="shared" si="656"/>
        <v>0.59253800844801408</v>
      </c>
      <c r="BJ457" s="560">
        <f t="shared" si="656"/>
        <v>0.87540154096677392</v>
      </c>
      <c r="BK457" s="560">
        <f t="shared" si="656"/>
        <v>1.472539416432233</v>
      </c>
      <c r="BL457" s="560">
        <f t="shared" si="656"/>
        <v>0.86481966445542624</v>
      </c>
      <c r="BM457" s="560">
        <f t="shared" si="656"/>
        <v>0.65627177100054634</v>
      </c>
      <c r="BN457" s="560">
        <f t="shared" si="656"/>
        <v>0.36051453212298545</v>
      </c>
      <c r="BO457" s="560">
        <f t="shared" si="656"/>
        <v>4.7401908188125397E-2</v>
      </c>
      <c r="BP457" s="560">
        <f t="shared" si="656"/>
        <v>0.79338703856980985</v>
      </c>
      <c r="BQ457" s="560">
        <f t="shared" si="656"/>
        <v>0.9015930862995063</v>
      </c>
      <c r="BR457" s="560">
        <f t="shared" si="656"/>
        <v>0.98017790177411923</v>
      </c>
      <c r="BS457" s="560">
        <f t="shared" si="656"/>
        <v>0.78933283237609042</v>
      </c>
      <c r="BT457" s="560">
        <f t="shared" si="656"/>
        <v>0.26724707921990243</v>
      </c>
      <c r="BU457" s="323">
        <f t="shared" si="656"/>
        <v>0.25597719154834375</v>
      </c>
      <c r="BV457" s="323">
        <f t="shared" si="656"/>
        <v>0.29931692301313273</v>
      </c>
      <c r="BW457" s="323">
        <f t="shared" si="656"/>
        <v>0.34431873773044108</v>
      </c>
      <c r="BX457" s="323">
        <f t="shared" ca="1" si="656"/>
        <v>0.17713447311169706</v>
      </c>
      <c r="BY457" s="323">
        <f t="shared" ca="1" si="656"/>
        <v>0.25110176114830995</v>
      </c>
      <c r="BZ457" s="323">
        <f t="shared" ca="1" si="656"/>
        <v>0.28732347128154978</v>
      </c>
      <c r="CA457" s="323">
        <f t="shared" ca="1" si="656"/>
        <v>0.17572558675397665</v>
      </c>
      <c r="CB457" s="323">
        <f ca="1">(CB456/BX456-1)</f>
        <v>0.23874704174120409</v>
      </c>
      <c r="CC457" s="323">
        <f ca="1">(CC456/BY456-1)</f>
        <v>0.1942286307683736</v>
      </c>
      <c r="CD457" s="323">
        <f ca="1">(CD456/BZ456-1)</f>
        <v>0.12218581532682737</v>
      </c>
      <c r="CE457" s="323">
        <f ca="1">(CE456/CA456-1)</f>
        <v>0.24091729447380961</v>
      </c>
      <c r="CF457" s="62"/>
      <c r="CG457" s="5"/>
      <c r="CH457" s="5"/>
    </row>
    <row r="458" spans="1:96" outlineLevel="1">
      <c r="B458" s="12" t="s">
        <v>83</v>
      </c>
      <c r="C458" s="5"/>
      <c r="D458" s="5"/>
      <c r="E458" s="5"/>
      <c r="F458" s="5"/>
      <c r="G458" s="5"/>
      <c r="H458" s="324"/>
      <c r="I458" s="324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573"/>
      <c r="AG458" s="560">
        <f t="shared" ref="AG458:CA458" si="657">(AG456/AF456-1)</f>
        <v>0.22182476978437338</v>
      </c>
      <c r="AH458" s="560">
        <f t="shared" si="657"/>
        <v>0.17894746262575123</v>
      </c>
      <c r="AI458" s="560">
        <f t="shared" si="657"/>
        <v>0.13635223032238053</v>
      </c>
      <c r="AJ458" s="560">
        <f t="shared" si="657"/>
        <v>-4.8701551353481753E-2</v>
      </c>
      <c r="AK458" s="560">
        <f t="shared" si="657"/>
        <v>7.9671233417088816E-2</v>
      </c>
      <c r="AL458" s="560">
        <f t="shared" si="657"/>
        <v>8.3100997187336656E-2</v>
      </c>
      <c r="AM458" s="560">
        <f t="shared" si="657"/>
        <v>4.5460757501526672E-2</v>
      </c>
      <c r="AN458" s="560">
        <f t="shared" si="657"/>
        <v>9.7645415908389488E-3</v>
      </c>
      <c r="AO458" s="560">
        <f t="shared" si="657"/>
        <v>0.23050271257722765</v>
      </c>
      <c r="AP458" s="560">
        <f t="shared" si="657"/>
        <v>6.8556874733521456E-2</v>
      </c>
      <c r="AQ458" s="560">
        <f t="shared" si="657"/>
        <v>2.7496040403319322E-2</v>
      </c>
      <c r="AR458" s="560">
        <f t="shared" si="657"/>
        <v>0.11831283058231046</v>
      </c>
      <c r="AS458" s="560">
        <f t="shared" si="657"/>
        <v>0.11310778506924324</v>
      </c>
      <c r="AT458" s="560">
        <f t="shared" si="657"/>
        <v>0.13045852520976098</v>
      </c>
      <c r="AU458" s="560">
        <f t="shared" si="657"/>
        <v>-2.5081982964441307E-2</v>
      </c>
      <c r="AV458" s="560">
        <f t="shared" si="657"/>
        <v>6.1770973806426932E-2</v>
      </c>
      <c r="AW458" s="560">
        <f t="shared" si="657"/>
        <v>2.0884729299769589E-2</v>
      </c>
      <c r="AX458" s="560">
        <f t="shared" si="657"/>
        <v>0.1970240298626238</v>
      </c>
      <c r="AY458" s="560">
        <f t="shared" si="657"/>
        <v>7.2434932210797331E-2</v>
      </c>
      <c r="AZ458" s="560">
        <f t="shared" si="657"/>
        <v>0.15082151494403928</v>
      </c>
      <c r="BA458" s="560">
        <f t="shared" si="657"/>
        <v>5.1862707613691716E-2</v>
      </c>
      <c r="BB458" s="560">
        <f t="shared" si="657"/>
        <v>0.19700837040412034</v>
      </c>
      <c r="BC458" s="560">
        <f t="shared" si="657"/>
        <v>8.8966550545412026E-2</v>
      </c>
      <c r="BD458" s="560">
        <f t="shared" si="657"/>
        <v>1.9539209991267681E-2</v>
      </c>
      <c r="BE458" s="560">
        <f t="shared" si="657"/>
        <v>0.18124127572707338</v>
      </c>
      <c r="BF458" s="560">
        <f t="shared" si="657"/>
        <v>9.4567002588211269E-2</v>
      </c>
      <c r="BG458" s="560">
        <f t="shared" si="657"/>
        <v>-7.1646266333357245E-3</v>
      </c>
      <c r="BH458" s="560">
        <f t="shared" si="657"/>
        <v>0.32672289862968351</v>
      </c>
      <c r="BI458" s="560">
        <f t="shared" si="657"/>
        <v>0.10456171898954314</v>
      </c>
      <c r="BJ458" s="560">
        <f t="shared" si="657"/>
        <v>0.28898188454905149</v>
      </c>
      <c r="BK458" s="560">
        <f t="shared" si="657"/>
        <v>0.30895946337541247</v>
      </c>
      <c r="BL458" s="560">
        <f t="shared" si="657"/>
        <v>6.307419025717298E-4</v>
      </c>
      <c r="BM458" s="560">
        <f t="shared" si="657"/>
        <v>-1.8964445001997232E-2</v>
      </c>
      <c r="BN458" s="560">
        <f t="shared" si="657"/>
        <v>5.8810888573478159E-2</v>
      </c>
      <c r="BO458" s="560">
        <f t="shared" si="657"/>
        <v>7.7118673190164078E-3</v>
      </c>
      <c r="BP458" s="560">
        <f t="shared" si="657"/>
        <v>0.71330430935232614</v>
      </c>
      <c r="BQ458" s="560">
        <f t="shared" si="657"/>
        <v>4.0227451563341399E-2</v>
      </c>
      <c r="BR458" s="560">
        <f t="shared" si="657"/>
        <v>0.10256707326963599</v>
      </c>
      <c r="BS458" s="560">
        <f t="shared" si="657"/>
        <v>-8.9409124223920444E-2</v>
      </c>
      <c r="BT458" s="560">
        <f t="shared" si="657"/>
        <v>0.213401913023892</v>
      </c>
      <c r="BU458" s="323">
        <f t="shared" si="657"/>
        <v>3.0976495909762702E-2</v>
      </c>
      <c r="BV458" s="323">
        <f t="shared" si="657"/>
        <v>0.14061311518741637</v>
      </c>
      <c r="BW458" s="323">
        <f t="shared" si="657"/>
        <v>-5.7870828101433625E-2</v>
      </c>
      <c r="BX458" s="323">
        <f t="shared" ca="1" si="657"/>
        <v>6.2498930849917533E-2</v>
      </c>
      <c r="BY458" s="323">
        <f t="shared" ca="1" si="657"/>
        <v>9.5759693729421613E-2</v>
      </c>
      <c r="BZ458" s="323">
        <f t="shared" ca="1" si="657"/>
        <v>0.17363597465055869</v>
      </c>
      <c r="CA458" s="323">
        <f t="shared" ca="1" si="657"/>
        <v>-0.13954386901237603</v>
      </c>
      <c r="CB458" s="323">
        <f ca="1">(CB456/CA456-1)</f>
        <v>0.11945119020271777</v>
      </c>
      <c r="CC458" s="323">
        <f ca="1">(CC456/CB456-1)</f>
        <v>5.6379998982105661E-2</v>
      </c>
      <c r="CD458" s="323">
        <f ca="1">(CD456/CC456-1)</f>
        <v>0.10283542797223277</v>
      </c>
      <c r="CE458" s="323">
        <f ca="1">(CE456/CD456-1)</f>
        <v>-4.8504374680952922E-2</v>
      </c>
      <c r="CF458" s="62"/>
      <c r="CG458" s="5"/>
      <c r="CH458" s="5"/>
    </row>
    <row r="459" spans="1:96" outlineLevel="1">
      <c r="B459" s="12" t="s">
        <v>269</v>
      </c>
      <c r="C459" s="5"/>
      <c r="D459" s="5"/>
      <c r="E459" s="5"/>
      <c r="F459" s="5"/>
      <c r="G459" s="5"/>
      <c r="H459" s="324"/>
      <c r="I459" s="324">
        <f>-I454/Rev_Gross*100</f>
        <v>-3.4181612675203294</v>
      </c>
      <c r="J459" s="324">
        <f>-J454/Rev_Gross*100</f>
        <v>-2.4658755197486117</v>
      </c>
      <c r="K459" s="324">
        <f>-K454/Rev_Gross*100</f>
        <v>-2.1388200962710751</v>
      </c>
      <c r="L459" s="324">
        <f>-L454/Rev_Gross*100</f>
        <v>-1.7095744066468559</v>
      </c>
      <c r="M459" s="324">
        <f>-M454/Rev_Gross*100</f>
        <v>-1.2313823867201883</v>
      </c>
      <c r="N459" s="323">
        <f>-N454/Rev_Gross</f>
        <v>-9.9213256686415396E-5</v>
      </c>
      <c r="O459" s="323">
        <f>-O454/Rev_Gross</f>
        <v>-8.3854797133558679E-5</v>
      </c>
      <c r="P459" s="323">
        <f>-P454/Rev_Gross</f>
        <v>-6.8921135973351718E-5</v>
      </c>
      <c r="Q459" s="323">
        <f>-Q454/Rev_Gross</f>
        <v>-5.5336957038068281E-5</v>
      </c>
      <c r="R459" s="323">
        <f t="shared" ref="R459:AD459" si="658">-R456/Rev_Gross</f>
        <v>0.26137809974559634</v>
      </c>
      <c r="S459" s="323">
        <f t="shared" si="658"/>
        <v>0.28339814265977942</v>
      </c>
      <c r="T459" s="323">
        <f>-T456/Rev_Gross</f>
        <v>0.26861733690260625</v>
      </c>
      <c r="U459" s="323">
        <f t="shared" ca="1" si="658"/>
        <v>0.2765798235001215</v>
      </c>
      <c r="V459" s="323">
        <f t="shared" ca="1" si="658"/>
        <v>0.26298024125483088</v>
      </c>
      <c r="W459" s="323">
        <f t="shared" ca="1" si="658"/>
        <v>0.25442879062216794</v>
      </c>
      <c r="X459" s="323">
        <f t="shared" ca="1" si="658"/>
        <v>0.24587733998950501</v>
      </c>
      <c r="Y459" s="323">
        <f t="shared" ca="1" si="658"/>
        <v>0.23732588935684207</v>
      </c>
      <c r="Z459" s="323">
        <f t="shared" ca="1" si="658"/>
        <v>0.23305016404051057</v>
      </c>
      <c r="AA459" s="323">
        <f t="shared" ca="1" si="658"/>
        <v>0.2287744387241791</v>
      </c>
      <c r="AB459" s="323">
        <f t="shared" ca="1" si="658"/>
        <v>0.22449871340784758</v>
      </c>
      <c r="AC459" s="323">
        <f t="shared" ca="1" si="658"/>
        <v>0.22449871340784761</v>
      </c>
      <c r="AD459" s="323">
        <f t="shared" ca="1" si="658"/>
        <v>0.22449871340784761</v>
      </c>
      <c r="AE459" s="323"/>
      <c r="AF459" s="560">
        <f t="shared" ref="AF459:BK459" si="659">-AF454/Rev_Gross</f>
        <v>-1.2126378015760646E-3</v>
      </c>
      <c r="AG459" s="560">
        <f t="shared" si="659"/>
        <v>-9.9121053717490717E-4</v>
      </c>
      <c r="AH459" s="560">
        <f t="shared" si="659"/>
        <v>-9.3884049127334907E-4</v>
      </c>
      <c r="AI459" s="560">
        <f t="shared" si="659"/>
        <v>-8.629365108965279E-4</v>
      </c>
      <c r="AJ459" s="560">
        <f t="shared" si="659"/>
        <v>-9.0021419176307285E-4</v>
      </c>
      <c r="AK459" s="560">
        <f t="shared" si="659"/>
        <v>-8.4223739487768027E-4</v>
      </c>
      <c r="AL459" s="560">
        <f t="shared" si="659"/>
        <v>-8.7110572285977416E-4</v>
      </c>
      <c r="AM459" s="560">
        <f t="shared" si="659"/>
        <v>-8.11889323306762E-4</v>
      </c>
      <c r="AN459" s="560">
        <f t="shared" si="659"/>
        <v>-8.42472552565223E-4</v>
      </c>
      <c r="AO459" s="560">
        <f t="shared" si="659"/>
        <v>-7.3464549363276197E-4</v>
      </c>
      <c r="AP459" s="560">
        <f t="shared" si="659"/>
        <v>-6.238875319426819E-4</v>
      </c>
      <c r="AQ459" s="560">
        <f t="shared" si="659"/>
        <v>-5.8853645188147318E-4</v>
      </c>
      <c r="AR459" s="560">
        <f t="shared" si="659"/>
        <v>-6.1316043377280301E-4</v>
      </c>
      <c r="AS459" s="560">
        <f t="shared" si="659"/>
        <v>-5.1410501773888377E-4</v>
      </c>
      <c r="AT459" s="560">
        <f t="shared" si="659"/>
        <v>-4.3539743404385556E-4</v>
      </c>
      <c r="AU459" s="560">
        <f t="shared" si="659"/>
        <v>-4.4403983736423521E-4</v>
      </c>
      <c r="AV459" s="560">
        <f t="shared" si="659"/>
        <v>-4.7478030599652375E-4</v>
      </c>
      <c r="AW459" s="560">
        <f t="shared" si="659"/>
        <v>-4.1175406069404735E-4</v>
      </c>
      <c r="AX459" s="560">
        <f t="shared" si="659"/>
        <v>-3.4996268038418795E-4</v>
      </c>
      <c r="AY459" s="560">
        <f t="shared" si="659"/>
        <v>-3.72077502264201E-4</v>
      </c>
      <c r="AZ459" s="560">
        <f t="shared" si="659"/>
        <v>-4.0061036208704099E-4</v>
      </c>
      <c r="BA459" s="560">
        <f t="shared" si="659"/>
        <v>-3.5805593772579797E-4</v>
      </c>
      <c r="BB459" s="560">
        <f t="shared" si="659"/>
        <v>-2.798048969519419E-4</v>
      </c>
      <c r="BC459" s="560">
        <f t="shared" si="659"/>
        <v>-3.2472410350776034E-4</v>
      </c>
      <c r="BD459" s="560">
        <f t="shared" si="659"/>
        <v>-3.1277017208399173E-4</v>
      </c>
      <c r="BE459" s="560">
        <f t="shared" si="659"/>
        <v>-3.1725893910227848E-4</v>
      </c>
      <c r="BF459" s="560">
        <f t="shared" si="659"/>
        <v>-2.3714055963109483E-4</v>
      </c>
      <c r="BG459" s="560">
        <f t="shared" si="659"/>
        <v>-2.5240718038875256E-4</v>
      </c>
      <c r="BH459" s="560">
        <f t="shared" si="659"/>
        <v>-2.4812206716250102E-4</v>
      </c>
      <c r="BI459" s="560">
        <f t="shared" si="659"/>
        <v>-2.2850116110510152E-4</v>
      </c>
      <c r="BJ459" s="560">
        <f t="shared" si="659"/>
        <v>-1.8657269475342097E-4</v>
      </c>
      <c r="BK459" s="560">
        <f t="shared" si="659"/>
        <v>-2.2570783868026308E-4</v>
      </c>
      <c r="BL459" s="560">
        <f t="shared" ref="BL459:CA459" si="660">-BL456/Rev_Gross</f>
        <v>0.30244943876291774</v>
      </c>
      <c r="BM459" s="560">
        <f t="shared" si="660"/>
        <v>0.27198058269620695</v>
      </c>
      <c r="BN459" s="560">
        <f t="shared" si="660"/>
        <v>0.22873950143947702</v>
      </c>
      <c r="BO459" s="560">
        <f t="shared" si="660"/>
        <v>0.2550850610455368</v>
      </c>
      <c r="BP459" s="560">
        <f t="shared" si="660"/>
        <v>0.30125630768272055</v>
      </c>
      <c r="BQ459" s="560">
        <f t="shared" si="660"/>
        <v>0.30349234355944038</v>
      </c>
      <c r="BR459" s="560">
        <f t="shared" si="660"/>
        <v>0.26817807962738316</v>
      </c>
      <c r="BS459" s="560">
        <f t="shared" si="660"/>
        <v>0.26726065692891426</v>
      </c>
      <c r="BT459" s="560">
        <f t="shared" si="660"/>
        <v>0.27382509414782996</v>
      </c>
      <c r="BU459" s="323">
        <f t="shared" si="660"/>
        <v>0.26796403969327331</v>
      </c>
      <c r="BV459" s="323">
        <f>-BV456/Rev_Gross</f>
        <v>0.24820230318393222</v>
      </c>
      <c r="BW459" s="323">
        <f>-BW456/Rev_Gross</f>
        <v>0.28958511080339028</v>
      </c>
      <c r="BX459" s="323">
        <f t="shared" ca="1" si="660"/>
        <v>0.2928877325706119</v>
      </c>
      <c r="BY459" s="323">
        <f t="shared" ca="1" si="660"/>
        <v>0.28712679349928544</v>
      </c>
      <c r="BZ459" s="323">
        <f t="shared" ca="1" si="660"/>
        <v>0.27111809442795892</v>
      </c>
      <c r="CA459" s="323">
        <f t="shared" ca="1" si="660"/>
        <v>0.26011961186400046</v>
      </c>
      <c r="CB459" s="323">
        <f ca="1">-CB456/Rev_Gross</f>
        <v>0.26684819442795887</v>
      </c>
      <c r="CC459" s="323">
        <f ca="1">-CC456/Rev_Gross</f>
        <v>0.26257829442795888</v>
      </c>
      <c r="CD459" s="323">
        <f ca="1">-CD456/Rev_Gross</f>
        <v>0.25403849442795901</v>
      </c>
      <c r="CE459" s="323">
        <f ca="1">-CE456/Rev_Gross</f>
        <v>0.2698272032306207</v>
      </c>
      <c r="CF459" s="62"/>
      <c r="CG459" s="5"/>
      <c r="CH459" s="5"/>
    </row>
    <row r="460" spans="1:96" outlineLevel="1"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492"/>
      <c r="AG460" s="492"/>
      <c r="AH460" s="492"/>
      <c r="AI460" s="492"/>
      <c r="AJ460" s="492"/>
      <c r="AK460" s="492"/>
      <c r="AL460" s="492"/>
      <c r="AM460" s="492"/>
      <c r="AN460" s="492"/>
      <c r="AO460" s="492"/>
      <c r="AP460" s="492"/>
      <c r="AQ460" s="492"/>
      <c r="AR460" s="492"/>
      <c r="AS460" s="492"/>
      <c r="AT460" s="492"/>
      <c r="AU460" s="492"/>
      <c r="AV460" s="492"/>
      <c r="AW460" s="492"/>
      <c r="AX460" s="492"/>
      <c r="AY460" s="492"/>
      <c r="AZ460" s="492"/>
      <c r="BA460" s="492"/>
      <c r="BB460" s="492"/>
      <c r="BC460" s="492"/>
      <c r="BD460" s="492"/>
      <c r="BE460" s="492"/>
      <c r="BF460" s="492"/>
      <c r="BG460" s="492"/>
      <c r="BH460" s="492"/>
      <c r="BI460" s="492"/>
      <c r="BJ460" s="492"/>
      <c r="BK460" s="492"/>
      <c r="BL460" s="492"/>
      <c r="BM460" s="492"/>
      <c r="BN460" s="492"/>
      <c r="BO460" s="492"/>
      <c r="BP460" s="492"/>
      <c r="BQ460" s="492"/>
      <c r="BR460" s="492"/>
      <c r="BS460" s="492"/>
      <c r="BT460" s="492"/>
      <c r="BU460" s="6"/>
      <c r="BV460" s="6"/>
      <c r="BW460" s="6"/>
      <c r="BX460" s="6"/>
      <c r="BY460" s="6"/>
      <c r="BZ460" s="6"/>
      <c r="CA460" s="6"/>
      <c r="CB460" s="6"/>
      <c r="CC460" s="6"/>
      <c r="CD460" s="6"/>
      <c r="CE460" s="6"/>
      <c r="CF460" s="5"/>
      <c r="CG460" s="5"/>
      <c r="CH460" s="5"/>
    </row>
    <row r="461" spans="1:96" outlineLevel="1">
      <c r="A461" s="3" t="s">
        <v>483</v>
      </c>
      <c r="B461" s="143" t="s">
        <v>23</v>
      </c>
      <c r="C461" s="222">
        <f t="shared" ref="C461:R461" si="661">Exp_SM</f>
        <v>-17.378332999999998</v>
      </c>
      <c r="D461" s="222">
        <f t="shared" si="661"/>
        <v>-30.359491000000002</v>
      </c>
      <c r="E461" s="222">
        <f t="shared" si="661"/>
        <v>-32.308004000000004</v>
      </c>
      <c r="F461" s="222">
        <f t="shared" si="661"/>
        <v>-47.57105</v>
      </c>
      <c r="G461" s="222">
        <f t="shared" si="661"/>
        <v>-72.863325000000003</v>
      </c>
      <c r="H461" s="222">
        <f t="shared" si="661"/>
        <v>-112.9928</v>
      </c>
      <c r="I461" s="222">
        <f t="shared" si="661"/>
        <v>-172.491625</v>
      </c>
      <c r="J461" s="222">
        <f t="shared" si="661"/>
        <v>-243.31452899999999</v>
      </c>
      <c r="K461" s="222">
        <f t="shared" si="661"/>
        <v>-286.69318800000002</v>
      </c>
      <c r="L461" s="222">
        <f t="shared" si="661"/>
        <v>-345.28929900000003</v>
      </c>
      <c r="M461" s="572">
        <f t="shared" si="661"/>
        <v>-453.29270100000002</v>
      </c>
      <c r="N461" s="572">
        <f t="shared" si="661"/>
        <v>-624.59968600000002</v>
      </c>
      <c r="O461" s="572">
        <f t="shared" si="661"/>
        <v>-984.00216499999999</v>
      </c>
      <c r="P461" s="572">
        <f t="shared" si="661"/>
        <v>-1269.41272</v>
      </c>
      <c r="Q461" s="572">
        <f t="shared" si="661"/>
        <v>-2214.209719</v>
      </c>
      <c r="R461" s="572">
        <f t="shared" si="661"/>
        <v>-3087.9899529999998</v>
      </c>
      <c r="S461" s="572">
        <f>Exp_SM</f>
        <v>-5860.9274320000004</v>
      </c>
      <c r="T461" s="572">
        <f>Exp_SM</f>
        <v>-8294.1864819999992</v>
      </c>
      <c r="U461" s="224">
        <f t="shared" ref="U461:AD461" ca="1" si="662">U466*U$438</f>
        <v>-10055.978298908392</v>
      </c>
      <c r="V461" s="224">
        <f t="shared" ca="1" si="662"/>
        <v>-11945.976017092924</v>
      </c>
      <c r="W461" s="224">
        <f t="shared" ca="1" si="662"/>
        <v>-14175.719492778871</v>
      </c>
      <c r="X461" s="224">
        <f t="shared" ca="1" si="662"/>
        <v>-16558.531165076518</v>
      </c>
      <c r="Y461" s="224">
        <f t="shared" ca="1" si="662"/>
        <v>-19154.791233707641</v>
      </c>
      <c r="Z461" s="224">
        <f t="shared" ca="1" si="662"/>
        <v>-21823.694313452193</v>
      </c>
      <c r="AA461" s="224">
        <f t="shared" ca="1" si="662"/>
        <v>-24637.239599306406</v>
      </c>
      <c r="AB461" s="224">
        <f t="shared" ca="1" si="662"/>
        <v>-27588.636068728403</v>
      </c>
      <c r="AC461" s="224">
        <f t="shared" ca="1" si="662"/>
        <v>-31166.110939884267</v>
      </c>
      <c r="AD461" s="224">
        <f t="shared" ca="1" si="662"/>
        <v>-34841.648399718033</v>
      </c>
      <c r="AE461" s="224"/>
      <c r="AF461" s="572">
        <f t="shared" ref="AF461:BW461" si="663">Exp_SM</f>
        <v>-48.394455000000001</v>
      </c>
      <c r="AG461" s="572">
        <f t="shared" si="663"/>
        <v>-58.973708000000002</v>
      </c>
      <c r="AH461" s="572">
        <f t="shared" si="663"/>
        <v>-63.446452000000001</v>
      </c>
      <c r="AI461" s="572">
        <f t="shared" si="663"/>
        <v>-72.479913999999994</v>
      </c>
      <c r="AJ461" s="572">
        <f t="shared" si="663"/>
        <v>-65.921611999999996</v>
      </c>
      <c r="AK461" s="572">
        <f t="shared" si="663"/>
        <v>-68.281458000000001</v>
      </c>
      <c r="AL461" s="572">
        <f t="shared" si="663"/>
        <v>-71.028048999999996</v>
      </c>
      <c r="AM461" s="572">
        <f t="shared" si="663"/>
        <v>-81.462069</v>
      </c>
      <c r="AN461" s="572">
        <f t="shared" si="663"/>
        <v>-70.724070999999995</v>
      </c>
      <c r="AO461" s="572">
        <f t="shared" si="663"/>
        <v>-82.817192000000006</v>
      </c>
      <c r="AP461" s="572">
        <f t="shared" si="663"/>
        <v>-93.931483999999998</v>
      </c>
      <c r="AQ461" s="572">
        <f t="shared" si="663"/>
        <v>-97.816552000000001</v>
      </c>
      <c r="AR461" s="572">
        <f t="shared" si="663"/>
        <v>-94.439323999999999</v>
      </c>
      <c r="AS461" s="572">
        <f t="shared" si="663"/>
        <v>-106.72406700000001</v>
      </c>
      <c r="AT461" s="572">
        <f t="shared" si="663"/>
        <v>-125.160008</v>
      </c>
      <c r="AU461" s="572">
        <f t="shared" si="663"/>
        <v>-126.969302</v>
      </c>
      <c r="AV461" s="572">
        <f t="shared" si="663"/>
        <v>-124.641801</v>
      </c>
      <c r="AW461" s="572">
        <f t="shared" si="663"/>
        <v>-141.44411099999999</v>
      </c>
      <c r="AX461" s="572">
        <f t="shared" si="663"/>
        <v>-173.85534999999999</v>
      </c>
      <c r="AY461" s="572">
        <f t="shared" si="663"/>
        <v>-184.658424</v>
      </c>
      <c r="AZ461" s="572">
        <f t="shared" si="663"/>
        <v>-183.40506400000001</v>
      </c>
      <c r="BA461" s="572">
        <f t="shared" si="663"/>
        <v>-217.23589699999999</v>
      </c>
      <c r="BB461" s="572">
        <f t="shared" si="663"/>
        <v>-302.596451</v>
      </c>
      <c r="BC461" s="572">
        <f t="shared" si="663"/>
        <v>-280.76475299999998</v>
      </c>
      <c r="BD461" s="572">
        <f t="shared" si="663"/>
        <v>-267.49432300000001</v>
      </c>
      <c r="BE461" s="572">
        <f t="shared" si="663"/>
        <v>-271.24414899999999</v>
      </c>
      <c r="BF461" s="572">
        <f t="shared" si="663"/>
        <v>-354.50184999999999</v>
      </c>
      <c r="BG461" s="572">
        <f t="shared" si="663"/>
        <v>-376.17239799999999</v>
      </c>
      <c r="BH461" s="572">
        <f t="shared" si="663"/>
        <v>-429.54855500000002</v>
      </c>
      <c r="BI461" s="572">
        <f t="shared" si="663"/>
        <v>-479.27401099999997</v>
      </c>
      <c r="BJ461" s="572">
        <f t="shared" si="663"/>
        <v>-598.185788</v>
      </c>
      <c r="BK461" s="572">
        <f t="shared" si="663"/>
        <v>-707.20136500000001</v>
      </c>
      <c r="BL461" s="572">
        <f t="shared" si="663"/>
        <v>-722.50460599999997</v>
      </c>
      <c r="BM461" s="572">
        <f t="shared" si="663"/>
        <v>-678.719875</v>
      </c>
      <c r="BN461" s="572">
        <f t="shared" si="663"/>
        <v>-838.091452</v>
      </c>
      <c r="BO461" s="572">
        <f t="shared" si="663"/>
        <v>-848.67402000000004</v>
      </c>
      <c r="BP461" s="572">
        <f t="shared" si="663"/>
        <v>-1543.324251</v>
      </c>
      <c r="BQ461" s="572">
        <f t="shared" si="663"/>
        <v>-1340.1839299999999</v>
      </c>
      <c r="BR461" s="572">
        <f t="shared" si="663"/>
        <v>-1506.558491</v>
      </c>
      <c r="BS461" s="572">
        <f t="shared" si="663"/>
        <v>-1470.86076</v>
      </c>
      <c r="BT461" s="572">
        <f t="shared" si="663"/>
        <v>-1880.630701</v>
      </c>
      <c r="BU461" s="572">
        <f t="shared" si="663"/>
        <v>-2001.4715570000001</v>
      </c>
      <c r="BV461" s="572">
        <f t="shared" si="663"/>
        <v>-2377.8509239999998</v>
      </c>
      <c r="BW461" s="572">
        <f t="shared" si="663"/>
        <v>-2034.2333000000001</v>
      </c>
      <c r="BX461" s="222">
        <f ca="1">BX466*BX$438</f>
        <v>-2265.3249341076876</v>
      </c>
      <c r="BY461" s="222">
        <f ca="1">BY466*BY$438</f>
        <v>-2448.2983154454228</v>
      </c>
      <c r="BZ461" s="222">
        <f ca="1">BZ466*BZ$438</f>
        <v>-2842.8747159027148</v>
      </c>
      <c r="CA461" s="223">
        <f ca="1">U461-SUM(BX461:BZ461)</f>
        <v>-2499.4803334525677</v>
      </c>
      <c r="CB461" s="222">
        <f ca="1">CB466*CB$438</f>
        <v>-2742.99832792187</v>
      </c>
      <c r="CC461" s="222">
        <f ca="1">CC466*CC$438</f>
        <v>-2902.7003748363659</v>
      </c>
      <c r="CD461" s="222">
        <f ca="1">CD466*CD$438</f>
        <v>-3212.9052850339881</v>
      </c>
      <c r="CE461" s="223">
        <f ca="1">V461-SUM(CB461:CD461)</f>
        <v>-3087.3720293006991</v>
      </c>
      <c r="CF461" s="62"/>
      <c r="CG461" s="5"/>
      <c r="CH461" s="5"/>
      <c r="CI461" s="143"/>
      <c r="CP461" s="143"/>
      <c r="CQ461" s="143"/>
      <c r="CR461" s="143"/>
    </row>
    <row r="462" spans="1:96" outlineLevel="1">
      <c r="B462" s="12" t="s">
        <v>82</v>
      </c>
      <c r="C462" s="5"/>
      <c r="D462" s="126">
        <f t="shared" ref="D462:M462" si="664">(D461/C461-1)*1</f>
        <v>0.74697371721441908</v>
      </c>
      <c r="E462" s="126">
        <f t="shared" si="664"/>
        <v>6.4181346123358907E-2</v>
      </c>
      <c r="F462" s="126">
        <f t="shared" si="664"/>
        <v>0.4724230565280354</v>
      </c>
      <c r="G462" s="126">
        <f t="shared" si="664"/>
        <v>0.53167367548120126</v>
      </c>
      <c r="H462" s="126">
        <f t="shared" si="664"/>
        <v>0.55074998293036992</v>
      </c>
      <c r="I462" s="126">
        <f t="shared" si="664"/>
        <v>0.52657182581545015</v>
      </c>
      <c r="J462" s="126">
        <f t="shared" si="664"/>
        <v>0.41058749374063819</v>
      </c>
      <c r="K462" s="126">
        <f t="shared" si="664"/>
        <v>0.17828223895335094</v>
      </c>
      <c r="L462" s="126">
        <f t="shared" si="664"/>
        <v>0.20438612932791411</v>
      </c>
      <c r="M462" s="126">
        <f t="shared" si="664"/>
        <v>0.3127910488763801</v>
      </c>
      <c r="N462" s="323">
        <f>(N461/M461-1)</f>
        <v>0.37791692789688214</v>
      </c>
      <c r="O462" s="323">
        <f t="shared" ref="O462:AD462" si="665">(O461/N461-1)</f>
        <v>0.57541251949972949</v>
      </c>
      <c r="P462" s="323">
        <f t="shared" si="665"/>
        <v>0.29005073886194155</v>
      </c>
      <c r="Q462" s="323">
        <f t="shared" si="665"/>
        <v>0.74427881816088926</v>
      </c>
      <c r="R462" s="323">
        <f t="shared" si="665"/>
        <v>0.3946239719309983</v>
      </c>
      <c r="S462" s="323">
        <f>(S461/R461-1)</f>
        <v>0.89797490315863104</v>
      </c>
      <c r="T462" s="323">
        <f>(T461/S461-1)</f>
        <v>0.41516621357819239</v>
      </c>
      <c r="U462" s="323">
        <f t="shared" ca="1" si="665"/>
        <v>0.21241285335600124</v>
      </c>
      <c r="V462" s="323">
        <f t="shared" ca="1" si="665"/>
        <v>0.18794767271819746</v>
      </c>
      <c r="W462" s="323">
        <f t="shared" ca="1" si="665"/>
        <v>0.18665226453623496</v>
      </c>
      <c r="X462" s="323">
        <f t="shared" ca="1" si="665"/>
        <v>0.16809105693093418</v>
      </c>
      <c r="Y462" s="323">
        <f t="shared" ca="1" si="665"/>
        <v>0.15679289683053987</v>
      </c>
      <c r="Z462" s="323">
        <f t="shared" ca="1" si="665"/>
        <v>0.13933344650856605</v>
      </c>
      <c r="AA462" s="323">
        <f t="shared" ca="1" si="665"/>
        <v>0.12892158611843896</v>
      </c>
      <c r="AB462" s="323">
        <f t="shared" ca="1" si="665"/>
        <v>0.11979412131483613</v>
      </c>
      <c r="AC462" s="323">
        <f t="shared" ca="1" si="665"/>
        <v>0.12967204548436939</v>
      </c>
      <c r="AD462" s="323">
        <f t="shared" ca="1" si="665"/>
        <v>0.11793378605766502</v>
      </c>
      <c r="AE462" s="323"/>
      <c r="AF462" s="573"/>
      <c r="AG462" s="573"/>
      <c r="AH462" s="573"/>
      <c r="AI462" s="573"/>
      <c r="AJ462" s="560">
        <f>(AJ461/AF461-1)</f>
        <v>0.36217283571020675</v>
      </c>
      <c r="AK462" s="560">
        <f t="shared" ref="AK462:CA462" si="666">(AK461/AG461-1)</f>
        <v>0.15782880737293969</v>
      </c>
      <c r="AL462" s="560">
        <f t="shared" si="666"/>
        <v>0.11949599640339215</v>
      </c>
      <c r="AM462" s="560">
        <f t="shared" si="666"/>
        <v>0.12392612662316349</v>
      </c>
      <c r="AN462" s="560">
        <f t="shared" si="666"/>
        <v>7.2851055280626298E-2</v>
      </c>
      <c r="AO462" s="560">
        <f t="shared" si="666"/>
        <v>0.2128796663949386</v>
      </c>
      <c r="AP462" s="560">
        <f t="shared" si="666"/>
        <v>0.32245620318249202</v>
      </c>
      <c r="AQ462" s="560">
        <f t="shared" si="666"/>
        <v>0.20076193989131319</v>
      </c>
      <c r="AR462" s="560">
        <f t="shared" si="666"/>
        <v>0.33532081319244211</v>
      </c>
      <c r="AS462" s="560">
        <f t="shared" si="666"/>
        <v>0.28867043693053485</v>
      </c>
      <c r="AT462" s="560">
        <f t="shared" si="666"/>
        <v>0.33246066888499293</v>
      </c>
      <c r="AU462" s="560">
        <f t="shared" si="666"/>
        <v>0.29803493789067526</v>
      </c>
      <c r="AV462" s="560">
        <f t="shared" si="666"/>
        <v>0.31980827181693927</v>
      </c>
      <c r="AW462" s="560">
        <f t="shared" si="666"/>
        <v>0.32532534578165939</v>
      </c>
      <c r="AX462" s="560">
        <f t="shared" si="666"/>
        <v>0.38906470827326878</v>
      </c>
      <c r="AY462" s="560">
        <f t="shared" si="666"/>
        <v>0.45435488020561055</v>
      </c>
      <c r="AZ462" s="560">
        <f t="shared" si="666"/>
        <v>0.47145710771621485</v>
      </c>
      <c r="BA462" s="560">
        <f t="shared" si="666"/>
        <v>0.53584264105558987</v>
      </c>
      <c r="BB462" s="560">
        <f t="shared" si="666"/>
        <v>0.74050698468583231</v>
      </c>
      <c r="BC462" s="560">
        <f t="shared" si="666"/>
        <v>0.52045461516556646</v>
      </c>
      <c r="BD462" s="560">
        <f t="shared" si="666"/>
        <v>0.45848929776551861</v>
      </c>
      <c r="BE462" s="560">
        <f t="shared" si="666"/>
        <v>0.24861568804164991</v>
      </c>
      <c r="BF462" s="560">
        <f t="shared" si="666"/>
        <v>0.17153340308013054</v>
      </c>
      <c r="BG462" s="560">
        <f t="shared" si="666"/>
        <v>0.33981347010463248</v>
      </c>
      <c r="BH462" s="560">
        <f t="shared" si="666"/>
        <v>0.60582307012175352</v>
      </c>
      <c r="BI462" s="560">
        <f t="shared" si="666"/>
        <v>0.76694691025390549</v>
      </c>
      <c r="BJ462" s="560">
        <f t="shared" si="666"/>
        <v>0.68739821244938493</v>
      </c>
      <c r="BK462" s="560">
        <f t="shared" si="666"/>
        <v>0.87999270749258973</v>
      </c>
      <c r="BL462" s="560">
        <f t="shared" si="666"/>
        <v>0.68200916424919633</v>
      </c>
      <c r="BM462" s="560">
        <f t="shared" si="666"/>
        <v>0.41614162133235322</v>
      </c>
      <c r="BN462" s="560">
        <f t="shared" si="666"/>
        <v>0.40105543931779275</v>
      </c>
      <c r="BO462" s="560">
        <f t="shared" si="666"/>
        <v>0.2000457889387699</v>
      </c>
      <c r="BP462" s="560">
        <f t="shared" si="666"/>
        <v>1.1360753110548338</v>
      </c>
      <c r="BQ462" s="560">
        <f t="shared" si="666"/>
        <v>0.97457593237563578</v>
      </c>
      <c r="BR462" s="560">
        <f t="shared" si="666"/>
        <v>0.79760632017518773</v>
      </c>
      <c r="BS462" s="560">
        <f t="shared" si="666"/>
        <v>0.73312806252747076</v>
      </c>
      <c r="BT462" s="560">
        <f>(BT461/BP461-1)</f>
        <v>0.21855838122250826</v>
      </c>
      <c r="BU462" s="323">
        <f t="shared" si="666"/>
        <v>0.49343050024484336</v>
      </c>
      <c r="BV462" s="323">
        <f t="shared" si="666"/>
        <v>0.57833296098690923</v>
      </c>
      <c r="BW462" s="323">
        <f t="shared" si="666"/>
        <v>0.38302234672437652</v>
      </c>
      <c r="BX462" s="323">
        <f t="shared" ca="1" si="666"/>
        <v>0.20455596779481033</v>
      </c>
      <c r="BY462" s="323">
        <f t="shared" ca="1" si="666"/>
        <v>0.22324911732204189</v>
      </c>
      <c r="BZ462" s="323">
        <f t="shared" ca="1" si="666"/>
        <v>0.19556473755741433</v>
      </c>
      <c r="CA462" s="323">
        <f t="shared" ca="1" si="666"/>
        <v>0.22870878844258802</v>
      </c>
      <c r="CB462" s="323">
        <f ca="1">(CB461/BX461-1)</f>
        <v>0.21086308044472135</v>
      </c>
      <c r="CC462" s="323">
        <f ca="1">(CC461/BY461-1)</f>
        <v>0.18559913901189495</v>
      </c>
      <c r="CD462" s="323">
        <f ca="1">(CD461/BZ461-1)</f>
        <v>0.13016070214468645</v>
      </c>
      <c r="CE462" s="323">
        <f ca="1">(CE461/CA461-1)</f>
        <v>0.23520556972579509</v>
      </c>
      <c r="CF462" s="62"/>
      <c r="CG462" s="5"/>
      <c r="CH462" s="5"/>
    </row>
    <row r="463" spans="1:96" outlineLevel="1">
      <c r="B463" s="12" t="s">
        <v>83</v>
      </c>
      <c r="C463" s="5"/>
      <c r="D463" s="5"/>
      <c r="E463" s="5"/>
      <c r="F463" s="5"/>
      <c r="G463" s="5"/>
      <c r="H463" s="126"/>
      <c r="I463" s="126"/>
      <c r="J463" s="126"/>
      <c r="K463" s="126"/>
      <c r="L463" s="126"/>
      <c r="M463" s="126"/>
      <c r="N463" s="126"/>
      <c r="O463" s="126"/>
      <c r="P463" s="126"/>
      <c r="Q463" s="126"/>
      <c r="R463" s="126"/>
      <c r="S463" s="324"/>
      <c r="T463" s="324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573"/>
      <c r="AG463" s="560">
        <f>(AG461/AF461-1)</f>
        <v>0.21860465212388491</v>
      </c>
      <c r="AH463" s="560">
        <f t="shared" ref="AH463:CA463" si="667">(AH461/AG461-1)</f>
        <v>7.5843018044583488E-2</v>
      </c>
      <c r="AI463" s="560">
        <f t="shared" si="667"/>
        <v>0.1423793090904435</v>
      </c>
      <c r="AJ463" s="560">
        <f t="shared" si="667"/>
        <v>-9.0484406479842128E-2</v>
      </c>
      <c r="AK463" s="560">
        <f t="shared" si="667"/>
        <v>3.5797759314502242E-2</v>
      </c>
      <c r="AL463" s="560">
        <f t="shared" si="667"/>
        <v>4.0224551151206933E-2</v>
      </c>
      <c r="AM463" s="560">
        <f t="shared" si="667"/>
        <v>0.1468999943951721</v>
      </c>
      <c r="AN463" s="560">
        <f t="shared" si="667"/>
        <v>-0.13181592527437525</v>
      </c>
      <c r="AO463" s="560">
        <f t="shared" si="667"/>
        <v>0.17099017108333614</v>
      </c>
      <c r="AP463" s="560">
        <f t="shared" si="667"/>
        <v>0.13420271481795698</v>
      </c>
      <c r="AQ463" s="560">
        <f t="shared" si="667"/>
        <v>4.1360658158025032E-2</v>
      </c>
      <c r="AR463" s="560">
        <f t="shared" si="667"/>
        <v>-3.452614032030088E-2</v>
      </c>
      <c r="AS463" s="560">
        <f t="shared" si="667"/>
        <v>0.13008080193373694</v>
      </c>
      <c r="AT463" s="560">
        <f t="shared" si="667"/>
        <v>0.17274398847637618</v>
      </c>
      <c r="AU463" s="560">
        <f t="shared" si="667"/>
        <v>1.4455847589910586E-2</v>
      </c>
      <c r="AV463" s="560">
        <f t="shared" si="667"/>
        <v>-1.8331210484247573E-2</v>
      </c>
      <c r="AW463" s="560">
        <f t="shared" si="667"/>
        <v>0.13480477548619496</v>
      </c>
      <c r="AX463" s="560">
        <f t="shared" si="667"/>
        <v>0.22914519926531263</v>
      </c>
      <c r="AY463" s="560">
        <f t="shared" si="667"/>
        <v>6.2138289100680533E-2</v>
      </c>
      <c r="AZ463" s="560">
        <f t="shared" si="667"/>
        <v>-6.7874509748875322E-3</v>
      </c>
      <c r="BA463" s="560">
        <f t="shared" si="667"/>
        <v>0.18445964501830758</v>
      </c>
      <c r="BB463" s="560">
        <f t="shared" si="667"/>
        <v>0.39293945051816181</v>
      </c>
      <c r="BC463" s="560">
        <f t="shared" si="667"/>
        <v>-7.2147898390255816E-2</v>
      </c>
      <c r="BD463" s="560">
        <f t="shared" si="667"/>
        <v>-4.7265299002827388E-2</v>
      </c>
      <c r="BE463" s="560">
        <f t="shared" si="667"/>
        <v>1.4018338624704141E-2</v>
      </c>
      <c r="BF463" s="560">
        <f t="shared" si="667"/>
        <v>0.30694745419190594</v>
      </c>
      <c r="BG463" s="560">
        <f t="shared" si="667"/>
        <v>6.1129576615749581E-2</v>
      </c>
      <c r="BH463" s="560">
        <f t="shared" si="667"/>
        <v>0.14189280575551444</v>
      </c>
      <c r="BI463" s="560">
        <f t="shared" si="667"/>
        <v>0.11576213077937125</v>
      </c>
      <c r="BJ463" s="560">
        <f t="shared" si="667"/>
        <v>0.24810812660567994</v>
      </c>
      <c r="BK463" s="560">
        <f t="shared" si="667"/>
        <v>0.18224367610686198</v>
      </c>
      <c r="BL463" s="560">
        <f t="shared" si="667"/>
        <v>2.1639156479851929E-2</v>
      </c>
      <c r="BM463" s="560">
        <f t="shared" si="667"/>
        <v>-6.0601317467587124E-2</v>
      </c>
      <c r="BN463" s="560">
        <f t="shared" si="667"/>
        <v>0.23481200841510641</v>
      </c>
      <c r="BO463" s="560">
        <f t="shared" si="667"/>
        <v>1.2626984769676497E-2</v>
      </c>
      <c r="BP463" s="560">
        <f t="shared" si="667"/>
        <v>0.81851242600780916</v>
      </c>
      <c r="BQ463" s="560">
        <f t="shared" si="667"/>
        <v>-0.13162517265466078</v>
      </c>
      <c r="BR463" s="560">
        <f t="shared" si="667"/>
        <v>0.12414308012184572</v>
      </c>
      <c r="BS463" s="560">
        <f t="shared" si="667"/>
        <v>-2.3694885537636878E-2</v>
      </c>
      <c r="BT463" s="560">
        <f>(BT461/BS461-1)</f>
        <v>0.27859193211463462</v>
      </c>
      <c r="BU463" s="323">
        <f t="shared" si="667"/>
        <v>6.425549467832492E-2</v>
      </c>
      <c r="BV463" s="323">
        <f t="shared" si="667"/>
        <v>0.18805131938230168</v>
      </c>
      <c r="BW463" s="323">
        <f t="shared" si="667"/>
        <v>-0.14450763945368339</v>
      </c>
      <c r="BX463" s="323">
        <f t="shared" ca="1" si="667"/>
        <v>0.11360134263247357</v>
      </c>
      <c r="BY463" s="323">
        <f t="shared" ca="1" si="667"/>
        <v>8.0771362457902063E-2</v>
      </c>
      <c r="BZ463" s="323">
        <f t="shared" ca="1" si="667"/>
        <v>0.16116353059104482</v>
      </c>
      <c r="CA463" s="323">
        <f t="shared" ca="1" si="667"/>
        <v>-0.12079124715881373</v>
      </c>
      <c r="CB463" s="323">
        <f ca="1">(CB461/CA461-1)</f>
        <v>9.7427449702285784E-2</v>
      </c>
      <c r="CC463" s="323">
        <f ca="1">(CC461/CB461-1)</f>
        <v>5.8221707716274107E-2</v>
      </c>
      <c r="CD463" s="323">
        <f ca="1">(CD461/CC461-1)</f>
        <v>0.10686769908696125</v>
      </c>
      <c r="CE463" s="323">
        <f ca="1">(CE461/CD461-1)</f>
        <v>-3.9071570618043006E-2</v>
      </c>
      <c r="CF463" s="62"/>
      <c r="CG463" s="5"/>
      <c r="CH463" s="5"/>
    </row>
    <row r="464" spans="1:96" outlineLevel="1">
      <c r="B464" s="12" t="s">
        <v>768</v>
      </c>
      <c r="C464" s="5"/>
      <c r="D464" s="5"/>
      <c r="E464" s="5"/>
      <c r="F464" s="5"/>
      <c r="G464" s="5"/>
      <c r="H464" s="324"/>
      <c r="I464" s="324"/>
      <c r="J464" s="324"/>
      <c r="K464" s="324"/>
      <c r="L464" s="324"/>
      <c r="M464" s="324"/>
      <c r="N464" s="324"/>
      <c r="O464" s="324"/>
      <c r="P464" s="324"/>
      <c r="Q464" s="324"/>
      <c r="R464" s="324"/>
      <c r="S464" s="324"/>
      <c r="T464" s="324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573"/>
      <c r="AG464" s="574">
        <f>-(AG461-AF461)</f>
        <v>10.579253000000001</v>
      </c>
      <c r="AH464" s="574">
        <f t="shared" ref="AH464:CA464" si="668">-(AH461-AG461)</f>
        <v>4.4727439999999987</v>
      </c>
      <c r="AI464" s="574">
        <f t="shared" si="668"/>
        <v>9.033461999999993</v>
      </c>
      <c r="AJ464" s="574">
        <f t="shared" si="668"/>
        <v>-6.5583019999999976</v>
      </c>
      <c r="AK464" s="574">
        <f t="shared" si="668"/>
        <v>2.3598460000000046</v>
      </c>
      <c r="AL464" s="574">
        <f t="shared" si="668"/>
        <v>2.7465909999999951</v>
      </c>
      <c r="AM464" s="574">
        <f t="shared" si="668"/>
        <v>10.434020000000004</v>
      </c>
      <c r="AN464" s="574">
        <f t="shared" si="668"/>
        <v>-10.737998000000005</v>
      </c>
      <c r="AO464" s="574">
        <f t="shared" si="668"/>
        <v>12.093121000000011</v>
      </c>
      <c r="AP464" s="574">
        <f t="shared" si="668"/>
        <v>11.114291999999992</v>
      </c>
      <c r="AQ464" s="574">
        <f t="shared" si="668"/>
        <v>3.885068000000004</v>
      </c>
      <c r="AR464" s="574">
        <f t="shared" si="668"/>
        <v>-3.3772280000000023</v>
      </c>
      <c r="AS464" s="574">
        <f t="shared" si="668"/>
        <v>12.284743000000006</v>
      </c>
      <c r="AT464" s="574">
        <f t="shared" si="668"/>
        <v>18.435941</v>
      </c>
      <c r="AU464" s="574">
        <f t="shared" si="668"/>
        <v>1.8092939999999942</v>
      </c>
      <c r="AV464" s="574">
        <f t="shared" si="668"/>
        <v>-2.327500999999998</v>
      </c>
      <c r="AW464" s="574">
        <f t="shared" si="668"/>
        <v>16.802309999999991</v>
      </c>
      <c r="AX464" s="574">
        <f t="shared" si="668"/>
        <v>32.411238999999995</v>
      </c>
      <c r="AY464" s="574">
        <f t="shared" si="668"/>
        <v>10.803074000000009</v>
      </c>
      <c r="AZ464" s="574">
        <f t="shared" si="668"/>
        <v>-1.2533599999999865</v>
      </c>
      <c r="BA464" s="574">
        <f t="shared" si="668"/>
        <v>33.830832999999984</v>
      </c>
      <c r="BB464" s="574">
        <f t="shared" si="668"/>
        <v>85.360554000000008</v>
      </c>
      <c r="BC464" s="574">
        <f t="shared" si="668"/>
        <v>-21.831698000000017</v>
      </c>
      <c r="BD464" s="574">
        <f t="shared" si="668"/>
        <v>-13.270429999999976</v>
      </c>
      <c r="BE464" s="574">
        <f t="shared" si="668"/>
        <v>3.7498259999999846</v>
      </c>
      <c r="BF464" s="574">
        <f t="shared" si="668"/>
        <v>83.257700999999997</v>
      </c>
      <c r="BG464" s="574">
        <f t="shared" si="668"/>
        <v>21.670547999999997</v>
      </c>
      <c r="BH464" s="574">
        <f t="shared" si="668"/>
        <v>53.376157000000035</v>
      </c>
      <c r="BI464" s="574">
        <f t="shared" si="668"/>
        <v>49.725455999999951</v>
      </c>
      <c r="BJ464" s="574">
        <f t="shared" si="668"/>
        <v>118.91177700000003</v>
      </c>
      <c r="BK464" s="574">
        <f t="shared" si="668"/>
        <v>109.01557700000001</v>
      </c>
      <c r="BL464" s="574">
        <f t="shared" si="668"/>
        <v>15.303240999999957</v>
      </c>
      <c r="BM464" s="574">
        <f t="shared" si="668"/>
        <v>-43.784730999999965</v>
      </c>
      <c r="BN464" s="574">
        <f t="shared" si="668"/>
        <v>159.371577</v>
      </c>
      <c r="BO464" s="574">
        <f t="shared" si="668"/>
        <v>10.582568000000038</v>
      </c>
      <c r="BP464" s="574">
        <f t="shared" si="668"/>
        <v>694.65023099999996</v>
      </c>
      <c r="BQ464" s="574">
        <f t="shared" si="668"/>
        <v>-203.14032100000009</v>
      </c>
      <c r="BR464" s="574">
        <f t="shared" si="668"/>
        <v>166.37456100000009</v>
      </c>
      <c r="BS464" s="574">
        <f t="shared" si="668"/>
        <v>-35.697730999999976</v>
      </c>
      <c r="BT464" s="574">
        <f>-(BT461-BS461)</f>
        <v>409.76994100000002</v>
      </c>
      <c r="BU464" s="355">
        <f t="shared" si="668"/>
        <v>120.84085600000003</v>
      </c>
      <c r="BV464" s="355">
        <f t="shared" si="668"/>
        <v>376.37936699999977</v>
      </c>
      <c r="BW464" s="355">
        <f t="shared" si="668"/>
        <v>-343.61762399999975</v>
      </c>
      <c r="BX464" s="355">
        <f t="shared" ca="1" si="668"/>
        <v>231.09163410768747</v>
      </c>
      <c r="BY464" s="355">
        <f t="shared" ca="1" si="668"/>
        <v>182.97338133773519</v>
      </c>
      <c r="BZ464" s="355">
        <f t="shared" ca="1" si="668"/>
        <v>394.57640045729204</v>
      </c>
      <c r="CA464" s="355">
        <f t="shared" ca="1" si="668"/>
        <v>-343.39438245014708</v>
      </c>
      <c r="CB464" s="355">
        <f ca="1">-(CB461-CA461)</f>
        <v>243.51799446930227</v>
      </c>
      <c r="CC464" s="355">
        <f ca="1">-(CC461-CB461)</f>
        <v>159.7020469144959</v>
      </c>
      <c r="CD464" s="355">
        <f ca="1">-(CD461-CC461)</f>
        <v>310.20491019762221</v>
      </c>
      <c r="CE464" s="355">
        <f ca="1">-(CE461-CD461)</f>
        <v>-125.53325573328902</v>
      </c>
      <c r="CF464" s="62"/>
      <c r="CG464" s="5"/>
      <c r="CH464" s="5"/>
    </row>
    <row r="465" spans="1:96" outlineLevel="1">
      <c r="B465" s="12" t="s">
        <v>269</v>
      </c>
      <c r="C465" s="5"/>
      <c r="D465" s="5"/>
      <c r="E465" s="5"/>
      <c r="F465" s="5"/>
      <c r="G465" s="5"/>
      <c r="H465" s="126"/>
      <c r="I465" s="126"/>
      <c r="J465" s="126">
        <f>-J461/Rev_Gross*100</f>
        <v>18.901471624982687</v>
      </c>
      <c r="K465" s="126">
        <f>-K461/Rev_Gross*100</f>
        <v>18.051926672124939</v>
      </c>
      <c r="L465" s="126">
        <f>-L461/Rev_Gross*100</f>
        <v>16.267573441239868</v>
      </c>
      <c r="M465" s="126">
        <f>-M461/Rev_Gross*100</f>
        <v>14.781060304501183</v>
      </c>
      <c r="N465" s="323">
        <f t="shared" ref="N465:AB465" si="669">-N461/Rev_Gross</f>
        <v>0.16761908148587351</v>
      </c>
      <c r="O465" s="323">
        <f t="shared" si="669"/>
        <v>0.22317061888481615</v>
      </c>
      <c r="P465" s="323">
        <f t="shared" si="669"/>
        <v>0.22204109349918888</v>
      </c>
      <c r="Q465" s="323">
        <f t="shared" si="669"/>
        <v>0.28487532333546606</v>
      </c>
      <c r="R465" s="323">
        <f t="shared" si="669"/>
        <v>0.26859218469099427</v>
      </c>
      <c r="S465" s="323">
        <f>-S461/Rev_Gross</f>
        <v>0.29618464580324727</v>
      </c>
      <c r="T465" s="323">
        <f>-T461/Rev_Gross</f>
        <v>0.30745416284811916</v>
      </c>
      <c r="U465" s="323">
        <f t="shared" ca="1" si="669"/>
        <v>0.31344890765735361</v>
      </c>
      <c r="V465" s="323">
        <f t="shared" ca="1" si="669"/>
        <v>0.29627362504599175</v>
      </c>
      <c r="W465" s="323">
        <f t="shared" ca="1" si="669"/>
        <v>0.2876859837403109</v>
      </c>
      <c r="X465" s="323">
        <f t="shared" ca="1" si="669"/>
        <v>0.27909834243462989</v>
      </c>
      <c r="Y465" s="323">
        <f t="shared" ca="1" si="669"/>
        <v>0.27051070112894904</v>
      </c>
      <c r="Z465" s="323">
        <f t="shared" ca="1" si="669"/>
        <v>0.26621688047610859</v>
      </c>
      <c r="AA465" s="323">
        <f t="shared" ca="1" si="669"/>
        <v>0.26192305982326813</v>
      </c>
      <c r="AB465" s="323">
        <f t="shared" ca="1" si="669"/>
        <v>0.25762923917042763</v>
      </c>
      <c r="AC465" s="323">
        <f ca="1">-AC461/Rev_Gross</f>
        <v>0.25762923917042763</v>
      </c>
      <c r="AD465" s="323">
        <f ca="1">-AD461/Rev_Gross</f>
        <v>0.25762923917042763</v>
      </c>
      <c r="AE465" s="323"/>
      <c r="AF465" s="573"/>
      <c r="AG465" s="573"/>
      <c r="AH465" s="573"/>
      <c r="AI465" s="573"/>
      <c r="AJ465" s="573"/>
      <c r="AK465" s="573"/>
      <c r="AL465" s="573"/>
      <c r="AM465" s="573"/>
      <c r="AN465" s="573"/>
      <c r="AO465" s="573"/>
      <c r="AP465" s="573"/>
      <c r="AQ465" s="573"/>
      <c r="AR465" s="573"/>
      <c r="AS465" s="573"/>
      <c r="AT465" s="573"/>
      <c r="AU465" s="573"/>
      <c r="AV465" s="573"/>
      <c r="AW465" s="573"/>
      <c r="AX465" s="573"/>
      <c r="AY465" s="573"/>
      <c r="AZ465" s="573"/>
      <c r="BA465" s="573"/>
      <c r="BB465" s="573"/>
      <c r="BC465" s="573"/>
      <c r="BD465" s="560">
        <f t="shared" ref="BD465:BU465" si="670">-BD461/Rev_Gross</f>
        <v>0.21775685903198114</v>
      </c>
      <c r="BE465" s="560">
        <f t="shared" si="670"/>
        <v>0.20546459002813738</v>
      </c>
      <c r="BF465" s="560">
        <f t="shared" si="670"/>
        <v>0.21609559769182068</v>
      </c>
      <c r="BG465" s="560">
        <f t="shared" si="670"/>
        <v>0.24619059605615373</v>
      </c>
      <c r="BH465" s="560">
        <f t="shared" si="670"/>
        <v>0.25672695113293115</v>
      </c>
      <c r="BI465" s="560">
        <f t="shared" si="670"/>
        <v>0.26340889519585664</v>
      </c>
      <c r="BJ465" s="560">
        <f t="shared" si="670"/>
        <v>0.26474586906956193</v>
      </c>
      <c r="BK465" s="560">
        <f t="shared" si="670"/>
        <v>0.35002918751253626</v>
      </c>
      <c r="BL465" s="560">
        <f t="shared" si="670"/>
        <v>0.29570820160725408</v>
      </c>
      <c r="BM465" s="560">
        <f t="shared" si="670"/>
        <v>0.25463241337645265</v>
      </c>
      <c r="BN465" s="560">
        <f t="shared" si="670"/>
        <v>0.24974649503725735</v>
      </c>
      <c r="BO465" s="560">
        <f t="shared" si="670"/>
        <v>0.27987002091432078</v>
      </c>
      <c r="BP465" s="560">
        <f t="shared" si="670"/>
        <v>0.3508239788770231</v>
      </c>
      <c r="BQ465" s="560">
        <f t="shared" si="670"/>
        <v>0.29503923621552797</v>
      </c>
      <c r="BR465" s="560">
        <f t="shared" si="670"/>
        <v>0.26581034867370595</v>
      </c>
      <c r="BS465" s="560">
        <f t="shared" si="670"/>
        <v>0.28401802966436929</v>
      </c>
      <c r="BT465" s="560">
        <f>-BT461/Rev_Gross</f>
        <v>0.30662771648229753</v>
      </c>
      <c r="BU465" s="323">
        <f t="shared" si="670"/>
        <v>0.30975035739609369</v>
      </c>
      <c r="BV465" s="323">
        <f>-BV461/Rev_Gross</f>
        <v>0.29883946274805662</v>
      </c>
      <c r="BW465" s="323">
        <f>-BW461/Rev_Gross</f>
        <v>0.31660229059588824</v>
      </c>
      <c r="BX465" s="323">
        <f t="shared" ref="BX465:CE465" ca="1" si="671">-BX461/Rev_Gross</f>
        <v>0.33561413999999995</v>
      </c>
      <c r="BY465" s="323">
        <f t="shared" ca="1" si="671"/>
        <v>0.32451239999999998</v>
      </c>
      <c r="BZ465" s="323">
        <f t="shared" ca="1" si="671"/>
        <v>0.30316289999999996</v>
      </c>
      <c r="CA465" s="323">
        <f t="shared" ca="1" si="671"/>
        <v>0.29720349778253374</v>
      </c>
      <c r="CB465" s="323">
        <f t="shared" ca="1" si="671"/>
        <v>0.29889299999999996</v>
      </c>
      <c r="CC465" s="323">
        <f t="shared" ca="1" si="671"/>
        <v>0.29462309999999992</v>
      </c>
      <c r="CD465" s="323">
        <f t="shared" ca="1" si="671"/>
        <v>0.28608329999999998</v>
      </c>
      <c r="CE465" s="323">
        <f t="shared" ca="1" si="671"/>
        <v>0.30687602136679898</v>
      </c>
      <c r="CF465" s="62"/>
      <c r="CG465" s="5"/>
      <c r="CH465" s="5"/>
    </row>
    <row r="466" spans="1:96" outlineLevel="1">
      <c r="B466" s="12" t="s">
        <v>136</v>
      </c>
      <c r="C466" s="6">
        <f t="shared" ref="C466:M466" si="672">C461/Exp_ToT*100</f>
        <v>47.948718203404951</v>
      </c>
      <c r="D466" s="6">
        <f t="shared" si="672"/>
        <v>54.509164928933473</v>
      </c>
      <c r="E466" s="6">
        <f t="shared" si="672"/>
        <v>51.196813310941621</v>
      </c>
      <c r="F466" s="6">
        <f t="shared" si="672"/>
        <v>53.201206536918463</v>
      </c>
      <c r="G466" s="6">
        <f t="shared" si="672"/>
        <v>48.681052875954187</v>
      </c>
      <c r="H466" s="6">
        <f t="shared" si="672"/>
        <v>53.024538786167511</v>
      </c>
      <c r="I466" s="6">
        <f t="shared" si="672"/>
        <v>46.418164220745695</v>
      </c>
      <c r="J466" s="6">
        <f t="shared" si="672"/>
        <v>43.561015294535437</v>
      </c>
      <c r="K466" s="6">
        <f t="shared" si="672"/>
        <v>41.299112053899265</v>
      </c>
      <c r="L466" s="6">
        <f t="shared" si="672"/>
        <v>40.620456265433873</v>
      </c>
      <c r="M466" s="6">
        <f t="shared" si="672"/>
        <v>37.716344159079675</v>
      </c>
      <c r="N466" s="323">
        <f t="shared" ref="N466:S466" si="673">N461/Exp_ToT</f>
        <v>0.3839058288141512</v>
      </c>
      <c r="O466" s="323">
        <f t="shared" si="673"/>
        <v>0.39896384266116364</v>
      </c>
      <c r="P466" s="323">
        <f t="shared" si="673"/>
        <v>0.40151761751236253</v>
      </c>
      <c r="Q466" s="323">
        <f t="shared" si="673"/>
        <v>0.41025846948322764</v>
      </c>
      <c r="R466" s="323">
        <f t="shared" si="673"/>
        <v>0.41321486779224165</v>
      </c>
      <c r="S466" s="323">
        <f t="shared" si="673"/>
        <v>0.36477662974608371</v>
      </c>
      <c r="T466" s="323">
        <f>T461/Exp_ToT</f>
        <v>0.43254642776385432</v>
      </c>
      <c r="U466" s="42">
        <f t="shared" ref="U466:AD466" si="674">T466</f>
        <v>0.43254642776385432</v>
      </c>
      <c r="V466" s="42">
        <f t="shared" si="674"/>
        <v>0.43254642776385432</v>
      </c>
      <c r="W466" s="42">
        <f t="shared" si="674"/>
        <v>0.43254642776385432</v>
      </c>
      <c r="X466" s="42">
        <f t="shared" si="674"/>
        <v>0.43254642776385432</v>
      </c>
      <c r="Y466" s="42">
        <f t="shared" si="674"/>
        <v>0.43254642776385432</v>
      </c>
      <c r="Z466" s="42">
        <f t="shared" si="674"/>
        <v>0.43254642776385432</v>
      </c>
      <c r="AA466" s="42">
        <f t="shared" si="674"/>
        <v>0.43254642776385432</v>
      </c>
      <c r="AB466" s="42">
        <f t="shared" si="674"/>
        <v>0.43254642776385432</v>
      </c>
      <c r="AC466" s="42">
        <f t="shared" si="674"/>
        <v>0.43254642776385432</v>
      </c>
      <c r="AD466" s="42">
        <f t="shared" si="674"/>
        <v>0.43254642776385432</v>
      </c>
      <c r="AE466" s="42"/>
      <c r="AF466" s="560">
        <f t="shared" ref="AF466:BR466" si="675">AF461/Exp_ToT</f>
        <v>0.42987217565381591</v>
      </c>
      <c r="AG466" s="560">
        <f t="shared" si="675"/>
        <v>0.43492999416992983</v>
      </c>
      <c r="AH466" s="560">
        <f t="shared" si="675"/>
        <v>0.42968763788275743</v>
      </c>
      <c r="AI466" s="560">
        <f t="shared" si="675"/>
        <v>0.44545223214854202</v>
      </c>
      <c r="AJ466" s="560">
        <f t="shared" si="675"/>
        <v>0.406486089102988</v>
      </c>
      <c r="AK466" s="560">
        <f t="shared" si="675"/>
        <v>0.40625712091262106</v>
      </c>
      <c r="AL466" s="560">
        <f t="shared" si="675"/>
        <v>0.40105825031101644</v>
      </c>
      <c r="AM466" s="560">
        <f t="shared" si="675"/>
        <v>0.43600634455008502</v>
      </c>
      <c r="AN466" s="560">
        <f t="shared" si="675"/>
        <v>0.40328933431193031</v>
      </c>
      <c r="AO466" s="560">
        <f t="shared" si="675"/>
        <v>0.4048801395353635</v>
      </c>
      <c r="AP466" s="560">
        <f t="shared" si="675"/>
        <v>0.42334576413942593</v>
      </c>
      <c r="AQ466" s="560">
        <f t="shared" si="675"/>
        <v>0.39403455926551112</v>
      </c>
      <c r="AR466" s="560">
        <f t="shared" si="675"/>
        <v>0.36058944226264977</v>
      </c>
      <c r="AS466" s="560">
        <f t="shared" si="675"/>
        <v>0.37231833478123322</v>
      </c>
      <c r="AT466" s="560">
        <f t="shared" si="675"/>
        <v>0.38160480671530267</v>
      </c>
      <c r="AU466" s="560">
        <f t="shared" si="675"/>
        <v>0.39029820726782044</v>
      </c>
      <c r="AV466" s="560">
        <f t="shared" si="675"/>
        <v>0.36977529761608535</v>
      </c>
      <c r="AW466" s="560">
        <f t="shared" si="675"/>
        <v>0.3772998252064782</v>
      </c>
      <c r="AX466" s="560">
        <f t="shared" si="675"/>
        <v>0.39131713424635362</v>
      </c>
      <c r="AY466" s="560">
        <f t="shared" si="675"/>
        <v>0.39229050006550409</v>
      </c>
      <c r="AZ466" s="560">
        <f t="shared" si="675"/>
        <v>0.36082372822595898</v>
      </c>
      <c r="BA466" s="560">
        <f t="shared" si="675"/>
        <v>0.38489276472254191</v>
      </c>
      <c r="BB466" s="560">
        <f t="shared" si="675"/>
        <v>0.43417302213653819</v>
      </c>
      <c r="BC466" s="560">
        <f t="shared" si="675"/>
        <v>0.40296710842544403</v>
      </c>
      <c r="BD466" s="560">
        <f t="shared" si="675"/>
        <v>0.38415446613939769</v>
      </c>
      <c r="BE466" s="560">
        <f t="shared" si="675"/>
        <v>0.36664327407338265</v>
      </c>
      <c r="BF466" s="560">
        <f t="shared" si="675"/>
        <v>0.41110600664559072</v>
      </c>
      <c r="BG466" s="560">
        <f t="shared" si="675"/>
        <v>0.4358384065019868</v>
      </c>
      <c r="BH466" s="560">
        <f t="shared" si="675"/>
        <v>0.40468887972003453</v>
      </c>
      <c r="BI466" s="560">
        <f t="shared" si="675"/>
        <v>0.41576943779505471</v>
      </c>
      <c r="BJ466" s="560">
        <f t="shared" si="675"/>
        <v>0.41187503543701881</v>
      </c>
      <c r="BK466" s="560">
        <f t="shared" si="675"/>
        <v>0.40864699568985902</v>
      </c>
      <c r="BL466" s="560">
        <f t="shared" si="675"/>
        <v>0.40353527691223467</v>
      </c>
      <c r="BM466" s="560">
        <f t="shared" si="675"/>
        <v>0.39091499481086917</v>
      </c>
      <c r="BN466" s="560">
        <f t="shared" si="675"/>
        <v>0.43406705034421178</v>
      </c>
      <c r="BO466" s="575">
        <f t="shared" si="675"/>
        <v>0.42104734853977543</v>
      </c>
      <c r="BP466" s="575">
        <f t="shared" si="675"/>
        <v>0.3169409580355112</v>
      </c>
      <c r="BQ466" s="575">
        <f t="shared" si="675"/>
        <v>0.37497634682144598</v>
      </c>
      <c r="BR466" s="575">
        <f t="shared" si="675"/>
        <v>0.38727559141828621</v>
      </c>
      <c r="BS466" s="575">
        <f>BS461/Exp_ToT</f>
        <v>0.3939592355601651</v>
      </c>
      <c r="BT466" s="575">
        <f>BT461/Exp_ToT</f>
        <v>0.41963551917372077</v>
      </c>
      <c r="BU466" s="575">
        <f>BU461/Exp_ToT</f>
        <v>0.43075629366578094</v>
      </c>
      <c r="BV466" s="575">
        <f>BV461/Exp_ToT</f>
        <v>0.45403146512730091</v>
      </c>
      <c r="BW466" s="575">
        <f>BW461/Exp_ToT</f>
        <v>0.4229119756415205</v>
      </c>
      <c r="BX466" s="329">
        <v>0.43</v>
      </c>
      <c r="BY466" s="329">
        <f>BX466</f>
        <v>0.43</v>
      </c>
      <c r="BZ466" s="329">
        <f>BY466</f>
        <v>0.43</v>
      </c>
      <c r="CA466" s="323">
        <f ca="1">CA461/Exp_ToT</f>
        <v>0.44043161918981055</v>
      </c>
      <c r="CB466" s="329">
        <v>0.43</v>
      </c>
      <c r="CC466" s="329">
        <f>CB466</f>
        <v>0.43</v>
      </c>
      <c r="CD466" s="329">
        <f>CC466</f>
        <v>0.43</v>
      </c>
      <c r="CE466" s="323">
        <f ca="1">CE461/Exp_ToT</f>
        <v>0.44002321141086548</v>
      </c>
      <c r="CF466" s="37"/>
      <c r="CG466" s="5"/>
      <c r="CH466" s="5"/>
    </row>
    <row r="467" spans="1:96" outlineLevel="1">
      <c r="B467" s="12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323"/>
      <c r="O467" s="323"/>
      <c r="P467" s="323"/>
      <c r="Q467" s="323"/>
      <c r="R467" s="323"/>
      <c r="S467" s="323"/>
      <c r="T467" s="323"/>
      <c r="U467" s="42"/>
      <c r="V467" s="42"/>
      <c r="W467" s="42"/>
      <c r="X467" s="42"/>
      <c r="Y467" s="42"/>
      <c r="Z467" s="42"/>
      <c r="AA467" s="42"/>
      <c r="AB467" s="42"/>
      <c r="AC467" s="42"/>
      <c r="AD467" s="42"/>
      <c r="AE467" s="42"/>
      <c r="AF467" s="560"/>
      <c r="AG467" s="560"/>
      <c r="AH467" s="560"/>
      <c r="AI467" s="560"/>
      <c r="AJ467" s="560"/>
      <c r="AK467" s="560"/>
      <c r="AL467" s="560"/>
      <c r="AM467" s="560"/>
      <c r="AN467" s="560"/>
      <c r="AO467" s="560"/>
      <c r="AP467" s="560"/>
      <c r="AQ467" s="560"/>
      <c r="AR467" s="560"/>
      <c r="AS467" s="560"/>
      <c r="AT467" s="560"/>
      <c r="AU467" s="560"/>
      <c r="AV467" s="560"/>
      <c r="AW467" s="560"/>
      <c r="AX467" s="560"/>
      <c r="AY467" s="560"/>
      <c r="AZ467" s="560"/>
      <c r="BA467" s="560"/>
      <c r="BB467" s="560"/>
      <c r="BC467" s="560"/>
      <c r="BD467" s="560"/>
      <c r="BE467" s="560"/>
      <c r="BF467" s="560"/>
      <c r="BG467" s="560"/>
      <c r="BH467" s="560"/>
      <c r="BI467" s="560"/>
      <c r="BJ467" s="560"/>
      <c r="BK467" s="560"/>
      <c r="BL467" s="560"/>
      <c r="BM467" s="560"/>
      <c r="BN467" s="560"/>
      <c r="BO467" s="575"/>
      <c r="BP467" s="575"/>
      <c r="BQ467" s="575"/>
      <c r="BR467" s="575"/>
      <c r="BS467" s="575"/>
      <c r="BT467" s="575"/>
      <c r="BU467" s="329"/>
      <c r="BV467" s="329"/>
      <c r="BW467" s="329"/>
      <c r="BX467" s="329"/>
      <c r="BY467" s="329"/>
      <c r="BZ467" s="329"/>
      <c r="CA467" s="323"/>
      <c r="CB467" s="329"/>
      <c r="CC467" s="329"/>
      <c r="CD467" s="329"/>
      <c r="CE467" s="323"/>
      <c r="CF467" s="37"/>
      <c r="CG467" s="5"/>
      <c r="CH467" s="5"/>
    </row>
    <row r="468" spans="1:96" outlineLevel="1">
      <c r="A468" s="3" t="s">
        <v>786</v>
      </c>
      <c r="B468" s="12" t="s">
        <v>603</v>
      </c>
      <c r="C468" s="6">
        <f t="shared" ref="C468:AB468" si="676">C461+C429</f>
        <v>-17.378332999999998</v>
      </c>
      <c r="D468" s="6">
        <f t="shared" si="676"/>
        <v>-30.359491000000002</v>
      </c>
      <c r="E468" s="6">
        <f t="shared" si="676"/>
        <v>-32.308004000000004</v>
      </c>
      <c r="F468" s="6">
        <f t="shared" si="676"/>
        <v>-47.57105</v>
      </c>
      <c r="G468" s="6">
        <f t="shared" si="676"/>
        <v>-72.863325000000003</v>
      </c>
      <c r="H468" s="6">
        <f t="shared" si="676"/>
        <v>-112.73427700000001</v>
      </c>
      <c r="I468" s="6">
        <f t="shared" si="676"/>
        <v>-163.933683</v>
      </c>
      <c r="J468" s="6">
        <f t="shared" si="676"/>
        <v>-229.66596699999999</v>
      </c>
      <c r="K468" s="6">
        <f t="shared" si="676"/>
        <v>-267.87731000000002</v>
      </c>
      <c r="L468" s="6">
        <f t="shared" si="676"/>
        <v>-326.42519700000003</v>
      </c>
      <c r="M468" s="6">
        <f t="shared" si="676"/>
        <v>-420.08971700000001</v>
      </c>
      <c r="N468" s="6">
        <f t="shared" si="676"/>
        <v>-576.40866700000004</v>
      </c>
      <c r="O468" s="6">
        <f t="shared" si="676"/>
        <v>-928.10977100000002</v>
      </c>
      <c r="P468" s="6">
        <f t="shared" si="676"/>
        <v>-1220.308192</v>
      </c>
      <c r="Q468" s="6">
        <f t="shared" si="676"/>
        <v>-2159.8182109999998</v>
      </c>
      <c r="R468" s="6">
        <f t="shared" si="676"/>
        <v>-3022.4156969999999</v>
      </c>
      <c r="S468" s="6">
        <f>S461+S429</f>
        <v>-5468.2857690000001</v>
      </c>
      <c r="T468" s="6">
        <f>T461+T429</f>
        <v>-8108.4008829999993</v>
      </c>
      <c r="U468" s="6">
        <f t="shared" ca="1" si="676"/>
        <v>-9841.0782308252237</v>
      </c>
      <c r="V468" s="6">
        <f t="shared" ca="1" si="676"/>
        <v>-11702.504265166135</v>
      </c>
      <c r="W468" s="6">
        <f t="shared" ca="1" si="676"/>
        <v>-13878.178819667792</v>
      </c>
      <c r="X468" s="6">
        <f t="shared" ca="1" si="676"/>
        <v>-16200.28257807043</v>
      </c>
      <c r="Y468" s="6">
        <f t="shared" ca="1" si="676"/>
        <v>-18727.215640872178</v>
      </c>
      <c r="Z468" s="6">
        <f t="shared" ca="1" si="676"/>
        <v>-21328.685862626793</v>
      </c>
      <c r="AA468" s="6">
        <f t="shared" ca="1" si="676"/>
        <v>-24069.252796392204</v>
      </c>
      <c r="AB468" s="6">
        <f t="shared" ca="1" si="676"/>
        <v>-26942.00731445921</v>
      </c>
      <c r="AC468" s="6">
        <f ca="1">AC461+AC429</f>
        <v>-30435.632512379976</v>
      </c>
      <c r="AD468" s="6">
        <f ca="1">AD461+AD429</f>
        <v>-34025.021885624716</v>
      </c>
      <c r="AE468" s="6"/>
      <c r="AF468" s="492">
        <f t="shared" ref="AF468:AY468" si="677">AF461+AF429</f>
        <v>-45.42268</v>
      </c>
      <c r="AG468" s="492">
        <f t="shared" si="677"/>
        <v>-55.411315999999999</v>
      </c>
      <c r="AH468" s="492">
        <f t="shared" si="677"/>
        <v>-59.905783</v>
      </c>
      <c r="AI468" s="492">
        <f t="shared" si="677"/>
        <v>-68.906188</v>
      </c>
      <c r="AJ468" s="492">
        <f t="shared" si="677"/>
        <v>-60.887743999999998</v>
      </c>
      <c r="AK468" s="492">
        <f t="shared" si="677"/>
        <v>-63.765259</v>
      </c>
      <c r="AL468" s="492">
        <f t="shared" si="677"/>
        <v>-66.531419</v>
      </c>
      <c r="AM468" s="492">
        <f t="shared" si="677"/>
        <v>-76.692887999999996</v>
      </c>
      <c r="AN468" s="492">
        <f t="shared" si="677"/>
        <v>-66.698905999999994</v>
      </c>
      <c r="AO468" s="492">
        <f t="shared" si="677"/>
        <v>-78.776820000000001</v>
      </c>
      <c r="AP468" s="492">
        <f t="shared" si="677"/>
        <v>-90.029319999999998</v>
      </c>
      <c r="AQ468" s="492">
        <f t="shared" si="677"/>
        <v>-90.920151000000004</v>
      </c>
      <c r="AR468" s="492">
        <f t="shared" si="677"/>
        <v>-85.596183999999994</v>
      </c>
      <c r="AS468" s="492">
        <f t="shared" si="677"/>
        <v>-98.690931000000006</v>
      </c>
      <c r="AT468" s="492">
        <f t="shared" si="677"/>
        <v>-116.991562</v>
      </c>
      <c r="AU468" s="492">
        <f t="shared" si="677"/>
        <v>-118.81103999999999</v>
      </c>
      <c r="AV468" s="492">
        <f t="shared" si="677"/>
        <v>-114.42100000000001</v>
      </c>
      <c r="AW468" s="492">
        <f t="shared" si="677"/>
        <v>-129.50399099999998</v>
      </c>
      <c r="AX468" s="492">
        <f t="shared" si="677"/>
        <v>-161.16146499999999</v>
      </c>
      <c r="AY468" s="492">
        <f t="shared" si="677"/>
        <v>-171.32221099999998</v>
      </c>
      <c r="AZ468" s="492">
        <f t="shared" ref="AZ468:CA468" si="678">AZ461+AZ429</f>
        <v>-169.85734500000001</v>
      </c>
      <c r="BA468" s="492">
        <f t="shared" si="678"/>
        <v>-203.299273</v>
      </c>
      <c r="BB468" s="492">
        <f t="shared" si="678"/>
        <v>-288.56823200000002</v>
      </c>
      <c r="BC468" s="492">
        <f t="shared" si="678"/>
        <v>-266.38492099999996</v>
      </c>
      <c r="BD468" s="492">
        <f t="shared" si="678"/>
        <v>-254.201842</v>
      </c>
      <c r="BE468" s="492">
        <f t="shared" si="678"/>
        <v>-258.91878400000002</v>
      </c>
      <c r="BF468" s="492">
        <f t="shared" si="678"/>
        <v>-342.58389899999997</v>
      </c>
      <c r="BG468" s="492">
        <f t="shared" si="678"/>
        <v>-364.60366699999997</v>
      </c>
      <c r="BH468" s="492">
        <f t="shared" si="678"/>
        <v>-416.55273800000003</v>
      </c>
      <c r="BI468" s="492">
        <f t="shared" si="678"/>
        <v>-467.558447</v>
      </c>
      <c r="BJ468" s="492">
        <f t="shared" si="678"/>
        <v>-583.55517899999995</v>
      </c>
      <c r="BK468" s="492">
        <f t="shared" si="678"/>
        <v>-692.15184699999998</v>
      </c>
      <c r="BL468" s="492">
        <f t="shared" si="678"/>
        <v>-704.87033899999994</v>
      </c>
      <c r="BM468" s="492">
        <f t="shared" si="678"/>
        <v>-662.53024000000005</v>
      </c>
      <c r="BN468" s="492">
        <f t="shared" si="678"/>
        <v>-824.19086500000003</v>
      </c>
      <c r="BO468" s="492">
        <f t="shared" si="678"/>
        <v>-830.824253</v>
      </c>
      <c r="BP468" s="492">
        <f t="shared" si="678"/>
        <v>-1358.899089</v>
      </c>
      <c r="BQ468" s="492">
        <f t="shared" si="678"/>
        <v>-1271.1276379999999</v>
      </c>
      <c r="BR468" s="492">
        <f t="shared" si="678"/>
        <v>-1435.949337</v>
      </c>
      <c r="BS468" s="492">
        <f t="shared" si="678"/>
        <v>-1402.310105</v>
      </c>
      <c r="BT468" s="492">
        <f t="shared" si="678"/>
        <v>-1831.8514890000001</v>
      </c>
      <c r="BU468" s="6">
        <f t="shared" si="678"/>
        <v>-1942.476989</v>
      </c>
      <c r="BV468" s="6">
        <f>BV461+BV429</f>
        <v>-2340.1128919999996</v>
      </c>
      <c r="BW468" s="6">
        <f>BW461+BW429</f>
        <v>-1993.959513</v>
      </c>
      <c r="BX468" s="6">
        <f t="shared" ca="1" si="678"/>
        <v>-2210.9812689950836</v>
      </c>
      <c r="BY468" s="6">
        <f t="shared" ca="1" si="678"/>
        <v>-2395.1487447924874</v>
      </c>
      <c r="BZ468" s="6">
        <f t="shared" ca="1" si="678"/>
        <v>-2786.2505781610753</v>
      </c>
      <c r="CA468" s="6">
        <f t="shared" ca="1" si="678"/>
        <v>-2448.6976388765765</v>
      </c>
      <c r="CB468" s="6">
        <f ca="1">CB461+CB429</f>
        <v>-2687.5830223529233</v>
      </c>
      <c r="CC468" s="6">
        <f ca="1">CC461+CC429</f>
        <v>-2843.2088161335355</v>
      </c>
      <c r="CD468" s="6">
        <f ca="1">CD461+CD429</f>
        <v>-3145.0903500480413</v>
      </c>
      <c r="CE468" s="6">
        <f ca="1">CE461+CE429</f>
        <v>-3026.6220766316351</v>
      </c>
      <c r="CF468" s="5"/>
      <c r="CG468" s="5"/>
      <c r="CH468" s="5"/>
    </row>
    <row r="469" spans="1:96" outlineLevel="1">
      <c r="B469" s="12" t="s">
        <v>82</v>
      </c>
      <c r="C469" s="5"/>
      <c r="D469" s="324">
        <f t="shared" ref="D469:M469" si="679">(D468/C468-1)*1</f>
        <v>0.74697371721441908</v>
      </c>
      <c r="E469" s="324">
        <f t="shared" si="679"/>
        <v>6.4181346123358907E-2</v>
      </c>
      <c r="F469" s="324">
        <f t="shared" si="679"/>
        <v>0.4724230565280354</v>
      </c>
      <c r="G469" s="324">
        <f t="shared" si="679"/>
        <v>0.53167367548120126</v>
      </c>
      <c r="H469" s="324">
        <f t="shared" si="679"/>
        <v>0.5472019290912129</v>
      </c>
      <c r="I469" s="324">
        <f t="shared" si="679"/>
        <v>0.45416005994343678</v>
      </c>
      <c r="J469" s="324">
        <f t="shared" si="679"/>
        <v>0.40096875027202317</v>
      </c>
      <c r="K469" s="324">
        <f t="shared" si="679"/>
        <v>0.1663779074415499</v>
      </c>
      <c r="L469" s="324">
        <f t="shared" si="679"/>
        <v>0.21856232243036944</v>
      </c>
      <c r="M469" s="324">
        <f t="shared" si="679"/>
        <v>0.28694022661492014</v>
      </c>
      <c r="N469" s="323">
        <f t="shared" ref="N469:AD469" si="680">(N468/M468-1)</f>
        <v>0.37210848938728014</v>
      </c>
      <c r="O469" s="323">
        <f t="shared" si="680"/>
        <v>0.61015929172348815</v>
      </c>
      <c r="P469" s="323">
        <f t="shared" si="680"/>
        <v>0.31483174741837727</v>
      </c>
      <c r="Q469" s="323">
        <f t="shared" si="680"/>
        <v>0.76989569123534962</v>
      </c>
      <c r="R469" s="323">
        <f t="shared" si="680"/>
        <v>0.3993843007743767</v>
      </c>
      <c r="S469" s="323">
        <f t="shared" si="680"/>
        <v>0.8092434387591787</v>
      </c>
      <c r="T469" s="323">
        <f t="shared" si="680"/>
        <v>0.48280489087950573</v>
      </c>
      <c r="U469" s="323">
        <f t="shared" ca="1" si="680"/>
        <v>0.21368915681733736</v>
      </c>
      <c r="V469" s="323">
        <f t="shared" ca="1" si="680"/>
        <v>0.18914858623015141</v>
      </c>
      <c r="W469" s="323">
        <f t="shared" ca="1" si="680"/>
        <v>0.18591529686323671</v>
      </c>
      <c r="X469" s="323">
        <f t="shared" ca="1" si="680"/>
        <v>0.16732049561948381</v>
      </c>
      <c r="Y469" s="323">
        <f t="shared" ca="1" si="680"/>
        <v>0.15598080160788919</v>
      </c>
      <c r="Z469" s="323">
        <f t="shared" ca="1" si="680"/>
        <v>0.13891388189480236</v>
      </c>
      <c r="AA469" s="323">
        <f t="shared" ca="1" si="680"/>
        <v>0.12849206704139093</v>
      </c>
      <c r="AB469" s="323">
        <f t="shared" ca="1" si="680"/>
        <v>0.11935370584074012</v>
      </c>
      <c r="AC469" s="323">
        <f t="shared" ca="1" si="680"/>
        <v>0.12967204548436939</v>
      </c>
      <c r="AD469" s="323">
        <f t="shared" ca="1" si="680"/>
        <v>0.11793378605766525</v>
      </c>
      <c r="AE469" s="323"/>
      <c r="AF469" s="573"/>
      <c r="AG469" s="573"/>
      <c r="AH469" s="573"/>
      <c r="AI469" s="573"/>
      <c r="AJ469" s="560">
        <f t="shared" ref="AJ469:CA469" si="681">(AJ468/AF468-1)</f>
        <v>0.34047009115270166</v>
      </c>
      <c r="AK469" s="560">
        <f t="shared" si="681"/>
        <v>0.150762400228863</v>
      </c>
      <c r="AL469" s="560">
        <f t="shared" si="681"/>
        <v>0.11060094148172639</v>
      </c>
      <c r="AM469" s="560">
        <f t="shared" si="681"/>
        <v>0.11300436471685238</v>
      </c>
      <c r="AN469" s="560">
        <f t="shared" si="681"/>
        <v>9.5440586532488325E-2</v>
      </c>
      <c r="AO469" s="560">
        <f t="shared" si="681"/>
        <v>0.23541911748527511</v>
      </c>
      <c r="AP469" s="560">
        <f t="shared" si="681"/>
        <v>0.3531850267615666</v>
      </c>
      <c r="AQ469" s="560">
        <f t="shared" si="681"/>
        <v>0.18550954816045007</v>
      </c>
      <c r="AR469" s="560">
        <f t="shared" si="681"/>
        <v>0.28332215823749785</v>
      </c>
      <c r="AS469" s="560">
        <f t="shared" si="681"/>
        <v>0.25279150643552262</v>
      </c>
      <c r="AT469" s="560">
        <f t="shared" si="681"/>
        <v>0.29948290179243831</v>
      </c>
      <c r="AU469" s="560">
        <f t="shared" si="681"/>
        <v>0.30676245797260049</v>
      </c>
      <c r="AV469" s="560">
        <f t="shared" si="681"/>
        <v>0.33675351695584954</v>
      </c>
      <c r="AW469" s="560">
        <f t="shared" si="681"/>
        <v>0.31221774572174188</v>
      </c>
      <c r="AX469" s="560">
        <f t="shared" si="681"/>
        <v>0.37754776707742388</v>
      </c>
      <c r="AY469" s="560">
        <f t="shared" si="681"/>
        <v>0.44197215174616766</v>
      </c>
      <c r="AZ469" s="560">
        <f t="shared" si="681"/>
        <v>0.48449449838753367</v>
      </c>
      <c r="BA469" s="560">
        <f t="shared" si="681"/>
        <v>0.56983017612175391</v>
      </c>
      <c r="BB469" s="560">
        <f t="shared" si="681"/>
        <v>0.79055354206416539</v>
      </c>
      <c r="BC469" s="560">
        <f t="shared" si="681"/>
        <v>0.55487674041283519</v>
      </c>
      <c r="BD469" s="560">
        <f t="shared" si="681"/>
        <v>0.49656078752437804</v>
      </c>
      <c r="BE469" s="560">
        <f t="shared" si="681"/>
        <v>0.2735844067676525</v>
      </c>
      <c r="BF469" s="560">
        <f t="shared" si="681"/>
        <v>0.18718507794717998</v>
      </c>
      <c r="BG469" s="560">
        <f t="shared" si="681"/>
        <v>0.36870985651624033</v>
      </c>
      <c r="BH469" s="560">
        <f t="shared" si="681"/>
        <v>0.63866923513481089</v>
      </c>
      <c r="BI469" s="560">
        <f t="shared" si="681"/>
        <v>0.80581122689035944</v>
      </c>
      <c r="BJ469" s="560">
        <f t="shared" si="681"/>
        <v>0.70339347734494662</v>
      </c>
      <c r="BK469" s="560">
        <f t="shared" si="681"/>
        <v>0.89836776106807514</v>
      </c>
      <c r="BL469" s="560">
        <f t="shared" si="681"/>
        <v>0.69215149655312036</v>
      </c>
      <c r="BM469" s="560">
        <f t="shared" si="681"/>
        <v>0.41699983018379738</v>
      </c>
      <c r="BN469" s="560">
        <f t="shared" si="681"/>
        <v>0.41236149495299079</v>
      </c>
      <c r="BO469" s="560">
        <f t="shared" si="681"/>
        <v>0.20034968714025547</v>
      </c>
      <c r="BP469" s="560">
        <f t="shared" si="681"/>
        <v>0.92787100522327437</v>
      </c>
      <c r="BQ469" s="560">
        <f t="shared" si="681"/>
        <v>0.91859565232826168</v>
      </c>
      <c r="BR469" s="560">
        <f t="shared" si="681"/>
        <v>0.74225340024849706</v>
      </c>
      <c r="BS469" s="560">
        <f t="shared" si="681"/>
        <v>0.68785407977251234</v>
      </c>
      <c r="BT469" s="560">
        <f t="shared" si="681"/>
        <v>0.3480408544154967</v>
      </c>
      <c r="BU469" s="323">
        <f t="shared" si="681"/>
        <v>0.52815258745872695</v>
      </c>
      <c r="BV469" s="323">
        <f t="shared" si="681"/>
        <v>0.6296625735340966</v>
      </c>
      <c r="BW469" s="323">
        <f t="shared" si="681"/>
        <v>0.42191053597235539</v>
      </c>
      <c r="BX469" s="323">
        <f t="shared" ca="1" si="681"/>
        <v>0.20696534750316942</v>
      </c>
      <c r="BY469" s="323">
        <f t="shared" ca="1" si="681"/>
        <v>0.2330384135080672</v>
      </c>
      <c r="BZ469" s="323">
        <f t="shared" ca="1" si="681"/>
        <v>0.19064793313444794</v>
      </c>
      <c r="CA469" s="323">
        <f t="shared" ca="1" si="681"/>
        <v>0.22805785318700034</v>
      </c>
      <c r="CB469" s="323">
        <f ca="1">(CB468/BX468-1)</f>
        <v>0.21556118997537266</v>
      </c>
      <c r="CC469" s="323">
        <f ca="1">(CC468/BY468-1)</f>
        <v>0.18706983118072174</v>
      </c>
      <c r="CD469" s="323">
        <f ca="1">(CD468/BZ468-1)</f>
        <v>0.12878948314971739</v>
      </c>
      <c r="CE469" s="323">
        <f ca="1">(CE468/CA468-1)</f>
        <v>0.23601298444515217</v>
      </c>
      <c r="CF469" s="62"/>
      <c r="CG469" s="5"/>
      <c r="CH469" s="5"/>
    </row>
    <row r="470" spans="1:96" outlineLevel="1">
      <c r="B470" s="12" t="s">
        <v>83</v>
      </c>
      <c r="C470" s="5"/>
      <c r="D470" s="5"/>
      <c r="E470" s="5"/>
      <c r="F470" s="5"/>
      <c r="G470" s="5"/>
      <c r="H470" s="324"/>
      <c r="I470" s="324"/>
      <c r="J470" s="324"/>
      <c r="K470" s="324"/>
      <c r="L470" s="324"/>
      <c r="M470" s="324"/>
      <c r="N470" s="324"/>
      <c r="O470" s="324"/>
      <c r="P470" s="324"/>
      <c r="Q470" s="324"/>
      <c r="R470" s="324"/>
      <c r="S470" s="324"/>
      <c r="T470" s="324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573"/>
      <c r="AG470" s="560">
        <f t="shared" ref="AG470:CA470" si="682">(AG468/AF468-1)</f>
        <v>0.21990415360784521</v>
      </c>
      <c r="AH470" s="560">
        <f t="shared" si="682"/>
        <v>8.11109954508209E-2</v>
      </c>
      <c r="AI470" s="560">
        <f t="shared" si="682"/>
        <v>0.15024267356625653</v>
      </c>
      <c r="AJ470" s="560">
        <f t="shared" si="682"/>
        <v>-0.11636754597424548</v>
      </c>
      <c r="AK470" s="560">
        <f t="shared" si="682"/>
        <v>4.7259346642897437E-2</v>
      </c>
      <c r="AL470" s="560">
        <f t="shared" si="682"/>
        <v>4.3380361710755322E-2</v>
      </c>
      <c r="AM470" s="560">
        <f t="shared" si="682"/>
        <v>0.15273188446499231</v>
      </c>
      <c r="AN470" s="560">
        <f t="shared" si="682"/>
        <v>-0.13031171808264674</v>
      </c>
      <c r="AO470" s="560">
        <f t="shared" si="682"/>
        <v>0.181081140971038</v>
      </c>
      <c r="AP470" s="560">
        <f t="shared" si="682"/>
        <v>0.1428402415837553</v>
      </c>
      <c r="AQ470" s="560">
        <f t="shared" si="682"/>
        <v>9.8948986841176367E-3</v>
      </c>
      <c r="AR470" s="560">
        <f t="shared" si="682"/>
        <v>-5.8556512956077333E-2</v>
      </c>
      <c r="AS470" s="560">
        <f t="shared" si="682"/>
        <v>0.1529828362441954</v>
      </c>
      <c r="AT470" s="560">
        <f t="shared" si="682"/>
        <v>0.18543376594552541</v>
      </c>
      <c r="AU470" s="560">
        <f t="shared" si="682"/>
        <v>1.55522156375687E-2</v>
      </c>
      <c r="AV470" s="560">
        <f t="shared" si="682"/>
        <v>-3.6949764937668994E-2</v>
      </c>
      <c r="AW470" s="560">
        <f t="shared" si="682"/>
        <v>0.1318201291720924</v>
      </c>
      <c r="AX470" s="560">
        <f t="shared" si="682"/>
        <v>0.2444517250437479</v>
      </c>
      <c r="AY470" s="560">
        <f t="shared" si="682"/>
        <v>6.3046994515717492E-2</v>
      </c>
      <c r="AZ470" s="560">
        <f t="shared" si="682"/>
        <v>-8.550356614297816E-3</v>
      </c>
      <c r="BA470" s="560">
        <f t="shared" si="682"/>
        <v>0.19688243684722595</v>
      </c>
      <c r="BB470" s="560">
        <f t="shared" si="682"/>
        <v>0.41942579401157043</v>
      </c>
      <c r="BC470" s="560">
        <f t="shared" si="682"/>
        <v>-7.6873711448597892E-2</v>
      </c>
      <c r="BD470" s="560">
        <f t="shared" si="682"/>
        <v>-4.5734867252489764E-2</v>
      </c>
      <c r="BE470" s="560">
        <f t="shared" si="682"/>
        <v>1.8555892289718434E-2</v>
      </c>
      <c r="BF470" s="560">
        <f t="shared" si="682"/>
        <v>0.32313265846328076</v>
      </c>
      <c r="BG470" s="560">
        <f t="shared" si="682"/>
        <v>6.4275548454774345E-2</v>
      </c>
      <c r="BH470" s="560">
        <f t="shared" si="682"/>
        <v>0.14248093396164352</v>
      </c>
      <c r="BI470" s="560">
        <f t="shared" si="682"/>
        <v>0.12244718218608841</v>
      </c>
      <c r="BJ470" s="560">
        <f t="shared" si="682"/>
        <v>0.2480903355383075</v>
      </c>
      <c r="BK470" s="560">
        <f t="shared" si="682"/>
        <v>0.18609494338837851</v>
      </c>
      <c r="BL470" s="560">
        <f t="shared" si="682"/>
        <v>1.8375291570954966E-2</v>
      </c>
      <c r="BM470" s="560">
        <f t="shared" si="682"/>
        <v>-6.006792548551243E-2</v>
      </c>
      <c r="BN470" s="560">
        <f t="shared" si="682"/>
        <v>0.24400490006312769</v>
      </c>
      <c r="BO470" s="560">
        <f t="shared" si="682"/>
        <v>8.048363894448185E-3</v>
      </c>
      <c r="BP470" s="560">
        <f t="shared" si="682"/>
        <v>0.63560353960923677</v>
      </c>
      <c r="BQ470" s="560">
        <f t="shared" si="682"/>
        <v>-6.4590116889834848E-2</v>
      </c>
      <c r="BR470" s="560">
        <f t="shared" si="682"/>
        <v>0.12966573463805053</v>
      </c>
      <c r="BS470" s="560">
        <f t="shared" si="682"/>
        <v>-2.3426475526134749E-2</v>
      </c>
      <c r="BT470" s="560">
        <f t="shared" si="682"/>
        <v>0.30630984007635043</v>
      </c>
      <c r="BU470" s="323">
        <f t="shared" si="682"/>
        <v>6.0389993765482597E-2</v>
      </c>
      <c r="BV470" s="323">
        <f t="shared" si="682"/>
        <v>0.20470559252529696</v>
      </c>
      <c r="BW470" s="323">
        <f t="shared" si="682"/>
        <v>-0.14792165804623059</v>
      </c>
      <c r="BX470" s="323">
        <f t="shared" ca="1" si="682"/>
        <v>0.10883960009226312</v>
      </c>
      <c r="BY470" s="323">
        <f t="shared" ca="1" si="682"/>
        <v>8.3296714621698298E-2</v>
      </c>
      <c r="BZ470" s="323">
        <f t="shared" ca="1" si="682"/>
        <v>0.16328916282085548</v>
      </c>
      <c r="CA470" s="323">
        <f t="shared" ca="1" si="682"/>
        <v>-0.12114952686964842</v>
      </c>
      <c r="CB470" s="323">
        <f ca="1">(CB468/CA468-1)</f>
        <v>9.7556096630184053E-2</v>
      </c>
      <c r="CC470" s="323">
        <f ca="1">(CC468/CB468-1)</f>
        <v>5.7905483286006643E-2</v>
      </c>
      <c r="CD470" s="323">
        <f ca="1">(CD468/CC468-1)</f>
        <v>0.10617634983456226</v>
      </c>
      <c r="CE470" s="323">
        <f ca="1">(CE468/CD468-1)</f>
        <v>-3.7667685258897743E-2</v>
      </c>
      <c r="CF470" s="62"/>
      <c r="CG470" s="5"/>
      <c r="CH470" s="5"/>
    </row>
    <row r="471" spans="1:96" outlineLevel="1">
      <c r="B471" s="12" t="s">
        <v>269</v>
      </c>
      <c r="C471" s="5"/>
      <c r="D471" s="5"/>
      <c r="E471" s="5"/>
      <c r="F471" s="5"/>
      <c r="G471" s="5"/>
      <c r="H471" s="324"/>
      <c r="I471" s="324">
        <f>-I466/Rev_Gross*100</f>
        <v>-5.565549354203025</v>
      </c>
      <c r="J471" s="324">
        <f>-J466/Rev_Gross*100</f>
        <v>-3.3839627166082566</v>
      </c>
      <c r="K471" s="324">
        <f>-K466/Rev_Gross*100</f>
        <v>-2.6004403788654389</v>
      </c>
      <c r="L471" s="324">
        <f>-L466/Rev_Gross*100</f>
        <v>-1.9137466971272041</v>
      </c>
      <c r="M471" s="324">
        <f>-M466/Rev_Gross*100</f>
        <v>-1.2298621977605542</v>
      </c>
      <c r="N471" s="323">
        <f>-N466/Rev_Gross</f>
        <v>-1.0302589617840603E-4</v>
      </c>
      <c r="O471" s="323">
        <f>-O466/Rev_Gross</f>
        <v>-9.0484564817351089E-5</v>
      </c>
      <c r="P471" s="323">
        <f>-P466/Rev_Gross</f>
        <v>-7.0232013156157791E-5</v>
      </c>
      <c r="Q471" s="323">
        <f>-Q466/Rev_Gross</f>
        <v>-5.2782946954966336E-5</v>
      </c>
      <c r="R471" s="323">
        <f t="shared" ref="R471:AD471" si="683">-R468/Rev_Gross</f>
        <v>0.26288856099189006</v>
      </c>
      <c r="S471" s="323">
        <f t="shared" si="683"/>
        <v>0.27634231995421893</v>
      </c>
      <c r="T471" s="323">
        <f>-T468/Rev_Gross</f>
        <v>0.30056734448036915</v>
      </c>
      <c r="U471" s="323">
        <f t="shared" ca="1" si="683"/>
        <v>0.30675038568426299</v>
      </c>
      <c r="V471" s="323">
        <f t="shared" ca="1" si="683"/>
        <v>0.29023525208789819</v>
      </c>
      <c r="W471" s="323">
        <f t="shared" ca="1" si="683"/>
        <v>0.28164761078221734</v>
      </c>
      <c r="X471" s="323">
        <f t="shared" ca="1" si="683"/>
        <v>0.27305996947653638</v>
      </c>
      <c r="Y471" s="323">
        <f t="shared" ca="1" si="683"/>
        <v>0.26447232817085548</v>
      </c>
      <c r="Z471" s="323">
        <f t="shared" ca="1" si="683"/>
        <v>0.26017850751801502</v>
      </c>
      <c r="AA471" s="323">
        <f t="shared" ca="1" si="683"/>
        <v>0.25588468686517457</v>
      </c>
      <c r="AB471" s="323">
        <f t="shared" ca="1" si="683"/>
        <v>0.25159086621233406</v>
      </c>
      <c r="AC471" s="323">
        <f t="shared" ca="1" si="683"/>
        <v>0.25159086621233406</v>
      </c>
      <c r="AD471" s="323">
        <f t="shared" ca="1" si="683"/>
        <v>0.25159086621233412</v>
      </c>
      <c r="AE471" s="323"/>
      <c r="AF471" s="560">
        <f t="shared" ref="AF471:BK471" si="684">-AF466/Rev_Gross</f>
        <v>-1.7251377905202431E-3</v>
      </c>
      <c r="AG471" s="560">
        <f t="shared" si="684"/>
        <v>-1.4067306353761806E-3</v>
      </c>
      <c r="AH471" s="560">
        <f t="shared" si="684"/>
        <v>-1.2424788947314892E-3</v>
      </c>
      <c r="AI471" s="560">
        <f t="shared" si="684"/>
        <v>-1.162793316077045E-3</v>
      </c>
      <c r="AJ471" s="560">
        <f t="shared" si="684"/>
        <v>-1.10861242256991E-3</v>
      </c>
      <c r="AK471" s="560">
        <f t="shared" si="684"/>
        <v>-1.0108783934175965E-3</v>
      </c>
      <c r="AL471" s="560">
        <f t="shared" si="684"/>
        <v>-1.010104103161754E-3</v>
      </c>
      <c r="AM471" s="560">
        <f t="shared" si="684"/>
        <v>-1.0313694802277309E-3</v>
      </c>
      <c r="AN471" s="560">
        <f t="shared" si="684"/>
        <v>-9.409433218449981E-4</v>
      </c>
      <c r="AO471" s="560">
        <f t="shared" si="684"/>
        <v>-7.9754412032007787E-4</v>
      </c>
      <c r="AP471" s="560">
        <f t="shared" si="684"/>
        <v>-7.2565278209880035E-4</v>
      </c>
      <c r="AQ471" s="560">
        <f t="shared" si="684"/>
        <v>-6.5356279701722034E-4</v>
      </c>
      <c r="AR471" s="560">
        <f t="shared" si="684"/>
        <v>-5.7491471926391215E-4</v>
      </c>
      <c r="AS471" s="560">
        <f t="shared" si="684"/>
        <v>-5.0201650054559107E-4</v>
      </c>
      <c r="AT471" s="560">
        <f t="shared" si="684"/>
        <v>-4.4232505826478674E-4</v>
      </c>
      <c r="AU471" s="560">
        <f t="shared" si="684"/>
        <v>-4.6734604957139977E-4</v>
      </c>
      <c r="AV471" s="560">
        <f t="shared" si="684"/>
        <v>-4.5420958452890419E-4</v>
      </c>
      <c r="AW471" s="560">
        <f t="shared" si="684"/>
        <v>-4.2565995894681892E-4</v>
      </c>
      <c r="AX471" s="560">
        <f t="shared" si="684"/>
        <v>-3.765512051547932E-4</v>
      </c>
      <c r="AY471" s="560">
        <f t="shared" si="684"/>
        <v>-3.9762039953004133E-4</v>
      </c>
      <c r="AZ471" s="560">
        <f t="shared" si="684"/>
        <v>-3.7445423884648093E-4</v>
      </c>
      <c r="BA471" s="560">
        <f t="shared" si="684"/>
        <v>-3.7333735351782114E-4</v>
      </c>
      <c r="BB471" s="560">
        <f t="shared" si="684"/>
        <v>-3.480770221132275E-4</v>
      </c>
      <c r="BC471" s="560">
        <f t="shared" si="684"/>
        <v>-3.4521472572166749E-4</v>
      </c>
      <c r="BD471" s="560">
        <f t="shared" si="684"/>
        <v>-3.1272540288499053E-4</v>
      </c>
      <c r="BE471" s="560">
        <f t="shared" si="684"/>
        <v>-2.7772842390071822E-4</v>
      </c>
      <c r="BF471" s="560">
        <f t="shared" si="684"/>
        <v>-2.5060009763214647E-4</v>
      </c>
      <c r="BG471" s="560">
        <f t="shared" si="684"/>
        <v>-2.8523974021317847E-4</v>
      </c>
      <c r="BH471" s="560">
        <f t="shared" si="684"/>
        <v>-2.4186914619681577E-4</v>
      </c>
      <c r="BI471" s="560">
        <f t="shared" si="684"/>
        <v>-2.2850679517817169E-4</v>
      </c>
      <c r="BJ471" s="560">
        <f t="shared" si="684"/>
        <v>-1.8228820609297086E-4</v>
      </c>
      <c r="BK471" s="560">
        <f t="shared" si="684"/>
        <v>-2.0225975649914115E-4</v>
      </c>
      <c r="BL471" s="560">
        <f t="shared" ref="BL471:CA471" si="685">-BL468/Rev_Gross</f>
        <v>0.2884908117969639</v>
      </c>
      <c r="BM471" s="560">
        <f t="shared" si="685"/>
        <v>0.24855861771556403</v>
      </c>
      <c r="BN471" s="560">
        <f t="shared" si="685"/>
        <v>0.24560419902179761</v>
      </c>
      <c r="BO471" s="560">
        <f t="shared" si="685"/>
        <v>0.2739836445838591</v>
      </c>
      <c r="BP471" s="560">
        <f t="shared" si="685"/>
        <v>0.30890098758341999</v>
      </c>
      <c r="BQ471" s="560">
        <f t="shared" si="685"/>
        <v>0.27983660977636715</v>
      </c>
      <c r="BR471" s="560">
        <f t="shared" si="685"/>
        <v>0.2533523897186325</v>
      </c>
      <c r="BS471" s="560">
        <f t="shared" si="685"/>
        <v>0.27078113974604562</v>
      </c>
      <c r="BT471" s="560">
        <f t="shared" si="685"/>
        <v>0.29867450249966254</v>
      </c>
      <c r="BU471" s="323">
        <f t="shared" si="685"/>
        <v>0.30062028084890635</v>
      </c>
      <c r="BV471" s="323">
        <f>-BV468/Rev_Gross</f>
        <v>0.29409668720471938</v>
      </c>
      <c r="BW471" s="323">
        <f>-BW468/Rev_Gross</f>
        <v>0.31033419282402946</v>
      </c>
      <c r="BX471" s="323">
        <f t="shared" ca="1" si="685"/>
        <v>0.3275629760558752</v>
      </c>
      <c r="BY471" s="323">
        <f t="shared" ca="1" si="685"/>
        <v>0.31746763154889085</v>
      </c>
      <c r="BZ471" s="323">
        <f t="shared" ca="1" si="685"/>
        <v>0.29712452704190639</v>
      </c>
      <c r="CA471" s="323">
        <f t="shared" ca="1" si="685"/>
        <v>0.29116512482444018</v>
      </c>
      <c r="CB471" s="323">
        <f ca="1">-CB468/Rev_Gross</f>
        <v>0.29285462704190646</v>
      </c>
      <c r="CC471" s="323">
        <f ca="1">-CC468/Rev_Gross</f>
        <v>0.28858472704190641</v>
      </c>
      <c r="CD471" s="323">
        <f ca="1">-CD468/Rev_Gross</f>
        <v>0.28004492704190642</v>
      </c>
      <c r="CE471" s="323">
        <f ca="1">-CE468/Rev_Gross</f>
        <v>0.30083764840870542</v>
      </c>
      <c r="CF471" s="62"/>
      <c r="CG471" s="5"/>
      <c r="CH471" s="5"/>
    </row>
    <row r="472" spans="1:96" outlineLevel="1" collapsed="1">
      <c r="B472" s="12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492"/>
      <c r="AG472" s="492"/>
      <c r="AH472" s="492"/>
      <c r="AI472" s="492"/>
      <c r="AJ472" s="492"/>
      <c r="AK472" s="492"/>
      <c r="AL472" s="492"/>
      <c r="AM472" s="492"/>
      <c r="AN472" s="492"/>
      <c r="AO472" s="492"/>
      <c r="AP472" s="492"/>
      <c r="AQ472" s="492"/>
      <c r="AR472" s="492"/>
      <c r="AS472" s="492"/>
      <c r="AT472" s="492"/>
      <c r="AU472" s="492"/>
      <c r="AV472" s="492"/>
      <c r="AW472" s="492"/>
      <c r="AX472" s="492"/>
      <c r="AY472" s="492"/>
      <c r="AZ472" s="492"/>
      <c r="BA472" s="492"/>
      <c r="BB472" s="492"/>
      <c r="BC472" s="492"/>
      <c r="BD472" s="492"/>
      <c r="BE472" s="492"/>
      <c r="BF472" s="492"/>
      <c r="BG472" s="492"/>
      <c r="BH472" s="492"/>
      <c r="BI472" s="492"/>
      <c r="BJ472" s="492"/>
      <c r="BK472" s="492"/>
      <c r="BL472" s="492"/>
      <c r="BM472" s="492"/>
      <c r="BN472" s="492"/>
      <c r="BO472" s="492"/>
      <c r="BP472" s="492"/>
      <c r="BQ472" s="492"/>
      <c r="BR472" s="492"/>
      <c r="BS472" s="492"/>
      <c r="BT472" s="492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7"/>
      <c r="CG472" s="5"/>
      <c r="CH472" s="5"/>
    </row>
    <row r="473" spans="1:96" hidden="1" outlineLevel="2">
      <c r="B473" s="12" t="s">
        <v>471</v>
      </c>
      <c r="C473" s="6"/>
      <c r="D473" s="6"/>
      <c r="E473" s="6"/>
      <c r="F473" s="6"/>
      <c r="G473" s="6"/>
      <c r="H473" s="6"/>
      <c r="I473" s="6"/>
      <c r="J473" s="6"/>
      <c r="K473" s="10">
        <v>49.033161999999997</v>
      </c>
      <c r="L473" s="10">
        <v>56.007643999999999</v>
      </c>
      <c r="M473" s="10">
        <v>98.489080000000001</v>
      </c>
      <c r="N473" s="10">
        <v>163.32400000000001</v>
      </c>
      <c r="O473" s="10">
        <v>276</v>
      </c>
      <c r="P473" s="10">
        <v>538</v>
      </c>
      <c r="Q473" s="10">
        <f>1200</f>
        <v>1200</v>
      </c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492"/>
      <c r="AG473" s="492"/>
      <c r="AH473" s="492"/>
      <c r="AI473" s="492"/>
      <c r="AJ473" s="492"/>
      <c r="AK473" s="492"/>
      <c r="AL473" s="492"/>
      <c r="AM473" s="492"/>
      <c r="AN473" s="492"/>
      <c r="AO473" s="492"/>
      <c r="AP473" s="492"/>
      <c r="AQ473" s="492"/>
      <c r="AR473" s="492"/>
      <c r="AS473" s="492"/>
      <c r="AT473" s="492"/>
      <c r="AU473" s="492"/>
      <c r="AV473" s="492"/>
      <c r="AW473" s="492"/>
      <c r="AX473" s="492"/>
      <c r="AY473" s="492"/>
      <c r="AZ473" s="492"/>
      <c r="BA473" s="492"/>
      <c r="BB473" s="492"/>
      <c r="BC473" s="492"/>
      <c r="BD473" s="492"/>
      <c r="BE473" s="492"/>
      <c r="BF473" s="492"/>
      <c r="BG473" s="492"/>
      <c r="BH473" s="492"/>
      <c r="BI473" s="492"/>
      <c r="BJ473" s="492"/>
      <c r="BK473" s="492"/>
      <c r="BL473" s="492"/>
      <c r="BM473" s="492"/>
      <c r="BN473" s="492"/>
      <c r="BO473" s="492"/>
      <c r="BP473" s="492"/>
      <c r="BQ473" s="492"/>
      <c r="BR473" s="492"/>
      <c r="BS473" s="492"/>
      <c r="BT473" s="492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7"/>
      <c r="CG473" s="5"/>
      <c r="CH473" s="5"/>
    </row>
    <row r="474" spans="1:96" hidden="1" outlineLevel="2">
      <c r="B474" s="12" t="s">
        <v>82</v>
      </c>
      <c r="C474" s="6"/>
      <c r="D474" s="6"/>
      <c r="E474" s="6"/>
      <c r="F474" s="6"/>
      <c r="G474" s="6"/>
      <c r="H474" s="6"/>
      <c r="I474" s="6"/>
      <c r="J474" s="6"/>
      <c r="K474" s="126"/>
      <c r="L474" s="126">
        <f t="shared" ref="L474:Q474" si="686">(L473/K473-1)*1</f>
        <v>0.14224010272884313</v>
      </c>
      <c r="M474" s="126">
        <f t="shared" si="686"/>
        <v>0.75849353706076261</v>
      </c>
      <c r="N474" s="323">
        <f t="shared" si="686"/>
        <v>0.65829551865039271</v>
      </c>
      <c r="O474" s="323">
        <f t="shared" si="686"/>
        <v>0.68989248365212696</v>
      </c>
      <c r="P474" s="323">
        <f t="shared" si="686"/>
        <v>0.94927536231884058</v>
      </c>
      <c r="Q474" s="323">
        <f t="shared" si="686"/>
        <v>1.2304832713754648</v>
      </c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492"/>
      <c r="AG474" s="492"/>
      <c r="AH474" s="492"/>
      <c r="AI474" s="492"/>
      <c r="AJ474" s="492"/>
      <c r="AK474" s="492"/>
      <c r="AL474" s="492"/>
      <c r="AM474" s="492"/>
      <c r="AN474" s="492"/>
      <c r="AO474" s="492"/>
      <c r="AP474" s="492"/>
      <c r="AQ474" s="492"/>
      <c r="AR474" s="492"/>
      <c r="AS474" s="492"/>
      <c r="AT474" s="492"/>
      <c r="AU474" s="492"/>
      <c r="AV474" s="492"/>
      <c r="AW474" s="492"/>
      <c r="AX474" s="492"/>
      <c r="AY474" s="492"/>
      <c r="AZ474" s="492"/>
      <c r="BA474" s="492"/>
      <c r="BB474" s="492"/>
      <c r="BC474" s="492"/>
      <c r="BD474" s="492"/>
      <c r="BE474" s="492"/>
      <c r="BF474" s="492"/>
      <c r="BG474" s="492"/>
      <c r="BH474" s="492"/>
      <c r="BI474" s="492"/>
      <c r="BJ474" s="492"/>
      <c r="BK474" s="492"/>
      <c r="BL474" s="492"/>
      <c r="BM474" s="492"/>
      <c r="BN474" s="492"/>
      <c r="BO474" s="492"/>
      <c r="BP474" s="492"/>
      <c r="BQ474" s="492"/>
      <c r="BR474" s="492"/>
      <c r="BS474" s="492"/>
      <c r="BT474" s="492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7"/>
      <c r="CG474" s="5"/>
      <c r="CH474" s="5"/>
    </row>
    <row r="475" spans="1:96" hidden="1" outlineLevel="2">
      <c r="B475" s="12" t="s">
        <v>472</v>
      </c>
      <c r="C475" s="6"/>
      <c r="D475" s="6"/>
      <c r="E475" s="6"/>
      <c r="F475" s="6"/>
      <c r="G475" s="6"/>
      <c r="H475" s="6"/>
      <c r="I475" s="6"/>
      <c r="J475" s="6"/>
      <c r="K475" s="6">
        <f>K473/Rev_Net*100</f>
        <v>3.3089728956827025</v>
      </c>
      <c r="L475" s="6">
        <f>L473/Rev_Net*100</f>
        <v>2.8172763101112519</v>
      </c>
      <c r="M475" s="6">
        <f>M473/Rev_Net*100</f>
        <v>3.4182956744931952</v>
      </c>
      <c r="N475" s="323">
        <f>N473/Rev_Net</f>
        <v>4.6689550816664808E-2</v>
      </c>
      <c r="O475" s="323">
        <f>O473/Rev_Net</f>
        <v>6.6365437329023294E-2</v>
      </c>
      <c r="P475" s="323">
        <f>P473/Rev_Net</f>
        <v>9.9874775187589512E-2</v>
      </c>
      <c r="Q475" s="323">
        <f>Q473/Rev_Net</f>
        <v>0.1633337870015471</v>
      </c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492"/>
      <c r="AG475" s="492"/>
      <c r="AH475" s="492"/>
      <c r="AI475" s="492"/>
      <c r="AJ475" s="492"/>
      <c r="AK475" s="492"/>
      <c r="AL475" s="492"/>
      <c r="AM475" s="492"/>
      <c r="AN475" s="492"/>
      <c r="AO475" s="492"/>
      <c r="AP475" s="492"/>
      <c r="AQ475" s="492"/>
      <c r="AR475" s="492"/>
      <c r="AS475" s="492"/>
      <c r="AT475" s="492"/>
      <c r="AU475" s="492"/>
      <c r="AV475" s="492"/>
      <c r="AW475" s="492"/>
      <c r="AX475" s="492"/>
      <c r="AY475" s="492"/>
      <c r="AZ475" s="492"/>
      <c r="BA475" s="492"/>
      <c r="BB475" s="492"/>
      <c r="BC475" s="492"/>
      <c r="BD475" s="492"/>
      <c r="BE475" s="492"/>
      <c r="BF475" s="492"/>
      <c r="BG475" s="492"/>
      <c r="BH475" s="492"/>
      <c r="BI475" s="492"/>
      <c r="BJ475" s="492"/>
      <c r="BK475" s="492"/>
      <c r="BL475" s="492"/>
      <c r="BM475" s="492"/>
      <c r="BN475" s="492"/>
      <c r="BO475" s="492"/>
      <c r="BP475" s="492"/>
      <c r="BQ475" s="492"/>
      <c r="BR475" s="492"/>
      <c r="BS475" s="492"/>
      <c r="BT475" s="492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7"/>
      <c r="CG475" s="5"/>
      <c r="CH475" s="5"/>
    </row>
    <row r="476" spans="1:96" hidden="1" outlineLevel="2">
      <c r="B476" s="12" t="s">
        <v>470</v>
      </c>
      <c r="C476" s="6"/>
      <c r="D476" s="6"/>
      <c r="E476" s="6"/>
      <c r="F476" s="6"/>
      <c r="G476" s="6"/>
      <c r="H476" s="6"/>
      <c r="I476" s="6"/>
      <c r="J476" s="6"/>
      <c r="K476" s="6">
        <f>K473/GP*100</f>
        <v>4.2445098535412784</v>
      </c>
      <c r="L476" s="6">
        <f>L473/GP*100</f>
        <v>3.6430010470800087</v>
      </c>
      <c r="M476" s="6">
        <f>M473/GP*100</f>
        <v>4.3657045935480543</v>
      </c>
      <c r="N476" s="323">
        <f>N473/GP</f>
        <v>6.0648621852643296E-2</v>
      </c>
      <c r="O476" s="323">
        <f>O473/GP</f>
        <v>8.8433190068703094E-2</v>
      </c>
      <c r="P476" s="323">
        <f>P473/GP</f>
        <v>0.13450072378201985</v>
      </c>
      <c r="Q476" s="323">
        <f>Q473/GP</f>
        <v>0.22873210934923666</v>
      </c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492"/>
      <c r="AG476" s="492"/>
      <c r="AH476" s="492"/>
      <c r="AI476" s="492"/>
      <c r="AJ476" s="492"/>
      <c r="AK476" s="492"/>
      <c r="AL476" s="492"/>
      <c r="AM476" s="492"/>
      <c r="AN476" s="492"/>
      <c r="AO476" s="492"/>
      <c r="AP476" s="492"/>
      <c r="AQ476" s="492"/>
      <c r="AR476" s="492"/>
      <c r="AS476" s="492"/>
      <c r="AT476" s="492"/>
      <c r="AU476" s="492"/>
      <c r="AV476" s="492"/>
      <c r="AW476" s="492"/>
      <c r="AX476" s="492"/>
      <c r="AY476" s="492"/>
      <c r="AZ476" s="492"/>
      <c r="BA476" s="492"/>
      <c r="BB476" s="492"/>
      <c r="BC476" s="492"/>
      <c r="BD476" s="492"/>
      <c r="BE476" s="492"/>
      <c r="BF476" s="492"/>
      <c r="BG476" s="492"/>
      <c r="BH476" s="492"/>
      <c r="BI476" s="492"/>
      <c r="BJ476" s="492"/>
      <c r="BK476" s="492"/>
      <c r="BL476" s="492"/>
      <c r="BM476" s="492"/>
      <c r="BN476" s="492"/>
      <c r="BO476" s="492"/>
      <c r="BP476" s="492"/>
      <c r="BQ476" s="492"/>
      <c r="BR476" s="492"/>
      <c r="BS476" s="492"/>
      <c r="BT476" s="492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7"/>
      <c r="CG476" s="5"/>
      <c r="CH476" s="5"/>
    </row>
    <row r="477" spans="1:96" hidden="1" outlineLevel="2">
      <c r="B477" s="12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492"/>
      <c r="AG477" s="492"/>
      <c r="AH477" s="492"/>
      <c r="AI477" s="492"/>
      <c r="AJ477" s="492"/>
      <c r="AK477" s="492"/>
      <c r="AL477" s="492"/>
      <c r="AM477" s="492"/>
      <c r="AN477" s="492"/>
      <c r="AO477" s="492"/>
      <c r="AP477" s="492"/>
      <c r="AQ477" s="492"/>
      <c r="AR477" s="492"/>
      <c r="AS477" s="492"/>
      <c r="AT477" s="492"/>
      <c r="AU477" s="492"/>
      <c r="AV477" s="492"/>
      <c r="AW477" s="492"/>
      <c r="AX477" s="492"/>
      <c r="AY477" s="492"/>
      <c r="AZ477" s="492"/>
      <c r="BA477" s="492"/>
      <c r="BB477" s="492"/>
      <c r="BC477" s="492"/>
      <c r="BD477" s="492"/>
      <c r="BE477" s="492"/>
      <c r="BF477" s="492"/>
      <c r="BG477" s="492"/>
      <c r="BH477" s="492"/>
      <c r="BI477" s="492"/>
      <c r="BJ477" s="492"/>
      <c r="BK477" s="492"/>
      <c r="BL477" s="492"/>
      <c r="BM477" s="492"/>
      <c r="BN477" s="492"/>
      <c r="BO477" s="492"/>
      <c r="BP477" s="492"/>
      <c r="BQ477" s="492"/>
      <c r="BR477" s="492"/>
      <c r="BS477" s="492"/>
      <c r="BT477" s="492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7"/>
      <c r="CG477" s="5"/>
      <c r="CH477" s="5"/>
    </row>
    <row r="478" spans="1:96" outlineLevel="1">
      <c r="A478" s="3" t="s">
        <v>484</v>
      </c>
      <c r="B478" s="143" t="s">
        <v>24</v>
      </c>
      <c r="C478" s="222">
        <f t="shared" ref="C478:R478" si="687">Exp_GA</f>
        <v>-11.677102999999999</v>
      </c>
      <c r="D478" s="222">
        <f t="shared" si="687"/>
        <v>-14.836366999999999</v>
      </c>
      <c r="E478" s="222">
        <f t="shared" si="687"/>
        <v>-16.164277000000002</v>
      </c>
      <c r="F478" s="222">
        <f t="shared" si="687"/>
        <v>-20.774211999999999</v>
      </c>
      <c r="G478" s="222">
        <f t="shared" si="687"/>
        <v>-38.359482999999997</v>
      </c>
      <c r="H478" s="222">
        <f t="shared" si="687"/>
        <v>-42.892499999999998</v>
      </c>
      <c r="I478" s="222">
        <f t="shared" si="687"/>
        <v>-93.173911000000004</v>
      </c>
      <c r="J478" s="222">
        <f t="shared" si="687"/>
        <v>-137.94375600000001</v>
      </c>
      <c r="K478" s="572">
        <f t="shared" si="687"/>
        <v>-171.693601</v>
      </c>
      <c r="L478" s="572">
        <f t="shared" si="687"/>
        <v>-196.297316</v>
      </c>
      <c r="M478" s="572">
        <f t="shared" si="687"/>
        <v>-294.701167</v>
      </c>
      <c r="N478" s="572">
        <f t="shared" si="687"/>
        <v>-400.87562100000002</v>
      </c>
      <c r="O478" s="572">
        <f t="shared" si="687"/>
        <v>-570.48745699999995</v>
      </c>
      <c r="P478" s="572">
        <f t="shared" si="687"/>
        <v>-646.40487900000005</v>
      </c>
      <c r="Q478" s="572">
        <f t="shared" si="687"/>
        <v>-861.55062799999996</v>
      </c>
      <c r="R478" s="572">
        <f t="shared" si="687"/>
        <v>-1088.4024079999999</v>
      </c>
      <c r="S478" s="572">
        <f>Exp_GA</f>
        <v>-2518.8191700000002</v>
      </c>
      <c r="T478" s="572">
        <f>Exp_GA</f>
        <v>-2621.8323810000002</v>
      </c>
      <c r="U478" s="224">
        <f t="shared" ref="U478:AD478" ca="1" si="688">U483*U$438</f>
        <v>-3178.7432780693684</v>
      </c>
      <c r="V478" s="224">
        <f t="shared" ca="1" si="688"/>
        <v>-3776.1806793511209</v>
      </c>
      <c r="W478" s="224">
        <f t="shared" ca="1" si="688"/>
        <v>-4481.0133544499859</v>
      </c>
      <c r="X478" s="224">
        <f t="shared" ca="1" si="688"/>
        <v>-5234.2316253211147</v>
      </c>
      <c r="Y478" s="224">
        <f t="shared" ca="1" si="688"/>
        <v>-6054.9219645372386</v>
      </c>
      <c r="Z478" s="224">
        <f t="shared" ca="1" si="688"/>
        <v>-6898.575110196628</v>
      </c>
      <c r="AA478" s="224">
        <f t="shared" ca="1" si="688"/>
        <v>-7787.9503553603618</v>
      </c>
      <c r="AB478" s="224">
        <f t="shared" ca="1" si="688"/>
        <v>-8720.9010250243227</v>
      </c>
      <c r="AC478" s="224">
        <f t="shared" ca="1" si="688"/>
        <v>-9851.7580994059608</v>
      </c>
      <c r="AD478" s="224">
        <f t="shared" ca="1" si="688"/>
        <v>-11013.613231393172</v>
      </c>
      <c r="AE478" s="224"/>
      <c r="AF478" s="572">
        <f t="shared" ref="AF478:BW478" si="689">Exp_GA</f>
        <v>-30.166713999999999</v>
      </c>
      <c r="AG478" s="572">
        <f t="shared" si="689"/>
        <v>-35.065801999999998</v>
      </c>
      <c r="AH478" s="572">
        <f t="shared" si="689"/>
        <v>-36.269362000000001</v>
      </c>
      <c r="AI478" s="572">
        <f t="shared" si="689"/>
        <v>-36.441878000000003</v>
      </c>
      <c r="AJ478" s="572">
        <f t="shared" si="689"/>
        <v>-42.723132999999997</v>
      </c>
      <c r="AK478" s="572">
        <f t="shared" si="689"/>
        <v>-42.902709000000002</v>
      </c>
      <c r="AL478" s="572">
        <f t="shared" si="689"/>
        <v>-44.819505999999997</v>
      </c>
      <c r="AM478" s="572">
        <f t="shared" si="689"/>
        <v>-41.248252999999998</v>
      </c>
      <c r="AN478" s="572">
        <f t="shared" si="689"/>
        <v>-41.321278</v>
      </c>
      <c r="AO478" s="572">
        <f t="shared" si="689"/>
        <v>-45.444456000000002</v>
      </c>
      <c r="AP478" s="572">
        <f t="shared" si="689"/>
        <v>-47.188825000000001</v>
      </c>
      <c r="AQ478" s="572">
        <f t="shared" si="689"/>
        <v>-62.342756999999999</v>
      </c>
      <c r="AR478" s="572">
        <f t="shared" si="689"/>
        <v>-66.741488000000004</v>
      </c>
      <c r="AS478" s="572">
        <f t="shared" si="689"/>
        <v>-70.629317</v>
      </c>
      <c r="AT478" s="572">
        <f t="shared" si="689"/>
        <v>-79.623531</v>
      </c>
      <c r="AU478" s="572">
        <f t="shared" si="689"/>
        <v>-77.706830999999994</v>
      </c>
      <c r="AV478" s="572">
        <f t="shared" si="689"/>
        <v>-82.145927999999998</v>
      </c>
      <c r="AW478" s="572">
        <f t="shared" si="689"/>
        <v>-96.617795000000001</v>
      </c>
      <c r="AX478" s="572">
        <f t="shared" si="689"/>
        <v>-108.847827</v>
      </c>
      <c r="AY478" s="572">
        <f t="shared" si="689"/>
        <v>-113.264071</v>
      </c>
      <c r="AZ478" s="572">
        <f t="shared" si="689"/>
        <v>-128.674249</v>
      </c>
      <c r="BA478" s="572">
        <f t="shared" si="689"/>
        <v>-138.82637800000001</v>
      </c>
      <c r="BB478" s="572">
        <f t="shared" si="689"/>
        <v>-151.107619</v>
      </c>
      <c r="BC478" s="572">
        <f t="shared" si="689"/>
        <v>-151.879211</v>
      </c>
      <c r="BD478" s="572">
        <f t="shared" si="689"/>
        <v>-161.29276100000001</v>
      </c>
      <c r="BE478" s="572">
        <f t="shared" si="689"/>
        <v>-158.70809499999999</v>
      </c>
      <c r="BF478" s="572">
        <f t="shared" si="689"/>
        <v>-172.34882500000001</v>
      </c>
      <c r="BG478" s="572">
        <f t="shared" si="689"/>
        <v>-154.05519799999999</v>
      </c>
      <c r="BH478" s="572">
        <f t="shared" si="689"/>
        <v>-191.227092</v>
      </c>
      <c r="BI478" s="572">
        <f t="shared" si="689"/>
        <v>-194.20367300000001</v>
      </c>
      <c r="BJ478" s="572">
        <f t="shared" si="689"/>
        <v>-241.91647599999999</v>
      </c>
      <c r="BK478" s="572">
        <f t="shared" si="689"/>
        <v>-234.20338699999999</v>
      </c>
      <c r="BL478" s="572">
        <f t="shared" si="689"/>
        <v>-259.48613799999998</v>
      </c>
      <c r="BM478" s="572">
        <f t="shared" si="689"/>
        <v>-261.01016800000002</v>
      </c>
      <c r="BN478" s="572">
        <f t="shared" si="689"/>
        <v>-261.39578</v>
      </c>
      <c r="BO478" s="572">
        <f t="shared" si="689"/>
        <v>-306.51032199999997</v>
      </c>
      <c r="BP478" s="572">
        <f t="shared" si="689"/>
        <v>-929.19185700000003</v>
      </c>
      <c r="BQ478" s="572">
        <f t="shared" si="689"/>
        <v>-510.10776900000002</v>
      </c>
      <c r="BR478" s="572">
        <f t="shared" si="689"/>
        <v>-539.18121499999995</v>
      </c>
      <c r="BS478" s="572">
        <f t="shared" si="689"/>
        <v>-540.33832900000004</v>
      </c>
      <c r="BT478" s="572">
        <f t="shared" si="689"/>
        <v>-638.26537499999995</v>
      </c>
      <c r="BU478" s="572">
        <f t="shared" si="689"/>
        <v>-608.20322299999998</v>
      </c>
      <c r="BV478" s="572">
        <f t="shared" si="689"/>
        <v>-673.90383699999995</v>
      </c>
      <c r="BW478" s="572">
        <f t="shared" si="689"/>
        <v>-701.45994599999995</v>
      </c>
      <c r="BX478" s="222">
        <f ca="1">BX483*BX$438</f>
        <v>-737.54765296529411</v>
      </c>
      <c r="BY478" s="222">
        <f ca="1">BY483*BY$438</f>
        <v>-797.12038177292868</v>
      </c>
      <c r="BZ478" s="222">
        <f ca="1">BZ483*BZ$438</f>
        <v>-925.58711680553552</v>
      </c>
      <c r="CA478" s="223">
        <f ca="1">U478-SUM(BX478:BZ478)</f>
        <v>-718.48812652561037</v>
      </c>
      <c r="CB478" s="222">
        <f ca="1">CB483*CB$438</f>
        <v>-893.06922304433022</v>
      </c>
      <c r="CC478" s="222">
        <f ca="1">CC483*CC$438</f>
        <v>-945.06523831881736</v>
      </c>
      <c r="CD478" s="222">
        <f ca="1">CD483*CD$438</f>
        <v>-1046.0621858250199</v>
      </c>
      <c r="CE478" s="223">
        <f ca="1">V478-SUM(CB478:CD478)</f>
        <v>-891.9840321629531</v>
      </c>
      <c r="CF478" s="62"/>
      <c r="CG478" s="5"/>
      <c r="CH478" s="5"/>
      <c r="CI478" s="143"/>
      <c r="CP478" s="143"/>
      <c r="CQ478" s="143"/>
      <c r="CR478" s="143"/>
    </row>
    <row r="479" spans="1:96" outlineLevel="1">
      <c r="B479" s="12" t="s">
        <v>82</v>
      </c>
      <c r="C479" s="5"/>
      <c r="D479" s="126">
        <f t="shared" ref="D479:M479" si="690">(D478/C478-1)*1</f>
        <v>0.27055203675089623</v>
      </c>
      <c r="E479" s="126">
        <f t="shared" si="690"/>
        <v>8.9503717453201403E-2</v>
      </c>
      <c r="F479" s="126">
        <f t="shared" si="690"/>
        <v>0.28519277416490674</v>
      </c>
      <c r="G479" s="126">
        <f t="shared" si="690"/>
        <v>0.84649521242971826</v>
      </c>
      <c r="H479" s="126">
        <f t="shared" si="690"/>
        <v>0.118172004560124</v>
      </c>
      <c r="I479" s="126">
        <f t="shared" si="690"/>
        <v>1.1722658040449963</v>
      </c>
      <c r="J479" s="126">
        <f t="shared" si="690"/>
        <v>0.48049764702911313</v>
      </c>
      <c r="K479" s="126">
        <f t="shared" si="690"/>
        <v>0.24466381066207887</v>
      </c>
      <c r="L479" s="126">
        <f t="shared" si="690"/>
        <v>0.14330012799952851</v>
      </c>
      <c r="M479" s="126">
        <f t="shared" si="690"/>
        <v>0.50130003305801707</v>
      </c>
      <c r="N479" s="323">
        <f>(N478/M478-1)</f>
        <v>0.36027836292891235</v>
      </c>
      <c r="O479" s="323">
        <f t="shared" ref="O479:AD479" si="691">(O478/N478-1)</f>
        <v>0.42310339445660605</v>
      </c>
      <c r="P479" s="323">
        <f t="shared" si="691"/>
        <v>0.13307465583770073</v>
      </c>
      <c r="Q479" s="323">
        <f t="shared" si="691"/>
        <v>0.33283435195110878</v>
      </c>
      <c r="R479" s="323">
        <f t="shared" si="691"/>
        <v>0.26330638342939028</v>
      </c>
      <c r="S479" s="323">
        <f>(S478/R478-1)</f>
        <v>1.3142352051834125</v>
      </c>
      <c r="T479" s="323">
        <f>(T478/S478-1)</f>
        <v>4.0897422183744814E-2</v>
      </c>
      <c r="U479" s="323">
        <f t="shared" ca="1" si="691"/>
        <v>0.21241285335600102</v>
      </c>
      <c r="V479" s="323">
        <f t="shared" ca="1" si="691"/>
        <v>0.18794767271819768</v>
      </c>
      <c r="W479" s="323">
        <f t="shared" ca="1" si="691"/>
        <v>0.18665226453623496</v>
      </c>
      <c r="X479" s="323">
        <f t="shared" ca="1" si="691"/>
        <v>0.16809105693093418</v>
      </c>
      <c r="Y479" s="323">
        <f t="shared" ca="1" si="691"/>
        <v>0.1567928968305401</v>
      </c>
      <c r="Z479" s="323">
        <f t="shared" ca="1" si="691"/>
        <v>0.13933344650856583</v>
      </c>
      <c r="AA479" s="323">
        <f t="shared" ca="1" si="691"/>
        <v>0.12892158611843896</v>
      </c>
      <c r="AB479" s="323">
        <f t="shared" ca="1" si="691"/>
        <v>0.11979412131483613</v>
      </c>
      <c r="AC479" s="323">
        <f t="shared" ca="1" si="691"/>
        <v>0.12967204548436939</v>
      </c>
      <c r="AD479" s="323">
        <f t="shared" ca="1" si="691"/>
        <v>0.11793378605766502</v>
      </c>
      <c r="AE479" s="323"/>
      <c r="AF479" s="573"/>
      <c r="AG479" s="573"/>
      <c r="AH479" s="573"/>
      <c r="AI479" s="573"/>
      <c r="AJ479" s="560">
        <f>(AJ478/AF478-1)</f>
        <v>0.41623423088109623</v>
      </c>
      <c r="AK479" s="560">
        <f t="shared" ref="AK479:CA479" si="692">(AK478/AG478-1)</f>
        <v>0.22349145187097119</v>
      </c>
      <c r="AL479" s="560">
        <f t="shared" si="692"/>
        <v>0.23574012688726076</v>
      </c>
      <c r="AM479" s="560">
        <f t="shared" si="692"/>
        <v>0.13189152875161914</v>
      </c>
      <c r="AN479" s="560">
        <f t="shared" si="692"/>
        <v>-3.2812551457778061E-2</v>
      </c>
      <c r="AO479" s="560">
        <f t="shared" si="692"/>
        <v>5.9244440718184022E-2</v>
      </c>
      <c r="AP479" s="560">
        <f t="shared" si="692"/>
        <v>5.2863567929552824E-2</v>
      </c>
      <c r="AQ479" s="560">
        <f t="shared" si="692"/>
        <v>0.51140357386772228</v>
      </c>
      <c r="AR479" s="560">
        <f t="shared" si="692"/>
        <v>0.61518450615201226</v>
      </c>
      <c r="AS479" s="560">
        <f t="shared" si="692"/>
        <v>0.55418995443580621</v>
      </c>
      <c r="AT479" s="560">
        <f t="shared" si="692"/>
        <v>0.68733870784025664</v>
      </c>
      <c r="AU479" s="560">
        <f t="shared" si="692"/>
        <v>0.24644521255291929</v>
      </c>
      <c r="AV479" s="560">
        <f t="shared" si="692"/>
        <v>0.23080756005919434</v>
      </c>
      <c r="AW479" s="560">
        <f t="shared" si="692"/>
        <v>0.3679559580053704</v>
      </c>
      <c r="AX479" s="560">
        <f t="shared" si="692"/>
        <v>0.36703089693422397</v>
      </c>
      <c r="AY479" s="560">
        <f t="shared" si="692"/>
        <v>0.45758190808218657</v>
      </c>
      <c r="AZ479" s="560">
        <f t="shared" si="692"/>
        <v>0.56641055902369275</v>
      </c>
      <c r="BA479" s="560">
        <f t="shared" si="692"/>
        <v>0.43686137734772368</v>
      </c>
      <c r="BB479" s="560">
        <f t="shared" si="692"/>
        <v>0.38824653798554931</v>
      </c>
      <c r="BC479" s="560">
        <f t="shared" si="692"/>
        <v>0.34093017899736267</v>
      </c>
      <c r="BD479" s="560">
        <f t="shared" si="692"/>
        <v>0.253496812715029</v>
      </c>
      <c r="BE479" s="560">
        <f t="shared" si="692"/>
        <v>0.14321281939661334</v>
      </c>
      <c r="BF479" s="560">
        <f t="shared" si="692"/>
        <v>0.14057005292367153</v>
      </c>
      <c r="BG479" s="560">
        <f t="shared" si="692"/>
        <v>1.4327089176148E-2</v>
      </c>
      <c r="BH479" s="560">
        <f t="shared" si="692"/>
        <v>0.18559004641256016</v>
      </c>
      <c r="BI479" s="560">
        <f t="shared" si="692"/>
        <v>0.22365322953438538</v>
      </c>
      <c r="BJ479" s="560">
        <f t="shared" si="692"/>
        <v>0.40364447509288204</v>
      </c>
      <c r="BK479" s="560">
        <f t="shared" si="692"/>
        <v>0.52025631098796166</v>
      </c>
      <c r="BL479" s="560">
        <f t="shared" si="692"/>
        <v>0.35695280039085664</v>
      </c>
      <c r="BM479" s="560">
        <f t="shared" si="692"/>
        <v>0.34400222183233375</v>
      </c>
      <c r="BN479" s="560">
        <f t="shared" si="692"/>
        <v>8.0520782718412232E-2</v>
      </c>
      <c r="BO479" s="560">
        <f t="shared" si="692"/>
        <v>0.30873565035163208</v>
      </c>
      <c r="BP479" s="560">
        <f t="shared" si="692"/>
        <v>2.5808920821812844</v>
      </c>
      <c r="BQ479" s="560">
        <f t="shared" si="692"/>
        <v>0.95435975888878</v>
      </c>
      <c r="BR479" s="560">
        <f t="shared" si="692"/>
        <v>1.0627005340331048</v>
      </c>
      <c r="BS479" s="560">
        <f t="shared" si="692"/>
        <v>0.76287155836794329</v>
      </c>
      <c r="BT479" s="560">
        <f t="shared" si="692"/>
        <v>-0.31309624574120654</v>
      </c>
      <c r="BU479" s="323">
        <f t="shared" si="692"/>
        <v>0.1923033914819674</v>
      </c>
      <c r="BV479" s="323">
        <f t="shared" si="692"/>
        <v>0.24986519977332677</v>
      </c>
      <c r="BW479" s="323">
        <f t="shared" si="692"/>
        <v>0.29818654045547066</v>
      </c>
      <c r="BX479" s="323">
        <f t="shared" ca="1" si="692"/>
        <v>0.15555015492622348</v>
      </c>
      <c r="BY479" s="323">
        <f t="shared" ca="1" si="692"/>
        <v>0.31061518852380154</v>
      </c>
      <c r="BZ479" s="323">
        <f t="shared" ca="1" si="692"/>
        <v>0.37347061403589477</v>
      </c>
      <c r="CA479" s="323">
        <f t="shared" ca="1" si="692"/>
        <v>2.4275342623212959E-2</v>
      </c>
      <c r="CB479" s="323">
        <f ca="1">(CB478/BX478-1)</f>
        <v>0.21086308044472113</v>
      </c>
      <c r="CC479" s="323">
        <f ca="1">(CC478/BY478-1)</f>
        <v>0.18559913901189518</v>
      </c>
      <c r="CD479" s="323">
        <f ca="1">(CD478/BZ478-1)</f>
        <v>0.13016070214468645</v>
      </c>
      <c r="CE479" s="323">
        <f ca="1">(CE478/CA478-1)</f>
        <v>0.24147358770744898</v>
      </c>
      <c r="CF479" s="62"/>
      <c r="CG479" s="5"/>
      <c r="CH479" s="5"/>
    </row>
    <row r="480" spans="1:96" outlineLevel="1">
      <c r="B480" s="12" t="s">
        <v>83</v>
      </c>
      <c r="C480" s="5"/>
      <c r="D480" s="5"/>
      <c r="E480" s="5"/>
      <c r="F480" s="5"/>
      <c r="G480" s="5"/>
      <c r="H480" s="126"/>
      <c r="I480" s="126"/>
      <c r="J480" s="126"/>
      <c r="K480" s="126"/>
      <c r="L480" s="126"/>
      <c r="M480" s="126"/>
      <c r="N480" s="126"/>
      <c r="O480" s="126"/>
      <c r="P480" s="126"/>
      <c r="Q480" s="126"/>
      <c r="R480" s="126"/>
      <c r="S480" s="324"/>
      <c r="T480" s="324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573"/>
      <c r="AG480" s="560">
        <f>(AG478/AF478-1)</f>
        <v>0.16240045236614109</v>
      </c>
      <c r="AH480" s="560">
        <f t="shared" ref="AH480:CA480" si="693">(AH478/AG478-1)</f>
        <v>3.4322899558949294E-2</v>
      </c>
      <c r="AI480" s="560">
        <f t="shared" si="693"/>
        <v>4.7565214960219038E-3</v>
      </c>
      <c r="AJ480" s="560">
        <f t="shared" si="693"/>
        <v>0.17236364712049124</v>
      </c>
      <c r="AK480" s="560">
        <f t="shared" si="693"/>
        <v>4.2032497944382019E-3</v>
      </c>
      <c r="AL480" s="560">
        <f t="shared" si="693"/>
        <v>4.4677761490538925E-2</v>
      </c>
      <c r="AM480" s="560">
        <f t="shared" si="693"/>
        <v>-7.968077559801745E-2</v>
      </c>
      <c r="AN480" s="560">
        <f t="shared" si="693"/>
        <v>1.7703780084941112E-3</v>
      </c>
      <c r="AO480" s="560">
        <f t="shared" si="693"/>
        <v>9.9783409409554213E-2</v>
      </c>
      <c r="AP480" s="560">
        <f t="shared" si="693"/>
        <v>3.8384638161363283E-2</v>
      </c>
      <c r="AQ480" s="560">
        <f t="shared" si="693"/>
        <v>0.32113391253119783</v>
      </c>
      <c r="AR480" s="560">
        <f t="shared" si="693"/>
        <v>7.0557210038048268E-2</v>
      </c>
      <c r="AS480" s="560">
        <f t="shared" si="693"/>
        <v>5.8252057550769454E-2</v>
      </c>
      <c r="AT480" s="560">
        <f t="shared" si="693"/>
        <v>0.12734391867331807</v>
      </c>
      <c r="AU480" s="560">
        <f t="shared" si="693"/>
        <v>-2.4072029661683869E-2</v>
      </c>
      <c r="AV480" s="560">
        <f t="shared" si="693"/>
        <v>5.7126213266887715E-2</v>
      </c>
      <c r="AW480" s="560">
        <f t="shared" si="693"/>
        <v>0.17617266433462175</v>
      </c>
      <c r="AX480" s="560">
        <f t="shared" si="693"/>
        <v>0.1265815681262441</v>
      </c>
      <c r="AY480" s="560">
        <f t="shared" si="693"/>
        <v>4.0572642759326705E-2</v>
      </c>
      <c r="AZ480" s="560">
        <f t="shared" si="693"/>
        <v>0.13605530742401095</v>
      </c>
      <c r="BA480" s="560">
        <f t="shared" si="693"/>
        <v>7.8897907537039513E-2</v>
      </c>
      <c r="BB480" s="560">
        <f t="shared" si="693"/>
        <v>8.8464751273709563E-2</v>
      </c>
      <c r="BC480" s="560">
        <f t="shared" si="693"/>
        <v>5.1062415324008015E-3</v>
      </c>
      <c r="BD480" s="560">
        <f t="shared" si="693"/>
        <v>6.1980503704355039E-2</v>
      </c>
      <c r="BE480" s="560">
        <f t="shared" si="693"/>
        <v>-1.6024686935578125E-2</v>
      </c>
      <c r="BF480" s="560">
        <f t="shared" si="693"/>
        <v>8.5948545976813673E-2</v>
      </c>
      <c r="BG480" s="560">
        <f t="shared" si="693"/>
        <v>-0.10614303288693738</v>
      </c>
      <c r="BH480" s="560">
        <f t="shared" si="693"/>
        <v>0.24128945003205926</v>
      </c>
      <c r="BI480" s="560">
        <f t="shared" si="693"/>
        <v>1.5565686686277669E-2</v>
      </c>
      <c r="BJ480" s="560">
        <f t="shared" si="693"/>
        <v>0.24568434913174886</v>
      </c>
      <c r="BK480" s="560">
        <f t="shared" si="693"/>
        <v>-3.1883272803626683E-2</v>
      </c>
      <c r="BL480" s="560">
        <f t="shared" si="693"/>
        <v>0.10795211514169933</v>
      </c>
      <c r="BM480" s="560">
        <f t="shared" si="693"/>
        <v>5.8732617154293454E-3</v>
      </c>
      <c r="BN480" s="560">
        <f t="shared" si="693"/>
        <v>1.4773830573526769E-3</v>
      </c>
      <c r="BO480" s="560">
        <f t="shared" si="693"/>
        <v>0.17259093471210574</v>
      </c>
      <c r="BP480" s="560">
        <f t="shared" si="693"/>
        <v>2.0315189744246203</v>
      </c>
      <c r="BQ480" s="560">
        <f t="shared" si="693"/>
        <v>-0.45101997487694301</v>
      </c>
      <c r="BR480" s="560">
        <f t="shared" si="693"/>
        <v>5.6994713209317815E-2</v>
      </c>
      <c r="BS480" s="560">
        <f t="shared" si="693"/>
        <v>2.1460577034384531E-3</v>
      </c>
      <c r="BT480" s="560">
        <f t="shared" si="693"/>
        <v>0.18123283273506208</v>
      </c>
      <c r="BU480" s="323">
        <f t="shared" si="693"/>
        <v>-4.7099769433677885E-2</v>
      </c>
      <c r="BV480" s="323">
        <f t="shared" si="693"/>
        <v>0.10802411351246644</v>
      </c>
      <c r="BW480" s="323">
        <f t="shared" si="693"/>
        <v>4.0890268740226832E-2</v>
      </c>
      <c r="BX480" s="323">
        <f t="shared" ca="1" si="693"/>
        <v>5.1446568219725819E-2</v>
      </c>
      <c r="BY480" s="323">
        <f t="shared" ca="1" si="693"/>
        <v>8.0771362457901841E-2</v>
      </c>
      <c r="BZ480" s="323">
        <f t="shared" ca="1" si="693"/>
        <v>0.16116353059104505</v>
      </c>
      <c r="CA480" s="323">
        <f t="shared" ca="1" si="693"/>
        <v>-0.22374878228068118</v>
      </c>
      <c r="CB480" s="323">
        <f ca="1">(CB478/CA478-1)</f>
        <v>0.24298396879979189</v>
      </c>
      <c r="CC480" s="323">
        <f ca="1">(CC478/CB478-1)</f>
        <v>5.8221707716274329E-2</v>
      </c>
      <c r="CD480" s="323">
        <f ca="1">(CD478/CC478-1)</f>
        <v>0.10686769908696103</v>
      </c>
      <c r="CE480" s="323">
        <f ca="1">(CE478/CD478-1)</f>
        <v>-0.14729349339833631</v>
      </c>
      <c r="CF480" s="62"/>
      <c r="CG480" s="5"/>
      <c r="CH480" s="5"/>
    </row>
    <row r="481" spans="1:96" outlineLevel="1">
      <c r="B481" s="12" t="s">
        <v>768</v>
      </c>
      <c r="C481" s="5"/>
      <c r="D481" s="5"/>
      <c r="E481" s="5"/>
      <c r="F481" s="5"/>
      <c r="G481" s="5"/>
      <c r="H481" s="324"/>
      <c r="I481" s="324"/>
      <c r="J481" s="324"/>
      <c r="K481" s="324"/>
      <c r="L481" s="324"/>
      <c r="M481" s="324"/>
      <c r="N481" s="324"/>
      <c r="O481" s="324"/>
      <c r="P481" s="324"/>
      <c r="Q481" s="324"/>
      <c r="R481" s="324"/>
      <c r="S481" s="324"/>
      <c r="T481" s="324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573"/>
      <c r="AG481" s="574">
        <f>-(AG478-AF478)</f>
        <v>4.899087999999999</v>
      </c>
      <c r="AH481" s="574">
        <f t="shared" ref="AH481:CA481" si="694">-(AH478-AG478)</f>
        <v>1.2035600000000031</v>
      </c>
      <c r="AI481" s="574">
        <f t="shared" si="694"/>
        <v>0.17251600000000167</v>
      </c>
      <c r="AJ481" s="574">
        <f t="shared" si="694"/>
        <v>6.2812549999999945</v>
      </c>
      <c r="AK481" s="574">
        <f t="shared" si="694"/>
        <v>0.1795760000000044</v>
      </c>
      <c r="AL481" s="574">
        <f t="shared" si="694"/>
        <v>1.9167969999999954</v>
      </c>
      <c r="AM481" s="574">
        <f t="shared" si="694"/>
        <v>-3.5712529999999987</v>
      </c>
      <c r="AN481" s="574">
        <f t="shared" si="694"/>
        <v>7.3025000000001228E-2</v>
      </c>
      <c r="AO481" s="574">
        <f t="shared" si="694"/>
        <v>4.1231780000000029</v>
      </c>
      <c r="AP481" s="574">
        <f t="shared" si="694"/>
        <v>1.7443689999999989</v>
      </c>
      <c r="AQ481" s="574">
        <f t="shared" si="694"/>
        <v>15.153931999999998</v>
      </c>
      <c r="AR481" s="574">
        <f t="shared" si="694"/>
        <v>4.3987310000000051</v>
      </c>
      <c r="AS481" s="574">
        <f t="shared" si="694"/>
        <v>3.8878289999999964</v>
      </c>
      <c r="AT481" s="574">
        <f t="shared" si="694"/>
        <v>8.9942139999999995</v>
      </c>
      <c r="AU481" s="574">
        <f t="shared" si="694"/>
        <v>-1.9167000000000058</v>
      </c>
      <c r="AV481" s="574">
        <f t="shared" si="694"/>
        <v>4.4390970000000038</v>
      </c>
      <c r="AW481" s="574">
        <f t="shared" si="694"/>
        <v>14.471867000000003</v>
      </c>
      <c r="AX481" s="574">
        <f t="shared" si="694"/>
        <v>12.230031999999994</v>
      </c>
      <c r="AY481" s="574">
        <f t="shared" si="694"/>
        <v>4.4162440000000061</v>
      </c>
      <c r="AZ481" s="574">
        <f t="shared" si="694"/>
        <v>15.410178000000002</v>
      </c>
      <c r="BA481" s="574">
        <f t="shared" si="694"/>
        <v>10.152129000000002</v>
      </c>
      <c r="BB481" s="574">
        <f t="shared" si="694"/>
        <v>12.281240999999994</v>
      </c>
      <c r="BC481" s="574">
        <f t="shared" si="694"/>
        <v>0.77159199999999828</v>
      </c>
      <c r="BD481" s="574">
        <f t="shared" si="694"/>
        <v>9.413550000000015</v>
      </c>
      <c r="BE481" s="574">
        <f t="shared" si="694"/>
        <v>-2.584666000000027</v>
      </c>
      <c r="BF481" s="574">
        <f t="shared" si="694"/>
        <v>13.640730000000019</v>
      </c>
      <c r="BG481" s="574">
        <f t="shared" si="694"/>
        <v>-18.293627000000015</v>
      </c>
      <c r="BH481" s="574">
        <f t="shared" si="694"/>
        <v>37.171894000000009</v>
      </c>
      <c r="BI481" s="574">
        <f t="shared" si="694"/>
        <v>2.9765810000000101</v>
      </c>
      <c r="BJ481" s="574">
        <f t="shared" si="694"/>
        <v>47.71280299999998</v>
      </c>
      <c r="BK481" s="574">
        <f t="shared" si="694"/>
        <v>-7.7130889999999965</v>
      </c>
      <c r="BL481" s="574">
        <f t="shared" si="694"/>
        <v>25.28275099999999</v>
      </c>
      <c r="BM481" s="574">
        <f t="shared" si="694"/>
        <v>1.5240300000000389</v>
      </c>
      <c r="BN481" s="574">
        <f t="shared" si="694"/>
        <v>0.38561199999998053</v>
      </c>
      <c r="BO481" s="574">
        <f t="shared" si="694"/>
        <v>45.114541999999972</v>
      </c>
      <c r="BP481" s="574">
        <f t="shared" si="694"/>
        <v>622.68153500000005</v>
      </c>
      <c r="BQ481" s="574">
        <f t="shared" si="694"/>
        <v>-419.08408800000001</v>
      </c>
      <c r="BR481" s="574">
        <f t="shared" si="694"/>
        <v>29.073445999999933</v>
      </c>
      <c r="BS481" s="574">
        <f t="shared" si="694"/>
        <v>1.1571140000000923</v>
      </c>
      <c r="BT481" s="574">
        <f t="shared" si="694"/>
        <v>97.927045999999905</v>
      </c>
      <c r="BU481" s="355">
        <f t="shared" si="694"/>
        <v>-30.062151999999969</v>
      </c>
      <c r="BV481" s="355">
        <f t="shared" si="694"/>
        <v>65.700613999999973</v>
      </c>
      <c r="BW481" s="355">
        <f t="shared" si="694"/>
        <v>27.556108999999992</v>
      </c>
      <c r="BX481" s="355">
        <f t="shared" ca="1" si="694"/>
        <v>36.08770696529416</v>
      </c>
      <c r="BY481" s="355">
        <f t="shared" ca="1" si="694"/>
        <v>59.572728807634576</v>
      </c>
      <c r="BZ481" s="355">
        <f t="shared" ca="1" si="694"/>
        <v>128.46673503260683</v>
      </c>
      <c r="CA481" s="355">
        <f t="shared" ca="1" si="694"/>
        <v>-207.09899027992515</v>
      </c>
      <c r="CB481" s="355">
        <f ca="1">-(CB478-CA478)</f>
        <v>174.58109651871985</v>
      </c>
      <c r="CC481" s="355">
        <f ca="1">-(CC478-CB478)</f>
        <v>51.996015274487149</v>
      </c>
      <c r="CD481" s="355">
        <f ca="1">-(CD478-CC478)</f>
        <v>100.99694750620256</v>
      </c>
      <c r="CE481" s="355">
        <f ca="1">-(CE478-CD478)</f>
        <v>-154.07815366206682</v>
      </c>
      <c r="CF481" s="62"/>
      <c r="CG481" s="5"/>
      <c r="CH481" s="5"/>
    </row>
    <row r="482" spans="1:96" outlineLevel="1">
      <c r="B482" s="12" t="s">
        <v>269</v>
      </c>
      <c r="C482" s="5"/>
      <c r="D482" s="5"/>
      <c r="E482" s="5"/>
      <c r="F482" s="5"/>
      <c r="G482" s="5"/>
      <c r="H482" s="126"/>
      <c r="I482" s="126"/>
      <c r="J482" s="126"/>
      <c r="K482" s="126"/>
      <c r="L482" s="126"/>
      <c r="M482" s="126"/>
      <c r="N482" s="126"/>
      <c r="O482" s="323">
        <f t="shared" ref="O482:AB482" si="695">-O478/Rev_Gross</f>
        <v>0.12938593366277293</v>
      </c>
      <c r="P482" s="323">
        <f t="shared" si="695"/>
        <v>0.11306680948995916</v>
      </c>
      <c r="Q482" s="323">
        <f t="shared" si="695"/>
        <v>0.11084519755076273</v>
      </c>
      <c r="R482" s="323">
        <f t="shared" si="695"/>
        <v>9.4668825040590709E-2</v>
      </c>
      <c r="S482" s="323">
        <f>-S478/Rev_Gross</f>
        <v>0.12728967767722385</v>
      </c>
      <c r="T482" s="323">
        <f>-T478/Rev_Gross</f>
        <v>9.7187744883458493E-2</v>
      </c>
      <c r="U482" s="323">
        <f t="shared" ca="1" si="695"/>
        <v>9.908271265284635E-2</v>
      </c>
      <c r="V482" s="323">
        <f t="shared" ca="1" si="695"/>
        <v>9.3653522918443824E-2</v>
      </c>
      <c r="W482" s="323">
        <f t="shared" ca="1" si="695"/>
        <v>9.0938928051242568E-2</v>
      </c>
      <c r="X482" s="323">
        <f t="shared" ca="1" si="695"/>
        <v>8.8224333184041284E-2</v>
      </c>
      <c r="Y482" s="323">
        <f t="shared" ca="1" si="695"/>
        <v>8.5509738316840028E-2</v>
      </c>
      <c r="Z482" s="323">
        <f t="shared" ca="1" si="695"/>
        <v>8.4152440883239379E-2</v>
      </c>
      <c r="AA482" s="323">
        <f t="shared" ca="1" si="695"/>
        <v>8.2795143449638745E-2</v>
      </c>
      <c r="AB482" s="323">
        <f t="shared" ca="1" si="695"/>
        <v>8.1437846016038096E-2</v>
      </c>
      <c r="AC482" s="323">
        <f ca="1">-AC478/Rev_Gross</f>
        <v>8.143784601603811E-2</v>
      </c>
      <c r="AD482" s="323">
        <f ca="1">-AD478/Rev_Gross</f>
        <v>8.143784601603811E-2</v>
      </c>
      <c r="AE482" s="323"/>
      <c r="AF482" s="560">
        <f t="shared" ref="AF482:BC482" si="696">-AF478/Rev_Gross</f>
        <v>0.1210632864480307</v>
      </c>
      <c r="AG482" s="560">
        <f t="shared" si="696"/>
        <v>0.11341627063817203</v>
      </c>
      <c r="AH482" s="560">
        <f t="shared" si="696"/>
        <v>0.10487599092313707</v>
      </c>
      <c r="AI482" s="560">
        <f t="shared" si="696"/>
        <v>9.5126635597517481E-2</v>
      </c>
      <c r="AJ482" s="560">
        <f t="shared" si="696"/>
        <v>0.11651910666715681</v>
      </c>
      <c r="AK482" s="560">
        <f t="shared" si="696"/>
        <v>0.10675362797274063</v>
      </c>
      <c r="AL482" s="560">
        <f t="shared" si="696"/>
        <v>0.11288227302935325</v>
      </c>
      <c r="AM482" s="560">
        <f t="shared" si="696"/>
        <v>9.7572408724490522E-2</v>
      </c>
      <c r="AN482" s="560">
        <f t="shared" si="696"/>
        <v>9.6409642597013359E-2</v>
      </c>
      <c r="AO482" s="560">
        <f t="shared" si="696"/>
        <v>8.951774894549705E-2</v>
      </c>
      <c r="AP482" s="560">
        <f t="shared" si="696"/>
        <v>8.0885897641687132E-2</v>
      </c>
      <c r="AQ482" s="560">
        <f t="shared" si="696"/>
        <v>0.10340439862593341</v>
      </c>
      <c r="AR482" s="560">
        <f t="shared" si="696"/>
        <v>0.10641094646588946</v>
      </c>
      <c r="AS482" s="560">
        <f t="shared" si="696"/>
        <v>9.5233243286552333E-2</v>
      </c>
      <c r="AT482" s="560">
        <f t="shared" si="696"/>
        <v>9.229308008978683E-2</v>
      </c>
      <c r="AU482" s="560">
        <f t="shared" si="696"/>
        <v>9.3046751986853374E-2</v>
      </c>
      <c r="AV482" s="560">
        <f t="shared" si="696"/>
        <v>0.10090308375969302</v>
      </c>
      <c r="AW482" s="560">
        <f t="shared" si="696"/>
        <v>0.1090017113862316</v>
      </c>
      <c r="AX482" s="560">
        <f t="shared" si="696"/>
        <v>0.10474057190025116</v>
      </c>
      <c r="AY482" s="560">
        <f t="shared" si="696"/>
        <v>0.11480294617355992</v>
      </c>
      <c r="AZ482" s="560">
        <f t="shared" si="696"/>
        <v>0.13353505936356855</v>
      </c>
      <c r="BA482" s="560">
        <f t="shared" si="696"/>
        <v>0.13465847454510285</v>
      </c>
      <c r="BB482" s="560">
        <f t="shared" si="696"/>
        <v>0.12114315574310254</v>
      </c>
      <c r="BC482" s="560">
        <f t="shared" si="696"/>
        <v>0.13011220785005809</v>
      </c>
      <c r="BD482" s="560">
        <f t="shared" ref="BD482:BU482" si="697">-BD478/Rev_Gross</f>
        <v>0.13130224457120918</v>
      </c>
      <c r="BE482" s="560">
        <f t="shared" si="697"/>
        <v>0.12021971273312766</v>
      </c>
      <c r="BF482" s="560">
        <f t="shared" si="697"/>
        <v>0.1050595994064855</v>
      </c>
      <c r="BG482" s="560">
        <f t="shared" si="697"/>
        <v>0.10082329597497151</v>
      </c>
      <c r="BH482" s="560">
        <f t="shared" si="697"/>
        <v>0.11429010232190522</v>
      </c>
      <c r="BI482" s="560">
        <f t="shared" si="697"/>
        <v>0.1067342976540145</v>
      </c>
      <c r="BJ482" s="560">
        <f t="shared" si="697"/>
        <v>0.10706771870157808</v>
      </c>
      <c r="BK482" s="560">
        <f t="shared" si="697"/>
        <v>0.11591892397477781</v>
      </c>
      <c r="BL482" s="560">
        <f t="shared" si="697"/>
        <v>0.10620303119561256</v>
      </c>
      <c r="BM482" s="560">
        <f t="shared" si="697"/>
        <v>9.7922060988170356E-2</v>
      </c>
      <c r="BN482" s="560">
        <f t="shared" si="697"/>
        <v>7.7894458554303464E-2</v>
      </c>
      <c r="BO482" s="560">
        <f t="shared" si="697"/>
        <v>0.10107891629414459</v>
      </c>
      <c r="BP482" s="560">
        <f t="shared" si="697"/>
        <v>0.21122118971541379</v>
      </c>
      <c r="BQ482" s="560">
        <f t="shared" si="697"/>
        <v>0.11229936666481816</v>
      </c>
      <c r="BR482" s="560">
        <f t="shared" si="697"/>
        <v>9.5130688661368673E-2</v>
      </c>
      <c r="BS482" s="560">
        <f t="shared" si="697"/>
        <v>0.10433742725906819</v>
      </c>
      <c r="BT482" s="560">
        <f t="shared" si="697"/>
        <v>0.10406607439828629</v>
      </c>
      <c r="BU482" s="323">
        <f t="shared" si="697"/>
        <v>9.4126326719368936E-2</v>
      </c>
      <c r="BV482" s="323">
        <f>-BV478/Rev_Gross</f>
        <v>8.4693728509337748E-2</v>
      </c>
      <c r="BW482" s="323">
        <f>-BW478/Rev_Gross</f>
        <v>0.10917323281693798</v>
      </c>
      <c r="BX482" s="323">
        <f t="shared" ref="BX482:CE482" ca="1" si="698">-BX478/Rev_Gross</f>
        <v>0.10926972000000006</v>
      </c>
      <c r="BY482" s="323">
        <f t="shared" ca="1" si="698"/>
        <v>0.10565520000000005</v>
      </c>
      <c r="BZ482" s="323">
        <f t="shared" ca="1" si="698"/>
        <v>9.8704200000000034E-2</v>
      </c>
      <c r="CA482" s="323">
        <f t="shared" ca="1" si="698"/>
        <v>8.5432632319882712E-2</v>
      </c>
      <c r="CB482" s="323">
        <f t="shared" ca="1" si="698"/>
        <v>9.7314000000000039E-2</v>
      </c>
      <c r="CC482" s="323">
        <f t="shared" ca="1" si="698"/>
        <v>9.5923800000000031E-2</v>
      </c>
      <c r="CD482" s="323">
        <f t="shared" ca="1" si="698"/>
        <v>9.3143400000000057E-2</v>
      </c>
      <c r="CE482" s="323">
        <f t="shared" ca="1" si="698"/>
        <v>8.8660682391063311E-2</v>
      </c>
      <c r="CF482" s="62"/>
      <c r="CG482" s="5"/>
      <c r="CH482" s="5"/>
    </row>
    <row r="483" spans="1:96" outlineLevel="1">
      <c r="B483" s="12" t="s">
        <v>136</v>
      </c>
      <c r="C483" s="6">
        <f t="shared" ref="C483:M483" si="699">C478/Exp_ToT*100</f>
        <v>32.218402143585031</v>
      </c>
      <c r="D483" s="6">
        <f t="shared" si="699"/>
        <v>26.638061084396504</v>
      </c>
      <c r="E483" s="6">
        <f t="shared" si="699"/>
        <v>25.614688913476286</v>
      </c>
      <c r="F483" s="6">
        <f t="shared" si="699"/>
        <v>23.232893603435915</v>
      </c>
      <c r="G483" s="6">
        <f t="shared" si="699"/>
        <v>25.628531503568713</v>
      </c>
      <c r="H483" s="6">
        <f t="shared" si="699"/>
        <v>20.128318175013714</v>
      </c>
      <c r="I483" s="6">
        <f t="shared" si="699"/>
        <v>25.073460244154717</v>
      </c>
      <c r="J483" s="6">
        <f t="shared" si="699"/>
        <v>24.696306010158832</v>
      </c>
      <c r="K483" s="6">
        <f t="shared" si="699"/>
        <v>24.733037140165575</v>
      </c>
      <c r="L483" s="6">
        <f t="shared" si="699"/>
        <v>23.092770504886261</v>
      </c>
      <c r="M483" s="6">
        <f t="shared" si="699"/>
        <v>24.520691849071738</v>
      </c>
      <c r="N483" s="323">
        <f t="shared" ref="N483:S483" si="700">N478/Exp_ToT</f>
        <v>0.24639539689328718</v>
      </c>
      <c r="O483" s="323">
        <f t="shared" si="700"/>
        <v>0.23130423502138872</v>
      </c>
      <c r="P483" s="323">
        <f t="shared" si="700"/>
        <v>0.20445907219556378</v>
      </c>
      <c r="Q483" s="323">
        <f t="shared" si="700"/>
        <v>0.15963187181078106</v>
      </c>
      <c r="R483" s="323">
        <f t="shared" si="700"/>
        <v>0.14564297940462809</v>
      </c>
      <c r="S483" s="323">
        <f t="shared" si="700"/>
        <v>0.15676808464746539</v>
      </c>
      <c r="T483" s="323">
        <f>T478/Exp_ToT</f>
        <v>0.1367300136135462</v>
      </c>
      <c r="U483" s="323">
        <f t="shared" ref="U483:AB483" si="701">1-U454-U466</f>
        <v>0.1367300136135462</v>
      </c>
      <c r="V483" s="323">
        <f t="shared" si="701"/>
        <v>0.1367300136135462</v>
      </c>
      <c r="W483" s="323">
        <f t="shared" si="701"/>
        <v>0.1367300136135462</v>
      </c>
      <c r="X483" s="323">
        <f t="shared" si="701"/>
        <v>0.1367300136135462</v>
      </c>
      <c r="Y483" s="323">
        <f t="shared" si="701"/>
        <v>0.1367300136135462</v>
      </c>
      <c r="Z483" s="323">
        <f t="shared" si="701"/>
        <v>0.1367300136135462</v>
      </c>
      <c r="AA483" s="323">
        <f t="shared" si="701"/>
        <v>0.1367300136135462</v>
      </c>
      <c r="AB483" s="323">
        <f t="shared" si="701"/>
        <v>0.1367300136135462</v>
      </c>
      <c r="AC483" s="323">
        <f>1-AC454-AC466</f>
        <v>0.1367300136135462</v>
      </c>
      <c r="AD483" s="323">
        <f>1-AD454-AD466</f>
        <v>0.1367300136135462</v>
      </c>
      <c r="AE483" s="323"/>
      <c r="AF483" s="560">
        <f t="shared" ref="AF483:BN483" si="702">AF478/Exp_ToT</f>
        <v>0.2679610913999636</v>
      </c>
      <c r="AG483" s="560">
        <f t="shared" si="702"/>
        <v>0.25860963430388184</v>
      </c>
      <c r="AH483" s="560">
        <f t="shared" si="702"/>
        <v>0.24563227720432096</v>
      </c>
      <c r="AI483" s="560">
        <f t="shared" si="702"/>
        <v>0.22396709657774772</v>
      </c>
      <c r="AJ483" s="560">
        <f t="shared" si="702"/>
        <v>0.26343954160885519</v>
      </c>
      <c r="AK483" s="560">
        <f t="shared" si="702"/>
        <v>0.25526008887642671</v>
      </c>
      <c r="AL483" s="560">
        <f t="shared" si="702"/>
        <v>0.25307231311061495</v>
      </c>
      <c r="AM483" s="560">
        <f t="shared" si="702"/>
        <v>0.22077146125035296</v>
      </c>
      <c r="AN483" s="560">
        <f t="shared" si="702"/>
        <v>0.23562601052106025</v>
      </c>
      <c r="AO483" s="560">
        <f t="shared" si="702"/>
        <v>0.22217075032426464</v>
      </c>
      <c r="AP483" s="560">
        <f t="shared" si="702"/>
        <v>0.21267830899452891</v>
      </c>
      <c r="AQ483" s="560">
        <f t="shared" si="702"/>
        <v>0.2511354190637578</v>
      </c>
      <c r="AR483" s="560">
        <f t="shared" si="702"/>
        <v>0.25483320839631735</v>
      </c>
      <c r="AS483" s="560">
        <f t="shared" si="702"/>
        <v>0.24639793470554158</v>
      </c>
      <c r="AT483" s="560">
        <f t="shared" si="702"/>
        <v>0.24276701993535274</v>
      </c>
      <c r="AU483" s="560">
        <f t="shared" si="702"/>
        <v>0.23886747705176398</v>
      </c>
      <c r="AV483" s="560">
        <f t="shared" si="702"/>
        <v>0.24370263210613843</v>
      </c>
      <c r="AW483" s="560">
        <f t="shared" si="702"/>
        <v>0.2577263691475663</v>
      </c>
      <c r="AX483" s="560">
        <f t="shared" si="702"/>
        <v>0.24499688810601961</v>
      </c>
      <c r="AY483" s="560">
        <f t="shared" si="702"/>
        <v>0.24061950757277537</v>
      </c>
      <c r="AZ483" s="560">
        <f t="shared" si="702"/>
        <v>0.25314852948038213</v>
      </c>
      <c r="BA483" s="560">
        <f t="shared" si="702"/>
        <v>0.24596887154813402</v>
      </c>
      <c r="BB483" s="560">
        <f t="shared" si="702"/>
        <v>0.2168130240532351</v>
      </c>
      <c r="BC483" s="560">
        <f t="shared" si="702"/>
        <v>0.21798436531884716</v>
      </c>
      <c r="BD483" s="560">
        <f t="shared" si="702"/>
        <v>0.23163607286762666</v>
      </c>
      <c r="BE483" s="560">
        <f t="shared" si="702"/>
        <v>0.21452722865092824</v>
      </c>
      <c r="BF483" s="560">
        <f t="shared" si="702"/>
        <v>0.19986817331365059</v>
      </c>
      <c r="BG483" s="560">
        <f t="shared" si="702"/>
        <v>0.1784904271728838</v>
      </c>
      <c r="BH483" s="560">
        <f t="shared" si="702"/>
        <v>0.18016002319830868</v>
      </c>
      <c r="BI483" s="560">
        <f t="shared" si="702"/>
        <v>0.16847137563848555</v>
      </c>
      <c r="BJ483" s="560">
        <f t="shared" si="702"/>
        <v>0.16656924842436863</v>
      </c>
      <c r="BK483" s="560">
        <f t="shared" si="702"/>
        <v>0.13533134297321298</v>
      </c>
      <c r="BL483" s="560">
        <f t="shared" si="702"/>
        <v>0.14492891766106794</v>
      </c>
      <c r="BM483" s="560">
        <f t="shared" si="702"/>
        <v>0.15033122239024471</v>
      </c>
      <c r="BN483" s="560">
        <f t="shared" si="702"/>
        <v>0.13538295245257376</v>
      </c>
      <c r="BO483" s="575">
        <f>1-BO466-BO454</f>
        <v>0.15206705441292145</v>
      </c>
      <c r="BP483" s="575">
        <f t="shared" ref="BP483:BU483" si="703">1-BP466-BP454</f>
        <v>0.19082118172221718</v>
      </c>
      <c r="BQ483" s="575">
        <f t="shared" si="703"/>
        <v>0.14272544493565004</v>
      </c>
      <c r="BR483" s="575">
        <f t="shared" si="703"/>
        <v>0.13860180349330714</v>
      </c>
      <c r="BS483" s="575">
        <f t="shared" si="703"/>
        <v>0.14472564693118678</v>
      </c>
      <c r="BT483" s="575">
        <f t="shared" si="703"/>
        <v>0.14241967966720676</v>
      </c>
      <c r="BU483" s="328">
        <f t="shared" si="703"/>
        <v>0.13089737159580467</v>
      </c>
      <c r="BV483" s="328">
        <f>1-BV466-BV454</f>
        <v>0.12867650506589096</v>
      </c>
      <c r="BW483" s="328">
        <f>1-BW466-BW454</f>
        <v>0.14583175469414172</v>
      </c>
      <c r="BX483" s="328">
        <f t="shared" ref="BX483:CE483" si="704">1-BX466-BX454</f>
        <v>0.14000000000000007</v>
      </c>
      <c r="BY483" s="328">
        <f t="shared" si="704"/>
        <v>0.14000000000000007</v>
      </c>
      <c r="BZ483" s="328">
        <f t="shared" si="704"/>
        <v>0.14000000000000007</v>
      </c>
      <c r="CA483" s="328">
        <f t="shared" ca="1" si="704"/>
        <v>0.12660427237577737</v>
      </c>
      <c r="CB483" s="328">
        <f t="shared" si="704"/>
        <v>0.14000000000000007</v>
      </c>
      <c r="CC483" s="328">
        <f t="shared" si="704"/>
        <v>0.14000000000000007</v>
      </c>
      <c r="CD483" s="328">
        <f t="shared" si="704"/>
        <v>0.14000000000000007</v>
      </c>
      <c r="CE483" s="328">
        <f t="shared" ca="1" si="704"/>
        <v>0.12712872780947498</v>
      </c>
      <c r="CF483" s="5"/>
      <c r="CG483" s="5"/>
      <c r="CH483" s="5"/>
    </row>
    <row r="484" spans="1:96" outlineLevel="1">
      <c r="B484" s="12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323"/>
      <c r="O484" s="323"/>
      <c r="P484" s="323"/>
      <c r="Q484" s="323"/>
      <c r="R484" s="323"/>
      <c r="S484" s="323"/>
      <c r="T484" s="323"/>
      <c r="U484" s="323"/>
      <c r="V484" s="323"/>
      <c r="W484" s="323"/>
      <c r="X484" s="323"/>
      <c r="Y484" s="323"/>
      <c r="Z484" s="323"/>
      <c r="AA484" s="323"/>
      <c r="AB484" s="323"/>
      <c r="AC484" s="323"/>
      <c r="AD484" s="323"/>
      <c r="AE484" s="323"/>
      <c r="AF484" s="560"/>
      <c r="AG484" s="560"/>
      <c r="AH484" s="560"/>
      <c r="AI484" s="560"/>
      <c r="AJ484" s="560"/>
      <c r="AK484" s="560"/>
      <c r="AL484" s="560"/>
      <c r="AM484" s="560"/>
      <c r="AN484" s="560"/>
      <c r="AO484" s="560"/>
      <c r="AP484" s="560"/>
      <c r="AQ484" s="560"/>
      <c r="AR484" s="560"/>
      <c r="AS484" s="560"/>
      <c r="AT484" s="560"/>
      <c r="AU484" s="560"/>
      <c r="AV484" s="560"/>
      <c r="AW484" s="560"/>
      <c r="AX484" s="560"/>
      <c r="AY484" s="560"/>
      <c r="AZ484" s="560"/>
      <c r="BA484" s="560"/>
      <c r="BB484" s="560"/>
      <c r="BC484" s="560"/>
      <c r="BD484" s="560"/>
      <c r="BE484" s="560"/>
      <c r="BF484" s="560"/>
      <c r="BG484" s="560"/>
      <c r="BH484" s="560"/>
      <c r="BI484" s="560"/>
      <c r="BJ484" s="560"/>
      <c r="BK484" s="560"/>
      <c r="BL484" s="560"/>
      <c r="BM484" s="560"/>
      <c r="BN484" s="560"/>
      <c r="BO484" s="575"/>
      <c r="BP484" s="575"/>
      <c r="BQ484" s="575"/>
      <c r="BR484" s="575"/>
      <c r="BS484" s="575"/>
      <c r="BT484" s="575"/>
      <c r="BU484" s="328"/>
      <c r="BV484" s="328"/>
      <c r="BW484" s="328"/>
      <c r="BX484" s="328"/>
      <c r="BY484" s="328"/>
      <c r="BZ484" s="328"/>
      <c r="CA484" s="328"/>
      <c r="CB484" s="328"/>
      <c r="CC484" s="328"/>
      <c r="CD484" s="328"/>
      <c r="CE484" s="328"/>
      <c r="CF484" s="5"/>
      <c r="CG484" s="5"/>
      <c r="CH484" s="5"/>
    </row>
    <row r="485" spans="1:96" outlineLevel="1">
      <c r="A485" s="3" t="s">
        <v>787</v>
      </c>
      <c r="B485" s="12" t="s">
        <v>604</v>
      </c>
      <c r="C485" s="6">
        <f t="shared" ref="C485:AB485" si="705">C478+C430</f>
        <v>-11.677102999999999</v>
      </c>
      <c r="D485" s="6">
        <f t="shared" si="705"/>
        <v>-14.836366999999999</v>
      </c>
      <c r="E485" s="6">
        <f t="shared" si="705"/>
        <v>-16.164277000000002</v>
      </c>
      <c r="F485" s="6">
        <f t="shared" si="705"/>
        <v>-20.774211999999999</v>
      </c>
      <c r="G485" s="6">
        <f t="shared" si="705"/>
        <v>-38.359482999999997</v>
      </c>
      <c r="H485" s="6">
        <f t="shared" si="705"/>
        <v>-41.776863999999996</v>
      </c>
      <c r="I485" s="6">
        <f t="shared" si="705"/>
        <v>-60.743884000000001</v>
      </c>
      <c r="J485" s="6">
        <f t="shared" si="705"/>
        <v>-87.386138000000017</v>
      </c>
      <c r="K485" s="6">
        <f t="shared" si="705"/>
        <v>-94.658102999999997</v>
      </c>
      <c r="L485" s="6">
        <f t="shared" si="705"/>
        <v>-118.495519</v>
      </c>
      <c r="M485" s="6">
        <f t="shared" si="705"/>
        <v>-149.59677299999998</v>
      </c>
      <c r="N485" s="6">
        <f t="shared" si="705"/>
        <v>-205.23061800000002</v>
      </c>
      <c r="O485" s="6">
        <f t="shared" si="705"/>
        <v>-327.24170599999991</v>
      </c>
      <c r="P485" s="6">
        <f t="shared" si="705"/>
        <v>-396.24812600000007</v>
      </c>
      <c r="Q485" s="6">
        <f t="shared" si="705"/>
        <v>-603.96322299999997</v>
      </c>
      <c r="R485" s="6">
        <f t="shared" si="705"/>
        <v>-803.02312099999995</v>
      </c>
      <c r="S485" s="6">
        <f>S478+S430</f>
        <v>-1431.2566330000002</v>
      </c>
      <c r="T485" s="6">
        <f>T478+T430</f>
        <v>-1986.5523900000003</v>
      </c>
      <c r="U485" s="6">
        <f t="shared" ca="1" si="705"/>
        <v>-2398.7440202017692</v>
      </c>
      <c r="V485" s="6">
        <f t="shared" ca="1" si="705"/>
        <v>-2892.4779075999181</v>
      </c>
      <c r="W485" s="6">
        <f t="shared" ca="1" si="705"/>
        <v>-3401.062536927443</v>
      </c>
      <c r="X485" s="6">
        <f t="shared" ca="1" si="705"/>
        <v>-3933.9359367747556</v>
      </c>
      <c r="Y485" s="6">
        <f t="shared" ca="1" si="705"/>
        <v>-4502.9976302699806</v>
      </c>
      <c r="Z485" s="6">
        <f t="shared" ca="1" si="705"/>
        <v>-5101.8971113205425</v>
      </c>
      <c r="AA485" s="6">
        <f t="shared" ca="1" si="705"/>
        <v>-5726.3908188589157</v>
      </c>
      <c r="AB485" s="6">
        <f t="shared" ca="1" si="705"/>
        <v>-6373.9034044808832</v>
      </c>
      <c r="AC485" s="6">
        <f ca="1">AC478+AC430</f>
        <v>-7200.4204966597063</v>
      </c>
      <c r="AD485" s="6">
        <f ca="1">AD478+AD430</f>
        <v>-8049.5933470379987</v>
      </c>
      <c r="AE485" s="6"/>
      <c r="AF485" s="492">
        <f>AF478+AF430</f>
        <v>-19.39425</v>
      </c>
      <c r="AG485" s="492">
        <f>AG478+AG430</f>
        <v>-21.439152</v>
      </c>
      <c r="AH485" s="492">
        <f>AH478+AH430</f>
        <v>-22.873106</v>
      </c>
      <c r="AI485" s="492">
        <f>AI478+AI430</f>
        <v>-23.679730000000003</v>
      </c>
      <c r="AJ485" s="492">
        <f t="shared" ref="AJ485:AZ485" si="706">AJ478+AJ430</f>
        <v>-22.403450999999997</v>
      </c>
      <c r="AK485" s="492">
        <f t="shared" si="706"/>
        <v>-23.978794000000001</v>
      </c>
      <c r="AL485" s="492">
        <f t="shared" si="706"/>
        <v>-26.162401999999997</v>
      </c>
      <c r="AM485" s="492">
        <f t="shared" si="706"/>
        <v>-22.113455999999999</v>
      </c>
      <c r="AN485" s="492">
        <f t="shared" si="706"/>
        <v>-25.614781000000001</v>
      </c>
      <c r="AO485" s="492">
        <f t="shared" si="706"/>
        <v>-29.782470000000004</v>
      </c>
      <c r="AP485" s="492">
        <f t="shared" si="706"/>
        <v>-31.145539000000003</v>
      </c>
      <c r="AQ485" s="492">
        <f t="shared" si="706"/>
        <v>-31.952729999999999</v>
      </c>
      <c r="AR485" s="492">
        <f t="shared" si="706"/>
        <v>-27.354671000000003</v>
      </c>
      <c r="AS485" s="492">
        <f t="shared" si="706"/>
        <v>-35.418315999999997</v>
      </c>
      <c r="AT485" s="492">
        <f t="shared" si="706"/>
        <v>-44.13203</v>
      </c>
      <c r="AU485" s="492">
        <f t="shared" si="706"/>
        <v>-42.691755999999991</v>
      </c>
      <c r="AV485" s="492">
        <f t="shared" si="706"/>
        <v>-41.922604999999997</v>
      </c>
      <c r="AW485" s="492">
        <f t="shared" si="706"/>
        <v>-45.513762</v>
      </c>
      <c r="AX485" s="492">
        <f t="shared" si="706"/>
        <v>-57.748675999999996</v>
      </c>
      <c r="AY485" s="492">
        <f t="shared" si="706"/>
        <v>-60.045574999999999</v>
      </c>
      <c r="AZ485" s="492">
        <f t="shared" si="706"/>
        <v>-71.311093</v>
      </c>
      <c r="BA485" s="492">
        <f t="shared" ref="BA485:BU485" si="707">BA478+BA430</f>
        <v>-77.212167000000008</v>
      </c>
      <c r="BB485" s="492">
        <f t="shared" si="707"/>
        <v>-90.31776099999999</v>
      </c>
      <c r="BC485" s="492">
        <f t="shared" si="707"/>
        <v>-88.400684999999996</v>
      </c>
      <c r="BD485" s="492">
        <f t="shared" si="707"/>
        <v>-97.852089000000007</v>
      </c>
      <c r="BE485" s="492">
        <f t="shared" si="707"/>
        <v>-94.869236999999984</v>
      </c>
      <c r="BF485" s="492">
        <f t="shared" si="707"/>
        <v>-109.98932600000001</v>
      </c>
      <c r="BG485" s="492">
        <f t="shared" si="707"/>
        <v>-93.537473999999989</v>
      </c>
      <c r="BH485" s="492">
        <f t="shared" si="707"/>
        <v>-126.9603</v>
      </c>
      <c r="BI485" s="492">
        <f t="shared" si="707"/>
        <v>-136.13691700000001</v>
      </c>
      <c r="BJ485" s="492">
        <f t="shared" si="707"/>
        <v>-167.54288099999999</v>
      </c>
      <c r="BK485" s="492">
        <f t="shared" si="707"/>
        <v>-173.323125</v>
      </c>
      <c r="BL485" s="492">
        <f t="shared" si="707"/>
        <v>-187.68076099999999</v>
      </c>
      <c r="BM485" s="492">
        <f t="shared" si="707"/>
        <v>-195.64851000000002</v>
      </c>
      <c r="BN485" s="492">
        <f t="shared" si="707"/>
        <v>-204.89468500000001</v>
      </c>
      <c r="BO485" s="492">
        <f t="shared" si="707"/>
        <v>-214.79916499999996</v>
      </c>
      <c r="BP485" s="492">
        <f t="shared" si="707"/>
        <v>-349.63352099999997</v>
      </c>
      <c r="BQ485" s="492">
        <f t="shared" si="707"/>
        <v>-346.30119500000001</v>
      </c>
      <c r="BR485" s="492">
        <f t="shared" si="707"/>
        <v>-377.38486399999999</v>
      </c>
      <c r="BS485" s="492">
        <f t="shared" si="707"/>
        <v>-357.93705300000005</v>
      </c>
      <c r="BT485" s="492">
        <f>BT478+BT430</f>
        <v>-448.54529199999996</v>
      </c>
      <c r="BU485" s="6">
        <f t="shared" si="707"/>
        <v>-444.61042499999996</v>
      </c>
      <c r="BV485" s="6">
        <f>BV478+BV430</f>
        <v>-538.11408399999993</v>
      </c>
      <c r="BW485" s="6">
        <f>BW478+BW430</f>
        <v>-555.28258899999992</v>
      </c>
      <c r="BX485" s="6">
        <f t="shared" ref="BX485:CE485" ca="1" si="708">BX478+BX430</f>
        <v>-540.30239922609303</v>
      </c>
      <c r="BY485" s="6">
        <f t="shared" ca="1" si="708"/>
        <v>-604.20920200900855</v>
      </c>
      <c r="BZ485" s="6">
        <f t="shared" ca="1" si="708"/>
        <v>-720.06468114591439</v>
      </c>
      <c r="CA485" s="6">
        <f t="shared" ca="1" si="708"/>
        <v>-534.1677378207537</v>
      </c>
      <c r="CB485" s="6">
        <f t="shared" ca="1" si="708"/>
        <v>-691.9343532240166</v>
      </c>
      <c r="CC485" s="6">
        <f t="shared" ca="1" si="708"/>
        <v>-729.13523861478848</v>
      </c>
      <c r="CD485" s="6">
        <f t="shared" ca="1" si="708"/>
        <v>-799.92173815933313</v>
      </c>
      <c r="CE485" s="6">
        <f t="shared" ca="1" si="708"/>
        <v>-671.48657760177946</v>
      </c>
      <c r="CF485" s="5"/>
      <c r="CG485" s="5"/>
      <c r="CH485" s="5"/>
    </row>
    <row r="486" spans="1:96" outlineLevel="1">
      <c r="B486" s="12" t="s">
        <v>82</v>
      </c>
      <c r="C486" s="5"/>
      <c r="D486" s="324">
        <f t="shared" ref="D486:M486" si="709">(D485/C485-1)*1</f>
        <v>0.27055203675089623</v>
      </c>
      <c r="E486" s="324">
        <f t="shared" si="709"/>
        <v>8.9503717453201403E-2</v>
      </c>
      <c r="F486" s="324">
        <f t="shared" si="709"/>
        <v>0.28519277416490674</v>
      </c>
      <c r="G486" s="324">
        <f t="shared" si="709"/>
        <v>0.84649521242971826</v>
      </c>
      <c r="H486" s="324">
        <f t="shared" si="709"/>
        <v>8.9088296627981123E-2</v>
      </c>
      <c r="I486" s="324">
        <f t="shared" si="709"/>
        <v>0.4540077493609862</v>
      </c>
      <c r="J486" s="324">
        <f t="shared" si="709"/>
        <v>0.43859977738664213</v>
      </c>
      <c r="K486" s="324">
        <f t="shared" si="709"/>
        <v>8.3216459342784876E-2</v>
      </c>
      <c r="L486" s="324">
        <f t="shared" si="709"/>
        <v>0.25182647068259967</v>
      </c>
      <c r="M486" s="324">
        <f t="shared" si="709"/>
        <v>0.26246776470931343</v>
      </c>
      <c r="N486" s="323">
        <f t="shared" ref="N486:AD486" si="710">(N485/M485-1)</f>
        <v>0.37189201267062111</v>
      </c>
      <c r="O486" s="323">
        <f t="shared" si="710"/>
        <v>0.59450723868112054</v>
      </c>
      <c r="P486" s="323">
        <f t="shared" si="710"/>
        <v>0.21087293806004115</v>
      </c>
      <c r="Q486" s="323">
        <f t="shared" si="710"/>
        <v>0.52420461668000384</v>
      </c>
      <c r="R486" s="323">
        <f t="shared" si="710"/>
        <v>0.32958943594484391</v>
      </c>
      <c r="S486" s="323">
        <f t="shared" si="710"/>
        <v>0.78233552132056272</v>
      </c>
      <c r="T486" s="323">
        <f t="shared" si="710"/>
        <v>0.38797777016136292</v>
      </c>
      <c r="U486" s="323">
        <f t="shared" ca="1" si="710"/>
        <v>0.20749094374589783</v>
      </c>
      <c r="V486" s="323">
        <f t="shared" ca="1" si="710"/>
        <v>0.20583016913852226</v>
      </c>
      <c r="W486" s="323">
        <f t="shared" ca="1" si="710"/>
        <v>0.17583008257080568</v>
      </c>
      <c r="X486" s="323">
        <f t="shared" ca="1" si="710"/>
        <v>0.15667850680826234</v>
      </c>
      <c r="Y486" s="323">
        <f t="shared" ca="1" si="710"/>
        <v>0.14465454004362144</v>
      </c>
      <c r="Z486" s="323">
        <f t="shared" ca="1" si="710"/>
        <v>0.1330001768210245</v>
      </c>
      <c r="AA486" s="323">
        <f t="shared" ca="1" si="710"/>
        <v>0.12240421433679849</v>
      </c>
      <c r="AB486" s="323">
        <f t="shared" ca="1" si="710"/>
        <v>0.11307516481227453</v>
      </c>
      <c r="AC486" s="323">
        <f t="shared" ca="1" si="710"/>
        <v>0.12967204548436961</v>
      </c>
      <c r="AD486" s="323">
        <f t="shared" ca="1" si="710"/>
        <v>0.11793378605766502</v>
      </c>
      <c r="AE486" s="323"/>
      <c r="AF486" s="573"/>
      <c r="AG486" s="573"/>
      <c r="AH486" s="573"/>
      <c r="AI486" s="573"/>
      <c r="AJ486" s="560">
        <f t="shared" ref="AJ486:CA486" si="711">(AJ485/AF485-1)</f>
        <v>0.15515944158706829</v>
      </c>
      <c r="AK486" s="560">
        <f t="shared" si="711"/>
        <v>0.11845813677705164</v>
      </c>
      <c r="AL486" s="560">
        <f t="shared" si="711"/>
        <v>0.14380626750035597</v>
      </c>
      <c r="AM486" s="560">
        <f t="shared" si="711"/>
        <v>-6.6144081879312089E-2</v>
      </c>
      <c r="AN486" s="560">
        <f t="shared" si="711"/>
        <v>0.14334086297686932</v>
      </c>
      <c r="AO486" s="560">
        <f t="shared" si="711"/>
        <v>0.24203369026815946</v>
      </c>
      <c r="AP486" s="560">
        <f t="shared" si="711"/>
        <v>0.19046939956048403</v>
      </c>
      <c r="AQ486" s="560">
        <f t="shared" si="711"/>
        <v>0.4449451049171147</v>
      </c>
      <c r="AR486" s="560">
        <f t="shared" si="711"/>
        <v>6.7925234262202094E-2</v>
      </c>
      <c r="AS486" s="560">
        <f t="shared" si="711"/>
        <v>0.18923366665021391</v>
      </c>
      <c r="AT486" s="560">
        <f t="shared" si="711"/>
        <v>0.4169615109245659</v>
      </c>
      <c r="AU486" s="560">
        <f t="shared" si="711"/>
        <v>0.33609103197128976</v>
      </c>
      <c r="AV486" s="560">
        <f t="shared" si="711"/>
        <v>0.53255745609223348</v>
      </c>
      <c r="AW486" s="560">
        <f t="shared" si="711"/>
        <v>0.28503461316455603</v>
      </c>
      <c r="AX486" s="560">
        <f t="shared" si="711"/>
        <v>0.30854338674201021</v>
      </c>
      <c r="AY486" s="560">
        <f t="shared" si="711"/>
        <v>0.40649110334088889</v>
      </c>
      <c r="AZ486" s="560">
        <f t="shared" si="711"/>
        <v>0.70101769677719217</v>
      </c>
      <c r="BA486" s="560">
        <f t="shared" si="711"/>
        <v>0.69645759012405972</v>
      </c>
      <c r="BB486" s="560">
        <f t="shared" si="711"/>
        <v>0.56397976985654186</v>
      </c>
      <c r="BC486" s="560">
        <f t="shared" si="711"/>
        <v>0.47222647130950102</v>
      </c>
      <c r="BD486" s="560">
        <f t="shared" si="711"/>
        <v>0.37218607769761713</v>
      </c>
      <c r="BE486" s="560">
        <f t="shared" si="711"/>
        <v>0.22868248212746023</v>
      </c>
      <c r="BF486" s="560">
        <f t="shared" si="711"/>
        <v>0.21780394888221388</v>
      </c>
      <c r="BG486" s="560">
        <f t="shared" si="711"/>
        <v>5.8108022579236751E-2</v>
      </c>
      <c r="BH486" s="560">
        <f t="shared" si="711"/>
        <v>0.297471533796279</v>
      </c>
      <c r="BI486" s="560">
        <f t="shared" si="711"/>
        <v>0.43499538211738797</v>
      </c>
      <c r="BJ486" s="560">
        <f t="shared" si="711"/>
        <v>0.52326491208792381</v>
      </c>
      <c r="BK486" s="560">
        <f t="shared" si="711"/>
        <v>0.85298060326067837</v>
      </c>
      <c r="BL486" s="560">
        <f t="shared" si="711"/>
        <v>0.47826337051818557</v>
      </c>
      <c r="BM486" s="560">
        <f t="shared" si="711"/>
        <v>0.43714514998161746</v>
      </c>
      <c r="BN486" s="560">
        <f t="shared" si="711"/>
        <v>0.22293877111973504</v>
      </c>
      <c r="BO486" s="560">
        <f t="shared" si="711"/>
        <v>0.23929893948081049</v>
      </c>
      <c r="BP486" s="560">
        <f t="shared" si="711"/>
        <v>0.86291615153883572</v>
      </c>
      <c r="BQ486" s="560">
        <f t="shared" si="711"/>
        <v>0.77001703207450944</v>
      </c>
      <c r="BR486" s="560">
        <f t="shared" si="711"/>
        <v>0.84184799132295685</v>
      </c>
      <c r="BS486" s="560">
        <f t="shared" si="711"/>
        <v>0.66638009509953222</v>
      </c>
      <c r="BT486" s="560">
        <f t="shared" si="711"/>
        <v>0.28290128108168444</v>
      </c>
      <c r="BU486" s="323">
        <f t="shared" si="711"/>
        <v>0.28388360022840797</v>
      </c>
      <c r="BV486" s="323">
        <f t="shared" si="711"/>
        <v>0.42590266683297595</v>
      </c>
      <c r="BW486" s="323">
        <f t="shared" si="711"/>
        <v>0.55134145611910101</v>
      </c>
      <c r="BX486" s="323">
        <f t="shared" ca="1" si="711"/>
        <v>0.20456597998601467</v>
      </c>
      <c r="BY486" s="323">
        <f t="shared" ca="1" si="711"/>
        <v>0.35896319122298714</v>
      </c>
      <c r="BZ486" s="323">
        <f t="shared" ca="1" si="711"/>
        <v>0.33812643555695243</v>
      </c>
      <c r="CA486" s="323">
        <f t="shared" ca="1" si="711"/>
        <v>-3.8025415522701E-2</v>
      </c>
      <c r="CB486" s="323">
        <f ca="1">(CB485/BX485-1)</f>
        <v>0.28064275527022442</v>
      </c>
      <c r="CC486" s="323">
        <f ca="1">(CC485/BY485-1)</f>
        <v>0.20675957299292724</v>
      </c>
      <c r="CD486" s="323">
        <f ca="1">(CD485/BZ485-1)</f>
        <v>0.11090261625710318</v>
      </c>
      <c r="CE486" s="323">
        <f ca="1">(CE485/CA485-1)</f>
        <v>0.25707063541734287</v>
      </c>
      <c r="CF486" s="62"/>
      <c r="CG486" s="5"/>
      <c r="CH486" s="5"/>
    </row>
    <row r="487" spans="1:96" outlineLevel="1">
      <c r="B487" s="12" t="s">
        <v>83</v>
      </c>
      <c r="C487" s="5"/>
      <c r="D487" s="5"/>
      <c r="E487" s="5"/>
      <c r="F487" s="5"/>
      <c r="G487" s="5"/>
      <c r="H487" s="324"/>
      <c r="I487" s="324"/>
      <c r="J487" s="324"/>
      <c r="K487" s="324"/>
      <c r="L487" s="324"/>
      <c r="M487" s="324"/>
      <c r="N487" s="324"/>
      <c r="O487" s="324"/>
      <c r="P487" s="324"/>
      <c r="Q487" s="324"/>
      <c r="R487" s="324"/>
      <c r="S487" s="324"/>
      <c r="T487" s="324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573"/>
      <c r="AG487" s="560">
        <f t="shared" ref="AG487:CA487" si="712">(AG485/AF485-1)</f>
        <v>0.10543857071039109</v>
      </c>
      <c r="AH487" s="560">
        <f t="shared" si="712"/>
        <v>6.6884828280521447E-2</v>
      </c>
      <c r="AI487" s="560">
        <f t="shared" si="712"/>
        <v>3.5265171245216997E-2</v>
      </c>
      <c r="AJ487" s="560">
        <f t="shared" si="712"/>
        <v>-5.3897531770843887E-2</v>
      </c>
      <c r="AK487" s="560">
        <f t="shared" si="712"/>
        <v>7.0316979290378168E-2</v>
      </c>
      <c r="AL487" s="560">
        <f t="shared" si="712"/>
        <v>9.1064129413680917E-2</v>
      </c>
      <c r="AM487" s="560">
        <f t="shared" si="712"/>
        <v>-0.15476201305980997</v>
      </c>
      <c r="AN487" s="560">
        <f t="shared" si="712"/>
        <v>0.15833459048644416</v>
      </c>
      <c r="AO487" s="560">
        <f t="shared" si="712"/>
        <v>0.1627064076792224</v>
      </c>
      <c r="AP487" s="560">
        <f t="shared" si="712"/>
        <v>4.5767493428181094E-2</v>
      </c>
      <c r="AQ487" s="560">
        <f t="shared" si="712"/>
        <v>2.5916745252024587E-2</v>
      </c>
      <c r="AR487" s="560">
        <f t="shared" si="712"/>
        <v>-0.14390191385837758</v>
      </c>
      <c r="AS487" s="560">
        <f t="shared" si="712"/>
        <v>0.29478128250930125</v>
      </c>
      <c r="AT487" s="560">
        <f t="shared" si="712"/>
        <v>0.24602282050902713</v>
      </c>
      <c r="AU487" s="560">
        <f t="shared" si="712"/>
        <v>-3.2635571035368405E-2</v>
      </c>
      <c r="AV487" s="560">
        <f t="shared" si="712"/>
        <v>-1.8016382366656258E-2</v>
      </c>
      <c r="AW487" s="560">
        <f t="shared" si="712"/>
        <v>8.5661589970375207E-2</v>
      </c>
      <c r="AX487" s="560">
        <f t="shared" si="712"/>
        <v>0.26881790171509001</v>
      </c>
      <c r="AY487" s="560">
        <f t="shared" si="712"/>
        <v>3.9774054733306752E-2</v>
      </c>
      <c r="AZ487" s="560">
        <f t="shared" si="712"/>
        <v>0.18761612325304577</v>
      </c>
      <c r="BA487" s="560">
        <f t="shared" si="712"/>
        <v>8.2751136628911315E-2</v>
      </c>
      <c r="BB487" s="560">
        <f t="shared" si="712"/>
        <v>0.16973482948613494</v>
      </c>
      <c r="BC487" s="560">
        <f t="shared" si="712"/>
        <v>-2.1225902621744508E-2</v>
      </c>
      <c r="BD487" s="560">
        <f t="shared" si="712"/>
        <v>0.10691550636739988</v>
      </c>
      <c r="BE487" s="560">
        <f t="shared" si="712"/>
        <v>-3.048327358652525E-2</v>
      </c>
      <c r="BF487" s="560">
        <f t="shared" si="712"/>
        <v>0.15937820813294845</v>
      </c>
      <c r="BG487" s="560">
        <f t="shared" si="712"/>
        <v>-0.14957680529836159</v>
      </c>
      <c r="BH487" s="560">
        <f t="shared" si="712"/>
        <v>0.3573201688127694</v>
      </c>
      <c r="BI487" s="560">
        <f t="shared" si="712"/>
        <v>7.2279421204896499E-2</v>
      </c>
      <c r="BJ487" s="560">
        <f t="shared" si="712"/>
        <v>0.23069395643798796</v>
      </c>
      <c r="BK487" s="560">
        <f t="shared" si="712"/>
        <v>3.4500087174697658E-2</v>
      </c>
      <c r="BL487" s="560">
        <f t="shared" si="712"/>
        <v>8.2837394029215528E-2</v>
      </c>
      <c r="BM487" s="560">
        <f t="shared" si="712"/>
        <v>4.2453733443674757E-2</v>
      </c>
      <c r="BN487" s="560">
        <f t="shared" si="712"/>
        <v>4.7259112783429869E-2</v>
      </c>
      <c r="BO487" s="560">
        <f t="shared" si="712"/>
        <v>4.8339370052473241E-2</v>
      </c>
      <c r="BP487" s="560">
        <f t="shared" si="712"/>
        <v>0.62772290571986189</v>
      </c>
      <c r="BQ487" s="560">
        <f t="shared" si="712"/>
        <v>-9.530911082178406E-3</v>
      </c>
      <c r="BR487" s="560">
        <f t="shared" si="712"/>
        <v>8.9759057862910385E-2</v>
      </c>
      <c r="BS487" s="560">
        <f t="shared" si="712"/>
        <v>-5.1533097522427296E-2</v>
      </c>
      <c r="BT487" s="560">
        <f t="shared" si="712"/>
        <v>0.25314014919824435</v>
      </c>
      <c r="BU487" s="323">
        <f t="shared" si="712"/>
        <v>-8.7725076378686317E-3</v>
      </c>
      <c r="BV487" s="323">
        <f t="shared" si="712"/>
        <v>0.21030469314793954</v>
      </c>
      <c r="BW487" s="323">
        <f t="shared" si="712"/>
        <v>3.1904953820164339E-2</v>
      </c>
      <c r="BX487" s="323">
        <f t="shared" ca="1" si="712"/>
        <v>-2.6977596760028977E-2</v>
      </c>
      <c r="BY487" s="323">
        <f t="shared" ca="1" si="712"/>
        <v>0.11827969461999976</v>
      </c>
      <c r="BZ487" s="323">
        <f t="shared" ca="1" si="712"/>
        <v>0.19174729340712426</v>
      </c>
      <c r="CA487" s="323">
        <f t="shared" ca="1" si="712"/>
        <v>-0.2581670066490741</v>
      </c>
      <c r="CB487" s="323">
        <f ca="1">(CB485/CA485-1)</f>
        <v>0.29535032581133414</v>
      </c>
      <c r="CC487" s="323">
        <f ca="1">(CC485/CB485-1)</f>
        <v>5.3763605199593112E-2</v>
      </c>
      <c r="CD487" s="323">
        <f ca="1">(CD485/CC485-1)</f>
        <v>9.7082812344970293E-2</v>
      </c>
      <c r="CE487" s="323">
        <f ca="1">(CE485/CD485-1)</f>
        <v>-0.1605596578148889</v>
      </c>
      <c r="CF487" s="62"/>
      <c r="CG487" s="5"/>
      <c r="CH487" s="5"/>
    </row>
    <row r="488" spans="1:96" outlineLevel="1">
      <c r="B488" s="12" t="s">
        <v>269</v>
      </c>
      <c r="C488" s="5"/>
      <c r="D488" s="5"/>
      <c r="E488" s="5"/>
      <c r="F488" s="5"/>
      <c r="G488" s="5"/>
      <c r="H488" s="324"/>
      <c r="I488" s="324">
        <f>-I482/Rev_Gross*100</f>
        <v>0</v>
      </c>
      <c r="J488" s="324">
        <f>-J482/Rev_Gross*100</f>
        <v>0</v>
      </c>
      <c r="K488" s="324">
        <f>-K482/Rev_Gross*100</f>
        <v>0</v>
      </c>
      <c r="L488" s="324">
        <f>-L482/Rev_Gross*100</f>
        <v>0</v>
      </c>
      <c r="M488" s="324">
        <f>-M482/Rev_Gross*100</f>
        <v>0</v>
      </c>
      <c r="N488" s="323">
        <f>-N482/Rev_Gross</f>
        <v>0</v>
      </c>
      <c r="O488" s="323">
        <f>-O482/Rev_Gross</f>
        <v>-2.9344588779955379E-5</v>
      </c>
      <c r="P488" s="323">
        <f>-P482/Rev_Gross</f>
        <v>-1.9777238420625718E-5</v>
      </c>
      <c r="Q488" s="323">
        <f>-Q482/Rev_Gross</f>
        <v>-1.4261097863267552E-5</v>
      </c>
      <c r="R488" s="323">
        <f t="shared" ref="R488:AD488" si="713">-R485/Rev_Gross</f>
        <v>6.9846643839378664E-2</v>
      </c>
      <c r="S488" s="323">
        <f t="shared" si="713"/>
        <v>7.2329207931174616E-2</v>
      </c>
      <c r="T488" s="323">
        <f>-T485/Rev_Gross</f>
        <v>7.3638783423410903E-2</v>
      </c>
      <c r="U488" s="323">
        <f t="shared" ca="1" si="713"/>
        <v>7.4769820551767979E-2</v>
      </c>
      <c r="V488" s="323">
        <f t="shared" ca="1" si="713"/>
        <v>7.173670144857841E-2</v>
      </c>
      <c r="W488" s="323">
        <f t="shared" ca="1" si="713"/>
        <v>6.9022106581377154E-2</v>
      </c>
      <c r="X488" s="323">
        <f t="shared" ca="1" si="713"/>
        <v>6.6307511714175871E-2</v>
      </c>
      <c r="Y488" s="323">
        <f t="shared" ca="1" si="713"/>
        <v>6.3592916846974615E-2</v>
      </c>
      <c r="Z488" s="323">
        <f t="shared" ca="1" si="713"/>
        <v>6.2235619413373973E-2</v>
      </c>
      <c r="AA488" s="323">
        <f t="shared" ca="1" si="713"/>
        <v>6.0878321979773331E-2</v>
      </c>
      <c r="AB488" s="323">
        <f t="shared" ca="1" si="713"/>
        <v>5.9521024546172675E-2</v>
      </c>
      <c r="AC488" s="323">
        <f t="shared" ca="1" si="713"/>
        <v>5.9521024546172689E-2</v>
      </c>
      <c r="AD488" s="323">
        <f t="shared" ca="1" si="713"/>
        <v>5.9521024546172696E-2</v>
      </c>
      <c r="AE488" s="323"/>
      <c r="AF488" s="323">
        <f t="shared" ref="AF488:BK488" si="714">-AF482/Rev_Gross</f>
        <v>-4.858440772036999E-4</v>
      </c>
      <c r="AG488" s="323">
        <f t="shared" si="714"/>
        <v>-3.6683177659735497E-4</v>
      </c>
      <c r="AH488" s="323">
        <f t="shared" si="714"/>
        <v>-3.0325798044393305E-4</v>
      </c>
      <c r="AI488" s="323">
        <f t="shared" si="714"/>
        <v>-2.483153255741342E-4</v>
      </c>
      <c r="AJ488" s="323">
        <f t="shared" si="714"/>
        <v>-3.1778339426821224E-4</v>
      </c>
      <c r="AK488" s="323">
        <f t="shared" si="714"/>
        <v>-2.6563210927641677E-4</v>
      </c>
      <c r="AL488" s="323">
        <f t="shared" si="714"/>
        <v>-2.8430495338956774E-4</v>
      </c>
      <c r="AM488" s="323">
        <f t="shared" si="714"/>
        <v>-2.3080674336193184E-4</v>
      </c>
      <c r="AN488" s="323">
        <f t="shared" si="714"/>
        <v>-2.249402640858265E-4</v>
      </c>
      <c r="AO488" s="323">
        <f t="shared" si="714"/>
        <v>-1.763345429037381E-4</v>
      </c>
      <c r="AP488" s="323">
        <f t="shared" si="714"/>
        <v>-1.3864571616906094E-4</v>
      </c>
      <c r="AQ488" s="323">
        <f t="shared" si="714"/>
        <v>-1.7151101699257445E-4</v>
      </c>
      <c r="AR488" s="323">
        <f t="shared" si="714"/>
        <v>-1.6965893130471395E-4</v>
      </c>
      <c r="AS488" s="323">
        <f t="shared" si="714"/>
        <v>-1.2840801825785269E-4</v>
      </c>
      <c r="AT488" s="323">
        <f t="shared" si="714"/>
        <v>-1.0697858441444661E-4</v>
      </c>
      <c r="AU488" s="323">
        <f t="shared" si="714"/>
        <v>-1.1141489034989733E-4</v>
      </c>
      <c r="AV488" s="323">
        <f t="shared" si="714"/>
        <v>-1.2394323808984941E-4</v>
      </c>
      <c r="AW488" s="323">
        <f t="shared" si="714"/>
        <v>-1.2297292734870767E-4</v>
      </c>
      <c r="AX488" s="323">
        <f t="shared" si="714"/>
        <v>-1.0078829963221666E-4</v>
      </c>
      <c r="AY488" s="323">
        <f t="shared" si="714"/>
        <v>-1.1636272944956478E-4</v>
      </c>
      <c r="AZ488" s="323">
        <f t="shared" si="714"/>
        <v>-1.3857949215022639E-4</v>
      </c>
      <c r="BA488" s="323">
        <f t="shared" si="714"/>
        <v>-1.3061570162706479E-4</v>
      </c>
      <c r="BB488" s="323">
        <f t="shared" si="714"/>
        <v>-9.7120610334000413E-5</v>
      </c>
      <c r="BC488" s="323">
        <f t="shared" si="714"/>
        <v>-1.1146480496015164E-4</v>
      </c>
      <c r="BD488" s="323">
        <f t="shared" si="714"/>
        <v>-1.0688811650659033E-4</v>
      </c>
      <c r="BE488" s="323">
        <f t="shared" si="714"/>
        <v>-9.1065167971650962E-5</v>
      </c>
      <c r="BF488" s="323">
        <f t="shared" si="714"/>
        <v>-6.4041744569196844E-5</v>
      </c>
      <c r="BG488" s="323">
        <f t="shared" si="714"/>
        <v>-6.5985030970890755E-5</v>
      </c>
      <c r="BH488" s="323">
        <f t="shared" si="714"/>
        <v>-6.8307410587782003E-5</v>
      </c>
      <c r="BI488" s="323">
        <f t="shared" si="714"/>
        <v>-5.8661147442333726E-5</v>
      </c>
      <c r="BJ488" s="323">
        <f t="shared" si="714"/>
        <v>-4.7386174672783565E-5</v>
      </c>
      <c r="BK488" s="323">
        <f t="shared" si="714"/>
        <v>-5.7374050425113266E-5</v>
      </c>
      <c r="BL488" s="323">
        <f t="shared" ref="BL488:CA488" si="715">-BL485/Rev_Gross</f>
        <v>7.681437578488029E-2</v>
      </c>
      <c r="BM488" s="323">
        <f t="shared" si="715"/>
        <v>7.3400609161190455E-2</v>
      </c>
      <c r="BN488" s="323">
        <f t="shared" si="715"/>
        <v>6.1057452988451326E-2</v>
      </c>
      <c r="BO488" s="323">
        <f t="shared" si="715"/>
        <v>7.0835026622976666E-2</v>
      </c>
      <c r="BP488" s="323">
        <f t="shared" si="715"/>
        <v>7.9477674835035816E-2</v>
      </c>
      <c r="BQ488" s="323">
        <f t="shared" si="715"/>
        <v>7.6237625139502024E-2</v>
      </c>
      <c r="BR488" s="323">
        <f t="shared" si="715"/>
        <v>6.6584074155285555E-2</v>
      </c>
      <c r="BS488" s="323">
        <f t="shared" si="715"/>
        <v>6.9116383618073374E-2</v>
      </c>
      <c r="BT488" s="323">
        <f t="shared" si="715"/>
        <v>7.3133134831688221E-2</v>
      </c>
      <c r="BU488" s="323">
        <f t="shared" si="715"/>
        <v>6.8808491214436523E-2</v>
      </c>
      <c r="BV488" s="323">
        <f>-BV485/Rev_Gross</f>
        <v>6.7628177248895777E-2</v>
      </c>
      <c r="BW488" s="323">
        <f>-BW485/Rev_Gross</f>
        <v>8.6422604332263731E-2</v>
      </c>
      <c r="BX488" s="323">
        <f t="shared" ca="1" si="715"/>
        <v>8.0047291373512852E-2</v>
      </c>
      <c r="BY488" s="323">
        <f t="shared" ca="1" si="715"/>
        <v>8.0085574951823738E-2</v>
      </c>
      <c r="BZ488" s="323">
        <f t="shared" ca="1" si="715"/>
        <v>7.678737853013462E-2</v>
      </c>
      <c r="CA488" s="323">
        <f t="shared" ca="1" si="715"/>
        <v>6.3515810850017285E-2</v>
      </c>
      <c r="CB488" s="323">
        <f ca="1">-CB485/Rev_Gross</f>
        <v>7.5397178530134612E-2</v>
      </c>
      <c r="CC488" s="323">
        <f ca="1">-CC485/Rev_Gross</f>
        <v>7.4006978530134618E-2</v>
      </c>
      <c r="CD488" s="323">
        <f ca="1">-CD485/Rev_Gross</f>
        <v>7.1226578530134629E-2</v>
      </c>
      <c r="CE488" s="323">
        <f ca="1">-CE485/Rev_Gross</f>
        <v>6.6743860921197898E-2</v>
      </c>
      <c r="CF488" s="62"/>
      <c r="CG488" s="5"/>
      <c r="CH488" s="5"/>
    </row>
    <row r="489" spans="1:96" outlineLevel="1">
      <c r="B489" s="12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  <c r="BL489" s="6"/>
      <c r="BM489" s="6"/>
      <c r="BN489" s="6"/>
      <c r="BO489" s="6"/>
      <c r="BP489" s="6"/>
      <c r="BQ489" s="6"/>
      <c r="BR489" s="6"/>
      <c r="BS489" s="6"/>
      <c r="BT489" s="6"/>
      <c r="BU489" s="6"/>
      <c r="BV489" s="6"/>
      <c r="BW489" s="6"/>
      <c r="BX489" s="6"/>
      <c r="BY489" s="6"/>
      <c r="BZ489" s="6"/>
      <c r="CA489" s="6"/>
      <c r="CB489" s="6"/>
      <c r="CC489" s="6"/>
      <c r="CD489" s="6"/>
      <c r="CE489" s="6"/>
      <c r="CF489" s="5"/>
      <c r="CG489" s="5"/>
      <c r="CH489" s="5"/>
    </row>
    <row r="490" spans="1:96" s="51" customFormat="1" outlineLevel="1">
      <c r="A490" s="3"/>
      <c r="B490" s="51" t="s">
        <v>137</v>
      </c>
      <c r="C490" s="225">
        <f t="shared" ref="C490:M490" si="716">100-C483-C466-C454</f>
        <v>1.0231383862665773</v>
      </c>
      <c r="D490" s="225">
        <f t="shared" si="716"/>
        <v>4.9216765935696642</v>
      </c>
      <c r="E490" s="225">
        <f t="shared" si="716"/>
        <v>2.0098042804447935</v>
      </c>
      <c r="F490" s="225">
        <f t="shared" si="716"/>
        <v>0.4340952643371061</v>
      </c>
      <c r="G490" s="225">
        <f t="shared" si="716"/>
        <v>0.32931369742674832</v>
      </c>
      <c r="H490" s="225">
        <f t="shared" si="716"/>
        <v>0</v>
      </c>
      <c r="I490" s="225">
        <f t="shared" si="716"/>
        <v>0</v>
      </c>
      <c r="J490" s="225">
        <f t="shared" si="716"/>
        <v>0</v>
      </c>
      <c r="K490" s="225">
        <f t="shared" si="716"/>
        <v>0</v>
      </c>
      <c r="L490" s="225">
        <f t="shared" si="716"/>
        <v>0</v>
      </c>
      <c r="M490" s="225">
        <f t="shared" si="716"/>
        <v>0</v>
      </c>
      <c r="N490" s="344">
        <f t="shared" ref="N490:AB490" si="717">1-N483-N466-N454</f>
        <v>0</v>
      </c>
      <c r="O490" s="344">
        <f t="shared" si="717"/>
        <v>0</v>
      </c>
      <c r="P490" s="344">
        <f t="shared" si="717"/>
        <v>0</v>
      </c>
      <c r="Q490" s="344">
        <f t="shared" si="717"/>
        <v>0</v>
      </c>
      <c r="R490" s="344">
        <f t="shared" si="717"/>
        <v>0</v>
      </c>
      <c r="S490" s="344">
        <f t="shared" si="717"/>
        <v>0</v>
      </c>
      <c r="T490" s="344">
        <f>1-T483-T466-T454</f>
        <v>0</v>
      </c>
      <c r="U490" s="344">
        <f t="shared" si="717"/>
        <v>0</v>
      </c>
      <c r="V490" s="344">
        <f t="shared" si="717"/>
        <v>0</v>
      </c>
      <c r="W490" s="344">
        <f t="shared" si="717"/>
        <v>0</v>
      </c>
      <c r="X490" s="344">
        <f t="shared" si="717"/>
        <v>0</v>
      </c>
      <c r="Y490" s="344">
        <f t="shared" si="717"/>
        <v>0</v>
      </c>
      <c r="Z490" s="344">
        <f t="shared" si="717"/>
        <v>0</v>
      </c>
      <c r="AA490" s="344">
        <f t="shared" si="717"/>
        <v>0</v>
      </c>
      <c r="AB490" s="344">
        <f t="shared" si="717"/>
        <v>0</v>
      </c>
      <c r="AC490" s="344">
        <f>1-AC483-AC466-AC454</f>
        <v>0</v>
      </c>
      <c r="AD490" s="344">
        <f>1-AD483-AD466-AD454</f>
        <v>0</v>
      </c>
      <c r="AE490" s="344"/>
      <c r="AF490" s="345">
        <f>1-AF483-AF466-AF454</f>
        <v>0</v>
      </c>
      <c r="AG490" s="345">
        <f t="shared" ref="AG490:BU490" si="718">1-AG483-AG466-AG454</f>
        <v>0</v>
      </c>
      <c r="AH490" s="345">
        <f t="shared" si="718"/>
        <v>0</v>
      </c>
      <c r="AI490" s="345">
        <f t="shared" si="718"/>
        <v>0</v>
      </c>
      <c r="AJ490" s="345">
        <f t="shared" si="718"/>
        <v>0</v>
      </c>
      <c r="AK490" s="345">
        <f t="shared" si="718"/>
        <v>0</v>
      </c>
      <c r="AL490" s="345">
        <f t="shared" si="718"/>
        <v>0</v>
      </c>
      <c r="AM490" s="345">
        <f t="shared" si="718"/>
        <v>0</v>
      </c>
      <c r="AN490" s="345">
        <f t="shared" si="718"/>
        <v>0</v>
      </c>
      <c r="AO490" s="345">
        <f t="shared" si="718"/>
        <v>0</v>
      </c>
      <c r="AP490" s="345">
        <f t="shared" si="718"/>
        <v>0</v>
      </c>
      <c r="AQ490" s="345">
        <f t="shared" si="718"/>
        <v>0</v>
      </c>
      <c r="AR490" s="345">
        <f t="shared" si="718"/>
        <v>0</v>
      </c>
      <c r="AS490" s="345">
        <f t="shared" si="718"/>
        <v>0</v>
      </c>
      <c r="AT490" s="345">
        <f t="shared" si="718"/>
        <v>0</v>
      </c>
      <c r="AU490" s="345">
        <f t="shared" si="718"/>
        <v>0</v>
      </c>
      <c r="AV490" s="345">
        <f t="shared" si="718"/>
        <v>0</v>
      </c>
      <c r="AW490" s="345">
        <f t="shared" si="718"/>
        <v>0</v>
      </c>
      <c r="AX490" s="345">
        <f t="shared" si="718"/>
        <v>0</v>
      </c>
      <c r="AY490" s="345">
        <f t="shared" si="718"/>
        <v>0</v>
      </c>
      <c r="AZ490" s="345">
        <f t="shared" si="718"/>
        <v>0</v>
      </c>
      <c r="BA490" s="345">
        <f t="shared" si="718"/>
        <v>0</v>
      </c>
      <c r="BB490" s="345">
        <f t="shared" si="718"/>
        <v>0</v>
      </c>
      <c r="BC490" s="345">
        <f t="shared" si="718"/>
        <v>0</v>
      </c>
      <c r="BD490" s="345">
        <f t="shared" si="718"/>
        <v>0</v>
      </c>
      <c r="BE490" s="345">
        <f t="shared" si="718"/>
        <v>0</v>
      </c>
      <c r="BF490" s="345">
        <f t="shared" si="718"/>
        <v>0</v>
      </c>
      <c r="BG490" s="345">
        <f t="shared" si="718"/>
        <v>0</v>
      </c>
      <c r="BH490" s="345">
        <f t="shared" si="718"/>
        <v>0</v>
      </c>
      <c r="BI490" s="345">
        <f t="shared" si="718"/>
        <v>0</v>
      </c>
      <c r="BJ490" s="345">
        <f t="shared" si="718"/>
        <v>0</v>
      </c>
      <c r="BK490" s="345">
        <f t="shared" si="718"/>
        <v>0</v>
      </c>
      <c r="BL490" s="345">
        <f t="shared" si="718"/>
        <v>0</v>
      </c>
      <c r="BM490" s="345">
        <f t="shared" si="718"/>
        <v>0</v>
      </c>
      <c r="BN490" s="345">
        <f t="shared" si="718"/>
        <v>0</v>
      </c>
      <c r="BO490" s="345">
        <f t="shared" si="718"/>
        <v>0</v>
      </c>
      <c r="BP490" s="345">
        <f t="shared" si="718"/>
        <v>0</v>
      </c>
      <c r="BQ490" s="345">
        <f t="shared" si="718"/>
        <v>0</v>
      </c>
      <c r="BR490" s="345">
        <f t="shared" si="718"/>
        <v>0</v>
      </c>
      <c r="BS490" s="345">
        <f t="shared" si="718"/>
        <v>0</v>
      </c>
      <c r="BT490" s="345">
        <f t="shared" si="718"/>
        <v>0</v>
      </c>
      <c r="BU490" s="345">
        <f t="shared" si="718"/>
        <v>0</v>
      </c>
      <c r="BV490" s="345">
        <f>1-BV483-BV466-BV454</f>
        <v>0</v>
      </c>
      <c r="BW490" s="345">
        <f>1-BW483-BW466-BW454</f>
        <v>0</v>
      </c>
      <c r="BX490" s="345">
        <f t="shared" ref="BX490:CE490" si="719">1-BX483-BX466-BX454</f>
        <v>0</v>
      </c>
      <c r="BY490" s="345">
        <f t="shared" si="719"/>
        <v>0</v>
      </c>
      <c r="BZ490" s="345">
        <f t="shared" si="719"/>
        <v>0</v>
      </c>
      <c r="CA490" s="345">
        <f t="shared" ca="1" si="719"/>
        <v>0</v>
      </c>
      <c r="CB490" s="345">
        <f t="shared" si="719"/>
        <v>0</v>
      </c>
      <c r="CC490" s="345">
        <f t="shared" si="719"/>
        <v>0</v>
      </c>
      <c r="CD490" s="345">
        <f t="shared" si="719"/>
        <v>0</v>
      </c>
      <c r="CE490" s="345">
        <f t="shared" ca="1" si="719"/>
        <v>0</v>
      </c>
      <c r="CF490" s="465"/>
      <c r="CG490" s="5"/>
      <c r="CH490" s="5"/>
      <c r="CI490" s="3"/>
      <c r="CJ490"/>
      <c r="CK490"/>
      <c r="CL490"/>
      <c r="CM490"/>
      <c r="CN490"/>
      <c r="CO490"/>
      <c r="CP490" s="3"/>
      <c r="CQ490" s="3"/>
      <c r="CR490" s="3"/>
    </row>
    <row r="491" spans="1:96" outlineLevel="1">
      <c r="A491" s="332"/>
      <c r="B491" s="56"/>
      <c r="C491" s="330"/>
      <c r="D491" s="330"/>
      <c r="E491" s="330"/>
      <c r="F491" s="330"/>
      <c r="G491" s="330"/>
      <c r="H491" s="330"/>
      <c r="I491" s="330"/>
      <c r="J491" s="330"/>
      <c r="K491" s="330"/>
      <c r="L491" s="330"/>
      <c r="M491" s="330"/>
      <c r="N491" s="330"/>
      <c r="O491" s="330"/>
      <c r="P491" s="330"/>
      <c r="Q491" s="330"/>
      <c r="R491" s="330"/>
      <c r="S491" s="330"/>
      <c r="T491" s="330"/>
      <c r="U491" s="330"/>
      <c r="V491" s="330"/>
      <c r="W491" s="330"/>
      <c r="X491" s="330"/>
      <c r="Y491" s="330"/>
      <c r="Z491" s="330"/>
      <c r="AA491" s="330"/>
      <c r="AB491" s="330"/>
      <c r="AC491" s="330"/>
      <c r="AD491" s="330"/>
      <c r="AE491" s="330"/>
      <c r="AF491" s="330"/>
      <c r="AG491" s="330"/>
      <c r="AH491" s="330"/>
      <c r="AI491" s="330"/>
      <c r="AJ491" s="330"/>
      <c r="AK491" s="330"/>
      <c r="AL491" s="330"/>
      <c r="AM491" s="330"/>
      <c r="AN491" s="330"/>
      <c r="AO491" s="330"/>
      <c r="AP491" s="330"/>
      <c r="AQ491" s="330"/>
      <c r="AR491" s="330"/>
      <c r="AS491" s="330"/>
      <c r="AT491" s="330"/>
      <c r="AU491" s="330"/>
      <c r="AV491" s="330"/>
      <c r="AW491" s="330"/>
      <c r="AX491" s="330"/>
      <c r="AY491" s="330"/>
      <c r="AZ491" s="330"/>
      <c r="BA491" s="330"/>
      <c r="BB491" s="330"/>
      <c r="BC491" s="330"/>
      <c r="BD491" s="330"/>
      <c r="BE491" s="330"/>
      <c r="BF491" s="330"/>
      <c r="BG491" s="330"/>
      <c r="BH491" s="330"/>
      <c r="BI491" s="330"/>
      <c r="BJ491" s="330"/>
      <c r="BK491" s="330"/>
      <c r="BL491" s="330"/>
      <c r="BM491" s="330"/>
      <c r="BN491" s="330"/>
      <c r="BO491" s="330"/>
      <c r="BP491" s="330"/>
      <c r="BQ491" s="330"/>
      <c r="BR491" s="330"/>
      <c r="BS491" s="330"/>
      <c r="BT491" s="330"/>
      <c r="BU491" s="330"/>
      <c r="BV491" s="330"/>
      <c r="BW491" s="330"/>
      <c r="BX491" s="330"/>
      <c r="BY491" s="330"/>
      <c r="BZ491" s="330"/>
      <c r="CA491" s="330"/>
      <c r="CB491" s="330"/>
      <c r="CC491" s="330"/>
      <c r="CD491" s="330"/>
      <c r="CE491" s="330"/>
      <c r="CF491" s="5"/>
      <c r="CG491" s="5"/>
      <c r="CH491" s="5"/>
    </row>
    <row r="492" spans="1:96" outlineLevel="1">
      <c r="B492" s="517" t="s">
        <v>17</v>
      </c>
      <c r="C492" s="517"/>
      <c r="D492" s="517"/>
      <c r="E492" s="517"/>
      <c r="F492" s="517"/>
      <c r="G492" s="517"/>
      <c r="H492" s="517"/>
      <c r="I492" s="517"/>
      <c r="J492" s="517"/>
      <c r="K492" s="517"/>
      <c r="L492" s="517"/>
      <c r="M492" s="517"/>
      <c r="N492" s="517"/>
      <c r="O492" s="517"/>
      <c r="P492" s="517"/>
      <c r="Q492" s="517"/>
      <c r="R492" s="517"/>
      <c r="S492" s="517"/>
      <c r="T492" s="517"/>
      <c r="U492" s="517"/>
      <c r="V492" s="517"/>
      <c r="W492" s="517"/>
      <c r="X492" s="517"/>
      <c r="Y492" s="517"/>
      <c r="Z492" s="517"/>
      <c r="AA492" s="517"/>
      <c r="AB492" s="517"/>
      <c r="AC492" s="517"/>
      <c r="AD492" s="517"/>
      <c r="AE492" s="517"/>
      <c r="AF492" s="517"/>
      <c r="AG492" s="517"/>
      <c r="AH492" s="517"/>
      <c r="AI492" s="517"/>
      <c r="AJ492" s="517"/>
      <c r="AK492" s="517"/>
      <c r="AL492" s="517"/>
      <c r="AM492" s="517"/>
      <c r="AN492" s="517"/>
      <c r="AO492" s="517"/>
      <c r="AP492" s="517"/>
      <c r="AQ492" s="517"/>
      <c r="AR492" s="517"/>
      <c r="AS492" s="517"/>
      <c r="AT492" s="517"/>
      <c r="AU492" s="517"/>
      <c r="AV492" s="517"/>
      <c r="AW492" s="517"/>
      <c r="AX492" s="517"/>
      <c r="AY492" s="517"/>
      <c r="AZ492" s="517"/>
      <c r="BA492" s="517"/>
      <c r="BB492" s="517"/>
      <c r="BC492" s="517"/>
      <c r="BD492" s="517"/>
      <c r="BE492" s="517"/>
      <c r="BF492" s="517"/>
      <c r="BG492" s="517"/>
      <c r="BH492" s="517"/>
      <c r="BI492" s="517"/>
      <c r="BJ492" s="517"/>
      <c r="BK492" s="517"/>
      <c r="BL492" s="517"/>
      <c r="BM492" s="517"/>
      <c r="BN492" s="517"/>
      <c r="BO492" s="517"/>
      <c r="BP492" s="517"/>
      <c r="BQ492" s="517"/>
      <c r="BR492" s="517"/>
      <c r="BS492" s="517"/>
      <c r="BT492" s="517"/>
      <c r="BU492" s="529"/>
      <c r="BV492" s="529"/>
      <c r="BW492" s="517"/>
      <c r="BX492" s="517"/>
      <c r="BY492" s="517"/>
      <c r="BZ492" s="517"/>
      <c r="CA492" s="517"/>
      <c r="CB492" s="517"/>
      <c r="CC492" s="517"/>
      <c r="CD492" s="517"/>
      <c r="CE492" s="517"/>
      <c r="CF492" s="31"/>
      <c r="CG492" s="5"/>
      <c r="CH492" s="5"/>
      <c r="CI492" s="214"/>
      <c r="CP492" s="214"/>
      <c r="CQ492" s="214"/>
      <c r="CR492" s="214"/>
    </row>
    <row r="493" spans="1:96" outlineLevel="1">
      <c r="A493" s="3" t="s">
        <v>63</v>
      </c>
      <c r="B493" s="116" t="s">
        <v>27</v>
      </c>
      <c r="C493" s="84">
        <f t="shared" ref="C493:R493" si="720">Int_Inc</f>
        <v>0.735178</v>
      </c>
      <c r="D493" s="84">
        <f t="shared" si="720"/>
        <v>2.1909830000000001</v>
      </c>
      <c r="E493" s="84">
        <f t="shared" si="720"/>
        <v>0.31923000000000001</v>
      </c>
      <c r="F493" s="84">
        <f t="shared" si="720"/>
        <v>0.400557</v>
      </c>
      <c r="G493" s="84">
        <f t="shared" si="720"/>
        <v>5.5425199999999997</v>
      </c>
      <c r="H493" s="84">
        <f t="shared" si="720"/>
        <v>12.661</v>
      </c>
      <c r="I493" s="84">
        <f t="shared" si="720"/>
        <v>15.632481</v>
      </c>
      <c r="J493" s="84">
        <f t="shared" si="720"/>
        <v>16.703552999999999</v>
      </c>
      <c r="K493" s="84">
        <f t="shared" si="720"/>
        <v>31.100097000000002</v>
      </c>
      <c r="L493" s="84">
        <f t="shared" si="720"/>
        <v>17.392472000000001</v>
      </c>
      <c r="M493" s="84">
        <f t="shared" si="720"/>
        <v>37.575865</v>
      </c>
      <c r="N493" s="566">
        <f t="shared" si="720"/>
        <v>106.002655</v>
      </c>
      <c r="O493" s="566">
        <f t="shared" si="720"/>
        <v>177.14414400000001</v>
      </c>
      <c r="P493" s="566">
        <f t="shared" si="720"/>
        <v>200.068533</v>
      </c>
      <c r="Q493" s="566">
        <f t="shared" si="720"/>
        <v>304.58354400000002</v>
      </c>
      <c r="R493" s="566">
        <f t="shared" si="720"/>
        <v>445.76703600000002</v>
      </c>
      <c r="S493" s="585">
        <f>Int_Inc</f>
        <v>567.14460999999994</v>
      </c>
      <c r="T493" s="585">
        <f>Int_Inc</f>
        <v>987.61001499999998</v>
      </c>
      <c r="U493" s="195">
        <f t="shared" ref="U493:AD493" ca="1" si="721">U494*Rev_Gross</f>
        <v>1122.8600000308111</v>
      </c>
      <c r="V493" s="195">
        <f t="shared" ca="1" si="721"/>
        <v>1209.6226265741846</v>
      </c>
      <c r="W493" s="195">
        <f t="shared" ca="1" si="721"/>
        <v>1478.2492329110178</v>
      </c>
      <c r="X493" s="195">
        <f t="shared" ca="1" si="721"/>
        <v>1779.8598537669393</v>
      </c>
      <c r="Y493" s="195">
        <f t="shared" ca="1" si="721"/>
        <v>2124.2920690864048</v>
      </c>
      <c r="Z493" s="195">
        <f t="shared" ca="1" si="721"/>
        <v>2459.3137303414624</v>
      </c>
      <c r="AA493" s="195">
        <f t="shared" ca="1" si="721"/>
        <v>2821.88665815797</v>
      </c>
      <c r="AB493" s="195">
        <f t="shared" ca="1" si="721"/>
        <v>3212.5976256690988</v>
      </c>
      <c r="AC493" s="195">
        <f t="shared" ca="1" si="721"/>
        <v>3629.1817311078389</v>
      </c>
      <c r="AD493" s="195">
        <f t="shared" ca="1" si="721"/>
        <v>4057.1848729486974</v>
      </c>
      <c r="AE493" s="195"/>
      <c r="AF493" s="84">
        <f t="shared" ref="AF493:BW493" si="722">Int_Inc</f>
        <v>3.2665570000000002</v>
      </c>
      <c r="AG493" s="84">
        <f t="shared" si="722"/>
        <v>3.079558</v>
      </c>
      <c r="AH493" s="84">
        <f t="shared" si="722"/>
        <v>4.671322</v>
      </c>
      <c r="AI493" s="566">
        <f t="shared" si="722"/>
        <v>5.6871159999999996</v>
      </c>
      <c r="AJ493" s="566">
        <f t="shared" si="722"/>
        <v>7.4583570000000003</v>
      </c>
      <c r="AK493" s="566">
        <f t="shared" si="722"/>
        <v>9.2728750000000009</v>
      </c>
      <c r="AL493" s="566">
        <f t="shared" si="722"/>
        <v>8.0129549999999998</v>
      </c>
      <c r="AM493" s="566">
        <f t="shared" si="722"/>
        <v>6.3559099999999997</v>
      </c>
      <c r="AN493" s="566">
        <f t="shared" si="722"/>
        <v>3.363165</v>
      </c>
      <c r="AO493" s="566">
        <f t="shared" si="722"/>
        <v>5.0009769999999998</v>
      </c>
      <c r="AP493" s="566">
        <f t="shared" si="722"/>
        <v>4.3405019999999999</v>
      </c>
      <c r="AQ493" s="566">
        <f t="shared" si="722"/>
        <v>4.6878279999999997</v>
      </c>
      <c r="AR493" s="566">
        <f t="shared" si="722"/>
        <v>5.3370509999999998</v>
      </c>
      <c r="AS493" s="566">
        <f t="shared" si="722"/>
        <v>8.9541500000000003</v>
      </c>
      <c r="AT493" s="566">
        <f t="shared" si="722"/>
        <v>9.7679030000000004</v>
      </c>
      <c r="AU493" s="566">
        <f t="shared" si="722"/>
        <v>13.526761</v>
      </c>
      <c r="AV493" s="566">
        <f t="shared" si="722"/>
        <v>19.013573000000001</v>
      </c>
      <c r="AW493" s="566">
        <f t="shared" si="722"/>
        <v>23.045311999999999</v>
      </c>
      <c r="AX493" s="566">
        <f t="shared" si="722"/>
        <v>31.233511</v>
      </c>
      <c r="AY493" s="566">
        <f t="shared" si="722"/>
        <v>32.710259000000001</v>
      </c>
      <c r="AZ493" s="566">
        <f t="shared" si="722"/>
        <v>45.773353</v>
      </c>
      <c r="BA493" s="566">
        <f t="shared" si="722"/>
        <v>31.865563999999999</v>
      </c>
      <c r="BB493" s="566">
        <f t="shared" si="722"/>
        <v>54.099884000000003</v>
      </c>
      <c r="BC493" s="566">
        <f t="shared" si="722"/>
        <v>34.061163000000001</v>
      </c>
      <c r="BD493" s="566">
        <f t="shared" si="722"/>
        <v>26.310337000000001</v>
      </c>
      <c r="BE493" s="566">
        <f t="shared" si="722"/>
        <v>46.994570000000003</v>
      </c>
      <c r="BF493" s="566">
        <f t="shared" si="722"/>
        <v>56.207563999999998</v>
      </c>
      <c r="BG493" s="566">
        <f t="shared" si="722"/>
        <v>70.556061999999997</v>
      </c>
      <c r="BH493" s="566">
        <f t="shared" si="722"/>
        <v>92.166471000000001</v>
      </c>
      <c r="BI493" s="566">
        <f t="shared" si="722"/>
        <v>83.277621999999994</v>
      </c>
      <c r="BJ493" s="566">
        <f t="shared" si="722"/>
        <v>71.980305000000001</v>
      </c>
      <c r="BK493" s="566">
        <f t="shared" si="722"/>
        <v>57.159146</v>
      </c>
      <c r="BL493" s="566">
        <f t="shared" si="722"/>
        <v>62.63391</v>
      </c>
      <c r="BM493" s="566">
        <f t="shared" si="722"/>
        <v>136.364251</v>
      </c>
      <c r="BN493" s="566">
        <f t="shared" si="722"/>
        <v>121.84690000000001</v>
      </c>
      <c r="BO493" s="578">
        <f t="shared" si="722"/>
        <v>124.921975</v>
      </c>
      <c r="BP493" s="566">
        <f t="shared" si="722"/>
        <v>190.69764900000001</v>
      </c>
      <c r="BQ493" s="566">
        <f t="shared" si="722"/>
        <v>150.85829799999999</v>
      </c>
      <c r="BR493" s="500">
        <f t="shared" si="722"/>
        <v>99.167513</v>
      </c>
      <c r="BS493" s="500">
        <f t="shared" si="722"/>
        <v>126.42115</v>
      </c>
      <c r="BT493" s="500">
        <f t="shared" si="722"/>
        <v>130.280136</v>
      </c>
      <c r="BU493" s="500">
        <f t="shared" si="722"/>
        <v>249.426782</v>
      </c>
      <c r="BV493" s="500">
        <f t="shared" si="722"/>
        <v>271.59232100000003</v>
      </c>
      <c r="BW493" s="500">
        <f t="shared" si="722"/>
        <v>336.31077599999998</v>
      </c>
      <c r="BX493" s="576">
        <f ca="1">BX494*Rev_Gross</f>
        <v>269.99159619528399</v>
      </c>
      <c r="BY493" s="576">
        <f ca="1">BY494*Rev_Gross</f>
        <v>226.33634173412997</v>
      </c>
      <c r="BZ493" s="576">
        <f ca="1">BZ494*Rev_Gross</f>
        <v>281.32149902603999</v>
      </c>
      <c r="CA493" s="373">
        <f ca="1">U493-SUM(BX493:BZ493)</f>
        <v>345.21056307535719</v>
      </c>
      <c r="CB493" s="576">
        <f ca="1">CB494*Rev_Gross</f>
        <v>229.4297899182877</v>
      </c>
      <c r="CC493" s="576">
        <f ca="1">CC494*Rev_Gross</f>
        <v>246.30624472727754</v>
      </c>
      <c r="CD493" s="576">
        <f ca="1">CD494*Rev_Gross</f>
        <v>280.76658835328629</v>
      </c>
      <c r="CE493" s="373">
        <f ca="1">V493-SUM(CB493:CD493)</f>
        <v>453.12000357533293</v>
      </c>
      <c r="CF493" s="195"/>
      <c r="CG493" s="5"/>
      <c r="CH493" s="5"/>
    </row>
    <row r="494" spans="1:96" outlineLevel="1">
      <c r="B494" s="12" t="s">
        <v>134</v>
      </c>
      <c r="C494" s="323">
        <f t="shared" ref="C494:M494" si="723">C493/Rev_Gross*100</f>
        <v>10.64172753177777</v>
      </c>
      <c r="D494" s="323">
        <f t="shared" si="723"/>
        <v>4.723751326692347</v>
      </c>
      <c r="E494" s="323">
        <f t="shared" si="723"/>
        <v>0.30312586548806103</v>
      </c>
      <c r="F494" s="323">
        <f t="shared" si="723"/>
        <v>0.21926844304411916</v>
      </c>
      <c r="G494" s="323">
        <f t="shared" si="723"/>
        <v>1.5655550412945887</v>
      </c>
      <c r="H494" s="323">
        <f t="shared" si="723"/>
        <v>2.2762805134135329</v>
      </c>
      <c r="I494" s="323">
        <f t="shared" si="723"/>
        <v>1.874338332735197</v>
      </c>
      <c r="J494" s="323">
        <f t="shared" si="723"/>
        <v>1.2975868492665905</v>
      </c>
      <c r="K494" s="323">
        <f t="shared" si="723"/>
        <v>1.9582490761516549</v>
      </c>
      <c r="L494" s="323">
        <f t="shared" si="723"/>
        <v>0.81940945289679556</v>
      </c>
      <c r="M494" s="323">
        <f t="shared" si="723"/>
        <v>1.2252814248575237</v>
      </c>
      <c r="N494" s="560">
        <f t="shared" ref="N494:S494" si="724">N493/Rev_Gross</f>
        <v>2.8447128720080619E-2</v>
      </c>
      <c r="O494" s="560">
        <f t="shared" si="724"/>
        <v>4.017609884862499E-2</v>
      </c>
      <c r="P494" s="560">
        <f t="shared" si="724"/>
        <v>3.499526603301923E-2</v>
      </c>
      <c r="Q494" s="560">
        <f t="shared" si="724"/>
        <v>3.9187044856279107E-2</v>
      </c>
      <c r="R494" s="560">
        <f t="shared" si="724"/>
        <v>3.8772646247165143E-2</v>
      </c>
      <c r="S494" s="586">
        <f t="shared" si="724"/>
        <v>2.8660912011113055E-2</v>
      </c>
      <c r="T494" s="586">
        <f>T493/Rev_Gross</f>
        <v>3.6609354159230903E-2</v>
      </c>
      <c r="U494" s="398">
        <v>3.5000000000000003E-2</v>
      </c>
      <c r="V494" s="398">
        <v>0.03</v>
      </c>
      <c r="W494" s="398">
        <f>V494</f>
        <v>0.03</v>
      </c>
      <c r="X494" s="398">
        <f>W494</f>
        <v>0.03</v>
      </c>
      <c r="Y494" s="398">
        <f t="shared" ref="Y494:AD494" si="725">X494</f>
        <v>0.03</v>
      </c>
      <c r="Z494" s="398">
        <f t="shared" si="725"/>
        <v>0.03</v>
      </c>
      <c r="AA494" s="398">
        <f t="shared" si="725"/>
        <v>0.03</v>
      </c>
      <c r="AB494" s="398">
        <f t="shared" si="725"/>
        <v>0.03</v>
      </c>
      <c r="AC494" s="398">
        <f t="shared" si="725"/>
        <v>0.03</v>
      </c>
      <c r="AD494" s="398">
        <f t="shared" si="725"/>
        <v>0.03</v>
      </c>
      <c r="AE494" s="398"/>
      <c r="AF494" s="323">
        <f t="shared" ref="AF494:BS494" si="726">AF493/Rev_Gross</f>
        <v>1.3109154871485833E-2</v>
      </c>
      <c r="AG494" s="323">
        <f t="shared" si="726"/>
        <v>9.9604732717634061E-3</v>
      </c>
      <c r="AH494" s="323">
        <f t="shared" si="726"/>
        <v>1.3507530782346006E-2</v>
      </c>
      <c r="AI494" s="323">
        <f t="shared" si="726"/>
        <v>1.48454536655002E-2</v>
      </c>
      <c r="AJ494" s="323">
        <f t="shared" si="726"/>
        <v>2.0341230472136391E-2</v>
      </c>
      <c r="AK494" s="323">
        <f t="shared" si="726"/>
        <v>2.3073439208412861E-2</v>
      </c>
      <c r="AL494" s="323">
        <f t="shared" si="726"/>
        <v>2.0181404366257882E-2</v>
      </c>
      <c r="AM494" s="323">
        <f t="shared" si="726"/>
        <v>1.5034853678192784E-2</v>
      </c>
      <c r="AN494" s="323">
        <f t="shared" si="726"/>
        <v>7.8468419017626804E-3</v>
      </c>
      <c r="AO494" s="323">
        <f t="shared" si="726"/>
        <v>9.8510630992745297E-3</v>
      </c>
      <c r="AP494" s="323">
        <f t="shared" si="726"/>
        <v>7.4400114960594642E-3</v>
      </c>
      <c r="AQ494" s="323">
        <f t="shared" si="726"/>
        <v>7.7754346860504121E-3</v>
      </c>
      <c r="AR494" s="323">
        <f t="shared" si="726"/>
        <v>8.5092596114536984E-3</v>
      </c>
      <c r="AS494" s="323">
        <f t="shared" si="726"/>
        <v>1.2073353978126146E-2</v>
      </c>
      <c r="AT494" s="323">
        <f t="shared" si="726"/>
        <v>1.1322153671987608E-2</v>
      </c>
      <c r="AU494" s="323">
        <f t="shared" si="726"/>
        <v>1.6197046768673926E-2</v>
      </c>
      <c r="AV494" s="323">
        <f t="shared" si="726"/>
        <v>2.3355121741275329E-2</v>
      </c>
      <c r="AW494" s="323">
        <f t="shared" si="726"/>
        <v>2.5999128291322109E-2</v>
      </c>
      <c r="AX494" s="323">
        <f t="shared" si="726"/>
        <v>3.0054948222280869E-2</v>
      </c>
      <c r="AY494" s="323">
        <f t="shared" si="726"/>
        <v>3.3154680651556342E-2</v>
      </c>
      <c r="AZ494" s="323">
        <f t="shared" si="726"/>
        <v>4.7502491427982442E-2</v>
      </c>
      <c r="BA494" s="323">
        <f t="shared" si="726"/>
        <v>3.0908882739556495E-2</v>
      </c>
      <c r="BB494" s="323">
        <f t="shared" si="726"/>
        <v>4.3371940584251957E-2</v>
      </c>
      <c r="BC494" s="323">
        <f t="shared" si="726"/>
        <v>2.9179590088012162E-2</v>
      </c>
      <c r="BD494" s="323">
        <f t="shared" si="726"/>
        <v>2.1418235276690029E-2</v>
      </c>
      <c r="BE494" s="323">
        <f t="shared" si="726"/>
        <v>3.5597892504581195E-2</v>
      </c>
      <c r="BF494" s="323">
        <f t="shared" si="726"/>
        <v>3.4262746830182308E-2</v>
      </c>
      <c r="BG494" s="323">
        <f t="shared" si="726"/>
        <v>4.6176271973987146E-2</v>
      </c>
      <c r="BH494" s="323">
        <f t="shared" si="726"/>
        <v>5.5084848548755373E-2</v>
      </c>
      <c r="BI494" s="323">
        <f t="shared" si="726"/>
        <v>4.576936345826222E-2</v>
      </c>
      <c r="BJ494" s="323">
        <f t="shared" si="726"/>
        <v>3.1857140014695792E-2</v>
      </c>
      <c r="BK494" s="323">
        <f t="shared" si="726"/>
        <v>2.8290908959558408E-2</v>
      </c>
      <c r="BL494" s="323">
        <f t="shared" si="726"/>
        <v>2.563493814699724E-2</v>
      </c>
      <c r="BM494" s="323">
        <f t="shared" si="726"/>
        <v>5.1159188951704626E-2</v>
      </c>
      <c r="BN494" s="323">
        <f t="shared" si="726"/>
        <v>3.6309684502253095E-2</v>
      </c>
      <c r="BO494" s="323">
        <f t="shared" si="726"/>
        <v>4.1195930277102458E-2</v>
      </c>
      <c r="BP494" s="323">
        <f t="shared" si="726"/>
        <v>4.3348834790437031E-2</v>
      </c>
      <c r="BQ494" s="323">
        <f t="shared" si="726"/>
        <v>3.3211200360158406E-2</v>
      </c>
      <c r="BR494" s="323">
        <f t="shared" si="726"/>
        <v>1.7496666319365802E-2</v>
      </c>
      <c r="BS494" s="323">
        <f t="shared" si="726"/>
        <v>2.4411478575921543E-2</v>
      </c>
      <c r="BT494" s="323">
        <f>BT493/Rev_Gross</f>
        <v>2.1241544436896419E-2</v>
      </c>
      <c r="BU494" s="323">
        <f>BU493/Rev_Gross</f>
        <v>3.8601615195802422E-2</v>
      </c>
      <c r="BV494" s="323">
        <f>BV493/Rev_Gross</f>
        <v>3.413271306243492E-2</v>
      </c>
      <c r="BW494" s="323">
        <f>BW493/Rev_Gross</f>
        <v>5.2342453559127491E-2</v>
      </c>
      <c r="BX494" s="233">
        <v>0.04</v>
      </c>
      <c r="BY494" s="233">
        <v>0.03</v>
      </c>
      <c r="BZ494" s="233">
        <v>0.03</v>
      </c>
      <c r="CA494" s="323">
        <f ca="1">CA493/Rev_Gross</f>
        <v>4.1047647162622145E-2</v>
      </c>
      <c r="CB494" s="233">
        <v>2.5000000000000001E-2</v>
      </c>
      <c r="CC494" s="233">
        <v>2.5000000000000001E-2</v>
      </c>
      <c r="CD494" s="233">
        <v>2.5000000000000001E-2</v>
      </c>
      <c r="CE494" s="323">
        <f ca="1">CE493/Rev_Gross</f>
        <v>4.5038842931541229E-2</v>
      </c>
      <c r="CF494" s="117"/>
      <c r="CG494" s="5"/>
      <c r="CH494" s="5"/>
    </row>
    <row r="495" spans="1:96" outlineLevel="1">
      <c r="B495" s="12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492"/>
      <c r="O495" s="492"/>
      <c r="P495" s="492"/>
      <c r="Q495" s="492"/>
      <c r="R495" s="492"/>
      <c r="S495" s="493"/>
      <c r="T495" s="493"/>
      <c r="U495" s="37"/>
      <c r="V495" s="37"/>
      <c r="W495" s="37"/>
      <c r="X495" s="37"/>
      <c r="Y495" s="37"/>
      <c r="Z495" s="37"/>
      <c r="AA495" s="37"/>
      <c r="AB495" s="37"/>
      <c r="AC495" s="37"/>
      <c r="AD495" s="37"/>
      <c r="AE495" s="37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  <c r="BL495" s="6"/>
      <c r="BM495" s="37"/>
      <c r="BN495" s="37"/>
      <c r="BO495" s="331"/>
      <c r="BP495" s="37"/>
      <c r="BQ495" s="37"/>
      <c r="BR495" s="37"/>
      <c r="BS495" s="37"/>
      <c r="BT495" s="37"/>
      <c r="BU495" s="64"/>
      <c r="BV495" s="64"/>
      <c r="BW495" s="64"/>
      <c r="BX495" s="64"/>
      <c r="BY495" s="64"/>
      <c r="BZ495" s="64"/>
      <c r="CA495" s="37"/>
      <c r="CB495" s="64"/>
      <c r="CC495" s="64"/>
      <c r="CD495" s="64"/>
      <c r="CE495" s="37"/>
      <c r="CF495" s="37"/>
      <c r="CG495" s="5"/>
      <c r="CH495" s="5"/>
    </row>
    <row r="496" spans="1:96" outlineLevel="1">
      <c r="A496" s="3" t="s">
        <v>64</v>
      </c>
      <c r="B496" s="116" t="s">
        <v>492</v>
      </c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566">
        <f t="shared" ref="N496:T496" si="727">Int_Exp</f>
        <v>0</v>
      </c>
      <c r="O496" s="566">
        <f t="shared" si="727"/>
        <v>-11.34418</v>
      </c>
      <c r="P496" s="566">
        <f t="shared" si="727"/>
        <v>-57.043756000000002</v>
      </c>
      <c r="Q496" s="566">
        <f t="shared" si="727"/>
        <v>-162.35467499999999</v>
      </c>
      <c r="R496" s="566">
        <f t="shared" si="727"/>
        <v>-302.42582900000002</v>
      </c>
      <c r="S496" s="500">
        <f t="shared" si="727"/>
        <v>-731.92283799999996</v>
      </c>
      <c r="T496" s="500">
        <f t="shared" si="727"/>
        <v>-1286.2840100000001</v>
      </c>
      <c r="U496" s="22">
        <f t="shared" ref="U496:AD496" ca="1" si="728">-U497*Rev_Net</f>
        <v>-1273.8806152620648</v>
      </c>
      <c r="V496" s="22">
        <f t="shared" ca="1" si="728"/>
        <v>-800.5156260301585</v>
      </c>
      <c r="W496" s="22">
        <f t="shared" ca="1" si="728"/>
        <v>-978.28990969175709</v>
      </c>
      <c r="X496" s="22">
        <f t="shared" ca="1" si="728"/>
        <v>-1177.8926698150733</v>
      </c>
      <c r="Y496" s="22">
        <f t="shared" ca="1" si="728"/>
        <v>-1405.8343141048319</v>
      </c>
      <c r="Z496" s="22">
        <f t="shared" ca="1" si="728"/>
        <v>-1627.5481519592104</v>
      </c>
      <c r="AA496" s="22">
        <f t="shared" ca="1" si="728"/>
        <v>-1867.4951303938262</v>
      </c>
      <c r="AB496" s="22">
        <f t="shared" ca="1" si="728"/>
        <v>-2126.0635697424082</v>
      </c>
      <c r="AC496" s="22">
        <f t="shared" ca="1" si="728"/>
        <v>-2401.7545816607067</v>
      </c>
      <c r="AD496" s="22">
        <f t="shared" ca="1" si="728"/>
        <v>-2685.0025926572971</v>
      </c>
      <c r="AE496" s="22"/>
      <c r="AF496" s="566">
        <f t="shared" ref="AF496:AY496" si="729">Int_Exp</f>
        <v>0</v>
      </c>
      <c r="AG496" s="566">
        <f t="shared" si="729"/>
        <v>0</v>
      </c>
      <c r="AH496" s="566">
        <f t="shared" si="729"/>
        <v>0</v>
      </c>
      <c r="AI496" s="566">
        <f t="shared" si="729"/>
        <v>0</v>
      </c>
      <c r="AJ496" s="566">
        <f t="shared" si="729"/>
        <v>0</v>
      </c>
      <c r="AK496" s="566">
        <f t="shared" si="729"/>
        <v>0</v>
      </c>
      <c r="AL496" s="566">
        <f t="shared" si="729"/>
        <v>0</v>
      </c>
      <c r="AM496" s="566">
        <f t="shared" si="729"/>
        <v>0</v>
      </c>
      <c r="AN496" s="566">
        <f t="shared" si="729"/>
        <v>0</v>
      </c>
      <c r="AO496" s="566">
        <f t="shared" si="729"/>
        <v>0</v>
      </c>
      <c r="AP496" s="566">
        <f t="shared" si="729"/>
        <v>0</v>
      </c>
      <c r="AQ496" s="566">
        <f t="shared" si="729"/>
        <v>0</v>
      </c>
      <c r="AR496" s="566">
        <f t="shared" si="729"/>
        <v>0</v>
      </c>
      <c r="AS496" s="566">
        <f t="shared" si="729"/>
        <v>0</v>
      </c>
      <c r="AT496" s="566">
        <f t="shared" si="729"/>
        <v>0</v>
      </c>
      <c r="AU496" s="566">
        <f t="shared" si="729"/>
        <v>0</v>
      </c>
      <c r="AV496" s="566">
        <f t="shared" si="729"/>
        <v>0</v>
      </c>
      <c r="AW496" s="566">
        <f t="shared" si="729"/>
        <v>0</v>
      </c>
      <c r="AX496" s="566">
        <f t="shared" si="729"/>
        <v>0</v>
      </c>
      <c r="AY496" s="566">
        <f t="shared" si="729"/>
        <v>0</v>
      </c>
      <c r="AZ496" s="566">
        <f t="shared" ref="AZ496:BW496" si="730">Int_Exp</f>
        <v>0</v>
      </c>
      <c r="BA496" s="566">
        <f t="shared" si="730"/>
        <v>0</v>
      </c>
      <c r="BB496" s="566">
        <f t="shared" si="730"/>
        <v>0</v>
      </c>
      <c r="BC496" s="566">
        <f t="shared" si="730"/>
        <v>0</v>
      </c>
      <c r="BD496" s="566">
        <f t="shared" si="730"/>
        <v>-3.7509169999999998</v>
      </c>
      <c r="BE496" s="566">
        <f t="shared" si="730"/>
        <v>-3.9322339999999998</v>
      </c>
      <c r="BF496" s="566">
        <f t="shared" si="730"/>
        <v>-3.5952980000000001</v>
      </c>
      <c r="BG496" s="566">
        <f t="shared" si="730"/>
        <v>-45.765307</v>
      </c>
      <c r="BH496" s="566">
        <f t="shared" si="730"/>
        <v>-32.998930999999999</v>
      </c>
      <c r="BI496" s="566">
        <f t="shared" si="730"/>
        <v>-33.693033</v>
      </c>
      <c r="BJ496" s="566">
        <f t="shared" si="730"/>
        <v>-45.175680999999997</v>
      </c>
      <c r="BK496" s="566">
        <f t="shared" si="730"/>
        <v>-50.487029999999997</v>
      </c>
      <c r="BL496" s="566">
        <f t="shared" si="730"/>
        <v>-53.078347000000001</v>
      </c>
      <c r="BM496" s="566">
        <f t="shared" si="730"/>
        <v>-58.841079000000001</v>
      </c>
      <c r="BN496" s="566">
        <f t="shared" si="730"/>
        <v>-95.338025999999999</v>
      </c>
      <c r="BO496" s="578">
        <f t="shared" si="730"/>
        <v>-95.168377000000007</v>
      </c>
      <c r="BP496" s="566">
        <f t="shared" si="730"/>
        <v>-158.10772700000001</v>
      </c>
      <c r="BQ496" s="566">
        <f t="shared" si="730"/>
        <v>-162.96486200000001</v>
      </c>
      <c r="BR496" s="566">
        <f t="shared" si="730"/>
        <v>-191.16980100000001</v>
      </c>
      <c r="BS496" s="566">
        <f t="shared" si="730"/>
        <v>-219.68044800000001</v>
      </c>
      <c r="BT496" s="566">
        <f t="shared" si="730"/>
        <v>-260.25797</v>
      </c>
      <c r="BU496" s="566">
        <f t="shared" si="730"/>
        <v>-383.44678800000003</v>
      </c>
      <c r="BV496" s="566">
        <f t="shared" si="730"/>
        <v>-318.77922599999999</v>
      </c>
      <c r="BW496" s="566">
        <f t="shared" si="730"/>
        <v>-323.800026</v>
      </c>
      <c r="BX496" s="577">
        <f ca="1">-BX497*Rev_Net</f>
        <v>-268.101655021917</v>
      </c>
      <c r="BY496" s="577">
        <f ca="1">-BY497*Rev_Net</f>
        <v>-299.66931645598811</v>
      </c>
      <c r="BZ496" s="577">
        <f ca="1">-BZ497*Rev_Net</f>
        <v>-372.46966471047693</v>
      </c>
      <c r="CA496" s="373">
        <f ca="1">U496-SUM(BX496:BZ496)</f>
        <v>-333.63997907368275</v>
      </c>
      <c r="CB496" s="577">
        <f ca="1">-CB497*Rev_Net</f>
        <v>-182.25902511108774</v>
      </c>
      <c r="CC496" s="577">
        <f ca="1">-CC497*Rev_Net</f>
        <v>-195.66568081134926</v>
      </c>
      <c r="CD496" s="577">
        <f ca="1">-CD497*Rev_Net</f>
        <v>-223.04097778785061</v>
      </c>
      <c r="CE496" s="373">
        <f ca="1">V496-SUM(CB496:CD496)</f>
        <v>-199.54994231987087</v>
      </c>
      <c r="CF496" s="22"/>
      <c r="CG496" s="5"/>
      <c r="CH496" s="5"/>
    </row>
    <row r="497" spans="1:96" outlineLevel="1">
      <c r="B497" s="12" t="s">
        <v>134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560">
        <f t="shared" ref="N497:S497" si="731">-N496/Rev_Net</f>
        <v>0</v>
      </c>
      <c r="O497" s="560">
        <f t="shared" si="731"/>
        <v>2.7277589378230413E-3</v>
      </c>
      <c r="P497" s="560">
        <f t="shared" si="731"/>
        <v>1.0589651127055224E-2</v>
      </c>
      <c r="Q497" s="560">
        <f t="shared" si="731"/>
        <v>2.20983365876295E-2</v>
      </c>
      <c r="R497" s="560">
        <f t="shared" si="731"/>
        <v>2.7751680678399754E-2</v>
      </c>
      <c r="S497" s="560">
        <f t="shared" si="731"/>
        <v>3.8064598328310321E-2</v>
      </c>
      <c r="T497" s="560">
        <f>-T496/Rev_Net</f>
        <v>4.8032178230365492E-2</v>
      </c>
      <c r="U497" s="398">
        <v>0.04</v>
      </c>
      <c r="V497" s="398">
        <v>0.02</v>
      </c>
      <c r="W497" s="398">
        <v>0.02</v>
      </c>
      <c r="X497" s="398">
        <v>0.02</v>
      </c>
      <c r="Y497" s="398">
        <v>0.02</v>
      </c>
      <c r="Z497" s="398">
        <v>0.02</v>
      </c>
      <c r="AA497" s="398">
        <v>0.02</v>
      </c>
      <c r="AB497" s="398">
        <v>0.02</v>
      </c>
      <c r="AC497" s="398">
        <v>0.02</v>
      </c>
      <c r="AD497" s="398">
        <v>0.02</v>
      </c>
      <c r="AE497" s="398"/>
      <c r="AF497" s="560">
        <f t="shared" ref="AF497:BR497" si="732">-AF496/Rev_Net</f>
        <v>0</v>
      </c>
      <c r="AG497" s="560">
        <f t="shared" si="732"/>
        <v>0</v>
      </c>
      <c r="AH497" s="560">
        <f t="shared" si="732"/>
        <v>0</v>
      </c>
      <c r="AI497" s="560">
        <f t="shared" si="732"/>
        <v>0</v>
      </c>
      <c r="AJ497" s="560">
        <f t="shared" si="732"/>
        <v>0</v>
      </c>
      <c r="AK497" s="560">
        <f t="shared" si="732"/>
        <v>0</v>
      </c>
      <c r="AL497" s="560">
        <f t="shared" si="732"/>
        <v>0</v>
      </c>
      <c r="AM497" s="560">
        <f t="shared" si="732"/>
        <v>0</v>
      </c>
      <c r="AN497" s="560">
        <f t="shared" si="732"/>
        <v>0</v>
      </c>
      <c r="AO497" s="560">
        <f t="shared" si="732"/>
        <v>0</v>
      </c>
      <c r="AP497" s="560">
        <f t="shared" si="732"/>
        <v>0</v>
      </c>
      <c r="AQ497" s="560">
        <f t="shared" si="732"/>
        <v>0</v>
      </c>
      <c r="AR497" s="560">
        <f t="shared" si="732"/>
        <v>0</v>
      </c>
      <c r="AS497" s="560">
        <f t="shared" si="732"/>
        <v>0</v>
      </c>
      <c r="AT497" s="560">
        <f t="shared" si="732"/>
        <v>0</v>
      </c>
      <c r="AU497" s="560">
        <f t="shared" si="732"/>
        <v>0</v>
      </c>
      <c r="AV497" s="560">
        <f t="shared" si="732"/>
        <v>0</v>
      </c>
      <c r="AW497" s="560">
        <f t="shared" si="732"/>
        <v>0</v>
      </c>
      <c r="AX497" s="560">
        <f t="shared" si="732"/>
        <v>0</v>
      </c>
      <c r="AY497" s="560">
        <f t="shared" si="732"/>
        <v>0</v>
      </c>
      <c r="AZ497" s="560">
        <f t="shared" si="732"/>
        <v>0</v>
      </c>
      <c r="BA497" s="560">
        <f t="shared" si="732"/>
        <v>0</v>
      </c>
      <c r="BB497" s="560">
        <f t="shared" si="732"/>
        <v>0</v>
      </c>
      <c r="BC497" s="560">
        <f t="shared" si="732"/>
        <v>0</v>
      </c>
      <c r="BD497" s="560">
        <f t="shared" si="732"/>
        <v>3.2321333130785283E-3</v>
      </c>
      <c r="BE497" s="560">
        <f t="shared" si="732"/>
        <v>3.1587869907521316E-3</v>
      </c>
      <c r="BF497" s="560">
        <f t="shared" si="732"/>
        <v>2.3331310190780625E-3</v>
      </c>
      <c r="BG497" s="560">
        <f t="shared" si="732"/>
        <v>3.1772503061745935E-2</v>
      </c>
      <c r="BH497" s="560">
        <f t="shared" si="732"/>
        <v>2.086178960446132E-2</v>
      </c>
      <c r="BI497" s="560">
        <f t="shared" si="732"/>
        <v>1.9563256886980532E-2</v>
      </c>
      <c r="BJ497" s="560">
        <f t="shared" si="732"/>
        <v>2.1213517039148862E-2</v>
      </c>
      <c r="BK497" s="560">
        <f t="shared" si="732"/>
        <v>2.6387426096787955E-2</v>
      </c>
      <c r="BL497" s="560">
        <f t="shared" si="732"/>
        <v>2.2930228000845369E-2</v>
      </c>
      <c r="BM497" s="560">
        <f t="shared" si="732"/>
        <v>2.3283698729395688E-2</v>
      </c>
      <c r="BN497" s="560">
        <f t="shared" si="732"/>
        <v>2.9965430087292338E-2</v>
      </c>
      <c r="BO497" s="560">
        <f t="shared" si="732"/>
        <v>3.3112926889942829E-2</v>
      </c>
      <c r="BP497" s="560">
        <f t="shared" si="732"/>
        <v>3.7842862350932135E-2</v>
      </c>
      <c r="BQ497" s="560">
        <f t="shared" si="732"/>
        <v>3.694272079234414E-2</v>
      </c>
      <c r="BR497" s="560">
        <f t="shared" si="732"/>
        <v>3.4309830669490025E-2</v>
      </c>
      <c r="BS497" s="560">
        <f>-BS496/Rev_Net</f>
        <v>4.3352719496013589E-2</v>
      </c>
      <c r="BT497" s="560">
        <f>-BT496/Rev_Net</f>
        <v>4.2769979130445619E-2</v>
      </c>
      <c r="BU497" s="560">
        <f>-BU496/Rev_Net</f>
        <v>5.9766300187393553E-2</v>
      </c>
      <c r="BV497" s="560">
        <f>-BV496/Rev_Net</f>
        <v>4.0353455470813364E-2</v>
      </c>
      <c r="BW497" s="560">
        <f>-BW496/Rev_Net</f>
        <v>5.0759325661008152E-2</v>
      </c>
      <c r="BX497" s="233">
        <v>0.04</v>
      </c>
      <c r="BY497" s="233">
        <v>0.04</v>
      </c>
      <c r="BZ497" s="233">
        <v>0.04</v>
      </c>
      <c r="CA497" s="323">
        <f ca="1">-CA496/Rev_Net</f>
        <v>4.0000000000000008E-2</v>
      </c>
      <c r="CB497" s="233">
        <v>0.02</v>
      </c>
      <c r="CC497" s="233">
        <v>0.02</v>
      </c>
      <c r="CD497" s="233">
        <v>0.02</v>
      </c>
      <c r="CE497" s="323">
        <f ca="1">-CE496/Rev_Net</f>
        <v>0.02</v>
      </c>
      <c r="CF497" s="72"/>
      <c r="CG497" s="5"/>
      <c r="CH497" s="5"/>
    </row>
    <row r="498" spans="1:96" outlineLevel="1"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492"/>
      <c r="O498" s="492"/>
      <c r="P498" s="492"/>
      <c r="Q498" s="492"/>
      <c r="R498" s="492"/>
      <c r="S498" s="492"/>
      <c r="T498" s="492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492"/>
      <c r="AG498" s="492"/>
      <c r="AH498" s="492"/>
      <c r="AI498" s="492"/>
      <c r="AJ498" s="492"/>
      <c r="AK498" s="492"/>
      <c r="AL498" s="492"/>
      <c r="AM498" s="492"/>
      <c r="AN498" s="492"/>
      <c r="AO498" s="492"/>
      <c r="AP498" s="492"/>
      <c r="AQ498" s="492"/>
      <c r="AR498" s="492"/>
      <c r="AS498" s="492"/>
      <c r="AT498" s="492"/>
      <c r="AU498" s="492"/>
      <c r="AV498" s="492"/>
      <c r="AW498" s="492"/>
      <c r="AX498" s="492"/>
      <c r="AY498" s="492"/>
      <c r="AZ498" s="492"/>
      <c r="BA498" s="492"/>
      <c r="BB498" s="492"/>
      <c r="BC498" s="492"/>
      <c r="BD498" s="492"/>
      <c r="BE498" s="492"/>
      <c r="BF498" s="492"/>
      <c r="BG498" s="492"/>
      <c r="BH498" s="492"/>
      <c r="BI498" s="492"/>
      <c r="BJ498" s="492"/>
      <c r="BK498" s="492"/>
      <c r="BL498" s="492"/>
      <c r="BM498" s="492"/>
      <c r="BN498" s="492"/>
      <c r="BO498" s="579"/>
      <c r="BP498" s="492"/>
      <c r="BQ498" s="492"/>
      <c r="BR498" s="492"/>
      <c r="BS498" s="492"/>
      <c r="BT498" s="492"/>
      <c r="BU498" s="17"/>
      <c r="BV498" s="17"/>
      <c r="BW498" s="17"/>
      <c r="BX498" s="17"/>
      <c r="BY498" s="17"/>
      <c r="BZ498" s="17"/>
      <c r="CA498" s="6"/>
      <c r="CB498" s="17"/>
      <c r="CC498" s="17"/>
      <c r="CD498" s="17"/>
      <c r="CE498" s="6"/>
      <c r="CF498" s="5"/>
      <c r="CG498" s="5"/>
      <c r="CH498" s="5"/>
    </row>
    <row r="499" spans="1:96" outlineLevel="1">
      <c r="A499" s="3" t="s">
        <v>67</v>
      </c>
      <c r="B499" s="116" t="s">
        <v>31</v>
      </c>
      <c r="C499" s="84">
        <f t="shared" ref="C499:R499" si="733">Tax</f>
        <v>7.0878740000000002</v>
      </c>
      <c r="D499" s="84">
        <f t="shared" si="733"/>
        <v>2.3418989999999997</v>
      </c>
      <c r="E499" s="84">
        <f t="shared" si="733"/>
        <v>-10.042624</v>
      </c>
      <c r="F499" s="84">
        <f t="shared" si="733"/>
        <v>-10.249404</v>
      </c>
      <c r="G499" s="84">
        <f t="shared" si="733"/>
        <v>-12.517120999999999</v>
      </c>
      <c r="H499" s="84">
        <f t="shared" si="733"/>
        <v>-30.577400000000001</v>
      </c>
      <c r="I499" s="84">
        <f t="shared" si="733"/>
        <v>-41.27702</v>
      </c>
      <c r="J499" s="84">
        <f t="shared" si="733"/>
        <v>-58.005983000000001</v>
      </c>
      <c r="K499" s="84">
        <f t="shared" si="733"/>
        <v>-102.913404</v>
      </c>
      <c r="L499" s="84">
        <f t="shared" si="733"/>
        <v>-131.658085</v>
      </c>
      <c r="M499" s="84">
        <f t="shared" si="733"/>
        <v>-205.01696100000001</v>
      </c>
      <c r="N499" s="566">
        <f t="shared" si="733"/>
        <v>-262.18622499999998</v>
      </c>
      <c r="O499" s="566">
        <f t="shared" si="733"/>
        <v>-294.52595600000001</v>
      </c>
      <c r="P499" s="566">
        <f t="shared" si="733"/>
        <v>-293.74032199999999</v>
      </c>
      <c r="Q499" s="566">
        <f t="shared" si="733"/>
        <v>-130.821156</v>
      </c>
      <c r="R499" s="566">
        <f t="shared" si="733"/>
        <v>-470.188423</v>
      </c>
      <c r="S499" s="566">
        <f>Tax</f>
        <v>-478.00903299999999</v>
      </c>
      <c r="T499" s="566">
        <f>Tax</f>
        <v>-1280.52334</v>
      </c>
      <c r="U499" s="22">
        <f t="shared" ref="U499:AD499" ca="1" si="734">-U500*PTP</f>
        <v>-894.01647995286828</v>
      </c>
      <c r="V499" s="22">
        <f t="shared" ca="1" si="734"/>
        <v>-1623.2564395933084</v>
      </c>
      <c r="W499" s="22">
        <f t="shared" ca="1" si="734"/>
        <v>-2252.770384384386</v>
      </c>
      <c r="X499" s="22">
        <f t="shared" ca="1" si="734"/>
        <v>-3006.8815202895184</v>
      </c>
      <c r="Y499" s="22">
        <f t="shared" ca="1" si="734"/>
        <v>-3940.2212289758181</v>
      </c>
      <c r="Z499" s="22">
        <f t="shared" ca="1" si="734"/>
        <v>-4805.7649238803315</v>
      </c>
      <c r="AA499" s="22">
        <f t="shared" ca="1" si="734"/>
        <v>-5747.7085166028237</v>
      </c>
      <c r="AB499" s="22">
        <f t="shared" ca="1" si="734"/>
        <v>-6809.2789909395769</v>
      </c>
      <c r="AC499" s="22">
        <f t="shared" ca="1" si="734"/>
        <v>-7692.2521259684554</v>
      </c>
      <c r="AD499" s="22">
        <f t="shared" ca="1" si="734"/>
        <v>-8599.4285424940335</v>
      </c>
      <c r="AE499" s="22"/>
      <c r="AF499" s="566">
        <f t="shared" ref="AF499:BW499" si="735">Tax</f>
        <v>-12.249292000000001</v>
      </c>
      <c r="AG499" s="566">
        <f t="shared" si="735"/>
        <v>-15.737674999999999</v>
      </c>
      <c r="AH499" s="566">
        <f t="shared" si="735"/>
        <v>-19.519480000000001</v>
      </c>
      <c r="AI499" s="566">
        <f t="shared" si="735"/>
        <v>-10.500536</v>
      </c>
      <c r="AJ499" s="566">
        <f t="shared" si="735"/>
        <v>-37.750580999999997</v>
      </c>
      <c r="AK499" s="566">
        <f t="shared" si="735"/>
        <v>-41.600994999999998</v>
      </c>
      <c r="AL499" s="566">
        <f t="shared" si="735"/>
        <v>-21.604489000000001</v>
      </c>
      <c r="AM499" s="566">
        <f t="shared" si="735"/>
        <v>-1.9573389999999999</v>
      </c>
      <c r="AN499" s="566">
        <f t="shared" si="735"/>
        <v>-26.792878999999999</v>
      </c>
      <c r="AO499" s="566">
        <f t="shared" si="735"/>
        <v>-33.393036000000002</v>
      </c>
      <c r="AP499" s="566">
        <f t="shared" si="735"/>
        <v>-26.809546999999998</v>
      </c>
      <c r="AQ499" s="566">
        <f t="shared" si="735"/>
        <v>-44.662623000000004</v>
      </c>
      <c r="AR499" s="566">
        <f t="shared" si="735"/>
        <v>-24.314305999999998</v>
      </c>
      <c r="AS499" s="566">
        <f t="shared" si="735"/>
        <v>-52.389816000000003</v>
      </c>
      <c r="AT499" s="566">
        <f t="shared" si="735"/>
        <v>-62.186715999999997</v>
      </c>
      <c r="AU499" s="566">
        <f t="shared" si="735"/>
        <v>-66.126123000000007</v>
      </c>
      <c r="AV499" s="566">
        <f t="shared" si="735"/>
        <v>-62.849198999999999</v>
      </c>
      <c r="AW499" s="566">
        <f t="shared" si="735"/>
        <v>-47.954022999999999</v>
      </c>
      <c r="AX499" s="566">
        <f t="shared" si="735"/>
        <v>-82.055003999999997</v>
      </c>
      <c r="AY499" s="566">
        <f t="shared" si="735"/>
        <v>-69.327999000000005</v>
      </c>
      <c r="AZ499" s="566">
        <f t="shared" si="735"/>
        <v>-64.797512999999995</v>
      </c>
      <c r="BA499" s="566">
        <f t="shared" si="735"/>
        <v>-116.55771</v>
      </c>
      <c r="BB499" s="566">
        <f t="shared" si="735"/>
        <v>-59.394447999999997</v>
      </c>
      <c r="BC499" s="566">
        <f t="shared" si="735"/>
        <v>-53.776285000000001</v>
      </c>
      <c r="BD499" s="566">
        <f t="shared" si="735"/>
        <v>-61.378155</v>
      </c>
      <c r="BE499" s="566">
        <f t="shared" si="735"/>
        <v>-70.419098000000005</v>
      </c>
      <c r="BF499" s="566">
        <f t="shared" si="735"/>
        <v>-92.166420000000002</v>
      </c>
      <c r="BG499" s="566">
        <f t="shared" si="735"/>
        <v>-69.776649000000006</v>
      </c>
      <c r="BH499" s="566">
        <f t="shared" si="735"/>
        <v>-46.686844999999998</v>
      </c>
      <c r="BI499" s="566">
        <f t="shared" si="735"/>
        <v>-47.090068000000002</v>
      </c>
      <c r="BJ499" s="566">
        <f t="shared" si="735"/>
        <v>-50.423327</v>
      </c>
      <c r="BK499" s="566">
        <f t="shared" si="735"/>
        <v>13.379084000000001</v>
      </c>
      <c r="BL499" s="566">
        <f t="shared" si="735"/>
        <v>-6.2893939999999997</v>
      </c>
      <c r="BM499" s="566">
        <f t="shared" si="735"/>
        <v>-31.322794999999999</v>
      </c>
      <c r="BN499" s="566">
        <f t="shared" si="735"/>
        <v>-361.09354999999999</v>
      </c>
      <c r="BO499" s="578">
        <f t="shared" si="735"/>
        <v>-71.482684000000006</v>
      </c>
      <c r="BP499" s="566">
        <f t="shared" si="735"/>
        <v>-93.531478000000007</v>
      </c>
      <c r="BQ499" s="566">
        <f t="shared" si="735"/>
        <v>-52.984310999999998</v>
      </c>
      <c r="BR499" s="566">
        <f t="shared" si="735"/>
        <v>-221.24646899999999</v>
      </c>
      <c r="BS499" s="566">
        <f t="shared" si="735"/>
        <v>-110.246775</v>
      </c>
      <c r="BT499" s="566">
        <f t="shared" si="735"/>
        <v>-148.445807</v>
      </c>
      <c r="BU499" s="566">
        <f t="shared" si="735"/>
        <v>-529.20230900000001</v>
      </c>
      <c r="BV499" s="566">
        <f t="shared" si="735"/>
        <v>-313.40517999999997</v>
      </c>
      <c r="BW499" s="566">
        <f t="shared" si="735"/>
        <v>-289.47004399999997</v>
      </c>
      <c r="BX499" s="577">
        <f ca="1">-BX500*PTP</f>
        <v>-110.91828503844152</v>
      </c>
      <c r="BY499" s="577">
        <f ca="1">-BY500*PTP</f>
        <v>-148.81161796335567</v>
      </c>
      <c r="BZ499" s="577">
        <f ca="1">-BZ500*PTP</f>
        <v>-270.53281953839149</v>
      </c>
      <c r="CA499" s="373">
        <f ca="1">U499-SUM(BX499:BZ499)</f>
        <v>-363.75375741267965</v>
      </c>
      <c r="CB499" s="577">
        <f ca="1">-CB500*PTP</f>
        <v>-335.30246077398073</v>
      </c>
      <c r="CC499" s="577">
        <f ca="1">-CC500*PTP</f>
        <v>-384.42493452054578</v>
      </c>
      <c r="CD499" s="577">
        <f ca="1">-CD500*PTP</f>
        <v>-493.96950488523771</v>
      </c>
      <c r="CE499" s="373">
        <f ca="1">V499-SUM(CB499:CD499)</f>
        <v>-409.55953941354414</v>
      </c>
      <c r="CF499" s="22"/>
      <c r="CG499" s="5"/>
      <c r="CH499" s="5"/>
    </row>
    <row r="500" spans="1:96" outlineLevel="1">
      <c r="B500" s="12" t="s">
        <v>143</v>
      </c>
      <c r="C500" s="6">
        <f t="shared" ref="C500:M500" si="736">-Tax/PTP*100</f>
        <v>22.816034820051264</v>
      </c>
      <c r="D500" s="6">
        <f t="shared" si="736"/>
        <v>13.303740796050192</v>
      </c>
      <c r="E500" s="6">
        <f t="shared" si="736"/>
        <v>40.885195381798887</v>
      </c>
      <c r="F500" s="6">
        <f t="shared" si="736"/>
        <v>16.123275951898062</v>
      </c>
      <c r="G500" s="6">
        <f t="shared" si="736"/>
        <v>8.5920628749784491</v>
      </c>
      <c r="H500" s="6">
        <f t="shared" si="736"/>
        <v>11.986821998982331</v>
      </c>
      <c r="I500" s="6">
        <f t="shared" si="736"/>
        <v>14.634011221657991</v>
      </c>
      <c r="J500" s="6">
        <f t="shared" si="736"/>
        <v>12.711534382972792</v>
      </c>
      <c r="K500" s="6">
        <f t="shared" si="736"/>
        <v>18.811703330105335</v>
      </c>
      <c r="L500" s="6">
        <f t="shared" si="736"/>
        <v>17.197622711100731</v>
      </c>
      <c r="M500" s="6">
        <f t="shared" si="736"/>
        <v>17.216356209449625</v>
      </c>
      <c r="N500" s="560">
        <f t="shared" ref="N500:T500" si="737">-Tax/PTP</f>
        <v>0.20330493725460563</v>
      </c>
      <c r="O500" s="560">
        <f t="shared" si="737"/>
        <v>0.30980109588795979</v>
      </c>
      <c r="P500" s="560">
        <f t="shared" si="737"/>
        <v>0.25663392217171155</v>
      </c>
      <c r="Q500" s="560">
        <f t="shared" si="737"/>
        <v>0.9659106118984363</v>
      </c>
      <c r="R500" s="560">
        <f t="shared" si="737"/>
        <v>0.15644974313131291</v>
      </c>
      <c r="S500" s="560">
        <f t="shared" si="737"/>
        <v>-0.27157983911665512</v>
      </c>
      <c r="T500" s="560">
        <f t="shared" si="737"/>
        <v>0.36518616301134182</v>
      </c>
      <c r="U500" s="42">
        <v>0.28000000000000003</v>
      </c>
      <c r="V500" s="42">
        <v>0.25</v>
      </c>
      <c r="W500" s="42">
        <f t="shared" ref="W500:AD500" si="738">V500</f>
        <v>0.25</v>
      </c>
      <c r="X500" s="42">
        <f t="shared" si="738"/>
        <v>0.25</v>
      </c>
      <c r="Y500" s="42">
        <f t="shared" si="738"/>
        <v>0.25</v>
      </c>
      <c r="Z500" s="42">
        <f t="shared" si="738"/>
        <v>0.25</v>
      </c>
      <c r="AA500" s="42">
        <f t="shared" si="738"/>
        <v>0.25</v>
      </c>
      <c r="AB500" s="42">
        <f t="shared" si="738"/>
        <v>0.25</v>
      </c>
      <c r="AC500" s="42">
        <f t="shared" si="738"/>
        <v>0.25</v>
      </c>
      <c r="AD500" s="42">
        <f t="shared" si="738"/>
        <v>0.25</v>
      </c>
      <c r="AE500" s="42"/>
      <c r="AF500" s="560">
        <f t="shared" ref="AF500:BW500" si="739">-Tax/PTP</f>
        <v>0.15871396166920507</v>
      </c>
      <c r="AG500" s="560">
        <f t="shared" si="739"/>
        <v>0.15139236280461985</v>
      </c>
      <c r="AH500" s="560">
        <f t="shared" si="739"/>
        <v>0.15102039859476427</v>
      </c>
      <c r="AI500" s="560">
        <f t="shared" si="739"/>
        <v>7.1938899012991817E-2</v>
      </c>
      <c r="AJ500" s="560">
        <f t="shared" si="739"/>
        <v>0.27629995481192932</v>
      </c>
      <c r="AK500" s="560">
        <f t="shared" si="739"/>
        <v>0.25812191745971008</v>
      </c>
      <c r="AL500" s="560">
        <f t="shared" si="739"/>
        <v>0.17134637737987146</v>
      </c>
      <c r="AM500" s="560">
        <f t="shared" si="739"/>
        <v>1.5865864211837669E-2</v>
      </c>
      <c r="AN500" s="560">
        <f t="shared" si="739"/>
        <v>0.18080676351671621</v>
      </c>
      <c r="AO500" s="560">
        <f t="shared" si="739"/>
        <v>0.17861499282138923</v>
      </c>
      <c r="AP500" s="560">
        <f t="shared" si="739"/>
        <v>0.1300404400103467</v>
      </c>
      <c r="AQ500" s="560">
        <f t="shared" si="739"/>
        <v>0.19923948962783378</v>
      </c>
      <c r="AR500" s="560">
        <f t="shared" si="739"/>
        <v>0.12015337117459646</v>
      </c>
      <c r="AS500" s="560">
        <f t="shared" si="739"/>
        <v>0.18557342455109752</v>
      </c>
      <c r="AT500" s="560">
        <f t="shared" si="739"/>
        <v>0.17172241834991397</v>
      </c>
      <c r="AU500" s="560">
        <f t="shared" si="739"/>
        <v>0.19221154434293855</v>
      </c>
      <c r="AV500" s="560">
        <f t="shared" si="739"/>
        <v>0.21327966209772597</v>
      </c>
      <c r="AW500" s="560">
        <f t="shared" si="739"/>
        <v>0.1552190463084703</v>
      </c>
      <c r="AX500" s="560">
        <f t="shared" si="739"/>
        <v>0.21046600032671658</v>
      </c>
      <c r="AY500" s="560">
        <f t="shared" si="739"/>
        <v>0.23411842647493125</v>
      </c>
      <c r="AZ500" s="560">
        <f t="shared" si="739"/>
        <v>0.27958005705317529</v>
      </c>
      <c r="BA500" s="560">
        <f t="shared" si="739"/>
        <v>0.45480275999839681</v>
      </c>
      <c r="BB500" s="560">
        <f t="shared" si="739"/>
        <v>0.23729523886399898</v>
      </c>
      <c r="BC500" s="560">
        <f t="shared" si="739"/>
        <v>0.25324733141732697</v>
      </c>
      <c r="BD500" s="560">
        <f t="shared" si="739"/>
        <v>0.32259247499266908</v>
      </c>
      <c r="BE500" s="560">
        <f t="shared" si="739"/>
        <v>0.26769291708997089</v>
      </c>
      <c r="BF500" s="560">
        <f t="shared" si="739"/>
        <v>0.21946339461029654</v>
      </c>
      <c r="BG500" s="560">
        <f t="shared" si="739"/>
        <v>0.25719210827421657</v>
      </c>
      <c r="BH500" s="560">
        <f t="shared" si="739"/>
        <v>0.40311076273218177</v>
      </c>
      <c r="BI500" s="560">
        <f t="shared" si="739"/>
        <v>0.32304405101621703</v>
      </c>
      <c r="BJ500" s="560">
        <f t="shared" si="739"/>
        <v>0.22653398347801018</v>
      </c>
      <c r="BK500" s="560">
        <f t="shared" si="739"/>
        <v>3.8364701654221407E-2</v>
      </c>
      <c r="BL500" s="560">
        <f t="shared" si="739"/>
        <v>-3.377612623637017E-2</v>
      </c>
      <c r="BM500" s="560">
        <f t="shared" si="739"/>
        <v>0.20835842929244211</v>
      </c>
      <c r="BN500" s="560">
        <f t="shared" si="739"/>
        <v>0.12780079724432011</v>
      </c>
      <c r="BO500" s="575">
        <f t="shared" si="739"/>
        <v>0.33124439713818554</v>
      </c>
      <c r="BP500" s="560">
        <f t="shared" si="739"/>
        <v>-6.3342896857977199E-2</v>
      </c>
      <c r="BQ500" s="560">
        <f t="shared" si="739"/>
        <v>-0.12084663050340809</v>
      </c>
      <c r="BR500" s="560">
        <f t="shared" si="739"/>
        <v>0.67552897579626658</v>
      </c>
      <c r="BS500" s="560">
        <f t="shared" si="739"/>
        <v>-0.6387842298269294</v>
      </c>
      <c r="BT500" s="560">
        <f t="shared" si="739"/>
        <v>0.75817002220047758</v>
      </c>
      <c r="BU500" s="560">
        <f t="shared" si="739"/>
        <v>0.58260061048373135</v>
      </c>
      <c r="BV500" s="560">
        <f t="shared" si="739"/>
        <v>0.20281760378521027</v>
      </c>
      <c r="BW500" s="560">
        <f t="shared" si="739"/>
        <v>0.33773249707433578</v>
      </c>
      <c r="BX500" s="42">
        <v>0.35</v>
      </c>
      <c r="BY500" s="42">
        <v>0.3</v>
      </c>
      <c r="BZ500" s="42">
        <v>0.25</v>
      </c>
      <c r="CA500" s="323">
        <f ca="1">-Tax/PTP</f>
        <v>0.28027700467335531</v>
      </c>
      <c r="CB500" s="42">
        <v>0.25</v>
      </c>
      <c r="CC500" s="42">
        <v>0.25</v>
      </c>
      <c r="CD500" s="42">
        <v>0.25</v>
      </c>
      <c r="CE500" s="323">
        <f ca="1">-Tax/PTP</f>
        <v>0.25</v>
      </c>
      <c r="CF500" s="5"/>
      <c r="CG500" s="5"/>
      <c r="CH500" s="5"/>
    </row>
    <row r="501" spans="1:96" outlineLevel="1"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492"/>
      <c r="O501" s="492"/>
      <c r="P501" s="492"/>
      <c r="Q501" s="492"/>
      <c r="R501" s="492"/>
      <c r="S501" s="492"/>
      <c r="T501" s="492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492"/>
      <c r="AG501" s="492"/>
      <c r="AH501" s="492"/>
      <c r="AI501" s="492"/>
      <c r="AJ501" s="492"/>
      <c r="AK501" s="492"/>
      <c r="AL501" s="492"/>
      <c r="AM501" s="492"/>
      <c r="AN501" s="492"/>
      <c r="AO501" s="492"/>
      <c r="AP501" s="492"/>
      <c r="AQ501" s="492"/>
      <c r="AR501" s="492"/>
      <c r="AS501" s="492"/>
      <c r="AT501" s="492"/>
      <c r="AU501" s="492"/>
      <c r="AV501" s="492"/>
      <c r="AW501" s="492"/>
      <c r="AX501" s="492"/>
      <c r="AY501" s="492"/>
      <c r="AZ501" s="492"/>
      <c r="BA501" s="492"/>
      <c r="BB501" s="492"/>
      <c r="BC501" s="492"/>
      <c r="BD501" s="492"/>
      <c r="BE501" s="492"/>
      <c r="BF501" s="492"/>
      <c r="BG501" s="492"/>
      <c r="BH501" s="492"/>
      <c r="BI501" s="492"/>
      <c r="BJ501" s="492"/>
      <c r="BK501" s="492"/>
      <c r="BL501" s="492"/>
      <c r="BM501" s="492"/>
      <c r="BN501" s="492"/>
      <c r="BO501" s="579"/>
      <c r="BP501" s="492"/>
      <c r="BQ501" s="492"/>
      <c r="BR501" s="492"/>
      <c r="BS501" s="492"/>
      <c r="BT501" s="492"/>
      <c r="BU501" s="17"/>
      <c r="BV501" s="17"/>
      <c r="BW501" s="17"/>
      <c r="BX501" s="17"/>
      <c r="BY501" s="17"/>
      <c r="BZ501" s="17"/>
      <c r="CA501" s="6"/>
      <c r="CB501" s="17"/>
      <c r="CC501" s="17"/>
      <c r="CD501" s="17"/>
      <c r="CE501" s="6"/>
      <c r="CF501" s="5"/>
      <c r="CG501" s="5"/>
      <c r="CH501" s="5"/>
    </row>
    <row r="502" spans="1:96" outlineLevel="1">
      <c r="B502" s="115" t="s">
        <v>493</v>
      </c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4"/>
      <c r="N502" s="566">
        <f t="shared" ref="N502:T502" si="740">Oth_Inc</f>
        <v>117.62372499999999</v>
      </c>
      <c r="O502" s="566">
        <f t="shared" si="740"/>
        <v>130.28794300000001</v>
      </c>
      <c r="P502" s="566">
        <f t="shared" si="740"/>
        <v>163.12237400000001</v>
      </c>
      <c r="Q502" s="566">
        <f t="shared" si="740"/>
        <v>144.00643500000001</v>
      </c>
      <c r="R502" s="566">
        <f t="shared" si="740"/>
        <v>2480.9798300000002</v>
      </c>
      <c r="S502" s="500">
        <f t="shared" si="740"/>
        <v>-26.848286999999999</v>
      </c>
      <c r="T502" s="500">
        <f t="shared" si="740"/>
        <v>878.99813700000004</v>
      </c>
      <c r="U502" s="184">
        <f t="shared" ref="U502:AD502" ca="1" si="741">U503*Rev_Net</f>
        <v>159.2350769077581</v>
      </c>
      <c r="V502" s="184">
        <f t="shared" ca="1" si="741"/>
        <v>400.25781301507925</v>
      </c>
      <c r="W502" s="184">
        <f t="shared" ca="1" si="741"/>
        <v>489.14495484587854</v>
      </c>
      <c r="X502" s="184">
        <f t="shared" ca="1" si="741"/>
        <v>588.94633490753665</v>
      </c>
      <c r="Y502" s="184">
        <f t="shared" ca="1" si="741"/>
        <v>702.91715705241597</v>
      </c>
      <c r="Z502" s="184">
        <f t="shared" ca="1" si="741"/>
        <v>813.77407597960519</v>
      </c>
      <c r="AA502" s="184">
        <f t="shared" ca="1" si="741"/>
        <v>933.74756519691311</v>
      </c>
      <c r="AB502" s="184">
        <f t="shared" ca="1" si="741"/>
        <v>1063.0317848712041</v>
      </c>
      <c r="AC502" s="184">
        <f t="shared" ca="1" si="741"/>
        <v>1200.8772908303533</v>
      </c>
      <c r="AD502" s="184">
        <f t="shared" ca="1" si="741"/>
        <v>1342.5012963286486</v>
      </c>
      <c r="AE502" s="184"/>
      <c r="AF502" s="580">
        <f t="shared" ref="AF502:AY502" si="742">Oth_Inc</f>
        <v>2.8342019999999999</v>
      </c>
      <c r="AG502" s="580">
        <f t="shared" si="742"/>
        <v>5.6716769999999999</v>
      </c>
      <c r="AH502" s="580">
        <f t="shared" si="742"/>
        <v>13.577722</v>
      </c>
      <c r="AI502" s="580">
        <f t="shared" si="742"/>
        <v>13.213622000000001</v>
      </c>
      <c r="AJ502" s="580">
        <f t="shared" si="742"/>
        <v>18.852930000000001</v>
      </c>
      <c r="AK502" s="580">
        <f t="shared" si="742"/>
        <v>24.597708999999998</v>
      </c>
      <c r="AL502" s="580">
        <f t="shared" si="742"/>
        <v>11.442154</v>
      </c>
      <c r="AM502" s="580">
        <f t="shared" si="742"/>
        <v>5.1802000000000001E-2</v>
      </c>
      <c r="AN502" s="580">
        <f t="shared" si="742"/>
        <v>9.5830889999999993</v>
      </c>
      <c r="AO502" s="580">
        <f t="shared" si="742"/>
        <v>18.276381000000001</v>
      </c>
      <c r="AP502" s="580">
        <f t="shared" si="742"/>
        <v>2.6251009999999999</v>
      </c>
      <c r="AQ502" s="580">
        <f t="shared" si="742"/>
        <v>30.225954000000002</v>
      </c>
      <c r="AR502" s="580">
        <f t="shared" si="742"/>
        <v>0.58179700000000001</v>
      </c>
      <c r="AS502" s="580">
        <f t="shared" si="742"/>
        <v>15.980805999999999</v>
      </c>
      <c r="AT502" s="580">
        <f t="shared" si="742"/>
        <v>44.345553000000002</v>
      </c>
      <c r="AU502" s="580">
        <f t="shared" si="742"/>
        <v>38.217359999999999</v>
      </c>
      <c r="AV502" s="580">
        <f t="shared" si="742"/>
        <v>12.924512</v>
      </c>
      <c r="AW502" s="580">
        <f t="shared" si="742"/>
        <v>17.520128</v>
      </c>
      <c r="AX502" s="580">
        <f t="shared" si="742"/>
        <v>54.347194999999999</v>
      </c>
      <c r="AY502" s="580">
        <f t="shared" si="742"/>
        <v>32.831890000000001</v>
      </c>
      <c r="AZ502" s="580">
        <f t="shared" ref="AZ502:BW502" si="743">Oth_Inc</f>
        <v>9.4377519999999997</v>
      </c>
      <c r="BA502" s="580">
        <f t="shared" si="743"/>
        <v>56.366411999999997</v>
      </c>
      <c r="BB502" s="580">
        <f t="shared" si="743"/>
        <v>6.1049670000000003</v>
      </c>
      <c r="BC502" s="580">
        <f t="shared" si="743"/>
        <v>58.378812000000003</v>
      </c>
      <c r="BD502" s="580">
        <f t="shared" si="743"/>
        <v>7.6891369999999997</v>
      </c>
      <c r="BE502" s="580">
        <f t="shared" si="743"/>
        <v>24.056241</v>
      </c>
      <c r="BF502" s="580">
        <f t="shared" si="743"/>
        <v>67.808944999999994</v>
      </c>
      <c r="BG502" s="580">
        <f t="shared" si="743"/>
        <v>63.568050999999997</v>
      </c>
      <c r="BH502" s="580">
        <f t="shared" si="743"/>
        <v>-14.298252</v>
      </c>
      <c r="BI502" s="580">
        <f t="shared" si="743"/>
        <v>5.2655560000000001</v>
      </c>
      <c r="BJ502" s="580">
        <f t="shared" si="743"/>
        <v>107.538979</v>
      </c>
      <c r="BK502" s="580">
        <f t="shared" si="743"/>
        <v>45.500152</v>
      </c>
      <c r="BL502" s="580">
        <f t="shared" si="743"/>
        <v>-15.496473999999999</v>
      </c>
      <c r="BM502" s="580">
        <f t="shared" si="743"/>
        <v>11.924842999999999</v>
      </c>
      <c r="BN502" s="580">
        <f t="shared" si="743"/>
        <v>2393.6973119999998</v>
      </c>
      <c r="BO502" s="581">
        <f t="shared" si="743"/>
        <v>90.854149000000007</v>
      </c>
      <c r="BP502" s="580">
        <f t="shared" si="743"/>
        <v>318.19586800000002</v>
      </c>
      <c r="BQ502" s="580">
        <f t="shared" si="743"/>
        <v>-30.423034999999999</v>
      </c>
      <c r="BR502" s="580">
        <f t="shared" si="743"/>
        <v>-27.905573</v>
      </c>
      <c r="BS502" s="580">
        <f t="shared" si="743"/>
        <v>-286.71554700000002</v>
      </c>
      <c r="BT502" s="580">
        <f t="shared" si="743"/>
        <v>-88.401073999999994</v>
      </c>
      <c r="BU502" s="580">
        <f t="shared" si="743"/>
        <v>397.10267900000002</v>
      </c>
      <c r="BV502" s="580">
        <f t="shared" si="743"/>
        <v>233.44493600000001</v>
      </c>
      <c r="BW502" s="580">
        <f t="shared" si="743"/>
        <v>336.85159599999997</v>
      </c>
      <c r="BX502" s="583">
        <f ca="1">BX503*Rev_Net</f>
        <v>33.512706877739625</v>
      </c>
      <c r="BY502" s="583">
        <f ca="1">BY503*Rev_Net</f>
        <v>37.458664556998514</v>
      </c>
      <c r="BZ502" s="583">
        <f ca="1">BZ503*Rev_Net</f>
        <v>46.558708088809617</v>
      </c>
      <c r="CA502" s="373">
        <f ca="1">U502-SUM(BX502:BZ502)</f>
        <v>41.704997384210344</v>
      </c>
      <c r="CB502" s="583">
        <f ca="1">CB503*Rev_Net</f>
        <v>91.129512555543869</v>
      </c>
      <c r="CC502" s="583">
        <f ca="1">CC503*Rev_Net</f>
        <v>97.832840405674631</v>
      </c>
      <c r="CD502" s="583">
        <f ca="1">CD503*Rev_Net</f>
        <v>111.5204888939253</v>
      </c>
      <c r="CE502" s="373">
        <f ca="1">V502-SUM(CB502:CD502)</f>
        <v>99.774971159935433</v>
      </c>
      <c r="CF502" s="22"/>
      <c r="CG502" s="5"/>
      <c r="CH502" s="5"/>
    </row>
    <row r="503" spans="1:96" outlineLevel="1">
      <c r="B503" s="12" t="s">
        <v>134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560">
        <f t="shared" ref="N503:S503" si="744">N502/Rev_Net</f>
        <v>3.3625179922319476E-2</v>
      </c>
      <c r="O503" s="587">
        <f t="shared" si="744"/>
        <v>3.1328319985122678E-2</v>
      </c>
      <c r="P503" s="587">
        <f t="shared" si="744"/>
        <v>3.0282175522892002E-2</v>
      </c>
      <c r="Q503" s="587">
        <f t="shared" si="744"/>
        <v>1.9600930317618451E-2</v>
      </c>
      <c r="R503" s="587">
        <f t="shared" si="744"/>
        <v>0.22766362330682577</v>
      </c>
      <c r="S503" s="587">
        <f t="shared" si="744"/>
        <v>-1.3962800549450758E-3</v>
      </c>
      <c r="T503" s="587">
        <f>T502/Rev_Net</f>
        <v>3.2823384923010297E-2</v>
      </c>
      <c r="U503" s="357">
        <v>5.0000000000000001E-3</v>
      </c>
      <c r="V503" s="357">
        <v>0.01</v>
      </c>
      <c r="W503" s="357">
        <v>0.01</v>
      </c>
      <c r="X503" s="357">
        <v>0.01</v>
      </c>
      <c r="Y503" s="357">
        <v>0.01</v>
      </c>
      <c r="Z503" s="357">
        <v>0.01</v>
      </c>
      <c r="AA503" s="357">
        <v>0.01</v>
      </c>
      <c r="AB503" s="357">
        <v>0.01</v>
      </c>
      <c r="AC503" s="357">
        <v>0.01</v>
      </c>
      <c r="AD503" s="357">
        <v>0.01</v>
      </c>
      <c r="AE503" s="357"/>
      <c r="AF503" s="560">
        <f t="shared" ref="AF503:BR503" si="745">AF502/Rev_Net</f>
        <v>1.220501701119877E-2</v>
      </c>
      <c r="AG503" s="560">
        <f t="shared" si="745"/>
        <v>1.9692058180554983E-2</v>
      </c>
      <c r="AH503" s="560">
        <f t="shared" si="745"/>
        <v>4.2079232161573284E-2</v>
      </c>
      <c r="AI503" s="560">
        <f t="shared" si="745"/>
        <v>3.7095437784461879E-2</v>
      </c>
      <c r="AJ503" s="560">
        <f t="shared" si="745"/>
        <v>5.5370156524345307E-2</v>
      </c>
      <c r="AK503" s="560">
        <f t="shared" si="745"/>
        <v>6.5586250655500292E-2</v>
      </c>
      <c r="AL503" s="560">
        <f t="shared" si="745"/>
        <v>3.0913281321352352E-2</v>
      </c>
      <c r="AM503" s="560">
        <f t="shared" si="745"/>
        <v>1.307026347775989E-4</v>
      </c>
      <c r="AN503" s="560">
        <f t="shared" si="745"/>
        <v>2.3923188181700302E-2</v>
      </c>
      <c r="AO503" s="560">
        <f t="shared" si="745"/>
        <v>3.8372628011990886E-2</v>
      </c>
      <c r="AP503" s="560">
        <f t="shared" si="745"/>
        <v>4.812909380060894E-3</v>
      </c>
      <c r="AQ503" s="560">
        <f t="shared" si="745"/>
        <v>5.3429792952537719E-2</v>
      </c>
      <c r="AR503" s="560">
        <f t="shared" si="745"/>
        <v>9.9160611999205266E-4</v>
      </c>
      <c r="AS503" s="560">
        <f t="shared" si="745"/>
        <v>2.2987998841566864E-2</v>
      </c>
      <c r="AT503" s="560">
        <f t="shared" si="745"/>
        <v>5.4598985743622333E-2</v>
      </c>
      <c r="AU503" s="560">
        <f t="shared" si="745"/>
        <v>4.8553007038712043E-2</v>
      </c>
      <c r="AV503" s="560">
        <f t="shared" si="745"/>
        <v>1.6905327676141495E-2</v>
      </c>
      <c r="AW503" s="560">
        <f t="shared" si="745"/>
        <v>2.1031867045651739E-2</v>
      </c>
      <c r="AX503" s="560">
        <f t="shared" si="745"/>
        <v>5.5757822694578629E-2</v>
      </c>
      <c r="AY503" s="560">
        <f t="shared" si="745"/>
        <v>3.5461996374359483E-2</v>
      </c>
      <c r="AZ503" s="560">
        <f t="shared" si="745"/>
        <v>1.0361951090105844E-2</v>
      </c>
      <c r="BA503" s="560">
        <f t="shared" si="745"/>
        <v>5.7893343849414032E-2</v>
      </c>
      <c r="BB503" s="560">
        <f t="shared" si="745"/>
        <v>5.2045641599222318E-3</v>
      </c>
      <c r="BC503" s="560">
        <f t="shared" si="745"/>
        <v>5.3006340281120515E-2</v>
      </c>
      <c r="BD503" s="560">
        <f t="shared" si="745"/>
        <v>6.6256640300291093E-3</v>
      </c>
      <c r="BE503" s="560">
        <f t="shared" si="745"/>
        <v>1.9324521663054144E-2</v>
      </c>
      <c r="BF503" s="560">
        <f t="shared" si="745"/>
        <v>4.4003905364856613E-2</v>
      </c>
      <c r="BG503" s="560">
        <f t="shared" si="745"/>
        <v>4.4132034229044319E-2</v>
      </c>
      <c r="BH503" s="560">
        <f t="shared" si="745"/>
        <v>-9.0392966043526778E-3</v>
      </c>
      <c r="BI503" s="560">
        <f t="shared" si="745"/>
        <v>3.0573508974624419E-3</v>
      </c>
      <c r="BJ503" s="560">
        <f t="shared" si="745"/>
        <v>5.0497965119533486E-2</v>
      </c>
      <c r="BK503" s="560">
        <f t="shared" si="745"/>
        <v>2.378099678853398E-2</v>
      </c>
      <c r="BL503" s="560">
        <f t="shared" si="745"/>
        <v>-6.6945883229779591E-3</v>
      </c>
      <c r="BM503" s="560">
        <f t="shared" si="745"/>
        <v>4.7187178842750836E-3</v>
      </c>
      <c r="BN503" s="560">
        <f t="shared" si="745"/>
        <v>0.75235635204861062</v>
      </c>
      <c r="BO503" s="560">
        <f t="shared" si="745"/>
        <v>3.1611832504876827E-2</v>
      </c>
      <c r="BP503" s="560">
        <f t="shared" si="745"/>
        <v>7.6159734010718974E-2</v>
      </c>
      <c r="BQ503" s="560">
        <f t="shared" si="745"/>
        <v>-6.8966381701394833E-3</v>
      </c>
      <c r="BR503" s="560">
        <f t="shared" si="745"/>
        <v>-5.0082987969689461E-3</v>
      </c>
      <c r="BS503" s="560">
        <f>BS502/Rev_Net</f>
        <v>-5.6581724943664993E-2</v>
      </c>
      <c r="BT503" s="560">
        <f>BT502/Rev_Net</f>
        <v>-1.4527555448499728E-2</v>
      </c>
      <c r="BU503" s="560">
        <f>BU502/Rev_Net</f>
        <v>6.189478869316329E-2</v>
      </c>
      <c r="BV503" s="560">
        <f>BV502/Rev_Net</f>
        <v>2.9551203658932521E-2</v>
      </c>
      <c r="BW503" s="560">
        <f>BW502/Rev_Net</f>
        <v>5.2805307250946142E-2</v>
      </c>
      <c r="BX503" s="357">
        <v>5.0000000000000001E-3</v>
      </c>
      <c r="BY503" s="357">
        <f>BX503</f>
        <v>5.0000000000000001E-3</v>
      </c>
      <c r="BZ503" s="357">
        <f>BY503</f>
        <v>5.0000000000000001E-3</v>
      </c>
      <c r="CA503" s="157">
        <f ca="1">CA502/Rev_Net</f>
        <v>5.000000000000001E-3</v>
      </c>
      <c r="CB503" s="357">
        <v>0.01</v>
      </c>
      <c r="CC503" s="357">
        <v>0.01</v>
      </c>
      <c r="CD503" s="357">
        <v>0.01</v>
      </c>
      <c r="CE503" s="157">
        <f ca="1">CE502/Rev_Net</f>
        <v>0.01</v>
      </c>
      <c r="CF503" s="5"/>
      <c r="CG503" s="5"/>
      <c r="CH503" s="5"/>
    </row>
    <row r="504" spans="1:96" outlineLevel="1"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491"/>
      <c r="O504" s="491"/>
      <c r="P504" s="491"/>
      <c r="Q504" s="491"/>
      <c r="R504" s="491"/>
      <c r="S504" s="491"/>
      <c r="T504" s="491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491"/>
      <c r="AG504" s="491"/>
      <c r="AH504" s="491"/>
      <c r="AI504" s="491"/>
      <c r="AJ504" s="491"/>
      <c r="AK504" s="491"/>
      <c r="AL504" s="491"/>
      <c r="AM504" s="491"/>
      <c r="AN504" s="491"/>
      <c r="AO504" s="491"/>
      <c r="AP504" s="491"/>
      <c r="AQ504" s="491"/>
      <c r="AR504" s="491"/>
      <c r="AS504" s="491"/>
      <c r="AT504" s="491"/>
      <c r="AU504" s="491"/>
      <c r="AV504" s="491"/>
      <c r="AW504" s="491"/>
      <c r="AX504" s="491"/>
      <c r="AY504" s="491"/>
      <c r="AZ504" s="491"/>
      <c r="BA504" s="491"/>
      <c r="BB504" s="491"/>
      <c r="BC504" s="491"/>
      <c r="BD504" s="491"/>
      <c r="BE504" s="491"/>
      <c r="BF504" s="491"/>
      <c r="BG504" s="491"/>
      <c r="BH504" s="491"/>
      <c r="BI504" s="491"/>
      <c r="BJ504" s="491"/>
      <c r="BK504" s="491"/>
      <c r="BL504" s="491"/>
      <c r="BM504" s="491"/>
      <c r="BN504" s="491"/>
      <c r="BO504" s="582"/>
      <c r="BP504" s="491"/>
      <c r="BQ504" s="491"/>
      <c r="BR504" s="491"/>
      <c r="BS504" s="491"/>
      <c r="BT504" s="491"/>
      <c r="BU504" s="584"/>
      <c r="BV504" s="584"/>
      <c r="BW504" s="584"/>
      <c r="BX504" s="584"/>
      <c r="BY504" s="584"/>
      <c r="BZ504" s="584"/>
      <c r="CA504" s="3"/>
      <c r="CB504" s="584"/>
      <c r="CC504" s="584"/>
      <c r="CD504" s="584"/>
      <c r="CE504" s="3"/>
      <c r="CF504" s="51"/>
      <c r="CG504" s="5"/>
      <c r="CH504" s="5"/>
      <c r="CI504" s="3"/>
      <c r="CP504" s="3"/>
      <c r="CQ504" s="3"/>
      <c r="CR504" s="3"/>
    </row>
    <row r="505" spans="1:96" outlineLevel="1">
      <c r="A505" s="3" t="s">
        <v>68</v>
      </c>
      <c r="B505" s="116" t="s">
        <v>765</v>
      </c>
      <c r="C505" s="114"/>
      <c r="D505" s="114"/>
      <c r="E505" s="114"/>
      <c r="F505" s="114"/>
      <c r="G505" s="114"/>
      <c r="H505" s="114"/>
      <c r="I505" s="114"/>
      <c r="J505" s="114"/>
      <c r="K505" s="114"/>
      <c r="L505" s="114"/>
      <c r="M505" s="114"/>
      <c r="N505" s="566">
        <f t="shared" ref="N505:T505" si="746">Equ_Aff</f>
        <v>57.525829999999999</v>
      </c>
      <c r="O505" s="566">
        <f t="shared" si="746"/>
        <v>34.343000000000004</v>
      </c>
      <c r="P505" s="566">
        <f t="shared" si="746"/>
        <v>55.554071999999998</v>
      </c>
      <c r="Q505" s="566">
        <f t="shared" si="746"/>
        <v>87.005341000000001</v>
      </c>
      <c r="R505" s="566">
        <f t="shared" si="746"/>
        <v>-135.78031200000001</v>
      </c>
      <c r="S505" s="566">
        <f t="shared" si="746"/>
        <v>601.88317900000004</v>
      </c>
      <c r="T505" s="566">
        <f t="shared" si="746"/>
        <v>-65.116066000000004</v>
      </c>
      <c r="U505" s="498">
        <v>-100</v>
      </c>
      <c r="V505" s="498">
        <v>-100</v>
      </c>
      <c r="W505" s="498">
        <f>V505</f>
        <v>-100</v>
      </c>
      <c r="X505" s="498">
        <f t="shared" ref="X505:AD505" si="747">W505</f>
        <v>-100</v>
      </c>
      <c r="Y505" s="498">
        <f t="shared" si="747"/>
        <v>-100</v>
      </c>
      <c r="Z505" s="498">
        <f t="shared" si="747"/>
        <v>-100</v>
      </c>
      <c r="AA505" s="498">
        <f t="shared" si="747"/>
        <v>-100</v>
      </c>
      <c r="AB505" s="498">
        <f t="shared" si="747"/>
        <v>-100</v>
      </c>
      <c r="AC505" s="498">
        <f t="shared" si="747"/>
        <v>-100</v>
      </c>
      <c r="AD505" s="498">
        <f t="shared" si="747"/>
        <v>-100</v>
      </c>
      <c r="AE505" s="93"/>
      <c r="AF505" s="566">
        <f t="shared" ref="AF505:AY505" si="748">Equ_Aff</f>
        <v>0</v>
      </c>
      <c r="AG505" s="566">
        <f t="shared" si="748"/>
        <v>0</v>
      </c>
      <c r="AH505" s="566">
        <f t="shared" si="748"/>
        <v>0</v>
      </c>
      <c r="AI505" s="566">
        <f t="shared" si="748"/>
        <v>0</v>
      </c>
      <c r="AJ505" s="566">
        <f t="shared" si="748"/>
        <v>0</v>
      </c>
      <c r="AK505" s="566">
        <f t="shared" si="748"/>
        <v>0</v>
      </c>
      <c r="AL505" s="566">
        <f t="shared" si="748"/>
        <v>0</v>
      </c>
      <c r="AM505" s="566">
        <f t="shared" si="748"/>
        <v>0</v>
      </c>
      <c r="AN505" s="566">
        <f t="shared" si="748"/>
        <v>0</v>
      </c>
      <c r="AO505" s="566">
        <f t="shared" si="748"/>
        <v>6.581137</v>
      </c>
      <c r="AP505" s="566">
        <f t="shared" si="748"/>
        <v>11.573606</v>
      </c>
      <c r="AQ505" s="566">
        <f t="shared" si="748"/>
        <v>14.714676000000001</v>
      </c>
      <c r="AR505" s="566">
        <f t="shared" si="748"/>
        <v>11.236298</v>
      </c>
      <c r="AS505" s="566">
        <f t="shared" si="748"/>
        <v>7.222181</v>
      </c>
      <c r="AT505" s="566">
        <f t="shared" si="748"/>
        <v>23.192105000000002</v>
      </c>
      <c r="AU505" s="566">
        <f t="shared" si="748"/>
        <v>24.521408000000001</v>
      </c>
      <c r="AV505" s="566">
        <f t="shared" si="748"/>
        <v>4.7968820000000001</v>
      </c>
      <c r="AW505" s="566">
        <f t="shared" si="748"/>
        <v>4.6811100000000003</v>
      </c>
      <c r="AX505" s="566">
        <f t="shared" si="748"/>
        <v>20.372236999999998</v>
      </c>
      <c r="AY505" s="566">
        <f t="shared" si="748"/>
        <v>27.675601</v>
      </c>
      <c r="AZ505" s="566">
        <f t="shared" ref="AZ505:BW505" si="749">Equ_Aff</f>
        <v>43.475408999999999</v>
      </c>
      <c r="BA505" s="566">
        <f t="shared" si="749"/>
        <v>-18.189503999999999</v>
      </c>
      <c r="BB505" s="566">
        <f t="shared" si="749"/>
        <v>4.7920550000000004</v>
      </c>
      <c r="BC505" s="566">
        <f t="shared" si="749"/>
        <v>4.2650399999999999</v>
      </c>
      <c r="BD505" s="566">
        <f t="shared" si="749"/>
        <v>8.7805999999999995E-2</v>
      </c>
      <c r="BE505" s="566">
        <f t="shared" si="749"/>
        <v>-4.5258729999999998</v>
      </c>
      <c r="BF505" s="566">
        <f t="shared" si="749"/>
        <v>24.740697000000001</v>
      </c>
      <c r="BG505" s="566">
        <f t="shared" si="749"/>
        <v>35.251441999999997</v>
      </c>
      <c r="BH505" s="566">
        <f t="shared" si="749"/>
        <v>19.231991000000001</v>
      </c>
      <c r="BI505" s="566">
        <f t="shared" si="749"/>
        <v>13.215687000000001</v>
      </c>
      <c r="BJ505" s="566">
        <f t="shared" si="749"/>
        <v>16.323840000000001</v>
      </c>
      <c r="BK505" s="566">
        <f t="shared" si="749"/>
        <v>38.233823000000001</v>
      </c>
      <c r="BL505" s="566">
        <f t="shared" si="749"/>
        <v>9.3915600000000001</v>
      </c>
      <c r="BM505" s="566">
        <f t="shared" si="749"/>
        <v>-20.479317000000002</v>
      </c>
      <c r="BN505" s="566">
        <f t="shared" si="749"/>
        <v>-30.123031000000001</v>
      </c>
      <c r="BO505" s="578">
        <f t="shared" si="749"/>
        <v>-94.569524000000001</v>
      </c>
      <c r="BP505" s="566">
        <f t="shared" si="749"/>
        <v>-107.90964200000001</v>
      </c>
      <c r="BQ505" s="566">
        <f t="shared" si="749"/>
        <v>-99.658214999999998</v>
      </c>
      <c r="BR505" s="566">
        <f t="shared" si="749"/>
        <v>-63.833905999999999</v>
      </c>
      <c r="BS505" s="566">
        <f t="shared" si="749"/>
        <v>873.284942</v>
      </c>
      <c r="BT505" s="566">
        <f t="shared" si="749"/>
        <v>27.267588</v>
      </c>
      <c r="BU505" s="566">
        <f t="shared" si="749"/>
        <v>-26.696373000000001</v>
      </c>
      <c r="BV505" s="566">
        <f t="shared" si="749"/>
        <v>32.357292999999999</v>
      </c>
      <c r="BW505" s="566">
        <f t="shared" si="749"/>
        <v>-98.044573999999997</v>
      </c>
      <c r="BX505" s="498">
        <v>-40</v>
      </c>
      <c r="BY505" s="498">
        <v>-30</v>
      </c>
      <c r="BZ505" s="498">
        <v>-30</v>
      </c>
      <c r="CA505" s="373">
        <f>U505-SUM(BX505:BZ505)</f>
        <v>0</v>
      </c>
      <c r="CB505" s="498">
        <f>V505/4</f>
        <v>-25</v>
      </c>
      <c r="CC505" s="498">
        <f>CB505</f>
        <v>-25</v>
      </c>
      <c r="CD505" s="498">
        <f>CC505</f>
        <v>-25</v>
      </c>
      <c r="CE505" s="373">
        <f>V505-SUM(CB505:CD505)</f>
        <v>-25</v>
      </c>
      <c r="CF505" s="22"/>
      <c r="CG505" s="5"/>
      <c r="CH505" s="5"/>
      <c r="CI505" s="3"/>
      <c r="CP505" s="3"/>
      <c r="CQ505" s="3"/>
      <c r="CR505" s="3"/>
    </row>
    <row r="506" spans="1:96" outlineLevel="1">
      <c r="B506" s="226" t="s">
        <v>530</v>
      </c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491"/>
      <c r="O506" s="491"/>
      <c r="P506" s="491"/>
      <c r="Q506" s="491"/>
      <c r="R506" s="491"/>
      <c r="S506" s="491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10">
        <f>-356.359*0.376*(2/3)</f>
        <v>-89.32732266666666</v>
      </c>
      <c r="BO506" s="346">
        <f>-27.46*6.4*0.376</f>
        <v>-66.079744000000005</v>
      </c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51"/>
      <c r="CG506" s="5"/>
      <c r="CH506" s="5"/>
      <c r="CI506" s="3"/>
      <c r="CP506" s="3"/>
      <c r="CQ506" s="3"/>
      <c r="CR506" s="3"/>
    </row>
    <row r="507" spans="1:96" outlineLevel="1">
      <c r="B507" s="226" t="s">
        <v>531</v>
      </c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51"/>
      <c r="CG507" s="5"/>
      <c r="CH507" s="5"/>
      <c r="CI507" s="3"/>
      <c r="CP507" s="3"/>
      <c r="CQ507" s="3"/>
      <c r="CR507" s="3"/>
    </row>
    <row r="508" spans="1:96" outlineLevel="1">
      <c r="B508" s="226" t="s">
        <v>532</v>
      </c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51"/>
      <c r="CG508" s="5"/>
      <c r="CH508" s="5"/>
      <c r="CI508" s="3"/>
      <c r="CP508" s="3"/>
      <c r="CQ508" s="3"/>
      <c r="CR508" s="3"/>
    </row>
    <row r="509" spans="1:96" outlineLevel="1">
      <c r="B509" s="226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51"/>
      <c r="CG509" s="5"/>
      <c r="CH509" s="5"/>
      <c r="CI509" s="3"/>
      <c r="CP509" s="3"/>
      <c r="CQ509" s="3"/>
      <c r="CR509" s="3"/>
    </row>
    <row r="510" spans="1:96" s="227" customFormat="1" outlineLevel="1">
      <c r="A510" s="114"/>
      <c r="B510" s="530" t="s">
        <v>521</v>
      </c>
      <c r="C510" s="531"/>
      <c r="D510" s="531"/>
      <c r="E510" s="531"/>
      <c r="F510" s="531"/>
      <c r="G510" s="531"/>
      <c r="H510" s="531"/>
      <c r="I510" s="531"/>
      <c r="J510" s="531"/>
      <c r="K510" s="531"/>
      <c r="L510" s="531"/>
      <c r="M510" s="531"/>
      <c r="N510" s="531"/>
      <c r="O510" s="531"/>
      <c r="P510" s="531"/>
      <c r="Q510" s="531"/>
      <c r="R510" s="531"/>
      <c r="S510" s="531"/>
      <c r="T510" s="531"/>
      <c r="U510" s="531"/>
      <c r="V510" s="531"/>
      <c r="W510" s="531"/>
      <c r="X510" s="531"/>
      <c r="Y510" s="531"/>
      <c r="Z510" s="531"/>
      <c r="AA510" s="531"/>
      <c r="AB510" s="531"/>
      <c r="AC510" s="531"/>
      <c r="AD510" s="531"/>
      <c r="AE510" s="531"/>
      <c r="AF510" s="531"/>
      <c r="AG510" s="531"/>
      <c r="AH510" s="531"/>
      <c r="AI510" s="531"/>
      <c r="AJ510" s="531"/>
      <c r="AK510" s="531"/>
      <c r="AL510" s="531"/>
      <c r="AM510" s="531"/>
      <c r="AN510" s="531"/>
      <c r="AO510" s="531"/>
      <c r="AP510" s="531"/>
      <c r="AQ510" s="531"/>
      <c r="AR510" s="531"/>
      <c r="AS510" s="531"/>
      <c r="AT510" s="531"/>
      <c r="AU510" s="531"/>
      <c r="AV510" s="531"/>
      <c r="AW510" s="531"/>
      <c r="AX510" s="531"/>
      <c r="AY510" s="531"/>
      <c r="AZ510" s="531"/>
      <c r="BA510" s="531"/>
      <c r="BB510" s="531"/>
      <c r="BC510" s="531"/>
      <c r="BD510" s="531"/>
      <c r="BE510" s="531"/>
      <c r="BF510" s="531"/>
      <c r="BG510" s="531"/>
      <c r="BH510" s="531"/>
      <c r="BI510" s="531"/>
      <c r="BJ510" s="531"/>
      <c r="BK510" s="531"/>
      <c r="BL510" s="531"/>
      <c r="BM510" s="531"/>
      <c r="BN510" s="531"/>
      <c r="BO510" s="531"/>
      <c r="BP510" s="531"/>
      <c r="BQ510" s="531"/>
      <c r="BR510" s="531"/>
      <c r="BS510" s="531"/>
      <c r="BT510" s="531"/>
      <c r="BU510" s="531"/>
      <c r="BV510" s="531"/>
      <c r="BW510" s="531"/>
      <c r="BX510" s="531"/>
      <c r="BY510" s="531"/>
      <c r="BZ510" s="531"/>
      <c r="CA510" s="531"/>
      <c r="CB510" s="531"/>
      <c r="CC510" s="531"/>
      <c r="CD510" s="531"/>
      <c r="CE510" s="531"/>
      <c r="CG510" s="5"/>
      <c r="CH510" s="5"/>
      <c r="CI510" s="228"/>
      <c r="CJ510"/>
      <c r="CK510"/>
      <c r="CL510"/>
      <c r="CM510"/>
      <c r="CN510"/>
      <c r="CO510"/>
      <c r="CP510" s="228"/>
      <c r="CQ510" s="228"/>
      <c r="CR510" s="228"/>
    </row>
    <row r="511" spans="1:96" outlineLevel="1">
      <c r="A511" s="229" t="s">
        <v>525</v>
      </c>
      <c r="B511" s="12" t="s">
        <v>523</v>
      </c>
      <c r="C511" s="10"/>
      <c r="D511" s="10"/>
      <c r="E511" s="10"/>
      <c r="F511" s="10"/>
      <c r="G511" s="10"/>
      <c r="H511" s="10"/>
      <c r="I511" s="10"/>
      <c r="J511" s="10"/>
      <c r="K511" s="10">
        <v>600</v>
      </c>
      <c r="L511" s="10">
        <v>600</v>
      </c>
      <c r="M511" s="161">
        <v>700</v>
      </c>
      <c r="N511" s="10">
        <v>1000</v>
      </c>
      <c r="O511" s="10">
        <v>1200</v>
      </c>
      <c r="P511" s="10">
        <v>1300</v>
      </c>
      <c r="Q511" s="10">
        <v>1800</v>
      </c>
      <c r="R511" s="16">
        <v>1700</v>
      </c>
      <c r="S511" s="16">
        <v>2300</v>
      </c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61"/>
      <c r="AS511" s="161"/>
      <c r="AT511" s="161"/>
      <c r="AU511" s="161"/>
      <c r="AV511" s="10"/>
      <c r="AW511" s="10"/>
      <c r="AX511" s="10"/>
      <c r="AY511" s="10"/>
      <c r="AZ511" s="10"/>
      <c r="BA511" s="10"/>
      <c r="BB511" s="10"/>
      <c r="BC511" s="10"/>
      <c r="BD511" s="10"/>
      <c r="BE511" s="10"/>
      <c r="BF511" s="10"/>
      <c r="BG511" s="10"/>
      <c r="BH511" s="6"/>
      <c r="BI511" s="6"/>
      <c r="BJ511" s="6"/>
      <c r="BK511" s="6"/>
      <c r="BL511" s="6"/>
      <c r="BM511" s="6"/>
      <c r="BN511" s="36"/>
      <c r="BO511" s="36"/>
      <c r="BP511" s="36"/>
      <c r="BQ511" s="36"/>
      <c r="BR511" s="36"/>
      <c r="BS511" s="36"/>
      <c r="BT511" s="36"/>
      <c r="BU511" s="36"/>
      <c r="BV511" s="36"/>
      <c r="BW511" s="36"/>
      <c r="BX511" s="36"/>
      <c r="BY511" s="36"/>
      <c r="BZ511" s="36"/>
      <c r="CA511" s="36"/>
      <c r="CB511" s="36"/>
      <c r="CC511" s="36"/>
      <c r="CD511" s="36"/>
      <c r="CE511" s="36"/>
      <c r="CF511" s="5"/>
      <c r="CG511" s="5"/>
      <c r="CH511" s="5"/>
    </row>
    <row r="512" spans="1:96" outlineLevel="1">
      <c r="B512" s="12" t="s">
        <v>522</v>
      </c>
      <c r="C512" s="10"/>
      <c r="D512" s="10"/>
      <c r="E512" s="10"/>
      <c r="F512" s="10"/>
      <c r="G512" s="10"/>
      <c r="H512" s="10"/>
      <c r="I512" s="10"/>
      <c r="J512" s="10"/>
      <c r="K512" s="10">
        <v>5000</v>
      </c>
      <c r="L512" s="10">
        <v>5700</v>
      </c>
      <c r="M512" s="161">
        <v>7500</v>
      </c>
      <c r="N512" s="10">
        <v>9000</v>
      </c>
      <c r="O512" s="10">
        <v>10900</v>
      </c>
      <c r="P512" s="10">
        <v>14200</v>
      </c>
      <c r="Q512" s="10">
        <v>16900</v>
      </c>
      <c r="R512" s="16">
        <v>16000</v>
      </c>
      <c r="S512" s="16">
        <v>14500</v>
      </c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61"/>
      <c r="AS512" s="161"/>
      <c r="AT512" s="161"/>
      <c r="AU512" s="161"/>
      <c r="AV512" s="10"/>
      <c r="AW512" s="10"/>
      <c r="AX512" s="10"/>
      <c r="AY512" s="10"/>
      <c r="AZ512" s="10"/>
      <c r="BA512" s="10"/>
      <c r="BB512" s="10"/>
      <c r="BC512" s="10"/>
      <c r="BD512" s="10"/>
      <c r="BE512" s="10"/>
      <c r="BF512" s="10"/>
      <c r="BG512" s="10"/>
      <c r="BH512" s="6"/>
      <c r="BI512" s="6"/>
      <c r="BJ512" s="6"/>
      <c r="BK512" s="6"/>
      <c r="BL512" s="6"/>
      <c r="BM512" s="6"/>
      <c r="BN512" s="36"/>
      <c r="BO512" s="36"/>
      <c r="BP512" s="36"/>
      <c r="BQ512" s="36"/>
      <c r="BR512" s="36"/>
      <c r="BS512" s="36"/>
      <c r="BT512" s="36"/>
      <c r="BU512" s="36"/>
      <c r="BV512" s="36"/>
      <c r="BW512" s="36"/>
      <c r="BX512" s="36"/>
      <c r="BY512" s="36"/>
      <c r="BZ512" s="36"/>
      <c r="CA512" s="36"/>
      <c r="CB512" s="36"/>
      <c r="CC512" s="36"/>
      <c r="CD512" s="36"/>
      <c r="CE512" s="36"/>
      <c r="CF512" s="5"/>
      <c r="CG512" s="5"/>
      <c r="CH512" s="5"/>
    </row>
    <row r="513" spans="1:96" outlineLevel="1">
      <c r="B513" s="12" t="s">
        <v>23</v>
      </c>
      <c r="C513" s="10"/>
      <c r="D513" s="10"/>
      <c r="E513" s="10"/>
      <c r="F513" s="10"/>
      <c r="G513" s="10"/>
      <c r="H513" s="10"/>
      <c r="I513" s="10"/>
      <c r="J513" s="10"/>
      <c r="K513" s="10">
        <v>1450</v>
      </c>
      <c r="L513" s="10">
        <v>1500</v>
      </c>
      <c r="M513" s="161">
        <v>1700</v>
      </c>
      <c r="N513" s="10">
        <v>1900</v>
      </c>
      <c r="O513" s="10">
        <v>2200</v>
      </c>
      <c r="P513" s="10">
        <v>1300</v>
      </c>
      <c r="Q513" s="10">
        <v>1700</v>
      </c>
      <c r="R513" s="16">
        <v>1900</v>
      </c>
      <c r="S513" s="16">
        <v>5300</v>
      </c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61"/>
      <c r="AS513" s="161"/>
      <c r="AT513" s="161"/>
      <c r="AU513" s="161"/>
      <c r="AV513" s="10"/>
      <c r="AW513" s="10"/>
      <c r="AX513" s="10"/>
      <c r="AY513" s="10"/>
      <c r="AZ513" s="10"/>
      <c r="BA513" s="10"/>
      <c r="BB513" s="10"/>
      <c r="BC513" s="10"/>
      <c r="BD513" s="10"/>
      <c r="BE513" s="10"/>
      <c r="BF513" s="10"/>
      <c r="BG513" s="10"/>
      <c r="BH513" s="6"/>
      <c r="BI513" s="6"/>
      <c r="BJ513" s="6"/>
      <c r="BK513" s="6"/>
      <c r="BL513" s="6"/>
      <c r="BM513" s="6"/>
      <c r="BN513" s="36"/>
      <c r="BO513" s="36"/>
      <c r="BP513" s="36"/>
      <c r="BQ513" s="36"/>
      <c r="BR513" s="36"/>
      <c r="BS513" s="36"/>
      <c r="BT513" s="36"/>
      <c r="BU513" s="36"/>
      <c r="BV513" s="36"/>
      <c r="BW513" s="36"/>
      <c r="BX513" s="36"/>
      <c r="BY513" s="36"/>
      <c r="BZ513" s="36"/>
      <c r="CA513" s="36"/>
      <c r="CB513" s="36"/>
      <c r="CC513" s="36"/>
      <c r="CD513" s="36"/>
      <c r="CE513" s="36"/>
      <c r="CF513" s="5"/>
      <c r="CG513" s="5"/>
      <c r="CH513" s="5"/>
    </row>
    <row r="514" spans="1:96" outlineLevel="1">
      <c r="B514" s="12" t="s">
        <v>22</v>
      </c>
      <c r="C514" s="10"/>
      <c r="D514" s="10"/>
      <c r="E514" s="10"/>
      <c r="F514" s="10"/>
      <c r="G514" s="10"/>
      <c r="H514" s="10"/>
      <c r="I514" s="10"/>
      <c r="J514" s="10"/>
      <c r="K514" s="10">
        <v>2000</v>
      </c>
      <c r="L514" s="10">
        <v>2200</v>
      </c>
      <c r="M514" s="161">
        <v>2700</v>
      </c>
      <c r="N514" s="10">
        <v>4200</v>
      </c>
      <c r="O514" s="10">
        <v>4700</v>
      </c>
      <c r="P514" s="10">
        <v>6200</v>
      </c>
      <c r="Q514" s="10">
        <v>11800</v>
      </c>
      <c r="R514" s="16">
        <v>11400</v>
      </c>
      <c r="S514" s="16">
        <v>14900</v>
      </c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61"/>
      <c r="AS514" s="161"/>
      <c r="AT514" s="161"/>
      <c r="AU514" s="161"/>
      <c r="AV514" s="10"/>
      <c r="AW514" s="10"/>
      <c r="AX514" s="10"/>
      <c r="AY514" s="10"/>
      <c r="AZ514" s="10"/>
      <c r="BA514" s="10"/>
      <c r="BB514" s="10"/>
      <c r="BC514" s="10"/>
      <c r="BD514" s="10"/>
      <c r="BE514" s="10"/>
      <c r="BF514" s="10"/>
      <c r="BG514" s="10"/>
      <c r="BH514" s="6"/>
      <c r="BI514" s="6"/>
      <c r="BJ514" s="6"/>
      <c r="BK514" s="6"/>
      <c r="BL514" s="6"/>
      <c r="BM514" s="6"/>
      <c r="BN514" s="36"/>
      <c r="BO514" s="36"/>
      <c r="BP514" s="36"/>
      <c r="BQ514" s="36"/>
      <c r="BR514" s="36"/>
      <c r="BS514" s="36"/>
      <c r="BT514" s="36"/>
      <c r="BU514" s="36"/>
      <c r="BV514" s="36"/>
      <c r="BW514" s="36"/>
      <c r="BX514" s="36"/>
      <c r="BY514" s="36"/>
      <c r="BZ514" s="36"/>
      <c r="CA514" s="36"/>
      <c r="CB514" s="36"/>
      <c r="CC514" s="36"/>
      <c r="CD514" s="36"/>
      <c r="CE514" s="36"/>
      <c r="CF514" s="5"/>
      <c r="CG514" s="5"/>
      <c r="CH514" s="5"/>
    </row>
    <row r="515" spans="1:96" outlineLevel="1">
      <c r="B515" s="12" t="s">
        <v>125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84">
        <f t="shared" ref="N515:S515" si="750">SUM(N511:N514)</f>
        <v>16100</v>
      </c>
      <c r="O515" s="84">
        <f t="shared" si="750"/>
        <v>19000</v>
      </c>
      <c r="P515" s="84">
        <f t="shared" si="750"/>
        <v>23000</v>
      </c>
      <c r="Q515" s="84">
        <f t="shared" si="750"/>
        <v>32200</v>
      </c>
      <c r="R515" s="566">
        <f t="shared" si="750"/>
        <v>31000</v>
      </c>
      <c r="S515" s="566">
        <f t="shared" si="750"/>
        <v>37000</v>
      </c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84">
        <f t="shared" ref="AZ515:BG515" si="751">SUM(AZ511:AZ514)</f>
        <v>0</v>
      </c>
      <c r="BA515" s="84">
        <f t="shared" si="751"/>
        <v>0</v>
      </c>
      <c r="BB515" s="84">
        <f t="shared" si="751"/>
        <v>0</v>
      </c>
      <c r="BC515" s="84">
        <f t="shared" si="751"/>
        <v>0</v>
      </c>
      <c r="BD515" s="84">
        <f t="shared" si="751"/>
        <v>0</v>
      </c>
      <c r="BE515" s="84">
        <f t="shared" si="751"/>
        <v>0</v>
      </c>
      <c r="BF515" s="84">
        <f t="shared" si="751"/>
        <v>0</v>
      </c>
      <c r="BG515" s="84">
        <f t="shared" si="751"/>
        <v>0</v>
      </c>
      <c r="BH515" s="6"/>
      <c r="BI515" s="6"/>
      <c r="BJ515" s="6"/>
      <c r="BK515" s="6"/>
      <c r="BL515" s="6"/>
      <c r="BM515" s="6"/>
      <c r="BN515" s="36"/>
      <c r="BO515" s="36"/>
      <c r="BP515" s="36"/>
      <c r="BQ515" s="36"/>
      <c r="BR515" s="36"/>
      <c r="BS515" s="36"/>
      <c r="BT515" s="16">
        <v>30000</v>
      </c>
      <c r="BU515" s="36"/>
      <c r="BV515" s="36"/>
      <c r="BW515" s="36"/>
      <c r="BX515" s="36"/>
      <c r="BY515" s="36"/>
      <c r="BZ515" s="36"/>
      <c r="CA515" s="36"/>
      <c r="CB515" s="36"/>
      <c r="CC515" s="36"/>
      <c r="CD515" s="36"/>
      <c r="CE515" s="36"/>
      <c r="CF515" s="5"/>
      <c r="CG515" s="5"/>
      <c r="CH515" s="5"/>
    </row>
    <row r="516" spans="1:96" outlineLevel="1">
      <c r="B516" s="12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  <c r="BL516" s="6"/>
      <c r="BM516" s="6"/>
      <c r="BN516" s="36"/>
      <c r="BO516" s="36"/>
      <c r="BP516" s="36"/>
      <c r="BQ516" s="36"/>
      <c r="BR516" s="36"/>
      <c r="BS516" s="36"/>
      <c r="BT516" s="36"/>
      <c r="BU516" s="36"/>
      <c r="BV516" s="36"/>
      <c r="BW516" s="36"/>
      <c r="BX516" s="36"/>
      <c r="BY516" s="36"/>
      <c r="BZ516" s="36"/>
      <c r="CA516" s="36"/>
      <c r="CB516" s="36"/>
      <c r="CC516" s="36"/>
      <c r="CD516" s="36"/>
      <c r="CE516" s="36"/>
      <c r="CF516" s="5"/>
      <c r="CG516" s="5"/>
      <c r="CH516" s="5"/>
    </row>
    <row r="517" spans="1:96" outlineLevel="1">
      <c r="A517" s="229" t="s">
        <v>524</v>
      </c>
      <c r="B517" s="12" t="s">
        <v>783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>
        <f t="shared" ref="N517:S517" si="752">Rev_Gross/N515*1000</f>
        <v>231.44746534161493</v>
      </c>
      <c r="O517" s="6">
        <f t="shared" si="752"/>
        <v>232.06275042105261</v>
      </c>
      <c r="P517" s="6">
        <f t="shared" si="752"/>
        <v>248.56595921739131</v>
      </c>
      <c r="Q517" s="6">
        <f t="shared" si="752"/>
        <v>241.38376108695653</v>
      </c>
      <c r="R517" s="6">
        <f t="shared" si="752"/>
        <v>370.86923896774198</v>
      </c>
      <c r="S517" s="6">
        <f t="shared" si="752"/>
        <v>534.81315237837839</v>
      </c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  <c r="BL517" s="6"/>
      <c r="BM517" s="6"/>
      <c r="BN517" s="36"/>
      <c r="BO517" s="36"/>
      <c r="BP517" s="36"/>
      <c r="BQ517" s="36"/>
      <c r="BR517" s="36"/>
      <c r="BS517" s="36"/>
      <c r="BT517" s="36"/>
      <c r="BU517" s="36"/>
      <c r="BV517" s="36"/>
      <c r="BW517" s="36"/>
      <c r="BX517" s="36"/>
      <c r="BY517" s="36"/>
      <c r="BZ517" s="36"/>
      <c r="CA517" s="36"/>
      <c r="CB517" s="36"/>
      <c r="CC517" s="36"/>
      <c r="CD517" s="36"/>
      <c r="CE517" s="36"/>
      <c r="CF517" s="5"/>
      <c r="CG517" s="5"/>
      <c r="CH517" s="5"/>
    </row>
    <row r="518" spans="1:96" outlineLevel="1">
      <c r="B518" s="12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  <c r="BL518" s="6"/>
      <c r="BM518" s="6"/>
      <c r="BN518" s="36"/>
      <c r="BO518" s="36"/>
      <c r="BP518" s="36"/>
      <c r="BQ518" s="36"/>
      <c r="BR518" s="36"/>
      <c r="BS518" s="36"/>
      <c r="BT518" s="36"/>
      <c r="BU518" s="36"/>
      <c r="BV518" s="36"/>
      <c r="BW518" s="36"/>
      <c r="BX518" s="36"/>
      <c r="BY518" s="36"/>
      <c r="BZ518" s="36"/>
      <c r="CA518" s="36"/>
      <c r="CB518" s="36"/>
      <c r="CC518" s="36"/>
      <c r="CD518" s="36"/>
      <c r="CE518" s="36"/>
      <c r="CF518" s="5"/>
      <c r="CG518" s="5"/>
      <c r="CH518" s="5"/>
    </row>
    <row r="519" spans="1:96" outlineLevel="1">
      <c r="B519" s="12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  <c r="BL519" s="6"/>
      <c r="BM519" s="6"/>
      <c r="BN519" s="36"/>
      <c r="BO519" s="36"/>
      <c r="BP519" s="36"/>
      <c r="BQ519" s="36"/>
      <c r="BR519" s="36"/>
      <c r="BS519" s="36"/>
      <c r="BT519" s="36"/>
      <c r="BU519" s="36"/>
      <c r="BV519" s="36"/>
      <c r="BW519" s="36"/>
      <c r="BX519" s="36"/>
      <c r="BY519" s="36"/>
      <c r="BZ519" s="36"/>
      <c r="CA519" s="36"/>
      <c r="CB519" s="36"/>
      <c r="CC519" s="36"/>
      <c r="CD519" s="36"/>
      <c r="CE519" s="36"/>
      <c r="CF519" s="5"/>
      <c r="CG519" s="5"/>
      <c r="CH519" s="5"/>
    </row>
    <row r="520" spans="1:96" s="39" customFormat="1">
      <c r="CI520" s="13"/>
      <c r="CJ520"/>
      <c r="CK520"/>
      <c r="CL520"/>
      <c r="CM520"/>
      <c r="CN520"/>
      <c r="CO520"/>
      <c r="CP520" s="13"/>
      <c r="CQ520" s="13"/>
      <c r="CR520" s="13"/>
    </row>
    <row r="521" spans="1:96" s="39" customFormat="1">
      <c r="B521" s="178"/>
      <c r="S521" s="23"/>
      <c r="CI521" s="13"/>
      <c r="CJ521"/>
      <c r="CK521"/>
      <c r="CL521"/>
      <c r="CM521"/>
      <c r="CN521"/>
      <c r="CO521"/>
      <c r="CP521" s="13"/>
      <c r="CQ521" s="13"/>
      <c r="CR521" s="13"/>
    </row>
    <row r="522" spans="1:96" s="39" customFormat="1">
      <c r="B522" s="39">
        <f ca="1">Valuation!T19</f>
        <v>43.709581881412824</v>
      </c>
      <c r="S522" s="23"/>
      <c r="CI522" s="13"/>
      <c r="CJ522"/>
      <c r="CK522"/>
      <c r="CL522"/>
      <c r="CM522"/>
      <c r="CN522"/>
      <c r="CO522"/>
      <c r="CP522" s="13"/>
      <c r="CQ522" s="13"/>
      <c r="CR522" s="13"/>
    </row>
    <row r="523" spans="1:96" s="9" customFormat="1">
      <c r="A523" s="3"/>
      <c r="B523" s="485" t="s">
        <v>598</v>
      </c>
      <c r="C523" s="486"/>
      <c r="D523" s="486"/>
      <c r="E523" s="486"/>
      <c r="F523" s="486"/>
      <c r="G523" s="486"/>
      <c r="H523" s="486"/>
      <c r="I523" s="486"/>
      <c r="J523" s="486"/>
      <c r="K523" s="486"/>
      <c r="L523" s="486"/>
      <c r="M523" s="486"/>
      <c r="N523" s="486"/>
      <c r="O523" s="489"/>
      <c r="P523" s="489"/>
      <c r="Q523" s="489"/>
      <c r="R523" s="486"/>
      <c r="S523" s="487"/>
      <c r="T523" s="487"/>
      <c r="U523" s="487"/>
      <c r="V523" s="487"/>
      <c r="W523" s="487"/>
      <c r="X523" s="487"/>
      <c r="Y523" s="487"/>
      <c r="Z523" s="487"/>
      <c r="AA523" s="487"/>
      <c r="AB523" s="487"/>
      <c r="AC523" s="487"/>
      <c r="AD523" s="487"/>
      <c r="AE523" s="487"/>
      <c r="AF523" s="486"/>
      <c r="AG523" s="486"/>
      <c r="AH523" s="486"/>
      <c r="AI523" s="486"/>
      <c r="AJ523" s="486"/>
      <c r="AK523" s="486"/>
      <c r="AL523" s="486"/>
      <c r="AM523" s="486"/>
      <c r="AN523" s="486"/>
      <c r="AO523" s="486"/>
      <c r="AP523" s="486"/>
      <c r="AQ523" s="486"/>
      <c r="AR523" s="486"/>
      <c r="AS523" s="486"/>
      <c r="AT523" s="486"/>
      <c r="AU523" s="486"/>
      <c r="AV523" s="486"/>
      <c r="AW523" s="486"/>
      <c r="AX523" s="486"/>
      <c r="AY523" s="486"/>
      <c r="AZ523" s="486"/>
      <c r="BA523" s="486"/>
      <c r="BB523" s="486"/>
      <c r="BC523" s="486"/>
      <c r="BD523" s="486"/>
      <c r="BE523" s="486"/>
      <c r="BF523" s="486"/>
      <c r="BG523" s="486"/>
      <c r="BH523" s="486"/>
      <c r="BI523" s="486"/>
      <c r="BJ523" s="486"/>
      <c r="BK523" s="486"/>
      <c r="BL523" s="486"/>
      <c r="BM523" s="486"/>
      <c r="BN523" s="486"/>
      <c r="BO523" s="486"/>
      <c r="BP523" s="486"/>
      <c r="BQ523" s="486"/>
      <c r="BR523" s="487"/>
      <c r="BS523" s="487"/>
      <c r="BT523" s="486"/>
      <c r="BU523" s="486"/>
      <c r="BV523" s="487"/>
      <c r="BW523" s="487"/>
      <c r="BX523" s="488"/>
      <c r="BY523" s="488"/>
      <c r="BZ523" s="488"/>
      <c r="CA523" s="488"/>
      <c r="CB523" s="488"/>
      <c r="CC523" s="488"/>
      <c r="CD523" s="488"/>
      <c r="CE523" s="488"/>
      <c r="CH523" s="5" t="s">
        <v>562</v>
      </c>
      <c r="CI523" s="10"/>
      <c r="CJ523"/>
      <c r="CK523"/>
      <c r="CL523"/>
      <c r="CM523"/>
      <c r="CN523"/>
      <c r="CO523"/>
      <c r="CP523" s="10"/>
      <c r="CQ523" s="10"/>
      <c r="CR523" s="10"/>
    </row>
    <row r="524" spans="1:96" outlineLevel="1">
      <c r="B524" s="11" t="s">
        <v>171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  <c r="BL524" s="6"/>
      <c r="BM524" s="6"/>
      <c r="BN524" s="6"/>
      <c r="BO524" s="6"/>
      <c r="BP524" s="6"/>
      <c r="BQ524" s="6"/>
      <c r="BR524" s="6"/>
      <c r="BS524" s="6"/>
      <c r="BT524" s="6"/>
      <c r="BU524" s="6"/>
      <c r="BV524" s="6"/>
      <c r="BW524" s="6"/>
      <c r="BX524" s="6"/>
      <c r="BY524" s="6"/>
      <c r="BZ524" s="6"/>
      <c r="CA524" s="6"/>
      <c r="CB524" s="6"/>
      <c r="CC524" s="6"/>
      <c r="CD524" s="6"/>
      <c r="CE524" s="6"/>
      <c r="CF524" s="5"/>
      <c r="CH524" s="5" t="s">
        <v>562</v>
      </c>
    </row>
    <row r="525" spans="1:96" outlineLevel="1">
      <c r="A525" s="3" t="s">
        <v>487</v>
      </c>
      <c r="B525" s="14" t="s">
        <v>172</v>
      </c>
      <c r="C525" s="10"/>
      <c r="D525" s="10"/>
      <c r="E525" s="10"/>
      <c r="F525" s="10"/>
      <c r="G525" s="10"/>
      <c r="H525" s="15">
        <v>735.06189800000004</v>
      </c>
      <c r="I525" s="15">
        <v>844.39260400000001</v>
      </c>
      <c r="J525" s="15">
        <v>1064.4182780000001</v>
      </c>
      <c r="K525" s="15">
        <v>1069.827364</v>
      </c>
      <c r="L525" s="389">
        <v>1434.6183820000001</v>
      </c>
      <c r="M525" s="15">
        <v>2153.9351109999998</v>
      </c>
      <c r="N525" s="15">
        <v>3503.428418</v>
      </c>
      <c r="O525" s="15">
        <v>3421.5329620000002</v>
      </c>
      <c r="P525" s="15">
        <f>BG525</f>
        <v>7138.344814</v>
      </c>
      <c r="Q525" s="15">
        <f>BK525</f>
        <v>5300.8877990000001</v>
      </c>
      <c r="R525" s="10">
        <v>19215.674674000002</v>
      </c>
      <c r="S525" s="10">
        <v>18434.681251000002</v>
      </c>
      <c r="T525" s="10">
        <f>BW525</f>
        <v>18242.991687000002</v>
      </c>
      <c r="U525" s="6">
        <f t="shared" ref="U525:AD525" ca="1" si="753">U532-SUM(U526:U531)</f>
        <v>21601.017567529358</v>
      </c>
      <c r="V525" s="6">
        <f t="shared" ca="1" si="753"/>
        <v>26925.721402022311</v>
      </c>
      <c r="W525" s="6">
        <f t="shared" ca="1" si="753"/>
        <v>35264.339271822413</v>
      </c>
      <c r="X525" s="6">
        <f t="shared" ca="1" si="753"/>
        <v>44992.040806873876</v>
      </c>
      <c r="Y525" s="6">
        <f t="shared" ca="1" si="753"/>
        <v>57755.334645038427</v>
      </c>
      <c r="Z525" s="6">
        <f t="shared" ca="1" si="753"/>
        <v>74192.831459600653</v>
      </c>
      <c r="AA525" s="6">
        <f t="shared" ca="1" si="753"/>
        <v>92423.393363948067</v>
      </c>
      <c r="AB525" s="6">
        <f t="shared" ca="1" si="753"/>
        <v>113973.77163054176</v>
      </c>
      <c r="AC525" s="6">
        <f t="shared" ca="1" si="753"/>
        <v>138890.23916963983</v>
      </c>
      <c r="AD525" s="6">
        <f t="shared" ca="1" si="753"/>
        <v>167160.16280183638</v>
      </c>
      <c r="AE525" s="6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>
        <v>3503.428418</v>
      </c>
      <c r="AZ525" s="10"/>
      <c r="BA525" s="10"/>
      <c r="BB525" s="10"/>
      <c r="BC525" s="10">
        <v>3421.5329620000002</v>
      </c>
      <c r="BD525" s="15">
        <v>3939.7638480000001</v>
      </c>
      <c r="BE525" s="15">
        <v>2750.5239230000002</v>
      </c>
      <c r="BF525" s="15">
        <v>3074.3168059999998</v>
      </c>
      <c r="BG525" s="15">
        <v>7138.344814</v>
      </c>
      <c r="BH525" s="15">
        <v>6930.7280840000003</v>
      </c>
      <c r="BI525" s="15">
        <v>6548.6221519999999</v>
      </c>
      <c r="BJ525" s="15">
        <v>6969.9562480000004</v>
      </c>
      <c r="BK525" s="15">
        <v>5300.8877990000001</v>
      </c>
      <c r="BL525" s="10">
        <v>4311.3690219999999</v>
      </c>
      <c r="BM525" s="10">
        <v>12923.666794000001</v>
      </c>
      <c r="BN525" s="10">
        <v>8946.0059870000005</v>
      </c>
      <c r="BO525" s="10">
        <v>19215.674674000002</v>
      </c>
      <c r="BP525" s="16">
        <v>12405.65472</v>
      </c>
      <c r="BQ525" s="16">
        <v>10116.920988</v>
      </c>
      <c r="BR525" s="10">
        <v>30772.339369000001</v>
      </c>
      <c r="BS525" s="10">
        <v>18434.681251000002</v>
      </c>
      <c r="BT525" s="10">
        <v>18920.074163000001</v>
      </c>
      <c r="BU525" s="10">
        <v>16196.266530000001</v>
      </c>
      <c r="BV525" s="10">
        <v>18323.479861</v>
      </c>
      <c r="BW525" s="10">
        <v>18242.991687000002</v>
      </c>
      <c r="BX525" s="6"/>
      <c r="BY525" s="6"/>
      <c r="BZ525" s="6"/>
      <c r="CA525" s="6"/>
      <c r="CB525" s="6"/>
      <c r="CC525" s="6"/>
      <c r="CD525" s="6"/>
      <c r="CE525" s="6"/>
      <c r="CF525" s="5"/>
      <c r="CH525" s="5" t="s">
        <v>562</v>
      </c>
    </row>
    <row r="526" spans="1:96" outlineLevel="1">
      <c r="A526" s="3" t="s">
        <v>438</v>
      </c>
      <c r="B526" s="14" t="s">
        <v>173</v>
      </c>
      <c r="C526" s="10"/>
      <c r="D526" s="10"/>
      <c r="E526" s="10"/>
      <c r="F526" s="10"/>
      <c r="G526" s="10"/>
      <c r="H526" s="15">
        <v>6.6</v>
      </c>
      <c r="I526" s="15">
        <v>6.6</v>
      </c>
      <c r="J526" s="15">
        <v>6.6</v>
      </c>
      <c r="K526" s="15">
        <v>6.6</v>
      </c>
      <c r="L526" s="389">
        <v>113.150289</v>
      </c>
      <c r="M526" s="15">
        <v>224.179126</v>
      </c>
      <c r="N526" s="15">
        <v>211.63629399999999</v>
      </c>
      <c r="O526" s="15">
        <v>768.22857699999997</v>
      </c>
      <c r="P526" s="15">
        <f>BG526</f>
        <v>739.54361400000005</v>
      </c>
      <c r="Q526" s="15">
        <f>BK526</f>
        <v>836.39495099999999</v>
      </c>
      <c r="R526" s="10">
        <v>2286.8825919999999</v>
      </c>
      <c r="S526" s="10">
        <v>1744.490307</v>
      </c>
      <c r="T526" s="10">
        <f t="shared" ref="T526:T531" si="754">BW526</f>
        <v>1748.796431</v>
      </c>
      <c r="U526" s="6">
        <f t="shared" ref="U526:AD526" ca="1" si="755">U569</f>
        <v>2079.7130027603721</v>
      </c>
      <c r="V526" s="6">
        <f t="shared" ca="1" si="755"/>
        <v>2613.8128430901438</v>
      </c>
      <c r="W526" s="6">
        <f t="shared" ca="1" si="755"/>
        <v>3194.2745988589572</v>
      </c>
      <c r="X526" s="6">
        <f t="shared" ca="1" si="755"/>
        <v>3846.0098566875281</v>
      </c>
      <c r="Y526" s="6">
        <f t="shared" ca="1" si="755"/>
        <v>4590.2761494946726</v>
      </c>
      <c r="Z526" s="6">
        <f t="shared" ca="1" si="755"/>
        <v>5314.2076481819286</v>
      </c>
      <c r="AA526" s="6">
        <f t="shared" ca="1" si="755"/>
        <v>6097.6732964457951</v>
      </c>
      <c r="AB526" s="6">
        <f t="shared" ca="1" si="755"/>
        <v>6941.9410229094347</v>
      </c>
      <c r="AC526" s="6">
        <f t="shared" ca="1" si="755"/>
        <v>7842.1167149819566</v>
      </c>
      <c r="AD526" s="6">
        <f t="shared" ca="1" si="755"/>
        <v>8766.9672298858768</v>
      </c>
      <c r="AE526" s="6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>
        <v>211.63629399999999</v>
      </c>
      <c r="AZ526" s="10"/>
      <c r="BA526" s="10"/>
      <c r="BB526" s="10"/>
      <c r="BC526" s="10">
        <v>768.22857699999997</v>
      </c>
      <c r="BD526" s="15">
        <v>737.74582599999997</v>
      </c>
      <c r="BE526" s="15">
        <v>735.970778</v>
      </c>
      <c r="BF526" s="15">
        <v>739.16863000000001</v>
      </c>
      <c r="BG526" s="15">
        <v>739.54361400000005</v>
      </c>
      <c r="BH526" s="15">
        <v>737.98109999999997</v>
      </c>
      <c r="BI526" s="15">
        <v>1209.0873469999999</v>
      </c>
      <c r="BJ526" s="15">
        <v>821.22644300000002</v>
      </c>
      <c r="BK526" s="15">
        <v>836.39495099999999</v>
      </c>
      <c r="BL526" s="10">
        <v>865.77240200000006</v>
      </c>
      <c r="BM526" s="10">
        <v>1167.673256</v>
      </c>
      <c r="BN526" s="10">
        <v>1076.345583</v>
      </c>
      <c r="BO526" s="10">
        <v>2286.8825919999999</v>
      </c>
      <c r="BP526" s="16">
        <v>2417.9665890000001</v>
      </c>
      <c r="BQ526" s="16">
        <v>2417.4475499999999</v>
      </c>
      <c r="BR526" s="10">
        <v>1981.091232</v>
      </c>
      <c r="BS526" s="10">
        <v>1744.490307</v>
      </c>
      <c r="BT526" s="10">
        <v>2207.070084</v>
      </c>
      <c r="BU526" s="10">
        <v>1967.095499</v>
      </c>
      <c r="BV526" s="10">
        <v>2024.575239</v>
      </c>
      <c r="BW526" s="10">
        <v>1748.796431</v>
      </c>
      <c r="BX526" s="6"/>
      <c r="BY526" s="6"/>
      <c r="BZ526" s="6"/>
      <c r="CA526" s="6"/>
      <c r="CB526" s="6"/>
      <c r="CC526" s="6"/>
      <c r="CD526" s="6"/>
      <c r="CE526" s="6"/>
      <c r="CF526" s="5"/>
      <c r="CH526" s="5" t="s">
        <v>562</v>
      </c>
    </row>
    <row r="527" spans="1:96" outlineLevel="1">
      <c r="A527" s="3" t="s">
        <v>488</v>
      </c>
      <c r="B527" s="14" t="s">
        <v>174</v>
      </c>
      <c r="C527" s="10"/>
      <c r="D527" s="10"/>
      <c r="E527" s="10"/>
      <c r="F527" s="10"/>
      <c r="G527" s="10"/>
      <c r="H527" s="15">
        <v>0</v>
      </c>
      <c r="I527" s="15">
        <v>0</v>
      </c>
      <c r="J527" s="15">
        <v>141.174094</v>
      </c>
      <c r="K527" s="15">
        <v>176.58590799999999</v>
      </c>
      <c r="L527" s="389">
        <v>180.18391700000001</v>
      </c>
      <c r="M527" s="15">
        <v>1178.278063</v>
      </c>
      <c r="N527" s="15">
        <v>1288.4715619999999</v>
      </c>
      <c r="O527" s="15">
        <v>1408.6643349999999</v>
      </c>
      <c r="P527" s="15">
        <f>BG527</f>
        <v>3635.0909550000001</v>
      </c>
      <c r="Q527" s="15">
        <f>BK527</f>
        <v>6438.8545869999998</v>
      </c>
      <c r="R527" s="10">
        <v>8235.7855159999999</v>
      </c>
      <c r="S527" s="10">
        <v>14112.862288</v>
      </c>
      <c r="T527" s="10">
        <f t="shared" si="754"/>
        <v>28129.938109999999</v>
      </c>
      <c r="U527" s="17">
        <f t="shared" ref="U527:AD527" si="756">T527*0.8</f>
        <v>22503.950488000002</v>
      </c>
      <c r="V527" s="17">
        <f t="shared" si="756"/>
        <v>18003.160390400004</v>
      </c>
      <c r="W527" s="17">
        <f t="shared" si="756"/>
        <v>14402.528312320004</v>
      </c>
      <c r="X527" s="17">
        <f t="shared" si="756"/>
        <v>11522.022649856004</v>
      </c>
      <c r="Y527" s="17">
        <f t="shared" si="756"/>
        <v>9217.6181198848044</v>
      </c>
      <c r="Z527" s="17">
        <f t="shared" si="756"/>
        <v>7374.0944959078442</v>
      </c>
      <c r="AA527" s="17">
        <f t="shared" si="756"/>
        <v>5899.2755967262756</v>
      </c>
      <c r="AB527" s="17">
        <f t="shared" si="756"/>
        <v>4719.4204773810206</v>
      </c>
      <c r="AC527" s="17">
        <f t="shared" si="756"/>
        <v>3775.5363819048166</v>
      </c>
      <c r="AD527" s="17">
        <f t="shared" si="756"/>
        <v>3020.4291055238537</v>
      </c>
      <c r="AE527" s="17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>
        <v>1288.4715619999999</v>
      </c>
      <c r="AZ527" s="10"/>
      <c r="BA527" s="10"/>
      <c r="BB527" s="10"/>
      <c r="BC527" s="10">
        <v>1408.6643349999999</v>
      </c>
      <c r="BD527" s="15">
        <v>1487.6246619999999</v>
      </c>
      <c r="BE527" s="15">
        <v>3225.9579779999999</v>
      </c>
      <c r="BF527" s="15">
        <v>2910.6097930000001</v>
      </c>
      <c r="BG527" s="15">
        <v>3635.0909550000001</v>
      </c>
      <c r="BH527" s="15">
        <v>3874.0405369999999</v>
      </c>
      <c r="BI527" s="15">
        <v>3012.4657929999998</v>
      </c>
      <c r="BJ527" s="15">
        <v>3225.2184379999999</v>
      </c>
      <c r="BK527" s="15">
        <v>6438.8545869999998</v>
      </c>
      <c r="BL527" s="10">
        <v>6842.5713539999997</v>
      </c>
      <c r="BM527" s="10">
        <v>6401.3264520000002</v>
      </c>
      <c r="BN527" s="10">
        <v>7231.6233329999995</v>
      </c>
      <c r="BO527" s="10">
        <v>8235.7855159999999</v>
      </c>
      <c r="BP527" s="16">
        <v>6046.7858420000002</v>
      </c>
      <c r="BQ527" s="16">
        <v>5443.94427</v>
      </c>
      <c r="BR527" s="10">
        <v>6196.9856129999998</v>
      </c>
      <c r="BS527" s="10">
        <v>14112.862288</v>
      </c>
      <c r="BT527" s="10">
        <v>14899.370234</v>
      </c>
      <c r="BU527" s="10">
        <v>24259.372528</v>
      </c>
      <c r="BV527" s="10">
        <v>27062.816401</v>
      </c>
      <c r="BW527" s="10">
        <v>28129.938109999999</v>
      </c>
      <c r="BX527" s="6"/>
      <c r="BY527" s="6"/>
      <c r="BZ527" s="6"/>
      <c r="CA527" s="6"/>
      <c r="CB527" s="6"/>
      <c r="CC527" s="6"/>
      <c r="CD527" s="6"/>
      <c r="CE527" s="6"/>
      <c r="CF527" s="5"/>
      <c r="CH527" s="5" t="s">
        <v>562</v>
      </c>
    </row>
    <row r="528" spans="1:96" outlineLevel="1">
      <c r="A528" s="3" t="s">
        <v>175</v>
      </c>
      <c r="B528" s="14" t="s">
        <v>176</v>
      </c>
      <c r="C528" s="10"/>
      <c r="D528" s="10"/>
      <c r="E528" s="10"/>
      <c r="F528" s="10"/>
      <c r="G528" s="10"/>
      <c r="H528" s="15">
        <v>63.440215000000002</v>
      </c>
      <c r="I528" s="15">
        <v>136.688354</v>
      </c>
      <c r="J528" s="15">
        <v>260.68376999999998</v>
      </c>
      <c r="K528" s="15">
        <v>274.30245400000001</v>
      </c>
      <c r="L528" s="389">
        <v>420.579005</v>
      </c>
      <c r="M528" s="15">
        <v>621.54884900000002</v>
      </c>
      <c r="N528" s="15">
        <v>789.03632900000002</v>
      </c>
      <c r="O528" s="15">
        <v>983.80440299999998</v>
      </c>
      <c r="P528" s="15">
        <f>BG528</f>
        <v>1518.2300290000001</v>
      </c>
      <c r="Q528" s="15">
        <f>BK528</f>
        <v>1826.7659490000001</v>
      </c>
      <c r="R528" s="10">
        <v>3150.768364</v>
      </c>
      <c r="S528" s="10">
        <v>4624.8183220000001</v>
      </c>
      <c r="T528" s="10">
        <f t="shared" si="754"/>
        <v>4559.0527009999996</v>
      </c>
      <c r="U528" s="6">
        <f t="shared" ref="U528:AD528" ca="1" si="757">U573</f>
        <v>6416.3428573189203</v>
      </c>
      <c r="V528" s="6">
        <f t="shared" ca="1" si="757"/>
        <v>8064.1508438278979</v>
      </c>
      <c r="W528" s="6">
        <f t="shared" ca="1" si="757"/>
        <v>9854.994886073453</v>
      </c>
      <c r="X528" s="6">
        <f t="shared" ca="1" si="757"/>
        <v>11865.732358446263</v>
      </c>
      <c r="Y528" s="6">
        <f t="shared" ca="1" si="757"/>
        <v>14161.947127242702</v>
      </c>
      <c r="Z528" s="6">
        <f t="shared" ca="1" si="757"/>
        <v>16395.424868943082</v>
      </c>
      <c r="AA528" s="6">
        <f t="shared" ca="1" si="757"/>
        <v>18812.577721053134</v>
      </c>
      <c r="AB528" s="6">
        <f t="shared" ca="1" si="757"/>
        <v>21417.317504460661</v>
      </c>
      <c r="AC528" s="6">
        <f t="shared" ca="1" si="757"/>
        <v>24194.544874052262</v>
      </c>
      <c r="AD528" s="6">
        <f t="shared" ca="1" si="757"/>
        <v>27047.899152991318</v>
      </c>
      <c r="AE528" s="6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>
        <v>789.03632900000002</v>
      </c>
      <c r="AZ528" s="10"/>
      <c r="BA528" s="10"/>
      <c r="BB528" s="10"/>
      <c r="BC528" s="10">
        <v>983.80440299999998</v>
      </c>
      <c r="BD528" s="15">
        <v>1254.4436209999999</v>
      </c>
      <c r="BE528" s="15">
        <v>1545.0386309999999</v>
      </c>
      <c r="BF528" s="15">
        <v>1552.1820970000001</v>
      </c>
      <c r="BG528" s="15">
        <v>1518.2300290000001</v>
      </c>
      <c r="BH528" s="15">
        <v>1578.6129510000001</v>
      </c>
      <c r="BI528" s="15">
        <v>1998.512645</v>
      </c>
      <c r="BJ528" s="15">
        <v>2017.679173</v>
      </c>
      <c r="BK528" s="15">
        <v>1826.7659490000001</v>
      </c>
      <c r="BL528" s="10">
        <v>2210.7888149999999</v>
      </c>
      <c r="BM528" s="10">
        <v>2708.5869830000001</v>
      </c>
      <c r="BN528" s="10">
        <v>3179.848066</v>
      </c>
      <c r="BO528" s="10">
        <v>3150.768364</v>
      </c>
      <c r="BP528" s="16">
        <v>2797.7415099999998</v>
      </c>
      <c r="BQ528" s="16">
        <v>3658.0782290000002</v>
      </c>
      <c r="BR528" s="10">
        <v>4389.9899420000002</v>
      </c>
      <c r="BS528" s="10">
        <v>4624.8183220000001</v>
      </c>
      <c r="BT528" s="10">
        <v>4815.5781500000003</v>
      </c>
      <c r="BU528" s="10">
        <v>5266.699517</v>
      </c>
      <c r="BV528" s="10">
        <v>5855.1415939999997</v>
      </c>
      <c r="BW528" s="10">
        <v>4559.0527009999996</v>
      </c>
      <c r="BX528" s="6"/>
      <c r="BY528" s="6"/>
      <c r="BZ528" s="6"/>
      <c r="CA528" s="6"/>
      <c r="CB528" s="6"/>
      <c r="CC528" s="6"/>
      <c r="CD528" s="6"/>
      <c r="CE528" s="6"/>
      <c r="CF528" s="5"/>
      <c r="CH528" s="5" t="s">
        <v>562</v>
      </c>
    </row>
    <row r="529" spans="1:86" outlineLevel="1">
      <c r="B529" s="14" t="s">
        <v>177</v>
      </c>
      <c r="C529" s="10"/>
      <c r="D529" s="10"/>
      <c r="E529" s="10"/>
      <c r="F529" s="10"/>
      <c r="G529" s="10"/>
      <c r="H529" s="15">
        <v>0.65024899999999997</v>
      </c>
      <c r="I529" s="15">
        <v>0.93899999999999995</v>
      </c>
      <c r="J529" s="15">
        <v>2.1389469999999999</v>
      </c>
      <c r="K529" s="15">
        <v>3.0120230000000001</v>
      </c>
      <c r="L529" s="389">
        <v>2.2879649999999998</v>
      </c>
      <c r="M529" s="15">
        <v>3.216628</v>
      </c>
      <c r="N529" s="15">
        <v>4.9945599999999999</v>
      </c>
      <c r="O529" s="15">
        <v>5.3281700000000001</v>
      </c>
      <c r="P529" s="15">
        <v>21.774668999999999</v>
      </c>
      <c r="Q529" s="15">
        <v>10.568937</v>
      </c>
      <c r="R529" s="10">
        <v>961.79145800000003</v>
      </c>
      <c r="S529" s="10">
        <v>0</v>
      </c>
      <c r="T529" s="10">
        <f t="shared" si="754"/>
        <v>0</v>
      </c>
      <c r="U529" s="17">
        <v>0</v>
      </c>
      <c r="V529" s="17">
        <v>0</v>
      </c>
      <c r="W529" s="17">
        <v>0</v>
      </c>
      <c r="X529" s="17">
        <v>0</v>
      </c>
      <c r="Y529" s="17">
        <v>0</v>
      </c>
      <c r="Z529" s="17">
        <v>0</v>
      </c>
      <c r="AA529" s="17">
        <v>0</v>
      </c>
      <c r="AB529" s="17">
        <v>0</v>
      </c>
      <c r="AC529" s="17">
        <v>0</v>
      </c>
      <c r="AD529" s="17">
        <v>0</v>
      </c>
      <c r="AE529" s="17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>
        <v>4.9945599999999999</v>
      </c>
      <c r="AZ529" s="10"/>
      <c r="BA529" s="10"/>
      <c r="BB529" s="10"/>
      <c r="BC529" s="10">
        <v>5.3281700000000001</v>
      </c>
      <c r="BD529" s="15">
        <v>0</v>
      </c>
      <c r="BE529" s="15">
        <v>0</v>
      </c>
      <c r="BF529" s="15">
        <v>0</v>
      </c>
      <c r="BG529" s="15">
        <v>21.774668999999999</v>
      </c>
      <c r="BH529" s="15">
        <v>0</v>
      </c>
      <c r="BI529" s="15">
        <v>0</v>
      </c>
      <c r="BJ529" s="15">
        <v>0</v>
      </c>
      <c r="BK529" s="15">
        <v>10.568937</v>
      </c>
      <c r="BL529" s="10"/>
      <c r="BM529" s="10"/>
      <c r="BN529" s="10"/>
      <c r="BO529" s="10">
        <v>961.79145800000003</v>
      </c>
      <c r="BP529" s="16"/>
      <c r="BQ529" s="16"/>
      <c r="BR529" s="10"/>
      <c r="BS529" s="10"/>
      <c r="BT529" s="10"/>
      <c r="BU529" s="10"/>
      <c r="BV529" s="10"/>
      <c r="BW529" s="10"/>
      <c r="BX529" s="6"/>
      <c r="BY529" s="6"/>
      <c r="BZ529" s="6"/>
      <c r="CA529" s="6"/>
      <c r="CB529" s="6"/>
      <c r="CC529" s="6"/>
      <c r="CD529" s="6"/>
      <c r="CE529" s="6"/>
      <c r="CF529" s="5"/>
      <c r="CH529" s="5" t="s">
        <v>562</v>
      </c>
    </row>
    <row r="530" spans="1:86" outlineLevel="1">
      <c r="A530" s="3" t="s">
        <v>178</v>
      </c>
      <c r="B530" s="14" t="s">
        <v>179</v>
      </c>
      <c r="C530" s="10"/>
      <c r="D530" s="10"/>
      <c r="E530" s="10"/>
      <c r="F530" s="10"/>
      <c r="G530" s="10"/>
      <c r="H530" s="15">
        <v>43.475298000000002</v>
      </c>
      <c r="I530" s="15">
        <v>61.931153999999999</v>
      </c>
      <c r="J530" s="15">
        <v>61.350651999999997</v>
      </c>
      <c r="K530" s="15">
        <v>92.138482999999994</v>
      </c>
      <c r="L530" s="389">
        <v>132.03019900000001</v>
      </c>
      <c r="M530" s="15">
        <v>352.61448899999999</v>
      </c>
      <c r="N530" s="15">
        <v>561.19315099999994</v>
      </c>
      <c r="O530" s="15">
        <v>993.82054000000005</v>
      </c>
      <c r="P530" s="15">
        <v>1215.7562869999999</v>
      </c>
      <c r="Q530" s="15">
        <v>2469.7073350000001</v>
      </c>
      <c r="R530" s="10">
        <v>6749.965827</v>
      </c>
      <c r="S530" s="10">
        <v>6994.5896720000001</v>
      </c>
      <c r="T530" s="10">
        <f t="shared" si="754"/>
        <v>6546.0412200000001</v>
      </c>
      <c r="U530" s="6">
        <f t="shared" ref="U530:AD530" ca="1" si="758">U577</f>
        <v>7784.7179926223034</v>
      </c>
      <c r="V530" s="6">
        <f t="shared" ca="1" si="758"/>
        <v>9783.9441509207172</v>
      </c>
      <c r="W530" s="6">
        <f t="shared" ca="1" si="758"/>
        <v>11956.710810630479</v>
      </c>
      <c r="X530" s="6">
        <f t="shared" ca="1" si="758"/>
        <v>14396.266259536329</v>
      </c>
      <c r="Y530" s="6">
        <f t="shared" ca="1" si="758"/>
        <v>17182.181043560817</v>
      </c>
      <c r="Z530" s="6">
        <f t="shared" ca="1" si="758"/>
        <v>19891.979249263553</v>
      </c>
      <c r="AA530" s="6">
        <f t="shared" ca="1" si="758"/>
        <v>22824.623859623745</v>
      </c>
      <c r="AB530" s="6">
        <f t="shared" ca="1" si="758"/>
        <v>25984.860946216173</v>
      </c>
      <c r="AC530" s="6">
        <f t="shared" ca="1" si="758"/>
        <v>29354.371016738929</v>
      </c>
      <c r="AD530" s="6">
        <f t="shared" ca="1" si="758"/>
        <v>32816.243128084338</v>
      </c>
      <c r="AE530" s="6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>
        <v>561.19315099999994</v>
      </c>
      <c r="AZ530" s="10"/>
      <c r="BA530" s="10"/>
      <c r="BB530" s="10"/>
      <c r="BC530" s="10">
        <v>993.82054000000005</v>
      </c>
      <c r="BD530" s="15">
        <v>745.78529000000003</v>
      </c>
      <c r="BE530" s="15">
        <v>957.35090200000002</v>
      </c>
      <c r="BF530" s="15">
        <v>1820.705017</v>
      </c>
      <c r="BG530" s="15">
        <v>1215.7562869999999</v>
      </c>
      <c r="BH530" s="15">
        <v>1459.5780580000001</v>
      </c>
      <c r="BI530" s="15">
        <v>1811.2523779999999</v>
      </c>
      <c r="BJ530" s="15">
        <v>3022.5299450000002</v>
      </c>
      <c r="BK530" s="15">
        <v>2469.7073350000001</v>
      </c>
      <c r="BL530" s="10">
        <v>2315.7306520000002</v>
      </c>
      <c r="BM530" s="10">
        <v>3223.484751</v>
      </c>
      <c r="BN530" s="10">
        <v>5020.9690060000003</v>
      </c>
      <c r="BO530" s="10">
        <v>6749.965827</v>
      </c>
      <c r="BP530" s="16">
        <v>6461.4344929999997</v>
      </c>
      <c r="BQ530" s="16">
        <v>7509.3787789999997</v>
      </c>
      <c r="BR530" s="10">
        <v>8881.6504729999997</v>
      </c>
      <c r="BS530" s="10">
        <v>6994.5896720000001</v>
      </c>
      <c r="BT530" s="10">
        <v>5774.9238800000003</v>
      </c>
      <c r="BU530" s="10">
        <v>7096.5174209999996</v>
      </c>
      <c r="BV530" s="10">
        <v>9975.3418490000004</v>
      </c>
      <c r="BW530" s="10">
        <v>6546.0412200000001</v>
      </c>
      <c r="BX530" s="6"/>
      <c r="BY530" s="6"/>
      <c r="BZ530" s="6"/>
      <c r="CA530" s="6"/>
      <c r="CB530" s="6"/>
      <c r="CC530" s="6"/>
      <c r="CD530" s="6"/>
      <c r="CE530" s="6"/>
      <c r="CF530" s="5"/>
      <c r="CH530" s="5" t="s">
        <v>562</v>
      </c>
    </row>
    <row r="531" spans="1:86" outlineLevel="1">
      <c r="B531" s="14" t="s">
        <v>180</v>
      </c>
      <c r="C531" s="10"/>
      <c r="D531" s="10"/>
      <c r="E531" s="10"/>
      <c r="F531" s="10"/>
      <c r="G531" s="10"/>
      <c r="H531" s="10">
        <v>2.1351710000000002</v>
      </c>
      <c r="I531" s="10">
        <v>2.9161510000000002</v>
      </c>
      <c r="J531" s="10">
        <v>11.275767</v>
      </c>
      <c r="K531" s="10">
        <v>8.8407719999999994</v>
      </c>
      <c r="L531" s="9">
        <v>23.446059000000002</v>
      </c>
      <c r="M531" s="10">
        <v>37.136184</v>
      </c>
      <c r="N531" s="10">
        <v>39.782201000000001</v>
      </c>
      <c r="O531" s="10">
        <v>61.840525999999997</v>
      </c>
      <c r="P531" s="10">
        <f>BG531</f>
        <v>96.979500000000002</v>
      </c>
      <c r="Q531" s="10">
        <f>BK531</f>
        <v>193.503366</v>
      </c>
      <c r="R531" s="10">
        <v>0</v>
      </c>
      <c r="S531" s="10">
        <v>0</v>
      </c>
      <c r="T531" s="10">
        <f t="shared" si="754"/>
        <v>0</v>
      </c>
      <c r="U531" s="6">
        <f t="shared" ref="U531:AD531" si="759">+T531</f>
        <v>0</v>
      </c>
      <c r="V531" s="6">
        <f t="shared" si="759"/>
        <v>0</v>
      </c>
      <c r="W531" s="6">
        <f t="shared" si="759"/>
        <v>0</v>
      </c>
      <c r="X531" s="6">
        <f t="shared" si="759"/>
        <v>0</v>
      </c>
      <c r="Y531" s="6">
        <f t="shared" si="759"/>
        <v>0</v>
      </c>
      <c r="Z531" s="6">
        <f t="shared" si="759"/>
        <v>0</v>
      </c>
      <c r="AA531" s="6">
        <f t="shared" si="759"/>
        <v>0</v>
      </c>
      <c r="AB531" s="6">
        <f t="shared" si="759"/>
        <v>0</v>
      </c>
      <c r="AC531" s="6">
        <f t="shared" si="759"/>
        <v>0</v>
      </c>
      <c r="AD531" s="6">
        <f t="shared" si="759"/>
        <v>0</v>
      </c>
      <c r="AE531" s="6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>
        <v>39.782201000000001</v>
      </c>
      <c r="AZ531" s="10"/>
      <c r="BA531" s="10"/>
      <c r="BB531" s="10"/>
      <c r="BC531" s="10">
        <v>61.840525999999997</v>
      </c>
      <c r="BD531" s="10">
        <v>72.365245000000002</v>
      </c>
      <c r="BE531" s="10">
        <v>103.005234</v>
      </c>
      <c r="BF531" s="10">
        <v>98.208774000000005</v>
      </c>
      <c r="BG531" s="10">
        <v>96.979500000000002</v>
      </c>
      <c r="BH531" s="10">
        <v>105.555297</v>
      </c>
      <c r="BI531" s="10">
        <v>112.22389800000001</v>
      </c>
      <c r="BJ531" s="10">
        <v>137.502681</v>
      </c>
      <c r="BK531" s="10">
        <v>193.503366</v>
      </c>
      <c r="BL531" s="10">
        <v>255.928867</v>
      </c>
      <c r="BM531" s="10">
        <v>271.16927500000003</v>
      </c>
      <c r="BN531" s="10">
        <v>295.66592600000001</v>
      </c>
      <c r="BO531" s="10">
        <v>0</v>
      </c>
      <c r="BP531" s="6"/>
      <c r="BQ531" s="6"/>
      <c r="BR531" s="6"/>
      <c r="BS531" s="10"/>
      <c r="BT531" s="10"/>
      <c r="BU531" s="10"/>
      <c r="BV531" s="10"/>
      <c r="BW531" s="10"/>
      <c r="BX531" s="6"/>
      <c r="BY531" s="6"/>
      <c r="BZ531" s="6"/>
      <c r="CA531" s="6"/>
      <c r="CB531" s="6"/>
      <c r="CC531" s="6"/>
      <c r="CD531" s="6"/>
      <c r="CE531" s="6"/>
      <c r="CF531" s="5"/>
      <c r="CH531" s="5" t="s">
        <v>562</v>
      </c>
    </row>
    <row r="532" spans="1:86" outlineLevel="1">
      <c r="A532" s="3" t="s">
        <v>437</v>
      </c>
      <c r="B532" s="18" t="s">
        <v>181</v>
      </c>
      <c r="C532" s="19"/>
      <c r="D532" s="19"/>
      <c r="E532" s="19"/>
      <c r="F532" s="19"/>
      <c r="G532" s="19"/>
      <c r="H532" s="20">
        <f t="shared" ref="H532:S532" si="760">SUM(H525:H531)</f>
        <v>851.36283100000003</v>
      </c>
      <c r="I532" s="20">
        <f t="shared" si="760"/>
        <v>1053.467263</v>
      </c>
      <c r="J532" s="20">
        <f t="shared" si="760"/>
        <v>1547.6415080000002</v>
      </c>
      <c r="K532" s="20">
        <f t="shared" si="760"/>
        <v>1631.3070039999998</v>
      </c>
      <c r="L532" s="47">
        <f t="shared" si="760"/>
        <v>2306.2958159999998</v>
      </c>
      <c r="M532" s="20">
        <f t="shared" si="760"/>
        <v>4570.908449999999</v>
      </c>
      <c r="N532" s="20">
        <f t="shared" si="760"/>
        <v>6398.542515000001</v>
      </c>
      <c r="O532" s="20">
        <f t="shared" si="760"/>
        <v>7643.219513</v>
      </c>
      <c r="P532" s="20">
        <f t="shared" si="760"/>
        <v>14365.719868</v>
      </c>
      <c r="Q532" s="20">
        <f t="shared" si="760"/>
        <v>17076.682924000001</v>
      </c>
      <c r="R532" s="20">
        <f t="shared" si="760"/>
        <v>40600.868431000003</v>
      </c>
      <c r="S532" s="20">
        <f t="shared" si="760"/>
        <v>45911.441840000007</v>
      </c>
      <c r="T532" s="20">
        <f t="shared" ref="T532:AD532" si="761">T540-SUM(T533:T539)</f>
        <v>59226.820148999992</v>
      </c>
      <c r="U532" s="20">
        <f t="shared" ca="1" si="761"/>
        <v>60385.74190823095</v>
      </c>
      <c r="V532" s="20">
        <f t="shared" ca="1" si="761"/>
        <v>65390.789630261075</v>
      </c>
      <c r="W532" s="20">
        <f t="shared" ca="1" si="761"/>
        <v>74672.84787970531</v>
      </c>
      <c r="X532" s="20">
        <f t="shared" ca="1" si="761"/>
        <v>86622.071931400002</v>
      </c>
      <c r="Y532" s="20">
        <f t="shared" ca="1" si="761"/>
        <v>102907.35708522142</v>
      </c>
      <c r="Z532" s="20">
        <f t="shared" ca="1" si="761"/>
        <v>123168.53772189707</v>
      </c>
      <c r="AA532" s="20">
        <f t="shared" ca="1" si="761"/>
        <v>146057.54383779701</v>
      </c>
      <c r="AB532" s="20">
        <f t="shared" ca="1" si="761"/>
        <v>173037.31158150904</v>
      </c>
      <c r="AC532" s="20">
        <f t="shared" ca="1" si="761"/>
        <v>204056.80815731778</v>
      </c>
      <c r="AD532" s="20">
        <f t="shared" ca="1" si="761"/>
        <v>238811.70141832178</v>
      </c>
      <c r="AE532" s="20"/>
      <c r="AF532" s="19"/>
      <c r="AG532" s="19"/>
      <c r="AH532" s="19"/>
      <c r="AI532" s="19"/>
      <c r="AJ532" s="19"/>
      <c r="AK532" s="19"/>
      <c r="AL532" s="19"/>
      <c r="AM532" s="19"/>
      <c r="AN532" s="19"/>
      <c r="AO532" s="19"/>
      <c r="AP532" s="19"/>
      <c r="AQ532" s="19"/>
      <c r="AR532" s="19"/>
      <c r="AS532" s="19"/>
      <c r="AT532" s="19"/>
      <c r="AU532" s="19"/>
      <c r="AV532" s="19"/>
      <c r="AW532" s="19"/>
      <c r="AX532" s="19"/>
      <c r="AY532" s="20">
        <f>SUM(AY525:AY531)</f>
        <v>6398.542515000001</v>
      </c>
      <c r="AZ532" s="19"/>
      <c r="BA532" s="19"/>
      <c r="BB532" s="19"/>
      <c r="BC532" s="20">
        <f t="shared" ref="BC532:BW532" si="762">SUM(BC525:BC531)</f>
        <v>7643.219513</v>
      </c>
      <c r="BD532" s="20">
        <f t="shared" si="762"/>
        <v>8237.7284920000002</v>
      </c>
      <c r="BE532" s="20">
        <f t="shared" si="762"/>
        <v>9317.8474459999998</v>
      </c>
      <c r="BF532" s="20">
        <f t="shared" si="762"/>
        <v>10195.191117000002</v>
      </c>
      <c r="BG532" s="20">
        <f t="shared" si="762"/>
        <v>14365.719868</v>
      </c>
      <c r="BH532" s="20">
        <f t="shared" si="762"/>
        <v>14686.496026999999</v>
      </c>
      <c r="BI532" s="20">
        <f t="shared" si="762"/>
        <v>14692.164213</v>
      </c>
      <c r="BJ532" s="20">
        <f t="shared" si="762"/>
        <v>16194.112928</v>
      </c>
      <c r="BK532" s="20">
        <f t="shared" si="762"/>
        <v>17076.682924000001</v>
      </c>
      <c r="BL532" s="20">
        <f t="shared" si="762"/>
        <v>16802.161111999998</v>
      </c>
      <c r="BM532" s="21">
        <f t="shared" si="762"/>
        <v>26695.907511000001</v>
      </c>
      <c r="BN532" s="20">
        <f t="shared" si="762"/>
        <v>25750.457901000002</v>
      </c>
      <c r="BO532" s="20">
        <f t="shared" si="762"/>
        <v>40600.868431000003</v>
      </c>
      <c r="BP532" s="20">
        <f t="shared" si="762"/>
        <v>30129.583154</v>
      </c>
      <c r="BQ532" s="20">
        <f t="shared" si="762"/>
        <v>29145.769815999996</v>
      </c>
      <c r="BR532" s="20">
        <f t="shared" si="762"/>
        <v>52222.056628999999</v>
      </c>
      <c r="BS532" s="20">
        <f t="shared" si="762"/>
        <v>45911.441840000007</v>
      </c>
      <c r="BT532" s="20">
        <f t="shared" si="762"/>
        <v>46617.016511000002</v>
      </c>
      <c r="BU532" s="20">
        <f t="shared" si="762"/>
        <v>54785.951495000001</v>
      </c>
      <c r="BV532" s="20">
        <f t="shared" si="762"/>
        <v>63241.354944000006</v>
      </c>
      <c r="BW532" s="20">
        <f t="shared" si="762"/>
        <v>59226.820148999999</v>
      </c>
      <c r="BX532" s="84"/>
      <c r="BY532" s="84"/>
      <c r="BZ532" s="84"/>
      <c r="CA532" s="84"/>
      <c r="CB532" s="84"/>
      <c r="CC532" s="84"/>
      <c r="CD532" s="84"/>
      <c r="CE532" s="84"/>
      <c r="CF532" s="22"/>
      <c r="CH532" s="5" t="s">
        <v>562</v>
      </c>
    </row>
    <row r="533" spans="1:86" outlineLevel="1">
      <c r="B533" s="14" t="s">
        <v>182</v>
      </c>
      <c r="C533" s="10"/>
      <c r="D533" s="10"/>
      <c r="E533" s="10"/>
      <c r="F533" s="10"/>
      <c r="G533" s="10"/>
      <c r="H533" s="15">
        <v>54.284801000000002</v>
      </c>
      <c r="I533" s="15">
        <v>80.174983999999995</v>
      </c>
      <c r="J533" s="15">
        <v>147.09298999999999</v>
      </c>
      <c r="K533" s="15">
        <v>145.50000199999999</v>
      </c>
      <c r="L533" s="389">
        <v>143.19519099999999</v>
      </c>
      <c r="M533" s="15">
        <v>155.85662199999999</v>
      </c>
      <c r="N533" s="15">
        <v>155.36049199999999</v>
      </c>
      <c r="O533" s="15">
        <v>210.61831000000001</v>
      </c>
      <c r="P533" s="15">
        <f>BG533</f>
        <v>559.185652</v>
      </c>
      <c r="Q533" s="15">
        <v>225.26906299999999</v>
      </c>
      <c r="R533" s="15">
        <v>486.78596800000003</v>
      </c>
      <c r="S533" s="10">
        <v>1147.2791970000001</v>
      </c>
      <c r="T533" s="10">
        <f>BW533</f>
        <v>839.92025599999999</v>
      </c>
      <c r="U533" s="6">
        <f t="shared" ref="U533:AD533" ca="1" si="763">U590</f>
        <v>998.85443881319327</v>
      </c>
      <c r="V533" s="6">
        <f t="shared" ca="1" si="763"/>
        <v>1255.3744468983089</v>
      </c>
      <c r="W533" s="6">
        <f t="shared" ca="1" si="763"/>
        <v>1534.1613759319896</v>
      </c>
      <c r="X533" s="6">
        <f t="shared" ca="1" si="763"/>
        <v>1847.1798810570147</v>
      </c>
      <c r="Y533" s="6">
        <f t="shared" ca="1" si="763"/>
        <v>2204.639631148847</v>
      </c>
      <c r="Z533" s="6">
        <f t="shared" ca="1" si="763"/>
        <v>2552.3328897382244</v>
      </c>
      <c r="AA533" s="6">
        <f t="shared" ca="1" si="763"/>
        <v>2928.6194924508713</v>
      </c>
      <c r="AB533" s="6">
        <f t="shared" ca="1" si="763"/>
        <v>3334.1084060681014</v>
      </c>
      <c r="AC533" s="6">
        <f t="shared" ca="1" si="763"/>
        <v>3766.4490629495822</v>
      </c>
      <c r="AD533" s="6">
        <f t="shared" ca="1" si="763"/>
        <v>4210.6406609365713</v>
      </c>
      <c r="AE533" s="6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>
        <v>155.36049199999999</v>
      </c>
      <c r="AZ533" s="10"/>
      <c r="BA533" s="10"/>
      <c r="BB533" s="10"/>
      <c r="BC533" s="10">
        <v>210.61831000000001</v>
      </c>
      <c r="BD533" s="15">
        <v>191.532838</v>
      </c>
      <c r="BE533" s="15">
        <v>196.873152</v>
      </c>
      <c r="BF533" s="15">
        <v>226.60450499999999</v>
      </c>
      <c r="BG533" s="15">
        <v>559.185652</v>
      </c>
      <c r="BH533" s="15">
        <v>547.25220300000001</v>
      </c>
      <c r="BI533" s="15">
        <v>2053.7544549999998</v>
      </c>
      <c r="BJ533" s="15">
        <v>1623.315083</v>
      </c>
      <c r="BK533" s="15">
        <v>225.26906299999999</v>
      </c>
      <c r="BL533" s="6">
        <v>310.789896</v>
      </c>
      <c r="BM533" s="15">
        <v>415.450333</v>
      </c>
      <c r="BN533" s="15">
        <v>1425.5589239999999</v>
      </c>
      <c r="BO533" s="15">
        <v>486.78596800000003</v>
      </c>
      <c r="BP533" s="16">
        <v>685.50660800000003</v>
      </c>
      <c r="BQ533" s="16">
        <v>691.94079899999997</v>
      </c>
      <c r="BR533" s="10">
        <v>699.28083700000002</v>
      </c>
      <c r="BS533" s="10">
        <v>1147.2791970000001</v>
      </c>
      <c r="BT533" s="10">
        <v>1144.3549410000001</v>
      </c>
      <c r="BU533" s="10">
        <v>1197.3257550000001</v>
      </c>
      <c r="BV533" s="10">
        <v>847.54656399999999</v>
      </c>
      <c r="BW533" s="10">
        <v>839.92025599999999</v>
      </c>
      <c r="BX533" s="6"/>
      <c r="BY533" s="6"/>
      <c r="BZ533" s="6"/>
      <c r="CA533" s="6"/>
      <c r="CB533" s="6"/>
      <c r="CC533" s="6"/>
      <c r="CD533" s="6"/>
      <c r="CE533" s="6"/>
      <c r="CF533" s="5"/>
      <c r="CH533" s="5" t="s">
        <v>562</v>
      </c>
    </row>
    <row r="534" spans="1:86" outlineLevel="1">
      <c r="B534" s="14" t="s">
        <v>183</v>
      </c>
      <c r="C534" s="10"/>
      <c r="D534" s="10"/>
      <c r="E534" s="10"/>
      <c r="F534" s="10"/>
      <c r="G534" s="10"/>
      <c r="H534" s="15">
        <v>66.430515</v>
      </c>
      <c r="I534" s="23">
        <f t="shared" ref="I534:Q534" si="764">Land</f>
        <v>66.449207999999999</v>
      </c>
      <c r="J534" s="23">
        <f t="shared" si="764"/>
        <v>65.083814000000004</v>
      </c>
      <c r="K534" s="23">
        <f t="shared" si="764"/>
        <v>111.510231</v>
      </c>
      <c r="L534" s="268">
        <f t="shared" si="764"/>
        <v>108.92201799999999</v>
      </c>
      <c r="M534" s="23">
        <f t="shared" si="764"/>
        <v>106.333805</v>
      </c>
      <c r="N534" s="23">
        <f t="shared" si="764"/>
        <v>113.460899</v>
      </c>
      <c r="O534" s="23">
        <f t="shared" si="764"/>
        <v>110.659284</v>
      </c>
      <c r="P534" s="23">
        <f t="shared" si="764"/>
        <v>107.476794</v>
      </c>
      <c r="Q534" s="23">
        <f t="shared" si="764"/>
        <v>104.56886799999999</v>
      </c>
      <c r="R534" s="15">
        <v>102.328181</v>
      </c>
      <c r="S534" s="15">
        <v>99.544771999999995</v>
      </c>
      <c r="T534" s="10">
        <f t="shared" ref="T534:T539" si="765">BW534</f>
        <v>96.761364</v>
      </c>
      <c r="U534" s="23">
        <f t="shared" ref="U534:AD534" si="766">Land</f>
        <v>96.761364</v>
      </c>
      <c r="V534" s="23">
        <f t="shared" si="766"/>
        <v>96.761364</v>
      </c>
      <c r="W534" s="23">
        <f t="shared" si="766"/>
        <v>96.761364</v>
      </c>
      <c r="X534" s="23">
        <f t="shared" si="766"/>
        <v>96.761364</v>
      </c>
      <c r="Y534" s="23">
        <f t="shared" si="766"/>
        <v>96.761364</v>
      </c>
      <c r="Z534" s="23">
        <f t="shared" si="766"/>
        <v>96.761364</v>
      </c>
      <c r="AA534" s="23">
        <f t="shared" si="766"/>
        <v>96.761364</v>
      </c>
      <c r="AB534" s="23">
        <f t="shared" si="766"/>
        <v>96.761364</v>
      </c>
      <c r="AC534" s="23">
        <f t="shared" si="766"/>
        <v>96.761364</v>
      </c>
      <c r="AD534" s="23">
        <f t="shared" si="766"/>
        <v>96.761364</v>
      </c>
      <c r="AE534" s="23"/>
      <c r="AF534" s="23"/>
      <c r="AG534" s="23"/>
      <c r="AH534" s="23"/>
      <c r="AI534" s="23"/>
      <c r="AJ534" s="23"/>
      <c r="AK534" s="23"/>
      <c r="AL534" s="23"/>
      <c r="AM534" s="23"/>
      <c r="AN534" s="23"/>
      <c r="AO534" s="23"/>
      <c r="AP534" s="23"/>
      <c r="AQ534" s="23"/>
      <c r="AR534" s="23"/>
      <c r="AS534" s="23"/>
      <c r="AT534" s="23"/>
      <c r="AU534" s="23"/>
      <c r="AV534" s="23"/>
      <c r="AW534" s="23"/>
      <c r="AX534" s="23"/>
      <c r="AY534" s="15">
        <v>113.460899</v>
      </c>
      <c r="AZ534" s="23"/>
      <c r="BA534" s="23"/>
      <c r="BB534" s="23"/>
      <c r="BC534" s="15">
        <v>110.659284</v>
      </c>
      <c r="BD534" s="23">
        <f>Land</f>
        <v>109.71623700000001</v>
      </c>
      <c r="BE534" s="23">
        <f>Land</f>
        <v>108.970499</v>
      </c>
      <c r="BF534" s="23">
        <f>Land</f>
        <v>108.224205</v>
      </c>
      <c r="BG534" s="15">
        <v>107.476794</v>
      </c>
      <c r="BH534" s="23">
        <f>Land</f>
        <v>106.699743</v>
      </c>
      <c r="BI534" s="23">
        <f>Land</f>
        <v>105.909243</v>
      </c>
      <c r="BJ534" s="23">
        <f>Land</f>
        <v>105.19751599999999</v>
      </c>
      <c r="BK534" s="23">
        <v>104.56886799999999</v>
      </c>
      <c r="BL534" s="23">
        <f>Land</f>
        <v>103.785228</v>
      </c>
      <c r="BM534" s="23">
        <f>Land</f>
        <v>103.71986699999999</v>
      </c>
      <c r="BN534" s="15">
        <v>103.024034</v>
      </c>
      <c r="BO534" s="15">
        <v>102.328181</v>
      </c>
      <c r="BP534" s="24">
        <v>101.632329</v>
      </c>
      <c r="BQ534" s="24">
        <v>100.936477</v>
      </c>
      <c r="BR534" s="15">
        <v>100.24062499999999</v>
      </c>
      <c r="BS534" s="15">
        <v>99.544771999999995</v>
      </c>
      <c r="BT534" s="15">
        <v>98.848921000000004</v>
      </c>
      <c r="BU534" s="15">
        <v>98.153068000000005</v>
      </c>
      <c r="BV534" s="15">
        <v>97.457215000000005</v>
      </c>
      <c r="BW534" s="15">
        <v>96.761364</v>
      </c>
      <c r="BX534" s="23"/>
      <c r="BY534" s="23"/>
      <c r="BZ534" s="23"/>
      <c r="CA534" s="23"/>
      <c r="CB534" s="23"/>
      <c r="CC534" s="23"/>
      <c r="CD534" s="23"/>
      <c r="CE534" s="23"/>
      <c r="CF534" s="5"/>
      <c r="CH534" s="5" t="s">
        <v>562</v>
      </c>
    </row>
    <row r="535" spans="1:86" outlineLevel="1">
      <c r="A535" s="3" t="s">
        <v>272</v>
      </c>
      <c r="B535" s="14" t="s">
        <v>184</v>
      </c>
      <c r="C535" s="10"/>
      <c r="D535" s="10"/>
      <c r="E535" s="10"/>
      <c r="F535" s="10"/>
      <c r="G535" s="10"/>
      <c r="H535" s="23">
        <f t="shared" ref="H535:M535" si="767">PPE</f>
        <v>53.552242999999997</v>
      </c>
      <c r="I535" s="23">
        <f t="shared" si="767"/>
        <v>153.690484</v>
      </c>
      <c r="J535" s="23">
        <f t="shared" si="767"/>
        <v>267.19478800000002</v>
      </c>
      <c r="K535" s="23">
        <f t="shared" si="767"/>
        <v>346.11708299999998</v>
      </c>
      <c r="L535" s="268">
        <f t="shared" si="767"/>
        <v>550.50659499999995</v>
      </c>
      <c r="M535" s="23">
        <f t="shared" si="767"/>
        <v>653.67898000000002</v>
      </c>
      <c r="N535" s="15">
        <v>683.90386999999998</v>
      </c>
      <c r="O535" s="15">
        <v>1123.937191</v>
      </c>
      <c r="P535" s="15">
        <v>1412.9436929999999</v>
      </c>
      <c r="Q535" s="15">
        <v>5220.6264609999998</v>
      </c>
      <c r="R535" s="15">
        <v>5555.9594989999996</v>
      </c>
      <c r="S535" s="15">
        <v>5591.9600810000002</v>
      </c>
      <c r="T535" s="10">
        <f t="shared" si="765"/>
        <v>5615.5004289999997</v>
      </c>
      <c r="U535" s="23">
        <f t="shared" ref="U535:AD535" ca="1" si="768">PPE</f>
        <v>6431.5662518283025</v>
      </c>
      <c r="V535" s="23">
        <f t="shared" ca="1" si="768"/>
        <v>6976.1775327717769</v>
      </c>
      <c r="W535" s="23">
        <f t="shared" ca="1" si="768"/>
        <v>7688.222002616877</v>
      </c>
      <c r="X535" s="23">
        <f t="shared" ca="1" si="768"/>
        <v>8902.4625747976788</v>
      </c>
      <c r="Y535" s="23">
        <f t="shared" ca="1" si="768"/>
        <v>10369.2750352281</v>
      </c>
      <c r="Z535" s="23">
        <f t="shared" ca="1" si="768"/>
        <v>12066.036174474817</v>
      </c>
      <c r="AA535" s="23">
        <f t="shared" ca="1" si="768"/>
        <v>14005.243316655396</v>
      </c>
      <c r="AB535" s="23">
        <f t="shared" ca="1" si="768"/>
        <v>16198.843301970117</v>
      </c>
      <c r="AC535" s="23">
        <f t="shared" ca="1" si="768"/>
        <v>18655.528441370487</v>
      </c>
      <c r="AD535" s="23">
        <f t="shared" ca="1" si="768"/>
        <v>21369.369264856956</v>
      </c>
      <c r="AE535" s="23"/>
      <c r="AF535" s="23"/>
      <c r="AG535" s="23"/>
      <c r="AH535" s="23"/>
      <c r="AI535" s="23"/>
      <c r="AJ535" s="23"/>
      <c r="AK535" s="23"/>
      <c r="AL535" s="23"/>
      <c r="AM535" s="23"/>
      <c r="AN535" s="23"/>
      <c r="AO535" s="23"/>
      <c r="AP535" s="23"/>
      <c r="AQ535" s="23"/>
      <c r="AR535" s="23"/>
      <c r="AS535" s="23"/>
      <c r="AT535" s="23"/>
      <c r="AU535" s="23"/>
      <c r="AV535" s="23"/>
      <c r="AW535" s="23"/>
      <c r="AX535" s="23"/>
      <c r="AY535" s="15">
        <v>683.90386999999998</v>
      </c>
      <c r="AZ535" s="23"/>
      <c r="BA535" s="23"/>
      <c r="BB535" s="23"/>
      <c r="BC535" s="15">
        <v>1123.937191</v>
      </c>
      <c r="BD535" s="23">
        <f>PPE</f>
        <v>1302.5259590000001</v>
      </c>
      <c r="BE535" s="23">
        <f>PPE</f>
        <v>1331.91148</v>
      </c>
      <c r="BF535" s="23">
        <f>PPE</f>
        <v>1367.988034</v>
      </c>
      <c r="BG535" s="15">
        <v>1412.9436929999999</v>
      </c>
      <c r="BH535" s="23">
        <f>PPE</f>
        <v>1511.141969</v>
      </c>
      <c r="BI535" s="23">
        <f>PPE</f>
        <v>2095.4039120000002</v>
      </c>
      <c r="BJ535" s="23">
        <f>PPE</f>
        <v>3479.4573559999999</v>
      </c>
      <c r="BK535" s="23">
        <v>5220.6264609999998</v>
      </c>
      <c r="BL535" s="23">
        <f>PPE</f>
        <v>5257.0152520000001</v>
      </c>
      <c r="BM535" s="6">
        <f>PPE</f>
        <v>5351.0605150000001</v>
      </c>
      <c r="BN535" s="15">
        <v>5314.659388</v>
      </c>
      <c r="BO535" s="15">
        <v>5555.9594989999996</v>
      </c>
      <c r="BP535" s="24">
        <v>5562.9769759999999</v>
      </c>
      <c r="BQ535" s="24">
        <v>5568.7385860000004</v>
      </c>
      <c r="BR535" s="15">
        <v>5574.1686669999999</v>
      </c>
      <c r="BS535" s="15">
        <v>5591.9600810000002</v>
      </c>
      <c r="BT535" s="15">
        <v>5564.9044370000001</v>
      </c>
      <c r="BU535" s="15">
        <v>5647.5302979999997</v>
      </c>
      <c r="BV535" s="15">
        <v>5631.4716250000001</v>
      </c>
      <c r="BW535" s="15">
        <v>5615.5004289999997</v>
      </c>
      <c r="BX535" s="23"/>
      <c r="BY535" s="23"/>
      <c r="BZ535" s="23"/>
      <c r="CA535" s="23"/>
      <c r="CB535" s="23"/>
      <c r="CC535" s="23"/>
      <c r="CD535" s="23"/>
      <c r="CE535" s="23"/>
      <c r="CF535" s="5"/>
      <c r="CH535" s="5" t="s">
        <v>562</v>
      </c>
    </row>
    <row r="536" spans="1:86" outlineLevel="1">
      <c r="B536" s="14" t="s">
        <v>185</v>
      </c>
      <c r="C536" s="10"/>
      <c r="D536" s="10"/>
      <c r="E536" s="10"/>
      <c r="F536" s="10"/>
      <c r="G536" s="10"/>
      <c r="H536" s="15">
        <v>0</v>
      </c>
      <c r="I536" s="15">
        <v>80.416250000000005</v>
      </c>
      <c r="J536" s="15">
        <v>80.416250000000005</v>
      </c>
      <c r="K536" s="15">
        <v>318.826459</v>
      </c>
      <c r="L536" s="389">
        <v>658.05128500000001</v>
      </c>
      <c r="M536" s="15">
        <v>1574.2306229999999</v>
      </c>
      <c r="N536" s="15">
        <v>1305.145043</v>
      </c>
      <c r="O536" s="15">
        <v>1437.2479490000001</v>
      </c>
      <c r="P536" s="15">
        <f>BG536</f>
        <v>2857.2134799999999</v>
      </c>
      <c r="Q536" s="15">
        <f>BK536</f>
        <v>5318.7564469999998</v>
      </c>
      <c r="R536" s="15">
        <v>13870.523498</v>
      </c>
      <c r="S536" s="10">
        <v>20532.822365</v>
      </c>
      <c r="T536" s="10">
        <f t="shared" si="765"/>
        <v>25573.785268</v>
      </c>
      <c r="U536" s="6">
        <f t="shared" ref="U536:AD536" ca="1" si="769">U643</f>
        <v>27846.455935545411</v>
      </c>
      <c r="V536" s="6">
        <f t="shared" ca="1" si="769"/>
        <v>31772.161026409616</v>
      </c>
      <c r="W536" s="6">
        <f t="shared" ca="1" si="769"/>
        <v>34885.95684187991</v>
      </c>
      <c r="X536" s="6">
        <f t="shared" ca="1" si="769"/>
        <v>39630.673087773168</v>
      </c>
      <c r="Y536" s="6">
        <f t="shared" ca="1" si="769"/>
        <v>44467.472052260986</v>
      </c>
      <c r="Z536" s="6">
        <f t="shared" ca="1" si="769"/>
        <v>48201.342865276347</v>
      </c>
      <c r="AA536" s="6">
        <f t="shared" ca="1" si="769"/>
        <v>53426.336642835697</v>
      </c>
      <c r="AB536" s="6">
        <f t="shared" ca="1" si="769"/>
        <v>58681.874240522688</v>
      </c>
      <c r="AC536" s="6">
        <f t="shared" ca="1" si="769"/>
        <v>63871.818418742558</v>
      </c>
      <c r="AD536" s="6">
        <f t="shared" ca="1" si="769"/>
        <v>68699.673871953433</v>
      </c>
      <c r="AE536" s="6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>
        <v>1305.145043</v>
      </c>
      <c r="AZ536" s="10"/>
      <c r="BA536" s="10"/>
      <c r="BB536" s="10"/>
      <c r="BC536" s="10">
        <v>1437.2479490000001</v>
      </c>
      <c r="BD536" s="15">
        <v>1413.6705219999999</v>
      </c>
      <c r="BE536" s="15">
        <v>1368.876743</v>
      </c>
      <c r="BF536" s="15">
        <v>1528.3858210000001</v>
      </c>
      <c r="BG536" s="15">
        <v>2857.2134799999999</v>
      </c>
      <c r="BH536" s="15">
        <v>2739.3700650000001</v>
      </c>
      <c r="BI536" s="15">
        <v>3030.3988880000002</v>
      </c>
      <c r="BJ536" s="15">
        <v>5067.3865299999998</v>
      </c>
      <c r="BK536" s="15">
        <v>5318.7564469999998</v>
      </c>
      <c r="BL536" s="15">
        <v>5203.3280789999999</v>
      </c>
      <c r="BM536" s="15">
        <v>8558.0360639999999</v>
      </c>
      <c r="BN536" s="15">
        <v>11855.6471</v>
      </c>
      <c r="BO536" s="15">
        <v>13870.523498</v>
      </c>
      <c r="BP536" s="16">
        <v>14743.122934000001</v>
      </c>
      <c r="BQ536" s="16">
        <v>17977.129465000002</v>
      </c>
      <c r="BR536" s="10">
        <v>18285.751276999999</v>
      </c>
      <c r="BS536" s="10">
        <v>20532.822365</v>
      </c>
      <c r="BT536" s="10">
        <v>21478.148266</v>
      </c>
      <c r="BU536" s="10">
        <v>22166.556356000001</v>
      </c>
      <c r="BV536" s="10">
        <v>22609.358317999999</v>
      </c>
      <c r="BW536" s="10">
        <v>25573.785268</v>
      </c>
      <c r="BX536" s="6"/>
      <c r="BY536" s="6"/>
      <c r="BZ536" s="6"/>
      <c r="CA536" s="6"/>
      <c r="CB536" s="6"/>
      <c r="CC536" s="6"/>
      <c r="CD536" s="6"/>
      <c r="CE536" s="6"/>
      <c r="CF536" s="5"/>
      <c r="CH536" s="5" t="s">
        <v>562</v>
      </c>
    </row>
    <row r="537" spans="1:86" outlineLevel="1">
      <c r="A537" s="3" t="s">
        <v>335</v>
      </c>
      <c r="B537" s="14" t="s">
        <v>186</v>
      </c>
      <c r="C537" s="10"/>
      <c r="D537" s="10"/>
      <c r="E537" s="10"/>
      <c r="F537" s="10"/>
      <c r="G537" s="10"/>
      <c r="H537" s="15">
        <v>9.5158489999999993</v>
      </c>
      <c r="I537" s="15">
        <v>14.595848999999999</v>
      </c>
      <c r="J537" s="15">
        <v>14.595848999999999</v>
      </c>
      <c r="K537" s="15">
        <v>63.689736000000003</v>
      </c>
      <c r="L537" s="389">
        <v>322.93683800000002</v>
      </c>
      <c r="M537" s="15">
        <v>758.23144100000002</v>
      </c>
      <c r="N537" s="15">
        <v>798.601767</v>
      </c>
      <c r="O537" s="15">
        <v>822.58534099999997</v>
      </c>
      <c r="P537" s="15">
        <f>BG537</f>
        <v>972.53118400000005</v>
      </c>
      <c r="Q537" s="15">
        <f>BK537</f>
        <v>1892.5077080000001</v>
      </c>
      <c r="R537" s="10">
        <v>45690.440903000002</v>
      </c>
      <c r="S537" s="10">
        <v>56015.185590000001</v>
      </c>
      <c r="T537" s="10">
        <f t="shared" si="765"/>
        <v>56246.051291999996</v>
      </c>
      <c r="U537" s="6">
        <f t="shared" ref="U537:AD537" si="770">+T537</f>
        <v>56246.051291999996</v>
      </c>
      <c r="V537" s="6">
        <f t="shared" si="770"/>
        <v>56246.051291999996</v>
      </c>
      <c r="W537" s="6">
        <f t="shared" si="770"/>
        <v>56246.051291999996</v>
      </c>
      <c r="X537" s="6">
        <f t="shared" si="770"/>
        <v>56246.051291999996</v>
      </c>
      <c r="Y537" s="6">
        <f t="shared" si="770"/>
        <v>56246.051291999996</v>
      </c>
      <c r="Z537" s="6">
        <f t="shared" si="770"/>
        <v>56246.051291999996</v>
      </c>
      <c r="AA537" s="6">
        <f t="shared" si="770"/>
        <v>56246.051291999996</v>
      </c>
      <c r="AB537" s="6">
        <f t="shared" si="770"/>
        <v>56246.051291999996</v>
      </c>
      <c r="AC537" s="6">
        <f t="shared" si="770"/>
        <v>56246.051291999996</v>
      </c>
      <c r="AD537" s="6">
        <f t="shared" si="770"/>
        <v>56246.051291999996</v>
      </c>
      <c r="AE537" s="6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>
        <v>798.601767</v>
      </c>
      <c r="AZ537" s="10"/>
      <c r="BA537" s="10"/>
      <c r="BB537" s="10"/>
      <c r="BC537" s="10">
        <v>822.58534099999997</v>
      </c>
      <c r="BD537" s="15">
        <v>828.98933899999997</v>
      </c>
      <c r="BE537" s="15">
        <v>828.98933899999997</v>
      </c>
      <c r="BF537" s="15">
        <v>944.779314</v>
      </c>
      <c r="BG537" s="15">
        <v>972.53118400000005</v>
      </c>
      <c r="BH537" s="15">
        <v>1180.513074</v>
      </c>
      <c r="BI537" s="15">
        <v>1180.513074</v>
      </c>
      <c r="BJ537" s="15">
        <v>1185.513074</v>
      </c>
      <c r="BK537" s="15">
        <v>1892.5077080000001</v>
      </c>
      <c r="BL537" s="16">
        <v>2560.1154710000001</v>
      </c>
      <c r="BM537" s="10">
        <v>2535.9667030000001</v>
      </c>
      <c r="BN537" s="10">
        <v>2719.0367809999998</v>
      </c>
      <c r="BO537" s="10">
        <v>45690.440903000002</v>
      </c>
      <c r="BP537" s="16">
        <v>46440.453882000002</v>
      </c>
      <c r="BQ537" s="16">
        <v>46392.118214000002</v>
      </c>
      <c r="BR537" s="10">
        <v>46431.214139999996</v>
      </c>
      <c r="BS537" s="10">
        <v>56015.185590000001</v>
      </c>
      <c r="BT537" s="10">
        <v>56015.185590000001</v>
      </c>
      <c r="BU537" s="10">
        <v>56218.081471999998</v>
      </c>
      <c r="BV537" s="10">
        <v>56265.595481999997</v>
      </c>
      <c r="BW537" s="10">
        <v>56246.051291999996</v>
      </c>
      <c r="BX537" s="6"/>
      <c r="BY537" s="6"/>
      <c r="BZ537" s="6"/>
      <c r="CA537" s="6"/>
      <c r="CB537" s="6"/>
      <c r="CC537" s="6"/>
      <c r="CD537" s="6"/>
      <c r="CE537" s="6"/>
      <c r="CF537" s="5"/>
      <c r="CH537" s="5" t="s">
        <v>562</v>
      </c>
    </row>
    <row r="538" spans="1:86" outlineLevel="1">
      <c r="A538" s="3" t="s">
        <v>319</v>
      </c>
      <c r="B538" s="14" t="s">
        <v>273</v>
      </c>
      <c r="C538" s="10"/>
      <c r="D538" s="10"/>
      <c r="E538" s="10"/>
      <c r="F538" s="10"/>
      <c r="G538" s="10"/>
      <c r="H538" s="10">
        <v>0.80305000000000004</v>
      </c>
      <c r="I538" s="6">
        <f t="shared" ref="I538:Q538" si="771">Int_Assets</f>
        <v>3.058465</v>
      </c>
      <c r="J538" s="6">
        <f t="shared" si="771"/>
        <v>2.918809</v>
      </c>
      <c r="K538" s="6">
        <f t="shared" si="771"/>
        <v>24.498763</v>
      </c>
      <c r="L538" s="5">
        <f t="shared" si="771"/>
        <v>66.851954000000006</v>
      </c>
      <c r="M538" s="6">
        <f t="shared" si="771"/>
        <v>296.96409199999999</v>
      </c>
      <c r="N538" s="6">
        <f t="shared" si="771"/>
        <v>306.42019199999999</v>
      </c>
      <c r="O538" s="6">
        <f t="shared" si="771"/>
        <v>321.48342000000002</v>
      </c>
      <c r="P538" s="6">
        <f t="shared" si="771"/>
        <v>356.65302200000002</v>
      </c>
      <c r="Q538" s="6">
        <f t="shared" si="771"/>
        <v>668.20237099999997</v>
      </c>
      <c r="R538" s="15">
        <v>11007.915171000001</v>
      </c>
      <c r="S538" s="10">
        <v>13924.769931000001</v>
      </c>
      <c r="T538" s="10">
        <f t="shared" si="765"/>
        <v>13750.315920999999</v>
      </c>
      <c r="U538" s="6">
        <f t="shared" ref="U538:AD538" ca="1" si="772">Int_Assets</f>
        <v>10078.969123739029</v>
      </c>
      <c r="V538" s="6">
        <f t="shared" ca="1" si="772"/>
        <v>9749.1590789643196</v>
      </c>
      <c r="W538" s="6">
        <f t="shared" ca="1" si="772"/>
        <v>9446.6658046338271</v>
      </c>
      <c r="X538" s="6">
        <f t="shared" ca="1" si="772"/>
        <v>9312.8577598460506</v>
      </c>
      <c r="Y538" s="6">
        <f t="shared" ca="1" si="772"/>
        <v>9190.7700573040674</v>
      </c>
      <c r="Z538" s="6">
        <f t="shared" ca="1" si="772"/>
        <v>9079.813105026833</v>
      </c>
      <c r="AA538" s="6">
        <f t="shared" ca="1" si="772"/>
        <v>8980.792392465095</v>
      </c>
      <c r="AB538" s="6">
        <f t="shared" ca="1" si="772"/>
        <v>8894.5165725622646</v>
      </c>
      <c r="AC538" s="6">
        <f t="shared" ca="1" si="772"/>
        <v>8821.6899240060065</v>
      </c>
      <c r="AD538" s="6">
        <f t="shared" ca="1" si="772"/>
        <v>8762.4559628510178</v>
      </c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10">
        <v>306.42019199999999</v>
      </c>
      <c r="AZ538" s="6"/>
      <c r="BA538" s="6"/>
      <c r="BB538" s="6"/>
      <c r="BC538" s="10">
        <v>321.48342000000002</v>
      </c>
      <c r="BD538" s="6">
        <f>Int_Assets</f>
        <v>319.63017500000001</v>
      </c>
      <c r="BE538" s="6">
        <f>Int_Assets</f>
        <v>318.00701199999997</v>
      </c>
      <c r="BF538" s="6">
        <f>Int_Assets</f>
        <v>358.21982100000002</v>
      </c>
      <c r="BG538" s="10">
        <v>356.65302200000002</v>
      </c>
      <c r="BH538" s="6">
        <f t="shared" ref="BH538:BM538" si="773">Int_Assets</f>
        <v>426.64095700000001</v>
      </c>
      <c r="BI538" s="6">
        <f t="shared" si="773"/>
        <v>426.17026900000002</v>
      </c>
      <c r="BJ538" s="6">
        <f t="shared" si="773"/>
        <v>425.30783100000002</v>
      </c>
      <c r="BK538" s="6">
        <f t="shared" si="773"/>
        <v>668.20237099999997</v>
      </c>
      <c r="BL538" s="6">
        <f t="shared" si="773"/>
        <v>998.37338599999998</v>
      </c>
      <c r="BM538" s="6">
        <f t="shared" si="773"/>
        <v>1063.545732</v>
      </c>
      <c r="BN538" s="15">
        <v>1042.417811</v>
      </c>
      <c r="BO538" s="15">
        <v>11007.915171000001</v>
      </c>
      <c r="BP538" s="16">
        <v>10947.068997</v>
      </c>
      <c r="BQ538" s="16">
        <v>10919.161286</v>
      </c>
      <c r="BR538" s="10">
        <v>10890.708038000001</v>
      </c>
      <c r="BS538" s="10">
        <v>13924.769931000001</v>
      </c>
      <c r="BT538" s="10">
        <v>13828.398969</v>
      </c>
      <c r="BU538" s="10">
        <v>13736.713759</v>
      </c>
      <c r="BV538" s="10">
        <v>13790.776378</v>
      </c>
      <c r="BW538" s="10">
        <v>13750.315920999999</v>
      </c>
      <c r="BX538" s="6"/>
      <c r="BY538" s="6"/>
      <c r="BZ538" s="6"/>
      <c r="CA538" s="6"/>
      <c r="CB538" s="6"/>
      <c r="CC538" s="6"/>
      <c r="CD538" s="6"/>
      <c r="CE538" s="6"/>
      <c r="CF538" s="5"/>
      <c r="CH538" s="5" t="s">
        <v>562</v>
      </c>
    </row>
    <row r="539" spans="1:86" outlineLevel="1">
      <c r="B539" s="14" t="s">
        <v>274</v>
      </c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>
        <f>178.584102+8.166667</f>
        <v>186.75076899999999</v>
      </c>
      <c r="Q539" s="10">
        <f>192.871939+510.039284</f>
        <v>702.91122300000006</v>
      </c>
      <c r="R539" s="10">
        <f>578.524154+543.911586+405.334569</f>
        <v>1527.770309</v>
      </c>
      <c r="S539" s="10">
        <f>815.586298+375.311594</f>
        <v>1190.897892</v>
      </c>
      <c r="T539" s="10">
        <f t="shared" si="765"/>
        <v>699.32263399999999</v>
      </c>
      <c r="U539" s="17">
        <f t="shared" ref="U539:AD539" si="774">T539+50</f>
        <v>749.32263399999999</v>
      </c>
      <c r="V539" s="17">
        <f t="shared" si="774"/>
        <v>799.32263399999999</v>
      </c>
      <c r="W539" s="17">
        <f t="shared" si="774"/>
        <v>849.32263399999999</v>
      </c>
      <c r="X539" s="17">
        <f t="shared" si="774"/>
        <v>899.32263399999999</v>
      </c>
      <c r="Y539" s="17">
        <f t="shared" si="774"/>
        <v>949.32263399999999</v>
      </c>
      <c r="Z539" s="17">
        <f t="shared" si="774"/>
        <v>999.32263399999999</v>
      </c>
      <c r="AA539" s="17">
        <f t="shared" si="774"/>
        <v>1049.3226340000001</v>
      </c>
      <c r="AB539" s="17">
        <f t="shared" si="774"/>
        <v>1099.3226340000001</v>
      </c>
      <c r="AC539" s="17">
        <f t="shared" si="774"/>
        <v>1149.3226340000001</v>
      </c>
      <c r="AD539" s="17">
        <f t="shared" si="774"/>
        <v>1199.3226340000001</v>
      </c>
      <c r="AE539" s="17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  <c r="BB539" s="10"/>
      <c r="BC539" s="10"/>
      <c r="BD539" s="10"/>
      <c r="BE539" s="10"/>
      <c r="BF539" s="10"/>
      <c r="BG539" s="10">
        <v>186.75076899999999</v>
      </c>
      <c r="BH539" s="10">
        <v>191.55041700000001</v>
      </c>
      <c r="BI539" s="10">
        <v>189.13114999999999</v>
      </c>
      <c r="BJ539" s="10">
        <v>187.19595100000001</v>
      </c>
      <c r="BK539" s="10">
        <v>702.91122300000006</v>
      </c>
      <c r="BL539" s="16">
        <v>708.28565500000002</v>
      </c>
      <c r="BM539" s="10">
        <v>1018.119578</v>
      </c>
      <c r="BN539" s="10">
        <v>1040.172587</v>
      </c>
      <c r="BO539" s="10">
        <v>1527.770309</v>
      </c>
      <c r="BP539" s="16">
        <f>912.448425+445.749505</f>
        <v>1358.19793</v>
      </c>
      <c r="BQ539" s="16">
        <f>933.217094+483.788972</f>
        <v>1417.0060659999999</v>
      </c>
      <c r="BR539" s="10">
        <f>939.232153+415.598898</f>
        <v>1354.8310510000001</v>
      </c>
      <c r="BS539" s="10">
        <f>815.586298+375.311594</f>
        <v>1190.897892</v>
      </c>
      <c r="BT539" s="10">
        <f>814.640214+380.088976</f>
        <v>1194.72919</v>
      </c>
      <c r="BU539" s="10">
        <f>(427828839+403491741)/1000000</f>
        <v>831.32057999999995</v>
      </c>
      <c r="BV539" s="10">
        <f>325.487591+418.40759</f>
        <v>743.89518100000009</v>
      </c>
      <c r="BW539" s="10">
        <f>237.353359+461.969275</f>
        <v>699.32263399999999</v>
      </c>
      <c r="BX539" s="6"/>
      <c r="BY539" s="6"/>
      <c r="BZ539" s="6"/>
      <c r="CA539" s="6"/>
      <c r="CB539" s="6"/>
      <c r="CC539" s="6"/>
      <c r="CD539" s="6"/>
      <c r="CE539" s="6"/>
      <c r="CF539" s="5"/>
      <c r="CH539" s="5" t="s">
        <v>562</v>
      </c>
    </row>
    <row r="540" spans="1:86" outlineLevel="1">
      <c r="A540" s="3" t="s">
        <v>187</v>
      </c>
      <c r="B540" s="18" t="s">
        <v>188</v>
      </c>
      <c r="C540" s="19"/>
      <c r="D540" s="19"/>
      <c r="E540" s="19"/>
      <c r="F540" s="19"/>
      <c r="G540" s="19"/>
      <c r="H540" s="18">
        <f t="shared" ref="H540:O540" si="775">H532+SUM(H533:H538)</f>
        <v>1035.9492890000001</v>
      </c>
      <c r="I540" s="18">
        <f t="shared" si="775"/>
        <v>1451.8525030000001</v>
      </c>
      <c r="J540" s="18">
        <f t="shared" si="775"/>
        <v>2124.9440080000004</v>
      </c>
      <c r="K540" s="18">
        <f t="shared" si="775"/>
        <v>2641.449278</v>
      </c>
      <c r="L540" s="18">
        <f t="shared" si="775"/>
        <v>4156.7596969999995</v>
      </c>
      <c r="M540" s="18">
        <f t="shared" si="775"/>
        <v>8116.2040129999987</v>
      </c>
      <c r="N540" s="18">
        <f t="shared" si="775"/>
        <v>9761.4347780000007</v>
      </c>
      <c r="O540" s="18">
        <f t="shared" si="775"/>
        <v>11669.751007999999</v>
      </c>
      <c r="P540" s="18">
        <f>P532+SUM(P533:P539)</f>
        <v>20818.474462000002</v>
      </c>
      <c r="Q540" s="18">
        <f>Q532+SUM(Q533:Q539)</f>
        <v>31209.525064999998</v>
      </c>
      <c r="R540" s="18">
        <f>R532+SUM(R533:R539)</f>
        <v>118842.59195999999</v>
      </c>
      <c r="S540" s="18">
        <f>S532+SUM(S533:S539)</f>
        <v>144413.90166800001</v>
      </c>
      <c r="T540" s="20">
        <f t="shared" ref="T540:AD540" si="776">T563</f>
        <v>162048.47731299998</v>
      </c>
      <c r="U540" s="20">
        <f t="shared" ca="1" si="776"/>
        <v>162833.72294815688</v>
      </c>
      <c r="V540" s="20">
        <f t="shared" ca="1" si="776"/>
        <v>172285.7970053051</v>
      </c>
      <c r="W540" s="20">
        <f t="shared" ca="1" si="776"/>
        <v>185419.9891947679</v>
      </c>
      <c r="X540" s="20">
        <f t="shared" ca="1" si="776"/>
        <v>203557.38052487391</v>
      </c>
      <c r="Y540" s="20">
        <f t="shared" ca="1" si="776"/>
        <v>226431.64915116341</v>
      </c>
      <c r="Z540" s="20">
        <f t="shared" ca="1" si="776"/>
        <v>252410.19804641328</v>
      </c>
      <c r="AA540" s="20">
        <f t="shared" ca="1" si="776"/>
        <v>282790.67097220407</v>
      </c>
      <c r="AB540" s="20">
        <f t="shared" ca="1" si="776"/>
        <v>317588.7893926322</v>
      </c>
      <c r="AC540" s="20">
        <f t="shared" ca="1" si="776"/>
        <v>356664.42929438641</v>
      </c>
      <c r="AD540" s="20">
        <f t="shared" ca="1" si="776"/>
        <v>399395.97646891978</v>
      </c>
      <c r="AE540" s="20"/>
      <c r="AF540" s="19"/>
      <c r="AG540" s="19"/>
      <c r="AH540" s="19"/>
      <c r="AI540" s="19"/>
      <c r="AJ540" s="19"/>
      <c r="AK540" s="19"/>
      <c r="AL540" s="19"/>
      <c r="AM540" s="19"/>
      <c r="AN540" s="19"/>
      <c r="AO540" s="19"/>
      <c r="AP540" s="19"/>
      <c r="AQ540" s="19"/>
      <c r="AR540" s="19"/>
      <c r="AS540" s="19"/>
      <c r="AT540" s="19"/>
      <c r="AU540" s="19"/>
      <c r="AV540" s="19"/>
      <c r="AW540" s="19"/>
      <c r="AX540" s="19"/>
      <c r="AY540" s="18">
        <f>AY532+SUM(AY533:AY538)</f>
        <v>9761.4347780000007</v>
      </c>
      <c r="AZ540" s="19"/>
      <c r="BA540" s="19"/>
      <c r="BB540" s="19"/>
      <c r="BC540" s="18">
        <f>BC532+SUM(BC533:BC538)</f>
        <v>11669.751007999999</v>
      </c>
      <c r="BD540" s="18">
        <f>BD532+SUM(BD533:BD538)</f>
        <v>12403.793561999999</v>
      </c>
      <c r="BE540" s="18">
        <f>BE532+SUM(BE533:BE538)</f>
        <v>13471.475671</v>
      </c>
      <c r="BF540" s="18">
        <f>BF532+SUM(BF533:BF538)</f>
        <v>14729.392817000002</v>
      </c>
      <c r="BG540" s="18">
        <f t="shared" ref="BG540:BW540" si="777">BG532+SUM(BG533:BG539)</f>
        <v>20818.474462000002</v>
      </c>
      <c r="BH540" s="18">
        <f t="shared" si="777"/>
        <v>21389.664454999998</v>
      </c>
      <c r="BI540" s="18">
        <f t="shared" si="777"/>
        <v>23773.445204</v>
      </c>
      <c r="BJ540" s="18">
        <f t="shared" si="777"/>
        <v>28267.486269000001</v>
      </c>
      <c r="BK540" s="18">
        <f t="shared" si="777"/>
        <v>31209.525064999998</v>
      </c>
      <c r="BL540" s="18">
        <f t="shared" si="777"/>
        <v>31943.854078999997</v>
      </c>
      <c r="BM540" s="21">
        <f t="shared" si="777"/>
        <v>45741.806303000005</v>
      </c>
      <c r="BN540" s="21">
        <f t="shared" si="777"/>
        <v>49250.974526000005</v>
      </c>
      <c r="BO540" s="21">
        <f t="shared" si="777"/>
        <v>118842.59195999999</v>
      </c>
      <c r="BP540" s="21">
        <f t="shared" si="777"/>
        <v>109968.54280999998</v>
      </c>
      <c r="BQ540" s="21">
        <f t="shared" si="777"/>
        <v>112212.800709</v>
      </c>
      <c r="BR540" s="21">
        <f t="shared" si="777"/>
        <v>135558.25126399999</v>
      </c>
      <c r="BS540" s="21">
        <f t="shared" si="777"/>
        <v>144413.90166800001</v>
      </c>
      <c r="BT540" s="21">
        <f t="shared" si="777"/>
        <v>145941.58682500001</v>
      </c>
      <c r="BU540" s="21">
        <f t="shared" si="777"/>
        <v>154681.63278300001</v>
      </c>
      <c r="BV540" s="21">
        <f t="shared" si="777"/>
        <v>163227.45570699999</v>
      </c>
      <c r="BW540" s="21">
        <f t="shared" si="777"/>
        <v>162048.47731299998</v>
      </c>
      <c r="BX540" s="84"/>
      <c r="BY540" s="84"/>
      <c r="BZ540" s="84"/>
      <c r="CA540" s="84"/>
      <c r="CB540" s="84"/>
      <c r="CC540" s="84"/>
      <c r="CD540" s="84"/>
      <c r="CE540" s="84"/>
      <c r="CF540" s="22"/>
      <c r="CH540" s="5" t="s">
        <v>562</v>
      </c>
    </row>
    <row r="541" spans="1:86" outlineLevel="1">
      <c r="B541" s="11" t="s">
        <v>189</v>
      </c>
      <c r="C541" s="6"/>
      <c r="D541" s="6"/>
      <c r="E541" s="6"/>
      <c r="F541" s="6"/>
      <c r="G541" s="6"/>
      <c r="H541" s="25"/>
      <c r="I541" s="25"/>
      <c r="J541" s="23"/>
      <c r="K541" s="23"/>
      <c r="L541" s="23"/>
      <c r="M541" s="27"/>
      <c r="N541" s="27"/>
      <c r="O541" s="27"/>
      <c r="P541" s="27"/>
      <c r="Q541" s="27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10"/>
      <c r="AZ541" s="6"/>
      <c r="BA541" s="6"/>
      <c r="BB541" s="6"/>
      <c r="BC541" s="6"/>
      <c r="BD541" s="25"/>
      <c r="BE541" s="25"/>
      <c r="BF541" s="25"/>
      <c r="BG541" s="25"/>
      <c r="BH541" s="25"/>
      <c r="BI541" s="25"/>
      <c r="BJ541" s="25"/>
      <c r="BK541" s="25"/>
      <c r="BL541" s="23"/>
      <c r="BM541" s="26"/>
      <c r="BN541" s="23"/>
      <c r="BO541" s="23"/>
      <c r="BP541" s="6"/>
      <c r="BQ541" s="6"/>
      <c r="BR541" s="6"/>
      <c r="BS541" s="232"/>
      <c r="BT541" s="123"/>
      <c r="BU541" s="123"/>
      <c r="BV541" s="123"/>
      <c r="BW541" s="123"/>
      <c r="BX541" s="6"/>
      <c r="BY541" s="6"/>
      <c r="BZ541" s="6"/>
      <c r="CA541" s="6"/>
      <c r="CB541" s="6"/>
      <c r="CC541" s="6"/>
      <c r="CD541" s="6"/>
      <c r="CE541" s="6"/>
      <c r="CF541" s="5"/>
      <c r="CH541" s="5" t="s">
        <v>562</v>
      </c>
    </row>
    <row r="542" spans="1:86" outlineLevel="1">
      <c r="A542" s="3" t="s">
        <v>526</v>
      </c>
      <c r="B542" s="14" t="s">
        <v>190</v>
      </c>
      <c r="C542" s="10"/>
      <c r="D542" s="10"/>
      <c r="E542" s="10"/>
      <c r="F542" s="10"/>
      <c r="G542" s="10"/>
      <c r="H542" s="15">
        <v>0</v>
      </c>
      <c r="I542" s="15">
        <v>0</v>
      </c>
      <c r="J542" s="15">
        <v>0</v>
      </c>
      <c r="K542" s="15">
        <v>0</v>
      </c>
      <c r="L542" s="15">
        <v>0</v>
      </c>
      <c r="M542" s="15">
        <v>0</v>
      </c>
      <c r="N542" s="15">
        <v>0</v>
      </c>
      <c r="O542" s="15">
        <v>453.47862800000001</v>
      </c>
      <c r="P542" s="15">
        <f>BG542</f>
        <v>774.59934099999998</v>
      </c>
      <c r="Q542" s="15">
        <f>BK542</f>
        <v>3560.4886409999999</v>
      </c>
      <c r="R542" s="10">
        <v>12710.213398</v>
      </c>
      <c r="S542" s="10">
        <v>6887.3095890000004</v>
      </c>
      <c r="T542" s="10">
        <f>BW542</f>
        <v>16316.282472999999</v>
      </c>
      <c r="U542" s="6">
        <f t="shared" ref="U542:AD542" si="778">+T542*0.6</f>
        <v>9789.7694837999989</v>
      </c>
      <c r="V542" s="6">
        <f t="shared" si="778"/>
        <v>5873.8616902799995</v>
      </c>
      <c r="W542" s="6">
        <f t="shared" si="778"/>
        <v>3524.3170141679998</v>
      </c>
      <c r="X542" s="6">
        <f t="shared" si="778"/>
        <v>2114.5902085007997</v>
      </c>
      <c r="Y542" s="6">
        <f t="shared" si="778"/>
        <v>1268.7541251004798</v>
      </c>
      <c r="Z542" s="6">
        <f t="shared" si="778"/>
        <v>761.25247506028779</v>
      </c>
      <c r="AA542" s="6">
        <f t="shared" si="778"/>
        <v>456.75148503617265</v>
      </c>
      <c r="AB542" s="6">
        <f t="shared" si="778"/>
        <v>274.05089102170359</v>
      </c>
      <c r="AC542" s="6">
        <f t="shared" si="778"/>
        <v>164.43053461302216</v>
      </c>
      <c r="AD542" s="6">
        <f t="shared" si="778"/>
        <v>98.658320767813294</v>
      </c>
      <c r="AE542" s="6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>
        <v>0</v>
      </c>
      <c r="AZ542" s="10"/>
      <c r="BA542" s="10"/>
      <c r="BB542" s="10"/>
      <c r="BC542" s="10">
        <v>453.47862800000001</v>
      </c>
      <c r="BD542" s="15">
        <v>452.201931</v>
      </c>
      <c r="BE542" s="15">
        <v>446.63187399999998</v>
      </c>
      <c r="BF542" s="15">
        <v>536.99618499999997</v>
      </c>
      <c r="BG542" s="15">
        <v>774.59934099999998</v>
      </c>
      <c r="BH542" s="15">
        <v>947.76615900000002</v>
      </c>
      <c r="BI542" s="15">
        <v>1540.973395</v>
      </c>
      <c r="BJ542" s="15">
        <v>2377.4170439999998</v>
      </c>
      <c r="BK542" s="15">
        <v>3560.4886409999999</v>
      </c>
      <c r="BL542" s="10">
        <v>3115.8033700000001</v>
      </c>
      <c r="BM542" s="10">
        <v>5924.9059999999999</v>
      </c>
      <c r="BN542" s="10">
        <v>5819.3780280000001</v>
      </c>
      <c r="BO542" s="10">
        <v>12710.213398</v>
      </c>
      <c r="BP542" s="16">
        <v>11496.943520000001</v>
      </c>
      <c r="BQ542" s="16">
        <v>11329.152241</v>
      </c>
      <c r="BR542" s="10">
        <v>13571.544003999999</v>
      </c>
      <c r="BS542" s="10">
        <v>6887.3095890000004</v>
      </c>
      <c r="BT542" s="10">
        <v>10692.421425</v>
      </c>
      <c r="BU542" s="10">
        <v>10587.149173</v>
      </c>
      <c r="BV542" s="10">
        <v>14838.803823</v>
      </c>
      <c r="BW542" s="10">
        <v>16316.282472999999</v>
      </c>
      <c r="BX542" s="6"/>
      <c r="BY542" s="6"/>
      <c r="BZ542" s="6"/>
      <c r="CA542" s="6"/>
      <c r="CB542" s="6"/>
      <c r="CC542" s="6"/>
      <c r="CD542" s="6"/>
      <c r="CE542" s="6"/>
      <c r="CF542" s="5"/>
      <c r="CH542" s="5" t="s">
        <v>562</v>
      </c>
    </row>
    <row r="543" spans="1:86" outlineLevel="1">
      <c r="A543" s="3" t="s">
        <v>191</v>
      </c>
      <c r="B543" s="14" t="s">
        <v>192</v>
      </c>
      <c r="C543" s="10"/>
      <c r="D543" s="10"/>
      <c r="E543" s="10"/>
      <c r="F543" s="10"/>
      <c r="G543" s="10"/>
      <c r="H543" s="15">
        <v>72.353391999999999</v>
      </c>
      <c r="I543" s="15">
        <v>151.408198</v>
      </c>
      <c r="J543" s="15">
        <v>230.904562</v>
      </c>
      <c r="K543" s="15">
        <v>138.65759299999999</v>
      </c>
      <c r="L543" s="15">
        <v>291.04574300000002</v>
      </c>
      <c r="M543" s="15">
        <v>595.28328099999999</v>
      </c>
      <c r="N543" s="15">
        <v>763.25607400000001</v>
      </c>
      <c r="O543" s="15">
        <v>1023.672151</v>
      </c>
      <c r="P543" s="15">
        <f>BG543</f>
        <v>1637.545824</v>
      </c>
      <c r="Q543" s="15">
        <f>BK543</f>
        <v>2304.1115249999998</v>
      </c>
      <c r="R543" s="10">
        <v>5944.5016809999997</v>
      </c>
      <c r="S543" s="10">
        <v>7278.7910819999997</v>
      </c>
      <c r="T543" s="10">
        <f t="shared" ref="T543:T561" si="779">BW543</f>
        <v>7459.2032520000002</v>
      </c>
      <c r="U543" s="6">
        <f t="shared" ref="U543:AD543" ca="1" si="780">U647</f>
        <v>5684.6922456069651</v>
      </c>
      <c r="V543" s="6">
        <f t="shared" ca="1" si="780"/>
        <v>6051.8981327879983</v>
      </c>
      <c r="W543" s="6">
        <f t="shared" ca="1" si="780"/>
        <v>6089.8546878311881</v>
      </c>
      <c r="X543" s="6">
        <f t="shared" ca="1" si="780"/>
        <v>6354.7309536523198</v>
      </c>
      <c r="Y543" s="6">
        <f t="shared" ca="1" si="780"/>
        <v>6651.002140029962</v>
      </c>
      <c r="Z543" s="6">
        <f t="shared" ca="1" si="780"/>
        <v>6806.4063714934173</v>
      </c>
      <c r="AA543" s="6">
        <f t="shared" ca="1" si="780"/>
        <v>6891.0570311532192</v>
      </c>
      <c r="AB543" s="6">
        <f t="shared" ca="1" si="780"/>
        <v>6799.1512960362224</v>
      </c>
      <c r="AC543" s="6">
        <f t="shared" ca="1" si="780"/>
        <v>6893.0356493662293</v>
      </c>
      <c r="AD543" s="6">
        <f t="shared" ca="1" si="780"/>
        <v>6825.2765905348497</v>
      </c>
      <c r="AE543" s="6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>
        <v>763.25607400000001</v>
      </c>
      <c r="AZ543" s="10"/>
      <c r="BA543" s="10"/>
      <c r="BB543" s="10"/>
      <c r="BC543" s="10">
        <v>1023.672151</v>
      </c>
      <c r="BD543" s="15">
        <v>1472.6837969999999</v>
      </c>
      <c r="BE543" s="15">
        <v>1532.591707</v>
      </c>
      <c r="BF543" s="15">
        <v>1595.4094190000001</v>
      </c>
      <c r="BG543" s="15">
        <v>1637.545824</v>
      </c>
      <c r="BH543" s="15">
        <v>2082.4388680000002</v>
      </c>
      <c r="BI543" s="15">
        <v>2171.1108089999998</v>
      </c>
      <c r="BJ543" s="15">
        <v>2152.7696460000002</v>
      </c>
      <c r="BK543" s="15">
        <v>2304.1115249999998</v>
      </c>
      <c r="BL543" s="10">
        <v>3517.15834</v>
      </c>
      <c r="BM543" s="10">
        <v>3794.2255690000002</v>
      </c>
      <c r="BN543" s="10">
        <v>4143.3745429999999</v>
      </c>
      <c r="BO543" s="10">
        <v>5944.5016809999997</v>
      </c>
      <c r="BP543" s="16">
        <v>6054.2561910000004</v>
      </c>
      <c r="BQ543" s="16">
        <v>7654.0673909999996</v>
      </c>
      <c r="BR543" s="10">
        <v>7679.7805719999997</v>
      </c>
      <c r="BS543" s="10">
        <v>7278.7910819999997</v>
      </c>
      <c r="BT543" s="10">
        <v>6416.8235210000003</v>
      </c>
      <c r="BU543" s="10">
        <v>7029.5058200000003</v>
      </c>
      <c r="BV543" s="10">
        <v>8314.0609920000006</v>
      </c>
      <c r="BW543" s="10">
        <v>7459.2032520000002</v>
      </c>
      <c r="BX543" s="6"/>
      <c r="BY543" s="6"/>
      <c r="BZ543" s="6"/>
      <c r="CA543" s="6"/>
      <c r="CB543" s="6"/>
      <c r="CC543" s="6"/>
      <c r="CD543" s="6"/>
      <c r="CE543" s="6"/>
      <c r="CF543" s="5"/>
      <c r="CH543" s="5" t="s">
        <v>562</v>
      </c>
    </row>
    <row r="544" spans="1:86" outlineLevel="1">
      <c r="B544" s="14" t="s">
        <v>193</v>
      </c>
      <c r="C544" s="10"/>
      <c r="D544" s="10"/>
      <c r="E544" s="10"/>
      <c r="F544" s="10"/>
      <c r="G544" s="10"/>
      <c r="H544" s="15">
        <v>2.3291550000000001</v>
      </c>
      <c r="I544" s="15">
        <v>0.40712799999999999</v>
      </c>
      <c r="J544" s="15">
        <v>0.24990999999999999</v>
      </c>
      <c r="K544" s="15">
        <v>0.24990999999999999</v>
      </c>
      <c r="L544" s="15">
        <v>0.465082</v>
      </c>
      <c r="M544" s="15">
        <v>11.866285</v>
      </c>
      <c r="N544" s="15">
        <v>9.1955580000000001</v>
      </c>
      <c r="O544" s="15">
        <v>10.395726</v>
      </c>
      <c r="P544" s="15">
        <v>11.21678</v>
      </c>
      <c r="Q544" s="15">
        <v>17.049102999999999</v>
      </c>
      <c r="R544" s="15">
        <v>2062.9659529999999</v>
      </c>
      <c r="S544" s="17"/>
      <c r="T544" s="10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>
        <v>9.1955580000000001</v>
      </c>
      <c r="AZ544" s="10"/>
      <c r="BA544" s="10"/>
      <c r="BB544" s="10"/>
      <c r="BC544" s="10">
        <v>10.395726</v>
      </c>
      <c r="BD544" s="15">
        <v>0</v>
      </c>
      <c r="BE544" s="15">
        <v>0</v>
      </c>
      <c r="BF544" s="15">
        <v>0</v>
      </c>
      <c r="BG544" s="15">
        <v>11.21678</v>
      </c>
      <c r="BH544" s="15">
        <v>0</v>
      </c>
      <c r="BI544" s="15">
        <v>0</v>
      </c>
      <c r="BJ544" s="15">
        <v>0</v>
      </c>
      <c r="BK544" s="15">
        <v>17.049102999999999</v>
      </c>
      <c r="BL544" s="15"/>
      <c r="BM544" s="15"/>
      <c r="BN544" s="15"/>
      <c r="BO544" s="15">
        <v>2062.9659529999999</v>
      </c>
      <c r="BP544" s="16"/>
      <c r="BQ544" s="16"/>
      <c r="BR544" s="10"/>
      <c r="BS544" s="17"/>
      <c r="BT544" s="17"/>
      <c r="BU544" s="17"/>
      <c r="BV544" s="17"/>
      <c r="BW544" s="17"/>
      <c r="BX544" s="6"/>
      <c r="BY544" s="6"/>
      <c r="BZ544" s="6"/>
      <c r="CA544" s="6"/>
      <c r="CB544" s="6"/>
      <c r="CC544" s="6"/>
      <c r="CD544" s="6"/>
      <c r="CE544" s="6"/>
      <c r="CF544" s="5"/>
      <c r="CH544" s="5" t="s">
        <v>562</v>
      </c>
    </row>
    <row r="545" spans="1:86" outlineLevel="1">
      <c r="B545" s="14" t="s">
        <v>194</v>
      </c>
      <c r="C545" s="10"/>
      <c r="D545" s="10"/>
      <c r="E545" s="10"/>
      <c r="F545" s="10"/>
      <c r="G545" s="10"/>
      <c r="H545" s="15">
        <v>21.343900999999999</v>
      </c>
      <c r="I545" s="15">
        <v>32.778109999999998</v>
      </c>
      <c r="J545" s="15">
        <v>65.497141999999997</v>
      </c>
      <c r="K545" s="15">
        <v>65.590151000000006</v>
      </c>
      <c r="L545" s="15">
        <v>130.53966</v>
      </c>
      <c r="M545" s="15">
        <v>159.25850800000001</v>
      </c>
      <c r="N545" s="15">
        <v>145.524036</v>
      </c>
      <c r="O545" s="15">
        <v>229.96992399999999</v>
      </c>
      <c r="P545" s="15">
        <f>BG545</f>
        <v>257.64176300000003</v>
      </c>
      <c r="Q545" s="15">
        <f>BK545</f>
        <v>525.157105</v>
      </c>
      <c r="R545" s="10">
        <v>1196.6918390000001</v>
      </c>
      <c r="S545" s="10">
        <v>2508.4307570000001</v>
      </c>
      <c r="T545" s="10">
        <f t="shared" si="779"/>
        <v>3464.6920730000002</v>
      </c>
      <c r="U545" s="6">
        <f t="shared" ref="U545:AD545" ca="1" si="781">U651</f>
        <v>3439.4776612075743</v>
      </c>
      <c r="V545" s="6">
        <f t="shared" ca="1" si="781"/>
        <v>4121.0544428032554</v>
      </c>
      <c r="W545" s="6">
        <f t="shared" ca="1" si="781"/>
        <v>4907.1021870138538</v>
      </c>
      <c r="X545" s="6">
        <f t="shared" ca="1" si="781"/>
        <v>5766.9625114145983</v>
      </c>
      <c r="Y545" s="6">
        <f t="shared" ca="1" si="781"/>
        <v>6714.2646841646774</v>
      </c>
      <c r="Z545" s="6">
        <f t="shared" ca="1" si="781"/>
        <v>7655.9865068161243</v>
      </c>
      <c r="AA545" s="6">
        <f t="shared" ca="1" si="781"/>
        <v>8672.6473855489294</v>
      </c>
      <c r="AB545" s="6">
        <f t="shared" ca="1" si="781"/>
        <v>9745.8754036991977</v>
      </c>
      <c r="AC545" s="6">
        <f t="shared" ca="1" si="781"/>
        <v>11009.643002332679</v>
      </c>
      <c r="AD545" s="6">
        <f t="shared" ca="1" si="781"/>
        <v>12308.051884741051</v>
      </c>
      <c r="AE545" s="6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>
        <v>145.524036</v>
      </c>
      <c r="AZ545" s="10"/>
      <c r="BA545" s="10"/>
      <c r="BB545" s="10"/>
      <c r="BC545" s="10">
        <v>229.96992399999999</v>
      </c>
      <c r="BD545" s="15">
        <v>206.12562</v>
      </c>
      <c r="BE545" s="15">
        <v>265.013465</v>
      </c>
      <c r="BF545" s="15">
        <v>291.42620299999999</v>
      </c>
      <c r="BG545" s="15">
        <v>257.64176300000003</v>
      </c>
      <c r="BH545" s="15">
        <v>246.317205</v>
      </c>
      <c r="BI545" s="15">
        <v>301.00224100000003</v>
      </c>
      <c r="BJ545" s="15">
        <v>343.56428299999999</v>
      </c>
      <c r="BK545" s="15">
        <v>525.157105</v>
      </c>
      <c r="BL545" s="10">
        <v>519.34419000000003</v>
      </c>
      <c r="BM545" s="10">
        <v>694.19936600000005</v>
      </c>
      <c r="BN545" s="10">
        <v>769.61680200000001</v>
      </c>
      <c r="BO545" s="10">
        <v>1196.6918390000001</v>
      </c>
      <c r="BP545" s="16">
        <v>1049.986615</v>
      </c>
      <c r="BQ545" s="16">
        <v>1115.5813230000001</v>
      </c>
      <c r="BR545" s="10">
        <v>1668.3081460000001</v>
      </c>
      <c r="BS545" s="10">
        <v>2508.4307570000001</v>
      </c>
      <c r="BT545" s="10">
        <v>2436.5263749999999</v>
      </c>
      <c r="BU545" s="10">
        <v>2578.0072479999999</v>
      </c>
      <c r="BV545" s="10">
        <v>2975.629445</v>
      </c>
      <c r="BW545" s="10">
        <v>3464.6920730000002</v>
      </c>
      <c r="BX545" s="6"/>
      <c r="BY545" s="6"/>
      <c r="BZ545" s="6"/>
      <c r="CA545" s="6"/>
      <c r="CB545" s="6"/>
      <c r="CC545" s="6"/>
      <c r="CD545" s="6"/>
      <c r="CE545" s="6"/>
      <c r="CF545" s="5"/>
      <c r="CH545" s="5" t="s">
        <v>562</v>
      </c>
    </row>
    <row r="546" spans="1:86" outlineLevel="1">
      <c r="B546" s="14" t="s">
        <v>195</v>
      </c>
      <c r="C546" s="10"/>
      <c r="D546" s="10"/>
      <c r="E546" s="10"/>
      <c r="F546" s="10"/>
      <c r="G546" s="10"/>
      <c r="H546" s="15">
        <v>16.050032000000002</v>
      </c>
      <c r="I546" s="15">
        <v>34.913392000000002</v>
      </c>
      <c r="J546" s="15">
        <v>49.079149000000001</v>
      </c>
      <c r="K546" s="15">
        <v>54.745685999999999</v>
      </c>
      <c r="L546" s="15">
        <v>142.25669500000001</v>
      </c>
      <c r="M546" s="15">
        <v>161.77224100000001</v>
      </c>
      <c r="N546" s="15">
        <v>220.60412299999999</v>
      </c>
      <c r="O546" s="15">
        <v>216.45600999999999</v>
      </c>
      <c r="P546" s="15">
        <f>BG546</f>
        <v>315.29965600000003</v>
      </c>
      <c r="Q546" s="15">
        <f>BK546</f>
        <v>339.45231899999999</v>
      </c>
      <c r="R546" s="10">
        <v>1641.3794250000001</v>
      </c>
      <c r="S546" s="10">
        <v>1084.2414289999999</v>
      </c>
      <c r="T546" s="10">
        <f t="shared" si="779"/>
        <v>927.46308899999997</v>
      </c>
      <c r="U546" s="6">
        <f t="shared" ref="U546:AD546" ca="1" si="782">U655</f>
        <v>447.00823997643414</v>
      </c>
      <c r="V546" s="6">
        <f t="shared" ca="1" si="782"/>
        <v>811.62821979665421</v>
      </c>
      <c r="W546" s="6">
        <f t="shared" ca="1" si="782"/>
        <v>675.83111531531574</v>
      </c>
      <c r="X546" s="6">
        <f t="shared" ca="1" si="782"/>
        <v>751.72038007237961</v>
      </c>
      <c r="Y546" s="6">
        <f t="shared" ca="1" si="782"/>
        <v>669.83760892588919</v>
      </c>
      <c r="Z546" s="6">
        <f t="shared" ca="1" si="782"/>
        <v>696.83591396264796</v>
      </c>
      <c r="AA546" s="6">
        <f t="shared" ca="1" si="782"/>
        <v>718.46356457535285</v>
      </c>
      <c r="AB546" s="6">
        <f t="shared" ca="1" si="782"/>
        <v>749.02068900335337</v>
      </c>
      <c r="AC546" s="6">
        <f t="shared" ca="1" si="782"/>
        <v>730.76395196700321</v>
      </c>
      <c r="AD546" s="6">
        <f t="shared" ca="1" si="782"/>
        <v>730.95142611199276</v>
      </c>
      <c r="AE546" s="6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>
        <v>220.60412299999999</v>
      </c>
      <c r="AZ546" s="10"/>
      <c r="BA546" s="10"/>
      <c r="BB546" s="10"/>
      <c r="BC546" s="10">
        <v>216.45600999999999</v>
      </c>
      <c r="BD546" s="15">
        <v>216.03459599999999</v>
      </c>
      <c r="BE546" s="15">
        <v>265.93026099999997</v>
      </c>
      <c r="BF546" s="15">
        <v>317.40009300000003</v>
      </c>
      <c r="BG546" s="15">
        <v>315.29965600000003</v>
      </c>
      <c r="BH546" s="15">
        <v>385.22609699999998</v>
      </c>
      <c r="BI546" s="15">
        <v>363.28481299999999</v>
      </c>
      <c r="BJ546" s="15">
        <v>366.278593</v>
      </c>
      <c r="BK546" s="15">
        <v>339.45231899999999</v>
      </c>
      <c r="BL546" s="10">
        <v>429.76960800000001</v>
      </c>
      <c r="BM546" s="10">
        <v>416.53945800000002</v>
      </c>
      <c r="BN546" s="10">
        <v>549.25805500000001</v>
      </c>
      <c r="BO546" s="10">
        <v>1641.3794250000001</v>
      </c>
      <c r="BP546" s="16">
        <v>1326.151122</v>
      </c>
      <c r="BQ546" s="16">
        <v>934.73313199999996</v>
      </c>
      <c r="BR546" s="10">
        <v>987.20797300000004</v>
      </c>
      <c r="BS546" s="10">
        <v>1084.2414289999999</v>
      </c>
      <c r="BT546" s="10">
        <v>669.15453600000001</v>
      </c>
      <c r="BU546" s="10">
        <v>928.723072</v>
      </c>
      <c r="BV546" s="10">
        <v>833.78806499999996</v>
      </c>
      <c r="BW546" s="10">
        <v>927.46308899999997</v>
      </c>
      <c r="BX546" s="6"/>
      <c r="BY546" s="6"/>
      <c r="BZ546" s="6"/>
      <c r="CA546" s="6"/>
      <c r="CB546" s="6"/>
      <c r="CC546" s="6"/>
      <c r="CD546" s="6"/>
      <c r="CE546" s="6"/>
      <c r="CF546" s="5"/>
      <c r="CH546" s="5" t="s">
        <v>562</v>
      </c>
    </row>
    <row r="547" spans="1:86" outlineLevel="1">
      <c r="A547" s="3" t="s">
        <v>196</v>
      </c>
      <c r="B547" s="14" t="s">
        <v>197</v>
      </c>
      <c r="C547" s="10"/>
      <c r="D547" s="10"/>
      <c r="E547" s="10"/>
      <c r="F547" s="10"/>
      <c r="G547" s="10"/>
      <c r="H547" s="15">
        <v>28.172743000000001</v>
      </c>
      <c r="I547" s="15">
        <v>38.178865999999999</v>
      </c>
      <c r="J547" s="15">
        <v>96.672341000000003</v>
      </c>
      <c r="K547" s="15">
        <v>187.57641599999999</v>
      </c>
      <c r="L547" s="15">
        <v>276.79204900000002</v>
      </c>
      <c r="M547" s="15">
        <v>595.73715200000004</v>
      </c>
      <c r="N547" s="15">
        <v>1090.8520659999999</v>
      </c>
      <c r="O547" s="15">
        <v>1414.865769</v>
      </c>
      <c r="P547" s="15">
        <f>BG547</f>
        <v>2451.93145</v>
      </c>
      <c r="Q547" s="15">
        <f>BK547</f>
        <v>3937.4775220000001</v>
      </c>
      <c r="R547" s="10">
        <v>5955.8273060000001</v>
      </c>
      <c r="S547" s="10">
        <v>8190.8400570000003</v>
      </c>
      <c r="T547" s="10">
        <f t="shared" si="779"/>
        <v>7867.5325290000001</v>
      </c>
      <c r="U547" s="6">
        <f t="shared" ref="U547:AD547" ca="1" si="783">U659</f>
        <v>9356.2689231045752</v>
      </c>
      <c r="V547" s="6">
        <f t="shared" ca="1" si="783"/>
        <v>11759.091683398845</v>
      </c>
      <c r="W547" s="6">
        <f t="shared" ca="1" si="783"/>
        <v>14370.488678725622</v>
      </c>
      <c r="X547" s="6">
        <f t="shared" ca="1" si="783"/>
        <v>17302.532826557304</v>
      </c>
      <c r="Y547" s="6">
        <f t="shared" ca="1" si="783"/>
        <v>20650.858089063775</v>
      </c>
      <c r="Z547" s="6">
        <f t="shared" ca="1" si="783"/>
        <v>23907.700631584783</v>
      </c>
      <c r="AA547" s="6">
        <f t="shared" ca="1" si="783"/>
        <v>27432.377011182241</v>
      </c>
      <c r="AB547" s="6">
        <f t="shared" ca="1" si="783"/>
        <v>31230.591419327706</v>
      </c>
      <c r="AC547" s="6">
        <f t="shared" ca="1" si="783"/>
        <v>35280.326090358525</v>
      </c>
      <c r="AD547" s="6">
        <f t="shared" ca="1" si="783"/>
        <v>39441.068519543522</v>
      </c>
      <c r="AE547" s="6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>
        <v>1090.8520659999999</v>
      </c>
      <c r="AZ547" s="10"/>
      <c r="BA547" s="10"/>
      <c r="BB547" s="10"/>
      <c r="BC547" s="10">
        <v>1414.865769</v>
      </c>
      <c r="BD547" s="15">
        <v>1330.8906480000001</v>
      </c>
      <c r="BE547" s="15">
        <v>1834.217371</v>
      </c>
      <c r="BF547" s="15">
        <v>1932.614867</v>
      </c>
      <c r="BG547" s="15">
        <v>2451.93145</v>
      </c>
      <c r="BH547" s="15">
        <v>2082.3980769999998</v>
      </c>
      <c r="BI547" s="15">
        <v>3071.9031559999999</v>
      </c>
      <c r="BJ547" s="15">
        <v>3381.7529989999998</v>
      </c>
      <c r="BK547" s="15">
        <v>3937.4775220000001</v>
      </c>
      <c r="BL547" s="10">
        <v>3375.4656190000001</v>
      </c>
      <c r="BM547" s="10">
        <v>4767.9229690000002</v>
      </c>
      <c r="BN547" s="10">
        <v>5360.5713009999999</v>
      </c>
      <c r="BO547" s="10">
        <v>5955.8273060000001</v>
      </c>
      <c r="BP547" s="16">
        <v>4402.7318649999997</v>
      </c>
      <c r="BQ547" s="16">
        <v>5468.0536099999999</v>
      </c>
      <c r="BR547" s="10">
        <v>5725.9908400000004</v>
      </c>
      <c r="BS547" s="10">
        <v>8190.8400570000003</v>
      </c>
      <c r="BT547" s="10">
        <v>6275.6085460000004</v>
      </c>
      <c r="BU547" s="10">
        <v>7782.8911239999998</v>
      </c>
      <c r="BV547" s="10">
        <v>8771.5014449999999</v>
      </c>
      <c r="BW547" s="10">
        <v>7867.5325290000001</v>
      </c>
      <c r="BX547" s="6"/>
      <c r="BY547" s="6"/>
      <c r="BZ547" s="6"/>
      <c r="CA547" s="6"/>
      <c r="CB547" s="6"/>
      <c r="CC547" s="6"/>
      <c r="CD547" s="6"/>
      <c r="CE547" s="6"/>
      <c r="CF547" s="5"/>
      <c r="CH547" s="5" t="s">
        <v>562</v>
      </c>
    </row>
    <row r="548" spans="1:86" outlineLevel="1">
      <c r="B548" s="14" t="s">
        <v>198</v>
      </c>
      <c r="C548" s="10"/>
      <c r="D548" s="10"/>
      <c r="E548" s="10"/>
      <c r="F548" s="10"/>
      <c r="G548" s="10"/>
      <c r="H548" s="15">
        <v>19.776192999999999</v>
      </c>
      <c r="I548" s="15">
        <v>29.566711999999999</v>
      </c>
      <c r="J548" s="15">
        <v>44.659657000000003</v>
      </c>
      <c r="K548" s="15">
        <v>58.046061999999999</v>
      </c>
      <c r="L548" s="15">
        <v>88.254996000000006</v>
      </c>
      <c r="M548" s="15">
        <v>121.319301</v>
      </c>
      <c r="N548" s="15">
        <v>161.83853099999999</v>
      </c>
      <c r="O548" s="15">
        <v>217.54815300000001</v>
      </c>
      <c r="P548" s="15">
        <f>BG548</f>
        <v>284.66893499999998</v>
      </c>
      <c r="Q548" s="15">
        <f>BK548</f>
        <v>430.85290800000001</v>
      </c>
      <c r="R548" s="10">
        <v>593.34681599999999</v>
      </c>
      <c r="S548" s="10">
        <v>658.17067999999995</v>
      </c>
      <c r="T548" s="10">
        <f t="shared" si="779"/>
        <v>609.62164299999995</v>
      </c>
      <c r="U548" s="6">
        <f t="shared" ref="U548:AD548" ca="1" si="784">U663</f>
        <v>1028.6585968241175</v>
      </c>
      <c r="V548" s="6">
        <f t="shared" ca="1" si="784"/>
        <v>1277.6229391441329</v>
      </c>
      <c r="W548" s="6">
        <f t="shared" ca="1" si="784"/>
        <v>1542.7631875839008</v>
      </c>
      <c r="X548" s="6">
        <f t="shared" ca="1" si="784"/>
        <v>1857.5367402983704</v>
      </c>
      <c r="Y548" s="6">
        <f t="shared" ca="1" si="784"/>
        <v>2217.0007133433205</v>
      </c>
      <c r="Z548" s="6">
        <f t="shared" ca="1" si="784"/>
        <v>2535.7200207524497</v>
      </c>
      <c r="AA548" s="6">
        <f t="shared" ca="1" si="784"/>
        <v>2909.5574131535814</v>
      </c>
      <c r="AB548" s="6">
        <f t="shared" ca="1" si="784"/>
        <v>3312.4070416586724</v>
      </c>
      <c r="AC548" s="6">
        <f t="shared" ca="1" si="784"/>
        <v>3741.9336382273814</v>
      </c>
      <c r="AD548" s="6">
        <f t="shared" ca="1" si="784"/>
        <v>4183.2340393600689</v>
      </c>
      <c r="AE548" s="6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>
        <v>161.83853099999999</v>
      </c>
      <c r="AZ548" s="10"/>
      <c r="BA548" s="10"/>
      <c r="BB548" s="10"/>
      <c r="BC548" s="10">
        <v>217.54815300000001</v>
      </c>
      <c r="BD548" s="15">
        <v>228.917574</v>
      </c>
      <c r="BE548" s="15">
        <v>251.719921</v>
      </c>
      <c r="BF548" s="15">
        <v>263.195944</v>
      </c>
      <c r="BG548" s="15">
        <v>284.66893499999998</v>
      </c>
      <c r="BH548" s="15">
        <v>326.35675600000002</v>
      </c>
      <c r="BI548" s="15">
        <v>373.83876500000002</v>
      </c>
      <c r="BJ548" s="15">
        <v>410.53609399999999</v>
      </c>
      <c r="BK548" s="15">
        <v>430.85290800000001</v>
      </c>
      <c r="BL548" s="10">
        <v>498.63996600000002</v>
      </c>
      <c r="BM548" s="10">
        <v>542.97515499999997</v>
      </c>
      <c r="BN548" s="10">
        <v>575.42030699999998</v>
      </c>
      <c r="BO548" s="10">
        <v>593.34681599999999</v>
      </c>
      <c r="BP548" s="16">
        <v>621.64490799999999</v>
      </c>
      <c r="BQ548" s="16">
        <v>633.47683300000006</v>
      </c>
      <c r="BR548" s="10">
        <v>658.40804700000001</v>
      </c>
      <c r="BS548" s="10">
        <v>658.17067999999995</v>
      </c>
      <c r="BT548" s="10">
        <v>643.18603599999994</v>
      </c>
      <c r="BU548" s="10">
        <v>631.24868400000003</v>
      </c>
      <c r="BV548" s="10">
        <v>625.38727100000006</v>
      </c>
      <c r="BW548" s="10">
        <v>609.62164299999995</v>
      </c>
      <c r="BX548" s="6"/>
      <c r="BY548" s="6"/>
      <c r="BZ548" s="6"/>
      <c r="CA548" s="6"/>
      <c r="CB548" s="6"/>
      <c r="CC548" s="6"/>
      <c r="CD548" s="6"/>
      <c r="CE548" s="6"/>
      <c r="CF548" s="5"/>
      <c r="CH548" s="5" t="s">
        <v>562</v>
      </c>
    </row>
    <row r="549" spans="1:86" outlineLevel="1">
      <c r="A549" s="28" t="s">
        <v>491</v>
      </c>
      <c r="B549" s="14" t="s">
        <v>199</v>
      </c>
      <c r="C549" s="10"/>
      <c r="D549" s="10"/>
      <c r="E549" s="10"/>
      <c r="F549" s="10"/>
      <c r="G549" s="10"/>
      <c r="H549" s="29">
        <v>110.288657</v>
      </c>
      <c r="I549" s="29">
        <v>133.792867</v>
      </c>
      <c r="J549" s="29">
        <v>184.97838300000001</v>
      </c>
      <c r="K549" s="29">
        <v>121.171707</v>
      </c>
      <c r="L549" s="29">
        <v>229.18723700000001</v>
      </c>
      <c r="M549" s="29">
        <v>235.66174699999999</v>
      </c>
      <c r="N549" s="29">
        <v>176.78986499999999</v>
      </c>
      <c r="O549" s="29">
        <v>343.757881</v>
      </c>
      <c r="P549" s="29">
        <v>635.10494900000003</v>
      </c>
      <c r="Q549" s="29">
        <v>1600.113658</v>
      </c>
      <c r="R549" s="10">
        <v>3561.1676499999999</v>
      </c>
      <c r="S549" s="10">
        <v>3687.2425920000001</v>
      </c>
      <c r="T549" s="10">
        <f t="shared" si="779"/>
        <v>5515.137342</v>
      </c>
      <c r="U549" s="6">
        <f t="shared" ref="U549:AD549" ca="1" si="785">U667</f>
        <v>6382.5519941808025</v>
      </c>
      <c r="V549" s="6">
        <f t="shared" ca="1" si="785"/>
        <v>7927.3092775598498</v>
      </c>
      <c r="W549" s="6">
        <f t="shared" ca="1" si="785"/>
        <v>9572.4337402742585</v>
      </c>
      <c r="X549" s="6">
        <f t="shared" ca="1" si="785"/>
        <v>11525.519606465321</v>
      </c>
      <c r="Y549" s="6">
        <f t="shared" ca="1" si="785"/>
        <v>13755.897600755767</v>
      </c>
      <c r="Z549" s="6">
        <f t="shared" ca="1" si="785"/>
        <v>15733.465821512962</v>
      </c>
      <c r="AA549" s="6">
        <f t="shared" ca="1" si="785"/>
        <v>18053.027045942377</v>
      </c>
      <c r="AB549" s="6">
        <f t="shared" ca="1" si="785"/>
        <v>20552.601450617083</v>
      </c>
      <c r="AC549" s="6">
        <f t="shared" ca="1" si="785"/>
        <v>23217.699320743621</v>
      </c>
      <c r="AD549" s="6">
        <f t="shared" ca="1" si="785"/>
        <v>25955.850505187387</v>
      </c>
      <c r="AE549" s="6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>
        <v>176.78986499999999</v>
      </c>
      <c r="AZ549" s="10"/>
      <c r="BA549" s="10"/>
      <c r="BB549" s="10"/>
      <c r="BC549" s="10">
        <v>343.757881</v>
      </c>
      <c r="BD549" s="29">
        <v>375.25474300000002</v>
      </c>
      <c r="BE549" s="29">
        <v>406.17032799999998</v>
      </c>
      <c r="BF549" s="29">
        <v>662.62905799999999</v>
      </c>
      <c r="BG549" s="29">
        <v>635.10494900000003</v>
      </c>
      <c r="BH549" s="29">
        <v>724.90635999999995</v>
      </c>
      <c r="BI549" s="29">
        <v>1067.255633</v>
      </c>
      <c r="BJ549" s="29">
        <v>1221.3454939999999</v>
      </c>
      <c r="BK549" s="29">
        <v>1600.113658</v>
      </c>
      <c r="BL549" s="10">
        <v>1635.657733</v>
      </c>
      <c r="BM549" s="10">
        <v>1546.024508</v>
      </c>
      <c r="BN549" s="10">
        <v>1656.1597039999999</v>
      </c>
      <c r="BO549" s="10">
        <v>3561.1676499999999</v>
      </c>
      <c r="BP549" s="16">
        <v>2571.3044340000001</v>
      </c>
      <c r="BQ549" s="16">
        <v>2516.4594029999998</v>
      </c>
      <c r="BR549" s="10">
        <v>2882.5391169999998</v>
      </c>
      <c r="BS549" s="10">
        <v>3687.2425920000001</v>
      </c>
      <c r="BT549" s="10">
        <v>4595.3151010000001</v>
      </c>
      <c r="BU549" s="10">
        <v>5229.7384089999996</v>
      </c>
      <c r="BV549" s="10">
        <v>5613.3094339999998</v>
      </c>
      <c r="BW549" s="10">
        <v>5515.137342</v>
      </c>
      <c r="BX549" s="6"/>
      <c r="BY549" s="6"/>
      <c r="BZ549" s="6"/>
      <c r="CA549" s="6"/>
      <c r="CB549" s="6"/>
      <c r="CC549" s="6"/>
      <c r="CD549" s="6"/>
      <c r="CE549" s="6"/>
      <c r="CF549" s="5"/>
      <c r="CH549" s="5" t="s">
        <v>562</v>
      </c>
    </row>
    <row r="550" spans="1:86" outlineLevel="1">
      <c r="A550" s="3" t="s">
        <v>436</v>
      </c>
      <c r="B550" s="18" t="s">
        <v>200</v>
      </c>
      <c r="C550" s="19"/>
      <c r="D550" s="19"/>
      <c r="E550" s="19"/>
      <c r="F550" s="19"/>
      <c r="G550" s="19"/>
      <c r="H550" s="20">
        <f t="shared" ref="H550:AD550" si="786">SUM(H542:H549)</f>
        <v>270.31407300000001</v>
      </c>
      <c r="I550" s="20">
        <f t="shared" si="786"/>
        <v>421.04527300000001</v>
      </c>
      <c r="J550" s="20">
        <f t="shared" si="786"/>
        <v>672.04114400000003</v>
      </c>
      <c r="K550" s="20">
        <f t="shared" si="786"/>
        <v>626.03752499999996</v>
      </c>
      <c r="L550" s="20">
        <f t="shared" si="786"/>
        <v>1158.5414620000001</v>
      </c>
      <c r="M550" s="20">
        <f t="shared" si="786"/>
        <v>1880.8985149999999</v>
      </c>
      <c r="N550" s="20">
        <f t="shared" si="786"/>
        <v>2568.0602530000001</v>
      </c>
      <c r="O550" s="20">
        <f t="shared" si="786"/>
        <v>3910.1442420000003</v>
      </c>
      <c r="P550" s="20">
        <f t="shared" si="786"/>
        <v>6368.0086979999996</v>
      </c>
      <c r="Q550" s="20">
        <f t="shared" si="786"/>
        <v>12714.702781000002</v>
      </c>
      <c r="R550" s="20">
        <f t="shared" si="786"/>
        <v>33666.094067999999</v>
      </c>
      <c r="S550" s="20">
        <f t="shared" si="786"/>
        <v>30295.026186000003</v>
      </c>
      <c r="T550" s="20">
        <f t="shared" si="786"/>
        <v>42159.932400999998</v>
      </c>
      <c r="U550" s="20">
        <f t="shared" ca="1" si="786"/>
        <v>36128.427144700465</v>
      </c>
      <c r="V550" s="20">
        <f t="shared" ca="1" si="786"/>
        <v>37822.466385770735</v>
      </c>
      <c r="W550" s="20">
        <f t="shared" ca="1" si="786"/>
        <v>40682.79061091214</v>
      </c>
      <c r="X550" s="20">
        <f t="shared" ca="1" si="786"/>
        <v>45673.593226961093</v>
      </c>
      <c r="Y550" s="20">
        <f t="shared" ca="1" si="786"/>
        <v>51927.614961383864</v>
      </c>
      <c r="Z550" s="20">
        <f t="shared" ca="1" si="786"/>
        <v>58097.367741182672</v>
      </c>
      <c r="AA550" s="20">
        <f t="shared" ca="1" si="786"/>
        <v>65133.880936591871</v>
      </c>
      <c r="AB550" s="20">
        <f t="shared" ca="1" si="786"/>
        <v>72663.698191363932</v>
      </c>
      <c r="AC550" s="20">
        <f t="shared" ca="1" si="786"/>
        <v>81037.832187608466</v>
      </c>
      <c r="AD550" s="20">
        <f t="shared" ca="1" si="786"/>
        <v>89543.091286246679</v>
      </c>
      <c r="AE550" s="20"/>
      <c r="AF550" s="19"/>
      <c r="AG550" s="19"/>
      <c r="AH550" s="19"/>
      <c r="AI550" s="19"/>
      <c r="AJ550" s="19"/>
      <c r="AK550" s="19"/>
      <c r="AL550" s="19"/>
      <c r="AM550" s="19"/>
      <c r="AN550" s="19"/>
      <c r="AO550" s="19"/>
      <c r="AP550" s="19"/>
      <c r="AQ550" s="19"/>
      <c r="AR550" s="19"/>
      <c r="AS550" s="19"/>
      <c r="AT550" s="19"/>
      <c r="AU550" s="19"/>
      <c r="AV550" s="19"/>
      <c r="AW550" s="19"/>
      <c r="AX550" s="19"/>
      <c r="AY550" s="20">
        <f>SUM(AY542:AY549)</f>
        <v>2568.0602530000001</v>
      </c>
      <c r="AZ550" s="19"/>
      <c r="BA550" s="19"/>
      <c r="BB550" s="19"/>
      <c r="BC550" s="20">
        <f t="shared" ref="BC550:BW550" si="787">SUM(BC542:BC549)</f>
        <v>3910.1442420000003</v>
      </c>
      <c r="BD550" s="20">
        <f t="shared" si="787"/>
        <v>4282.1089090000005</v>
      </c>
      <c r="BE550" s="20">
        <f t="shared" si="787"/>
        <v>5002.2749270000004</v>
      </c>
      <c r="BF550" s="20">
        <f t="shared" si="787"/>
        <v>5599.6717690000005</v>
      </c>
      <c r="BG550" s="20">
        <f t="shared" si="787"/>
        <v>6368.0086979999996</v>
      </c>
      <c r="BH550" s="20">
        <f t="shared" si="787"/>
        <v>6795.4095219999999</v>
      </c>
      <c r="BI550" s="20">
        <f t="shared" si="787"/>
        <v>8889.3688120000006</v>
      </c>
      <c r="BJ550" s="20">
        <f t="shared" si="787"/>
        <v>10253.664152999998</v>
      </c>
      <c r="BK550" s="20">
        <f t="shared" si="787"/>
        <v>12714.702781000002</v>
      </c>
      <c r="BL550" s="20">
        <f t="shared" si="787"/>
        <v>13091.838825999999</v>
      </c>
      <c r="BM550" s="21">
        <f t="shared" si="787"/>
        <v>17686.793024999999</v>
      </c>
      <c r="BN550" s="20">
        <f t="shared" si="787"/>
        <v>18873.778740000005</v>
      </c>
      <c r="BO550" s="21">
        <f t="shared" si="787"/>
        <v>33666.094067999999</v>
      </c>
      <c r="BP550" s="21">
        <f t="shared" si="787"/>
        <v>27523.018655</v>
      </c>
      <c r="BQ550" s="21">
        <f t="shared" si="787"/>
        <v>29651.523933</v>
      </c>
      <c r="BR550" s="21">
        <f t="shared" si="787"/>
        <v>33173.778698999995</v>
      </c>
      <c r="BS550" s="21">
        <f t="shared" si="787"/>
        <v>30295.026186000003</v>
      </c>
      <c r="BT550" s="21">
        <f t="shared" si="787"/>
        <v>31729.035540000001</v>
      </c>
      <c r="BU550" s="21">
        <f t="shared" si="787"/>
        <v>34767.263529999997</v>
      </c>
      <c r="BV550" s="21">
        <f t="shared" si="787"/>
        <v>41972.480475000004</v>
      </c>
      <c r="BW550" s="21">
        <f t="shared" si="787"/>
        <v>42159.932400999998</v>
      </c>
      <c r="BX550" s="6"/>
      <c r="BY550" s="6"/>
      <c r="BZ550" s="6"/>
      <c r="CA550" s="6"/>
      <c r="CB550" s="6"/>
      <c r="CC550" s="6"/>
      <c r="CD550" s="6"/>
      <c r="CE550" s="6"/>
      <c r="CF550" s="22"/>
      <c r="CH550" s="5" t="s">
        <v>562</v>
      </c>
    </row>
    <row r="551" spans="1:86" outlineLevel="1">
      <c r="B551" s="14" t="s">
        <v>201</v>
      </c>
      <c r="C551" s="10"/>
      <c r="D551" s="10"/>
      <c r="E551" s="10"/>
      <c r="F551" s="10"/>
      <c r="G551" s="10"/>
      <c r="H551" s="15">
        <v>0</v>
      </c>
      <c r="I551" s="15">
        <v>0</v>
      </c>
      <c r="J551" s="15">
        <v>0</v>
      </c>
      <c r="K551" s="15">
        <v>0</v>
      </c>
      <c r="L551" s="15">
        <v>11.509937000000001</v>
      </c>
      <c r="M551" s="15">
        <v>45.382710000000003</v>
      </c>
      <c r="N551" s="15">
        <v>48.308692000000001</v>
      </c>
      <c r="O551" s="15">
        <v>53.309153000000002</v>
      </c>
      <c r="P551" s="15">
        <f>BG551</f>
        <v>63.197155000000002</v>
      </c>
      <c r="Q551" s="15">
        <f>BK551</f>
        <v>132.50664399999999</v>
      </c>
      <c r="R551" s="10">
        <v>3045.2593900000002</v>
      </c>
      <c r="S551" s="10">
        <v>3607.8828079999998</v>
      </c>
      <c r="T551" s="10">
        <f t="shared" si="779"/>
        <v>3847.440251</v>
      </c>
      <c r="U551" s="6">
        <f t="shared" ref="U551:AD551" ca="1" si="788">U671</f>
        <v>3911.162102580472</v>
      </c>
      <c r="V551" s="6">
        <f t="shared" ca="1" si="788"/>
        <v>4521.5568872632748</v>
      </c>
      <c r="W551" s="6">
        <f t="shared" ca="1" si="788"/>
        <v>5216.3042711894259</v>
      </c>
      <c r="X551" s="6">
        <f t="shared" ca="1" si="788"/>
        <v>5987.3036598355729</v>
      </c>
      <c r="Y551" s="6">
        <f t="shared" ca="1" si="788"/>
        <v>6795.8928496965264</v>
      </c>
      <c r="Z551" s="6">
        <f t="shared" ca="1" si="788"/>
        <v>7372.5036296435337</v>
      </c>
      <c r="AA551" s="6">
        <f t="shared" ca="1" si="788"/>
        <v>8000.0169595124598</v>
      </c>
      <c r="AB551" s="6">
        <f t="shared" ca="1" si="788"/>
        <v>8584.6665228857601</v>
      </c>
      <c r="AC551" s="6">
        <f t="shared" ca="1" si="788"/>
        <v>9107.0261636210125</v>
      </c>
      <c r="AD551" s="6">
        <f t="shared" ca="1" si="788"/>
        <v>9520.5416010293538</v>
      </c>
      <c r="AE551" s="6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>
        <v>48.308692000000001</v>
      </c>
      <c r="AZ551" s="10"/>
      <c r="BA551" s="10"/>
      <c r="BB551" s="10"/>
      <c r="BC551" s="10">
        <v>53.309153000000002</v>
      </c>
      <c r="BD551" s="15">
        <v>53.147953999999999</v>
      </c>
      <c r="BE551" s="15">
        <v>53.014654999999998</v>
      </c>
      <c r="BF551" s="15">
        <v>63.206572000000001</v>
      </c>
      <c r="BG551" s="15">
        <v>63.197155000000002</v>
      </c>
      <c r="BH551" s="15">
        <v>72.218275000000006</v>
      </c>
      <c r="BI551" s="15">
        <v>72.004774999999995</v>
      </c>
      <c r="BJ551" s="15">
        <v>71.791274999999999</v>
      </c>
      <c r="BK551" s="15">
        <v>132.50664399999999</v>
      </c>
      <c r="BL551" s="10">
        <v>201.66181399999999</v>
      </c>
      <c r="BM551" s="10">
        <v>213.20292000000001</v>
      </c>
      <c r="BN551" s="10">
        <v>649.66161599999998</v>
      </c>
      <c r="BO551" s="10">
        <v>3045.2593900000002</v>
      </c>
      <c r="BP551" s="16">
        <v>3030.371251</v>
      </c>
      <c r="BQ551" s="16">
        <v>3040.6574740000001</v>
      </c>
      <c r="BR551" s="10">
        <v>3011.5185029999998</v>
      </c>
      <c r="BS551" s="10">
        <v>3607.8828079999998</v>
      </c>
      <c r="BT551" s="10">
        <v>3562.0050059999999</v>
      </c>
      <c r="BU551" s="10">
        <v>3536.1747070000001</v>
      </c>
      <c r="BV551" s="10">
        <v>3510.6374259999998</v>
      </c>
      <c r="BW551" s="10">
        <v>3847.440251</v>
      </c>
      <c r="BX551" s="6"/>
      <c r="BY551" s="6"/>
      <c r="BZ551" s="6"/>
      <c r="CA551" s="6"/>
      <c r="CB551" s="6"/>
      <c r="CC551" s="6"/>
      <c r="CD551" s="6"/>
      <c r="CE551" s="6"/>
      <c r="CF551" s="5"/>
      <c r="CH551" s="5" t="s">
        <v>562</v>
      </c>
    </row>
    <row r="552" spans="1:86" outlineLevel="1">
      <c r="A552" s="3" t="s">
        <v>527</v>
      </c>
      <c r="B552" s="14" t="s">
        <v>202</v>
      </c>
      <c r="C552" s="10"/>
      <c r="D552" s="10"/>
      <c r="E552" s="10"/>
      <c r="F552" s="10"/>
      <c r="G552" s="10"/>
      <c r="H552" s="15">
        <v>0</v>
      </c>
      <c r="I552" s="15">
        <v>0</v>
      </c>
      <c r="J552" s="15">
        <v>0</v>
      </c>
      <c r="K552" s="15">
        <v>0</v>
      </c>
      <c r="L552" s="15">
        <v>0</v>
      </c>
      <c r="M552" s="15">
        <v>0</v>
      </c>
      <c r="N552" s="15">
        <v>0</v>
      </c>
      <c r="O552" s="15">
        <v>1121.4179999999999</v>
      </c>
      <c r="P552" s="15">
        <f>BG552</f>
        <v>5657.1826499999997</v>
      </c>
      <c r="Q552" s="15">
        <v>7984.5880520000001</v>
      </c>
      <c r="R552" s="10">
        <v>18354.608260000001</v>
      </c>
      <c r="S552" s="10">
        <v>34650.673553000001</v>
      </c>
      <c r="T552" s="10">
        <f t="shared" si="779"/>
        <v>29220.254766999999</v>
      </c>
      <c r="U552" s="6">
        <f t="shared" ref="U552:AD552" si="789">U675</f>
        <v>29220.254766999999</v>
      </c>
      <c r="V552" s="6">
        <f t="shared" si="789"/>
        <v>29220.254766999999</v>
      </c>
      <c r="W552" s="6">
        <f t="shared" si="789"/>
        <v>29220.254766999999</v>
      </c>
      <c r="X552" s="6">
        <f t="shared" si="789"/>
        <v>29220.254766999999</v>
      </c>
      <c r="Y552" s="6">
        <f t="shared" si="789"/>
        <v>29220.254766999999</v>
      </c>
      <c r="Z552" s="6">
        <f t="shared" si="789"/>
        <v>29220.254766999999</v>
      </c>
      <c r="AA552" s="6">
        <f t="shared" si="789"/>
        <v>29220.254766999999</v>
      </c>
      <c r="AB552" s="6">
        <f t="shared" si="789"/>
        <v>29220.254766999999</v>
      </c>
      <c r="AC552" s="6">
        <f t="shared" si="789"/>
        <v>29220.254766999999</v>
      </c>
      <c r="AD552" s="6">
        <f t="shared" si="789"/>
        <v>29220.254766999999</v>
      </c>
      <c r="AE552" s="6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>
        <v>0</v>
      </c>
      <c r="AZ552" s="10"/>
      <c r="BA552" s="10"/>
      <c r="BB552" s="10"/>
      <c r="BC552" s="10">
        <v>1121.4179999999999</v>
      </c>
      <c r="BD552" s="15">
        <v>1117.944</v>
      </c>
      <c r="BE552" s="15">
        <v>1104.732</v>
      </c>
      <c r="BF552" s="15">
        <v>1101.5999999999999</v>
      </c>
      <c r="BG552" s="15">
        <v>5657.1826499999997</v>
      </c>
      <c r="BH552" s="15">
        <v>5809.2258000000002</v>
      </c>
      <c r="BI552" s="15">
        <v>5797.2641999999996</v>
      </c>
      <c r="BJ552" s="15">
        <v>7979.4</v>
      </c>
      <c r="BK552" s="15">
        <v>7984.5880520000001</v>
      </c>
      <c r="BL552" s="10">
        <v>8058.7</v>
      </c>
      <c r="BM552" s="10">
        <v>16430</v>
      </c>
      <c r="BN552" s="10">
        <v>16842.34</v>
      </c>
      <c r="BO552" s="10">
        <v>18354.608260000001</v>
      </c>
      <c r="BP552" s="16">
        <v>19157.574462</v>
      </c>
      <c r="BQ552" s="16">
        <v>19737.568171999999</v>
      </c>
      <c r="BR552" s="10">
        <v>28018.488022000001</v>
      </c>
      <c r="BS552" s="10">
        <v>34650.673553000001</v>
      </c>
      <c r="BT552" s="10">
        <v>34304.414250000002</v>
      </c>
      <c r="BU552" s="10">
        <v>35595.921305000003</v>
      </c>
      <c r="BV552" s="10">
        <v>33597.170400000003</v>
      </c>
      <c r="BW552" s="10">
        <v>29220.254766999999</v>
      </c>
      <c r="BX552" s="6"/>
      <c r="BY552" s="6"/>
      <c r="BZ552" s="6"/>
      <c r="CA552" s="6"/>
      <c r="CB552" s="6"/>
      <c r="CC552" s="6"/>
      <c r="CD552" s="6"/>
      <c r="CE552" s="6"/>
      <c r="CF552" s="5"/>
      <c r="CH552" s="5" t="s">
        <v>562</v>
      </c>
    </row>
    <row r="553" spans="1:86" outlineLevel="1">
      <c r="B553" s="14" t="s">
        <v>203</v>
      </c>
      <c r="C553" s="10"/>
      <c r="D553" s="10"/>
      <c r="E553" s="10"/>
      <c r="F553" s="10"/>
      <c r="G553" s="10"/>
      <c r="H553" s="10">
        <v>0</v>
      </c>
      <c r="I553" s="10">
        <v>2.4375</v>
      </c>
      <c r="J553" s="10">
        <v>1.625</v>
      </c>
      <c r="K553" s="10">
        <v>0.8125</v>
      </c>
      <c r="L553" s="10">
        <v>0</v>
      </c>
      <c r="M553" s="10">
        <v>0</v>
      </c>
      <c r="N553" s="10">
        <v>0</v>
      </c>
      <c r="O553" s="10">
        <v>0</v>
      </c>
      <c r="P553" s="10">
        <f>BG553</f>
        <v>0</v>
      </c>
      <c r="Q553" s="10">
        <f>BK553</f>
        <v>0</v>
      </c>
      <c r="R553" s="10">
        <v>91.702260999999993</v>
      </c>
      <c r="S553" s="10">
        <v>339.566619</v>
      </c>
      <c r="T553" s="10">
        <f t="shared" si="779"/>
        <v>347.820491</v>
      </c>
      <c r="U553" s="17">
        <f t="shared" ref="U553:AD553" si="790">T553</f>
        <v>347.820491</v>
      </c>
      <c r="V553" s="17">
        <f t="shared" si="790"/>
        <v>347.820491</v>
      </c>
      <c r="W553" s="17">
        <f t="shared" si="790"/>
        <v>347.820491</v>
      </c>
      <c r="X553" s="17">
        <f t="shared" si="790"/>
        <v>347.820491</v>
      </c>
      <c r="Y553" s="17">
        <f t="shared" si="790"/>
        <v>347.820491</v>
      </c>
      <c r="Z553" s="17">
        <f t="shared" si="790"/>
        <v>347.820491</v>
      </c>
      <c r="AA553" s="17">
        <f t="shared" si="790"/>
        <v>347.820491</v>
      </c>
      <c r="AB553" s="17">
        <f t="shared" si="790"/>
        <v>347.820491</v>
      </c>
      <c r="AC553" s="17">
        <f t="shared" si="790"/>
        <v>347.820491</v>
      </c>
      <c r="AD553" s="17">
        <f t="shared" si="790"/>
        <v>347.820491</v>
      </c>
      <c r="AE553" s="17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>
        <v>0</v>
      </c>
      <c r="AZ553" s="10"/>
      <c r="BA553" s="10"/>
      <c r="BB553" s="10"/>
      <c r="BC553" s="10">
        <v>0</v>
      </c>
      <c r="BD553" s="10">
        <v>0</v>
      </c>
      <c r="BE553" s="10">
        <v>0</v>
      </c>
      <c r="BF553" s="10">
        <v>0</v>
      </c>
      <c r="BG553" s="10">
        <v>0</v>
      </c>
      <c r="BH553" s="10">
        <v>0</v>
      </c>
      <c r="BI553" s="10">
        <v>0</v>
      </c>
      <c r="BJ553" s="10">
        <v>0</v>
      </c>
      <c r="BK553" s="10">
        <v>0</v>
      </c>
      <c r="BL553" s="30"/>
      <c r="BM553" s="16"/>
      <c r="BN553" s="30"/>
      <c r="BO553" s="30">
        <v>91.702260999999993</v>
      </c>
      <c r="BP553" s="16">
        <v>94.737849999999995</v>
      </c>
      <c r="BQ553" s="16">
        <v>97.786088000000007</v>
      </c>
      <c r="BR553" s="10">
        <v>97.819073000000003</v>
      </c>
      <c r="BS553" s="10">
        <v>339.566619</v>
      </c>
      <c r="BT553" s="10">
        <v>339.895061</v>
      </c>
      <c r="BU553" s="10">
        <v>478.67552799999999</v>
      </c>
      <c r="BV553" s="10">
        <v>481.78081500000002</v>
      </c>
      <c r="BW553" s="10">
        <v>347.820491</v>
      </c>
      <c r="BX553" s="6"/>
      <c r="BY553" s="6"/>
      <c r="BZ553" s="6"/>
      <c r="CA553" s="6"/>
      <c r="CB553" s="6"/>
      <c r="CC553" s="6"/>
      <c r="CD553" s="6"/>
      <c r="CE553" s="6"/>
      <c r="CF553" s="5"/>
      <c r="CH553" s="5" t="s">
        <v>562</v>
      </c>
    </row>
    <row r="554" spans="1:86" outlineLevel="1">
      <c r="A554" s="3" t="s">
        <v>204</v>
      </c>
      <c r="B554" s="18" t="s">
        <v>205</v>
      </c>
      <c r="C554" s="19"/>
      <c r="D554" s="19"/>
      <c r="E554" s="19"/>
      <c r="F554" s="19"/>
      <c r="G554" s="19"/>
      <c r="H554" s="18">
        <f t="shared" ref="H554:AD554" si="791">H550+SUM(H551:H553)</f>
        <v>270.31407300000001</v>
      </c>
      <c r="I554" s="18">
        <f t="shared" si="791"/>
        <v>423.48277300000001</v>
      </c>
      <c r="J554" s="18">
        <f t="shared" si="791"/>
        <v>673.66614400000003</v>
      </c>
      <c r="K554" s="18">
        <f t="shared" si="791"/>
        <v>626.85002499999996</v>
      </c>
      <c r="L554" s="18">
        <f t="shared" si="791"/>
        <v>1170.0513990000002</v>
      </c>
      <c r="M554" s="18">
        <f t="shared" si="791"/>
        <v>1926.2812249999999</v>
      </c>
      <c r="N554" s="18">
        <f t="shared" si="791"/>
        <v>2616.3689450000002</v>
      </c>
      <c r="O554" s="18">
        <f t="shared" si="791"/>
        <v>5084.8713950000001</v>
      </c>
      <c r="P554" s="18">
        <f t="shared" si="791"/>
        <v>12088.388502999998</v>
      </c>
      <c r="Q554" s="18">
        <f t="shared" si="791"/>
        <v>20831.797477</v>
      </c>
      <c r="R554" s="18">
        <f t="shared" si="791"/>
        <v>55157.663978999997</v>
      </c>
      <c r="S554" s="18">
        <f t="shared" si="791"/>
        <v>68893.149166000003</v>
      </c>
      <c r="T554" s="18">
        <f t="shared" si="791"/>
        <v>75575.447909999988</v>
      </c>
      <c r="U554" s="18">
        <f t="shared" ca="1" si="791"/>
        <v>69607.664505280933</v>
      </c>
      <c r="V554" s="18">
        <f t="shared" ca="1" si="791"/>
        <v>71912.098531034004</v>
      </c>
      <c r="W554" s="18">
        <f t="shared" ca="1" si="791"/>
        <v>75467.17014010156</v>
      </c>
      <c r="X554" s="18">
        <f t="shared" ca="1" si="791"/>
        <v>81228.972144796659</v>
      </c>
      <c r="Y554" s="18">
        <f t="shared" ca="1" si="791"/>
        <v>88291.583069080385</v>
      </c>
      <c r="Z554" s="18">
        <f t="shared" ca="1" si="791"/>
        <v>95037.946628826205</v>
      </c>
      <c r="AA554" s="18">
        <f t="shared" ca="1" si="791"/>
        <v>102701.97315410433</v>
      </c>
      <c r="AB554" s="18">
        <f t="shared" ca="1" si="791"/>
        <v>110816.43997224969</v>
      </c>
      <c r="AC554" s="18">
        <f t="shared" ca="1" si="791"/>
        <v>119712.93360922948</v>
      </c>
      <c r="AD554" s="18">
        <f t="shared" ca="1" si="791"/>
        <v>128631.70814527603</v>
      </c>
      <c r="AE554" s="18"/>
      <c r="AF554" s="19"/>
      <c r="AG554" s="19"/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/>
      <c r="AY554" s="18">
        <f>AY550+SUM(AY551:AY553)</f>
        <v>2616.3689450000002</v>
      </c>
      <c r="AZ554" s="19"/>
      <c r="BA554" s="19"/>
      <c r="BB554" s="19"/>
      <c r="BC554" s="18">
        <f t="shared" ref="BC554:BW554" si="792">BC550+SUM(BC551:BC553)</f>
        <v>5084.8713950000001</v>
      </c>
      <c r="BD554" s="18">
        <f t="shared" si="792"/>
        <v>5453.200863</v>
      </c>
      <c r="BE554" s="18">
        <f t="shared" si="792"/>
        <v>6160.0215820000003</v>
      </c>
      <c r="BF554" s="18">
        <f t="shared" si="792"/>
        <v>6764.478341</v>
      </c>
      <c r="BG554" s="18">
        <f t="shared" si="792"/>
        <v>12088.388502999998</v>
      </c>
      <c r="BH554" s="18">
        <f t="shared" si="792"/>
        <v>12676.853597000001</v>
      </c>
      <c r="BI554" s="18">
        <f t="shared" si="792"/>
        <v>14758.637787</v>
      </c>
      <c r="BJ554" s="18">
        <f t="shared" si="792"/>
        <v>18304.855427999995</v>
      </c>
      <c r="BK554" s="18">
        <f t="shared" si="792"/>
        <v>20831.797477</v>
      </c>
      <c r="BL554" s="18">
        <f t="shared" si="792"/>
        <v>21352.200639999999</v>
      </c>
      <c r="BM554" s="21">
        <f t="shared" si="792"/>
        <v>34329.995945000002</v>
      </c>
      <c r="BN554" s="21">
        <f t="shared" si="792"/>
        <v>36365.780356000003</v>
      </c>
      <c r="BO554" s="21">
        <f t="shared" si="792"/>
        <v>55157.663978999997</v>
      </c>
      <c r="BP554" s="21">
        <f t="shared" si="792"/>
        <v>49805.702218000006</v>
      </c>
      <c r="BQ554" s="21">
        <f t="shared" si="792"/>
        <v>52527.535667000004</v>
      </c>
      <c r="BR554" s="21">
        <f t="shared" si="792"/>
        <v>64301.604296999998</v>
      </c>
      <c r="BS554" s="18">
        <f t="shared" si="792"/>
        <v>68893.149166000003</v>
      </c>
      <c r="BT554" s="18">
        <f t="shared" si="792"/>
        <v>69935.349857000008</v>
      </c>
      <c r="BU554" s="18">
        <f t="shared" si="792"/>
        <v>74378.035069999998</v>
      </c>
      <c r="BV554" s="18">
        <f t="shared" si="792"/>
        <v>79562.069115999999</v>
      </c>
      <c r="BW554" s="18">
        <f t="shared" si="792"/>
        <v>75575.447909999988</v>
      </c>
      <c r="BX554" s="6"/>
      <c r="BY554" s="6"/>
      <c r="BZ554" s="6"/>
      <c r="CA554" s="6"/>
      <c r="CB554" s="6"/>
      <c r="CC554" s="6"/>
      <c r="CD554" s="6"/>
      <c r="CE554" s="6"/>
      <c r="CF554" s="31"/>
      <c r="CH554" s="5" t="s">
        <v>562</v>
      </c>
    </row>
    <row r="555" spans="1:86" outlineLevel="1">
      <c r="B555" s="14" t="s">
        <v>40</v>
      </c>
      <c r="C555" s="10"/>
      <c r="D555" s="10"/>
      <c r="E555" s="10"/>
      <c r="F555" s="10"/>
      <c r="G555" s="10"/>
      <c r="H555" s="15">
        <v>0.87140600000000001</v>
      </c>
      <c r="I555" s="15">
        <v>0.67278000000000004</v>
      </c>
      <c r="J555" s="15">
        <v>1.1587670000000001</v>
      </c>
      <c r="K555" s="15">
        <v>2.6280929999999998</v>
      </c>
      <c r="L555" s="15">
        <v>61.660378999999999</v>
      </c>
      <c r="M555" s="15">
        <v>86.230017000000004</v>
      </c>
      <c r="N555" s="15">
        <v>102.77096899999999</v>
      </c>
      <c r="O555" s="15">
        <v>95.247538000000006</v>
      </c>
      <c r="P555" s="15">
        <v>199.690428</v>
      </c>
      <c r="Q555" s="15">
        <v>848.54829299999994</v>
      </c>
      <c r="R555" s="10">
        <v>19134.198247</v>
      </c>
      <c r="S555" s="10">
        <v>3983.9177920000002</v>
      </c>
      <c r="T555" s="10">
        <f t="shared" si="779"/>
        <v>1779.2158509999999</v>
      </c>
      <c r="U555" s="6">
        <f t="shared" ref="U555:AD555" si="793">U688</f>
        <v>4385.1772020100007</v>
      </c>
      <c r="V555" s="6">
        <f t="shared" si="793"/>
        <v>4802.1482416490016</v>
      </c>
      <c r="W555" s="6">
        <f t="shared" si="793"/>
        <v>5262.9710533081025</v>
      </c>
      <c r="X555" s="6">
        <f t="shared" si="793"/>
        <v>5771.8153473836928</v>
      </c>
      <c r="Y555" s="6">
        <f t="shared" si="793"/>
        <v>6333.2893519923646</v>
      </c>
      <c r="Z555" s="6">
        <f t="shared" si="793"/>
        <v>6952.4815100748738</v>
      </c>
      <c r="AA555" s="6">
        <f t="shared" si="793"/>
        <v>7635.0065616773054</v>
      </c>
      <c r="AB555" s="6">
        <f t="shared" si="793"/>
        <v>8387.056428380487</v>
      </c>
      <c r="AC555" s="6">
        <f t="shared" si="793"/>
        <v>9215.456360700442</v>
      </c>
      <c r="AD555" s="6">
        <f t="shared" si="793"/>
        <v>10127.7268573042</v>
      </c>
      <c r="AE555" s="6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>
        <v>102.77096899999999</v>
      </c>
      <c r="AZ555" s="10"/>
      <c r="BA555" s="10"/>
      <c r="BB555" s="10"/>
      <c r="BC555" s="10">
        <v>95.247538000000006</v>
      </c>
      <c r="BD555" s="15">
        <v>203.46100799999999</v>
      </c>
      <c r="BE555" s="15">
        <v>181.144193</v>
      </c>
      <c r="BF555" s="15">
        <v>204.793364</v>
      </c>
      <c r="BG555" s="15">
        <v>199.690428</v>
      </c>
      <c r="BH555" s="15">
        <v>262.44090299999999</v>
      </c>
      <c r="BI555" s="15">
        <v>425.92378600000001</v>
      </c>
      <c r="BJ555" s="15">
        <v>536.04152099999999</v>
      </c>
      <c r="BK555" s="15">
        <v>848.54829299999994</v>
      </c>
      <c r="BL555" s="10">
        <v>1062.725113</v>
      </c>
      <c r="BM555" s="10">
        <v>1712.529448</v>
      </c>
      <c r="BN555" s="10">
        <v>1063.3063110000001</v>
      </c>
      <c r="BO555" s="10">
        <v>19134.198247</v>
      </c>
      <c r="BP555" s="16">
        <v>4306.6448890000001</v>
      </c>
      <c r="BQ555" s="16">
        <v>3607.0374959999999</v>
      </c>
      <c r="BR555" s="10">
        <v>3678.2115789999998</v>
      </c>
      <c r="BS555" s="10">
        <v>3983.9177920000002</v>
      </c>
      <c r="BT555" s="10">
        <v>1819.9016810000001</v>
      </c>
      <c r="BU555" s="10">
        <v>1994.570406</v>
      </c>
      <c r="BV555" s="10">
        <v>1935.0604510000001</v>
      </c>
      <c r="BW555" s="10">
        <v>1779.2158509999999</v>
      </c>
      <c r="BX555" s="6"/>
      <c r="BY555" s="6"/>
      <c r="BZ555" s="6"/>
      <c r="CA555" s="6"/>
      <c r="CB555" s="6"/>
      <c r="CC555" s="6"/>
      <c r="CD555" s="6"/>
      <c r="CE555" s="6"/>
      <c r="CF555" s="5"/>
      <c r="CH555" s="5" t="s">
        <v>562</v>
      </c>
    </row>
    <row r="556" spans="1:86" outlineLevel="1">
      <c r="B556" s="14" t="s">
        <v>206</v>
      </c>
      <c r="C556" s="10"/>
      <c r="D556" s="10"/>
      <c r="E556" s="10"/>
      <c r="F556" s="10"/>
      <c r="G556" s="10"/>
      <c r="H556" s="15">
        <v>2.652142</v>
      </c>
      <c r="I556" s="15">
        <v>2.7008890000000001</v>
      </c>
      <c r="J556" s="15">
        <v>2.74221</v>
      </c>
      <c r="K556" s="15">
        <v>2.7612589999999999</v>
      </c>
      <c r="L556" s="15">
        <v>2.8013340000000002</v>
      </c>
      <c r="M556" s="15">
        <v>2.926132</v>
      </c>
      <c r="N556" s="15">
        <v>2.939527</v>
      </c>
      <c r="O556" s="15">
        <v>2.9791439999999998</v>
      </c>
      <c r="P556" s="15">
        <f>BG556</f>
        <v>3.03349</v>
      </c>
      <c r="Q556" s="15">
        <f>BK556</f>
        <v>3.0852719999999998</v>
      </c>
      <c r="R556" s="10">
        <v>4.121245</v>
      </c>
      <c r="S556" s="10">
        <v>4.9603539999999997</v>
      </c>
      <c r="T556" s="10">
        <f t="shared" si="779"/>
        <v>5.1733010000000004</v>
      </c>
      <c r="U556" s="6">
        <f t="shared" ref="U556:AD556" si="794">T556</f>
        <v>5.1733010000000004</v>
      </c>
      <c r="V556" s="6">
        <f t="shared" si="794"/>
        <v>5.1733010000000004</v>
      </c>
      <c r="W556" s="6">
        <f t="shared" si="794"/>
        <v>5.1733010000000004</v>
      </c>
      <c r="X556" s="6">
        <f t="shared" si="794"/>
        <v>5.1733010000000004</v>
      </c>
      <c r="Y556" s="6">
        <f t="shared" si="794"/>
        <v>5.1733010000000004</v>
      </c>
      <c r="Z556" s="6">
        <f t="shared" si="794"/>
        <v>5.1733010000000004</v>
      </c>
      <c r="AA556" s="6">
        <f t="shared" si="794"/>
        <v>5.1733010000000004</v>
      </c>
      <c r="AB556" s="6">
        <f t="shared" si="794"/>
        <v>5.1733010000000004</v>
      </c>
      <c r="AC556" s="6">
        <f t="shared" si="794"/>
        <v>5.1733010000000004</v>
      </c>
      <c r="AD556" s="6">
        <f t="shared" si="794"/>
        <v>5.1733010000000004</v>
      </c>
      <c r="AE556" s="6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>
        <v>2.939527</v>
      </c>
      <c r="AZ556" s="10"/>
      <c r="BA556" s="10"/>
      <c r="BB556" s="10"/>
      <c r="BC556" s="10">
        <v>2.9791439999999998</v>
      </c>
      <c r="BD556" s="15">
        <v>2.9934880000000001</v>
      </c>
      <c r="BE556" s="15">
        <v>3.0075479999999999</v>
      </c>
      <c r="BF556" s="15">
        <v>3.0234670000000001</v>
      </c>
      <c r="BG556" s="15">
        <v>3.03349</v>
      </c>
      <c r="BH556" s="15">
        <v>3.0530780000000002</v>
      </c>
      <c r="BI556" s="15">
        <v>3.0691410000000001</v>
      </c>
      <c r="BJ556" s="15">
        <v>3.081448</v>
      </c>
      <c r="BK556" s="15">
        <v>3.0852719999999998</v>
      </c>
      <c r="BL556" s="10">
        <v>3.1078489999999999</v>
      </c>
      <c r="BM556" s="10">
        <v>3.122255</v>
      </c>
      <c r="BN556" s="10">
        <v>3.1259510000000001</v>
      </c>
      <c r="BO556" s="10">
        <v>4.121245</v>
      </c>
      <c r="BP556" s="16">
        <v>4.550789</v>
      </c>
      <c r="BQ556" s="16">
        <v>4.6087870000000004</v>
      </c>
      <c r="BR556" s="10">
        <v>4.8824379999999996</v>
      </c>
      <c r="BS556" s="10">
        <v>4.9603539999999997</v>
      </c>
      <c r="BT556" s="10">
        <v>5.0591169999999996</v>
      </c>
      <c r="BU556" s="10">
        <v>5.1395010000000001</v>
      </c>
      <c r="BV556" s="10">
        <v>5.1632959999999999</v>
      </c>
      <c r="BW556" s="10">
        <v>5.1733010000000004</v>
      </c>
      <c r="BX556" s="6"/>
      <c r="BY556" s="6"/>
      <c r="BZ556" s="6"/>
      <c r="CA556" s="6"/>
      <c r="CB556" s="6"/>
      <c r="CC556" s="6"/>
      <c r="CD556" s="6"/>
      <c r="CE556" s="6"/>
      <c r="CF556" s="5"/>
      <c r="CH556" s="5" t="s">
        <v>562</v>
      </c>
    </row>
    <row r="557" spans="1:86" outlineLevel="1">
      <c r="A557" s="3" t="s">
        <v>207</v>
      </c>
      <c r="B557" s="32" t="s">
        <v>208</v>
      </c>
      <c r="C557" s="10"/>
      <c r="D557" s="10"/>
      <c r="E557" s="10"/>
      <c r="F557" s="10"/>
      <c r="G557" s="10"/>
      <c r="H557" s="15">
        <v>524.928856</v>
      </c>
      <c r="I557" s="15">
        <v>627.46116800000004</v>
      </c>
      <c r="J557" s="15">
        <v>791.33690999999999</v>
      </c>
      <c r="K557" s="15">
        <v>967.687772</v>
      </c>
      <c r="L557" s="15">
        <v>1219.8152500000001</v>
      </c>
      <c r="M557" s="15">
        <v>3073.5510370000002</v>
      </c>
      <c r="N557" s="15">
        <v>3465.9244239999998</v>
      </c>
      <c r="O557" s="15">
        <v>3818.2562269999999</v>
      </c>
      <c r="P557" s="15">
        <v>4088.484766</v>
      </c>
      <c r="Q557" s="15">
        <v>4828.0218160000004</v>
      </c>
      <c r="R557" s="10">
        <v>37991.678952000002</v>
      </c>
      <c r="S557" s="10">
        <v>65819.998701000004</v>
      </c>
      <c r="T557" s="10">
        <f t="shared" si="779"/>
        <v>71341.098031999994</v>
      </c>
      <c r="U557" s="6">
        <f t="shared" ref="U557:AD557" ca="1" si="795">U700</f>
        <v>73674.070759538023</v>
      </c>
      <c r="V557" s="6">
        <f t="shared" ca="1" si="795"/>
        <v>76290.944637686393</v>
      </c>
      <c r="W557" s="6">
        <f t="shared" ca="1" si="795"/>
        <v>79445.071728508425</v>
      </c>
      <c r="X557" s="6">
        <f t="shared" ca="1" si="795"/>
        <v>83202.420061042299</v>
      </c>
      <c r="Y557" s="6">
        <f t="shared" ca="1" si="795"/>
        <v>87648.632824215107</v>
      </c>
      <c r="Z557" s="6">
        <f t="shared" ca="1" si="795"/>
        <v>92764.888909898029</v>
      </c>
      <c r="AA557" s="6">
        <f t="shared" ca="1" si="795"/>
        <v>98606.290851213969</v>
      </c>
      <c r="AB557" s="6">
        <f t="shared" ca="1" si="795"/>
        <v>105229.11472755217</v>
      </c>
      <c r="AC557" s="6">
        <f t="shared" ca="1" si="795"/>
        <v>112685.10681476785</v>
      </c>
      <c r="AD557" s="6">
        <f t="shared" ca="1" si="795"/>
        <v>120997.10518566523</v>
      </c>
      <c r="AE557" s="6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>
        <v>3465.9244239999998</v>
      </c>
      <c r="AZ557" s="10"/>
      <c r="BA557" s="10"/>
      <c r="BB557" s="10"/>
      <c r="BC557" s="10">
        <v>3818.2562269999999</v>
      </c>
      <c r="BD557" s="15">
        <v>3945.6455129999999</v>
      </c>
      <c r="BE557" s="15">
        <v>4120.6523530000004</v>
      </c>
      <c r="BF557" s="15">
        <v>4307.3201859999999</v>
      </c>
      <c r="BG557" s="15">
        <v>4088.484766</v>
      </c>
      <c r="BH557" s="15">
        <v>4292.5514730000004</v>
      </c>
      <c r="BI557" s="15">
        <v>4512.7528860000002</v>
      </c>
      <c r="BJ557" s="15">
        <v>4680.2129859999995</v>
      </c>
      <c r="BK557" s="15">
        <v>4828.0218160000004</v>
      </c>
      <c r="BL557" s="10">
        <v>5073.4150529999997</v>
      </c>
      <c r="BM557" s="10">
        <v>5000.430292</v>
      </c>
      <c r="BN557" s="10">
        <v>5161.3122979999998</v>
      </c>
      <c r="BO557" s="10">
        <v>37991.678952000002</v>
      </c>
      <c r="BP557" s="16">
        <v>50701.098505000002</v>
      </c>
      <c r="BQ557" s="16">
        <v>51920.013979000003</v>
      </c>
      <c r="BR557" s="10">
        <v>63190.425364000002</v>
      </c>
      <c r="BS557" s="10">
        <v>65819.998701000004</v>
      </c>
      <c r="BT557" s="10">
        <v>67236.288327999995</v>
      </c>
      <c r="BU557" s="10">
        <v>70425.644868999996</v>
      </c>
      <c r="BV557" s="10">
        <v>70905.962075999996</v>
      </c>
      <c r="BW557" s="10">
        <v>71341.098031999994</v>
      </c>
      <c r="BX557" s="6"/>
      <c r="BY557" s="6"/>
      <c r="BZ557" s="6"/>
      <c r="CA557" s="6"/>
      <c r="CB557" s="6"/>
      <c r="CC557" s="6"/>
      <c r="CD557" s="6"/>
      <c r="CE557" s="6"/>
      <c r="CF557" s="5"/>
      <c r="CH557" s="5" t="s">
        <v>562</v>
      </c>
    </row>
    <row r="558" spans="1:86" outlineLevel="1">
      <c r="B558" s="32" t="s">
        <v>209</v>
      </c>
      <c r="C558" s="10"/>
      <c r="D558" s="10"/>
      <c r="E558" s="10"/>
      <c r="F558" s="10"/>
      <c r="G558" s="10"/>
      <c r="H558" s="15">
        <v>41.769480999999999</v>
      </c>
      <c r="I558" s="15">
        <v>53.787911000000001</v>
      </c>
      <c r="J558" s="15">
        <v>60.869844999999998</v>
      </c>
      <c r="K558" s="15">
        <v>75.948297999999994</v>
      </c>
      <c r="L558" s="15">
        <v>72.489182</v>
      </c>
      <c r="M558" s="15">
        <v>93.384907999999996</v>
      </c>
      <c r="N558" s="15">
        <v>98.049667999999997</v>
      </c>
      <c r="O558" s="15">
        <v>103.22251199999999</v>
      </c>
      <c r="P558" s="15">
        <f>BG558</f>
        <v>118.44923</v>
      </c>
      <c r="Q558" s="15">
        <f>BK558</f>
        <v>134.098747</v>
      </c>
      <c r="R558" s="10">
        <v>168.940969</v>
      </c>
      <c r="S558" s="10">
        <v>237.49582000000001</v>
      </c>
      <c r="T558" s="10">
        <f t="shared" si="779"/>
        <v>383.623583</v>
      </c>
      <c r="U558" s="6">
        <f t="shared" ref="U558:AD558" si="796">T558</f>
        <v>383.623583</v>
      </c>
      <c r="V558" s="6">
        <f t="shared" si="796"/>
        <v>383.623583</v>
      </c>
      <c r="W558" s="6">
        <f t="shared" si="796"/>
        <v>383.623583</v>
      </c>
      <c r="X558" s="6">
        <f t="shared" si="796"/>
        <v>383.623583</v>
      </c>
      <c r="Y558" s="6">
        <f t="shared" si="796"/>
        <v>383.623583</v>
      </c>
      <c r="Z558" s="6">
        <f t="shared" si="796"/>
        <v>383.623583</v>
      </c>
      <c r="AA558" s="6">
        <f t="shared" si="796"/>
        <v>383.623583</v>
      </c>
      <c r="AB558" s="6">
        <f t="shared" si="796"/>
        <v>383.623583</v>
      </c>
      <c r="AC558" s="6">
        <f t="shared" si="796"/>
        <v>383.623583</v>
      </c>
      <c r="AD558" s="6">
        <f t="shared" si="796"/>
        <v>383.623583</v>
      </c>
      <c r="AE558" s="6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>
        <v>98.049667999999997</v>
      </c>
      <c r="AZ558" s="10"/>
      <c r="BA558" s="10"/>
      <c r="BB558" s="10"/>
      <c r="BC558" s="10">
        <v>103.22251199999999</v>
      </c>
      <c r="BD558" s="15">
        <v>103.222514</v>
      </c>
      <c r="BE558" s="15">
        <v>103.22251199999999</v>
      </c>
      <c r="BF558" s="15">
        <v>103.22251199999999</v>
      </c>
      <c r="BG558" s="15">
        <v>118.44923</v>
      </c>
      <c r="BH558" s="15">
        <v>118.44923</v>
      </c>
      <c r="BI558" s="15">
        <v>118.44923</v>
      </c>
      <c r="BJ558" s="15">
        <v>118.44923</v>
      </c>
      <c r="BK558" s="15">
        <v>134.098747</v>
      </c>
      <c r="BL558" s="10">
        <v>134.098747</v>
      </c>
      <c r="BM558" s="10">
        <v>134.098747</v>
      </c>
      <c r="BN558" s="10">
        <v>134.098747</v>
      </c>
      <c r="BO558" s="10">
        <v>168.940969</v>
      </c>
      <c r="BP558" s="16">
        <v>168.940969</v>
      </c>
      <c r="BQ558" s="16">
        <v>168.940969</v>
      </c>
      <c r="BR558" s="10">
        <v>168.940969</v>
      </c>
      <c r="BS558" s="10">
        <v>237.49582000000001</v>
      </c>
      <c r="BT558" s="10">
        <v>237.49582000000001</v>
      </c>
      <c r="BU558" s="10">
        <v>237.473826</v>
      </c>
      <c r="BV558" s="10">
        <v>237.473826</v>
      </c>
      <c r="BW558" s="10">
        <v>383.623583</v>
      </c>
      <c r="BX558" s="6"/>
      <c r="BY558" s="6"/>
      <c r="BZ558" s="6"/>
      <c r="CA558" s="6"/>
      <c r="CB558" s="6"/>
      <c r="CC558" s="6"/>
      <c r="CD558" s="6"/>
      <c r="CE558" s="6"/>
      <c r="CF558" s="5"/>
      <c r="CH558" s="5" t="s">
        <v>562</v>
      </c>
    </row>
    <row r="559" spans="1:86" outlineLevel="1">
      <c r="A559" s="137"/>
      <c r="B559" s="32" t="s">
        <v>210</v>
      </c>
      <c r="C559" s="10"/>
      <c r="D559" s="10"/>
      <c r="E559" s="10"/>
      <c r="F559" s="10"/>
      <c r="G559" s="10"/>
      <c r="H559" s="15">
        <v>-8.1048580000001404</v>
      </c>
      <c r="I559" s="15">
        <v>-16.099263000000001</v>
      </c>
      <c r="J559" s="15">
        <v>-36.420706000000003</v>
      </c>
      <c r="K559" s="15">
        <v>-95.046426999999994</v>
      </c>
      <c r="L559" s="15">
        <v>-77.742442999999994</v>
      </c>
      <c r="M559" s="15">
        <v>198.972084</v>
      </c>
      <c r="N559" s="15">
        <v>-172.46627699999999</v>
      </c>
      <c r="O559" s="15">
        <v>-58.778675</v>
      </c>
      <c r="P559" s="15">
        <v>372.63458000000003</v>
      </c>
      <c r="Q559" s="15">
        <v>443.57937600000002</v>
      </c>
      <c r="R559" s="10">
        <v>560.07728099999997</v>
      </c>
      <c r="S559" s="10">
        <v>1010.373732</v>
      </c>
      <c r="T559" s="10">
        <f t="shared" si="779"/>
        <v>6379.2968659999997</v>
      </c>
      <c r="U559" s="6">
        <f t="shared" ref="U559:AD559" si="797">U727</f>
        <v>6379.2968659999997</v>
      </c>
      <c r="V559" s="6">
        <f t="shared" si="797"/>
        <v>6379.2968659999997</v>
      </c>
      <c r="W559" s="6">
        <f t="shared" si="797"/>
        <v>6379.2968659999997</v>
      </c>
      <c r="X559" s="6">
        <f t="shared" si="797"/>
        <v>6379.2968659999997</v>
      </c>
      <c r="Y559" s="6">
        <f t="shared" si="797"/>
        <v>6379.2968659999997</v>
      </c>
      <c r="Z559" s="6">
        <f t="shared" si="797"/>
        <v>6379.2968659999997</v>
      </c>
      <c r="AA559" s="6">
        <f t="shared" si="797"/>
        <v>6379.2968659999997</v>
      </c>
      <c r="AB559" s="6">
        <f t="shared" si="797"/>
        <v>6379.2968659999997</v>
      </c>
      <c r="AC559" s="6">
        <f t="shared" si="797"/>
        <v>6379.2968659999997</v>
      </c>
      <c r="AD559" s="6">
        <f t="shared" si="797"/>
        <v>6379.2968659999997</v>
      </c>
      <c r="AE559" s="6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>
        <v>-172.46627699999999</v>
      </c>
      <c r="AZ559" s="10"/>
      <c r="BA559" s="10"/>
      <c r="BB559" s="10"/>
      <c r="BC559" s="10">
        <v>-58.778675</v>
      </c>
      <c r="BD559" s="15">
        <v>-82.154163999999994</v>
      </c>
      <c r="BE559" s="15">
        <v>-84.377950999999996</v>
      </c>
      <c r="BF559" s="15">
        <v>-14.238203</v>
      </c>
      <c r="BG559" s="15">
        <v>372.63458000000003</v>
      </c>
      <c r="BH559" s="15">
        <v>76.881359000000003</v>
      </c>
      <c r="BI559" s="15">
        <v>202.73412300000001</v>
      </c>
      <c r="BJ559" s="15">
        <v>541.74921400000005</v>
      </c>
      <c r="BK559" s="15">
        <v>443.57937600000002</v>
      </c>
      <c r="BL559" s="10">
        <f>323.899274</f>
        <v>323.89927399999999</v>
      </c>
      <c r="BM559" s="10">
        <f>889.959877</f>
        <v>889.95987700000001</v>
      </c>
      <c r="BN559" s="10">
        <f>781.671731</f>
        <v>781.67173100000002</v>
      </c>
      <c r="BO559" s="10">
        <v>560.07728099999997</v>
      </c>
      <c r="BP559" s="16">
        <f>648.866557</f>
        <v>648.86655699999994</v>
      </c>
      <c r="BQ559" s="16">
        <f>173.177462</f>
        <v>173.17746199999999</v>
      </c>
      <c r="BR559" s="10">
        <f>378.782826</f>
        <v>378.782826</v>
      </c>
      <c r="BS559" s="10">
        <v>1010.373732</v>
      </c>
      <c r="BT559" s="10">
        <v>2161.0379379999999</v>
      </c>
      <c r="BU559" s="10">
        <v>2746.834574</v>
      </c>
      <c r="BV559" s="10">
        <v>4354.5291150000003</v>
      </c>
      <c r="BW559" s="10">
        <v>6379.2968659999997</v>
      </c>
      <c r="BX559" s="6"/>
      <c r="BY559" s="6"/>
      <c r="BZ559" s="6"/>
      <c r="CA559" s="6"/>
      <c r="CB559" s="6"/>
      <c r="CC559" s="6"/>
      <c r="CD559" s="6"/>
      <c r="CE559" s="6"/>
      <c r="CF559" s="5"/>
      <c r="CH559" s="5" t="s">
        <v>562</v>
      </c>
    </row>
    <row r="560" spans="1:86" outlineLevel="1">
      <c r="A560" s="137" t="s">
        <v>211</v>
      </c>
      <c r="B560" s="32" t="s">
        <v>212</v>
      </c>
      <c r="C560" s="10"/>
      <c r="D560" s="10"/>
      <c r="E560" s="10"/>
      <c r="F560" s="10"/>
      <c r="G560" s="10"/>
      <c r="H560" s="10">
        <v>203.46998300000001</v>
      </c>
      <c r="I560" s="10">
        <v>359.84624500000001</v>
      </c>
      <c r="J560" s="10">
        <v>631.59083799999996</v>
      </c>
      <c r="K560" s="10">
        <v>1060.6202579999999</v>
      </c>
      <c r="L560" s="10">
        <v>1707.6845960000001</v>
      </c>
      <c r="M560" s="10">
        <v>2734.8586100000002</v>
      </c>
      <c r="N560" s="10">
        <v>3806.6087470000002</v>
      </c>
      <c r="O560" s="10">
        <v>4515.8417669999999</v>
      </c>
      <c r="P560" s="10">
        <f>BG560</f>
        <v>5498.9347330000001</v>
      </c>
      <c r="Q560" s="10">
        <f>BK560</f>
        <v>5726.0249970000004</v>
      </c>
      <c r="R560" s="10">
        <v>8198.8386589999991</v>
      </c>
      <c r="S560" s="10">
        <v>6699.5806130000001</v>
      </c>
      <c r="T560" s="10">
        <f t="shared" si="779"/>
        <v>8695.4423929999994</v>
      </c>
      <c r="U560" s="6">
        <f t="shared" ref="U560:AD560" ca="1" si="798">U714</f>
        <v>10825.787061878802</v>
      </c>
      <c r="V560" s="6">
        <f t="shared" ca="1" si="798"/>
        <v>15527.001529658726</v>
      </c>
      <c r="W560" s="6">
        <f t="shared" ca="1" si="798"/>
        <v>22116.757831811883</v>
      </c>
      <c r="X560" s="6">
        <f t="shared" ca="1" si="798"/>
        <v>30968.847541680436</v>
      </c>
      <c r="Y560" s="6">
        <f t="shared" ca="1" si="798"/>
        <v>42620.956377607887</v>
      </c>
      <c r="Z560" s="6">
        <f t="shared" ca="1" si="798"/>
        <v>56869.696298248877</v>
      </c>
      <c r="AA560" s="6">
        <f t="shared" ca="1" si="798"/>
        <v>73944.266997057348</v>
      </c>
      <c r="AB560" s="6">
        <f t="shared" ca="1" si="798"/>
        <v>94203.549118876079</v>
      </c>
      <c r="AC560" s="6">
        <f t="shared" ca="1" si="798"/>
        <v>117111.75064578146</v>
      </c>
      <c r="AD560" s="6">
        <f t="shared" ca="1" si="798"/>
        <v>142741.48142226358</v>
      </c>
      <c r="AE560" s="6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>
        <v>3806.6087470000002</v>
      </c>
      <c r="AZ560" s="10"/>
      <c r="BA560" s="10"/>
      <c r="BB560" s="10"/>
      <c r="BC560" s="10">
        <v>4515.8417669999999</v>
      </c>
      <c r="BD560" s="10">
        <v>4669.3132400000004</v>
      </c>
      <c r="BE560" s="10">
        <v>4879.6943339999998</v>
      </c>
      <c r="BF560" s="10">
        <v>5252.6820500000003</v>
      </c>
      <c r="BG560" s="10">
        <v>5498.9347330000001</v>
      </c>
      <c r="BH560" s="10">
        <v>5614.286486</v>
      </c>
      <c r="BI560" s="10">
        <v>5749.1746659999999</v>
      </c>
      <c r="BJ560" s="10">
        <v>5966.0992200000001</v>
      </c>
      <c r="BK560" s="10">
        <v>5726.0249970000004</v>
      </c>
      <c r="BL560" s="10">
        <v>5600.0383160000001</v>
      </c>
      <c r="BM560" s="10">
        <v>5742.8167380000004</v>
      </c>
      <c r="BN560" s="10">
        <v>8157.9530189999996</v>
      </c>
      <c r="BO560" s="10">
        <v>8198.8386589999991</v>
      </c>
      <c r="BP560" s="16">
        <v>6620.1545679999999</v>
      </c>
      <c r="BQ560" s="16">
        <v>6098.9020339999997</v>
      </c>
      <c r="BR560" s="10">
        <v>6122.8194759999997</v>
      </c>
      <c r="BS560" s="10">
        <v>6699.5806130000001</v>
      </c>
      <c r="BT560" s="10">
        <v>6782.0285940000003</v>
      </c>
      <c r="BU560" s="10">
        <v>7108.9006630000003</v>
      </c>
      <c r="BV560" s="10">
        <v>8338.0184499999996</v>
      </c>
      <c r="BW560" s="10">
        <v>8695.4423929999994</v>
      </c>
      <c r="BX560" s="6"/>
      <c r="BY560" s="6"/>
      <c r="BZ560" s="6"/>
      <c r="CA560" s="6"/>
      <c r="CB560" s="6"/>
      <c r="CC560" s="6"/>
      <c r="CD560" s="6"/>
      <c r="CE560" s="6"/>
      <c r="CF560" s="5"/>
      <c r="CH560" s="5" t="s">
        <v>562</v>
      </c>
    </row>
    <row r="561" spans="1:96" outlineLevel="1">
      <c r="A561" s="137"/>
      <c r="B561" s="32" t="s">
        <v>654</v>
      </c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>
        <v>-158.761225</v>
      </c>
      <c r="O561" s="10">
        <v>-1891.8888999999999</v>
      </c>
      <c r="P561" s="10">
        <v>-1551.1412680000001</v>
      </c>
      <c r="Q561" s="10">
        <v>-1605.630913</v>
      </c>
      <c r="R561" s="10">
        <v>-2372.9273720000001</v>
      </c>
      <c r="S561" s="10">
        <v>-2235.5745099999999</v>
      </c>
      <c r="T561" s="10">
        <f t="shared" si="779"/>
        <v>-2110.8206230000001</v>
      </c>
      <c r="U561" s="6">
        <f t="shared" ref="U561:AD561" ca="1" si="799">U720</f>
        <v>-2427.0703305508991</v>
      </c>
      <c r="V561" s="6">
        <f t="shared" ca="1" si="799"/>
        <v>-3014.4896847230243</v>
      </c>
      <c r="W561" s="6">
        <f t="shared" ca="1" si="799"/>
        <v>-3640.0753089620493</v>
      </c>
      <c r="X561" s="6">
        <f t="shared" ca="1" si="799"/>
        <v>-4382.7683200291749</v>
      </c>
      <c r="Y561" s="6">
        <f t="shared" ca="1" si="799"/>
        <v>-5230.9062217323572</v>
      </c>
      <c r="Z561" s="6">
        <f t="shared" ca="1" si="799"/>
        <v>-5982.9090506346793</v>
      </c>
      <c r="AA561" s="6">
        <f t="shared" ca="1" si="799"/>
        <v>-6864.9603418488796</v>
      </c>
      <c r="AB561" s="6">
        <f t="shared" ca="1" si="799"/>
        <v>-7815.464604426229</v>
      </c>
      <c r="AC561" s="6">
        <f t="shared" ca="1" si="799"/>
        <v>-8828.9118860928666</v>
      </c>
      <c r="AD561" s="6">
        <f t="shared" ca="1" si="799"/>
        <v>-9870.1388915893167</v>
      </c>
      <c r="AE561" s="6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>
        <v>-158.761225</v>
      </c>
      <c r="AZ561" s="10"/>
      <c r="BA561" s="10"/>
      <c r="BB561" s="10"/>
      <c r="BC561" s="10">
        <v>-1891.8888999999999</v>
      </c>
      <c r="BD561" s="10">
        <v>-1891.8888999999999</v>
      </c>
      <c r="BE561" s="10">
        <v>-1891.8888999999999</v>
      </c>
      <c r="BF561" s="10">
        <v>-1891.8888999999999</v>
      </c>
      <c r="BG561" s="10">
        <v>-1551.1412680000001</v>
      </c>
      <c r="BH561" s="10">
        <v>-1654.8516709999999</v>
      </c>
      <c r="BI561" s="10">
        <v>-1997.296415</v>
      </c>
      <c r="BJ561" s="10">
        <v>-1883.002778</v>
      </c>
      <c r="BK561" s="10">
        <v>-1605.630913</v>
      </c>
      <c r="BL561" s="10">
        <v>-1605.630913</v>
      </c>
      <c r="BM561" s="10">
        <v>-2071.1469990000001</v>
      </c>
      <c r="BN561" s="10">
        <v>-2416.2738869999998</v>
      </c>
      <c r="BO561" s="10">
        <v>-2372.9273720000001</v>
      </c>
      <c r="BP561" s="16">
        <v>-2287.4156849999999</v>
      </c>
      <c r="BQ561" s="16">
        <v>-2287.4156849999999</v>
      </c>
      <c r="BR561" s="10">
        <v>-2287.4156849999999</v>
      </c>
      <c r="BS561" s="10">
        <v>-2235.5745099999999</v>
      </c>
      <c r="BT561" s="10">
        <v>-2235.5745099999999</v>
      </c>
      <c r="BU561" s="10">
        <v>-2214.9661259999998</v>
      </c>
      <c r="BV561" s="10">
        <v>-2110.8206230000001</v>
      </c>
      <c r="BW561" s="10">
        <v>-2110.8206230000001</v>
      </c>
      <c r="BX561" s="6"/>
      <c r="BY561" s="6"/>
      <c r="BZ561" s="6"/>
      <c r="CA561" s="6"/>
      <c r="CB561" s="6"/>
      <c r="CC561" s="6"/>
      <c r="CD561" s="6"/>
      <c r="CE561" s="6"/>
      <c r="CF561" s="5"/>
      <c r="CH561" s="5" t="s">
        <v>562</v>
      </c>
    </row>
    <row r="562" spans="1:96" outlineLevel="1">
      <c r="A562" s="3" t="s">
        <v>336</v>
      </c>
      <c r="B562" s="18" t="s">
        <v>213</v>
      </c>
      <c r="C562" s="19"/>
      <c r="D562" s="19"/>
      <c r="E562" s="19"/>
      <c r="F562" s="19"/>
      <c r="G562" s="19"/>
      <c r="H562" s="18">
        <f t="shared" ref="H562:AD562" si="800">SUM(H555:H561)</f>
        <v>765.58700999999996</v>
      </c>
      <c r="I562" s="18">
        <f t="shared" si="800"/>
        <v>1028.3697300000001</v>
      </c>
      <c r="J562" s="18">
        <f t="shared" si="800"/>
        <v>1451.2778639999999</v>
      </c>
      <c r="K562" s="18">
        <f t="shared" si="800"/>
        <v>2014.5992529999999</v>
      </c>
      <c r="L562" s="18">
        <f t="shared" si="800"/>
        <v>2986.708298</v>
      </c>
      <c r="M562" s="18">
        <f t="shared" si="800"/>
        <v>6189.9227879999999</v>
      </c>
      <c r="N562" s="18">
        <f t="shared" si="800"/>
        <v>7145.0658330000006</v>
      </c>
      <c r="O562" s="18">
        <f t="shared" si="800"/>
        <v>6584.8796129999992</v>
      </c>
      <c r="P562" s="18">
        <f t="shared" si="800"/>
        <v>8730.085959</v>
      </c>
      <c r="Q562" s="18">
        <f t="shared" si="800"/>
        <v>10377.727588000002</v>
      </c>
      <c r="R562" s="18">
        <f t="shared" si="800"/>
        <v>63684.927980999993</v>
      </c>
      <c r="S562" s="18">
        <f t="shared" si="800"/>
        <v>75520.752501999988</v>
      </c>
      <c r="T562" s="18">
        <f t="shared" si="800"/>
        <v>86473.029402999993</v>
      </c>
      <c r="U562" s="18">
        <f t="shared" ca="1" si="800"/>
        <v>93226.058442875932</v>
      </c>
      <c r="V562" s="18">
        <f t="shared" ca="1" si="800"/>
        <v>100373.69847427109</v>
      </c>
      <c r="W562" s="18">
        <f t="shared" ca="1" si="800"/>
        <v>109952.81905466635</v>
      </c>
      <c r="X562" s="18">
        <f t="shared" ca="1" si="800"/>
        <v>122328.40838007724</v>
      </c>
      <c r="Y562" s="18">
        <f t="shared" ca="1" si="800"/>
        <v>138140.06608208301</v>
      </c>
      <c r="Z562" s="18">
        <f t="shared" ca="1" si="800"/>
        <v>157372.25141758707</v>
      </c>
      <c r="AA562" s="18">
        <f t="shared" ca="1" si="800"/>
        <v>180088.69781809975</v>
      </c>
      <c r="AB562" s="18">
        <f t="shared" ca="1" si="800"/>
        <v>206772.3494203825</v>
      </c>
      <c r="AC562" s="18">
        <f t="shared" ca="1" si="800"/>
        <v>236951.4956851569</v>
      </c>
      <c r="AD562" s="18">
        <f t="shared" ca="1" si="800"/>
        <v>270764.26832364372</v>
      </c>
      <c r="AE562" s="18"/>
      <c r="AF562" s="19"/>
      <c r="AG562" s="19"/>
      <c r="AH562" s="19"/>
      <c r="AI562" s="19"/>
      <c r="AJ562" s="19"/>
      <c r="AK562" s="19"/>
      <c r="AL562" s="19"/>
      <c r="AM562" s="19"/>
      <c r="AN562" s="19"/>
      <c r="AO562" s="19"/>
      <c r="AP562" s="19"/>
      <c r="AQ562" s="19"/>
      <c r="AR562" s="19"/>
      <c r="AS562" s="19"/>
      <c r="AT562" s="19"/>
      <c r="AU562" s="19"/>
      <c r="AV562" s="19"/>
      <c r="AW562" s="19"/>
      <c r="AX562" s="19"/>
      <c r="AY562" s="18">
        <f>SUM(AY555:AY561)</f>
        <v>7145.0658330000006</v>
      </c>
      <c r="AZ562" s="19"/>
      <c r="BA562" s="19"/>
      <c r="BB562" s="19"/>
      <c r="BC562" s="18">
        <f t="shared" ref="BC562:BU562" si="801">SUM(BC555:BC561)</f>
        <v>6584.8796129999992</v>
      </c>
      <c r="BD562" s="18">
        <f t="shared" si="801"/>
        <v>6950.5926990000007</v>
      </c>
      <c r="BE562" s="18">
        <f t="shared" si="801"/>
        <v>7311.4540890000007</v>
      </c>
      <c r="BF562" s="18">
        <f t="shared" si="801"/>
        <v>7964.9144759999999</v>
      </c>
      <c r="BG562" s="18">
        <f t="shared" si="801"/>
        <v>8730.085959</v>
      </c>
      <c r="BH562" s="18">
        <f t="shared" si="801"/>
        <v>8712.8108580000007</v>
      </c>
      <c r="BI562" s="18">
        <f t="shared" si="801"/>
        <v>9014.807417</v>
      </c>
      <c r="BJ562" s="18">
        <f t="shared" si="801"/>
        <v>9962.6308410000001</v>
      </c>
      <c r="BK562" s="18">
        <f t="shared" si="801"/>
        <v>10377.727588000002</v>
      </c>
      <c r="BL562" s="18">
        <f t="shared" si="801"/>
        <v>10591.653438999998</v>
      </c>
      <c r="BM562" s="18">
        <f t="shared" si="801"/>
        <v>11411.810358000001</v>
      </c>
      <c r="BN562" s="18">
        <f t="shared" si="801"/>
        <v>12885.194170000001</v>
      </c>
      <c r="BO562" s="18">
        <f t="shared" si="801"/>
        <v>63684.927980999993</v>
      </c>
      <c r="BP562" s="18">
        <f t="shared" si="801"/>
        <v>60162.840592000008</v>
      </c>
      <c r="BQ562" s="18">
        <f t="shared" si="801"/>
        <v>59685.265042000006</v>
      </c>
      <c r="BR562" s="18">
        <f t="shared" si="801"/>
        <v>71256.646967000008</v>
      </c>
      <c r="BS562" s="18">
        <f t="shared" si="801"/>
        <v>75520.752501999988</v>
      </c>
      <c r="BT562" s="18">
        <f t="shared" si="801"/>
        <v>76006.236967999983</v>
      </c>
      <c r="BU562" s="18">
        <f t="shared" si="801"/>
        <v>80303.597712999981</v>
      </c>
      <c r="BV562" s="18">
        <f>SUM(BV555:BV561)</f>
        <v>83665.386590999988</v>
      </c>
      <c r="BW562" s="18">
        <f>SUM(BW555:BW561)</f>
        <v>86473.029402999993</v>
      </c>
      <c r="BX562" s="400"/>
      <c r="BY562" s="400"/>
      <c r="BZ562" s="400"/>
      <c r="CA562" s="400"/>
      <c r="CB562" s="400"/>
      <c r="CC562" s="400"/>
      <c r="CD562" s="400"/>
      <c r="CE562" s="400"/>
      <c r="CF562" s="31"/>
      <c r="CH562" s="5" t="s">
        <v>562</v>
      </c>
    </row>
    <row r="563" spans="1:96" ht="15.75" outlineLevel="1" thickBot="1">
      <c r="B563" s="33" t="s">
        <v>214</v>
      </c>
      <c r="C563" s="34"/>
      <c r="D563" s="34"/>
      <c r="E563" s="34"/>
      <c r="F563" s="34"/>
      <c r="G563" s="34"/>
      <c r="H563" s="33">
        <f t="shared" ref="H563:AD563" si="802">H554+H562</f>
        <v>1035.901083</v>
      </c>
      <c r="I563" s="33">
        <f t="shared" si="802"/>
        <v>1451.8525030000001</v>
      </c>
      <c r="J563" s="33">
        <f t="shared" si="802"/>
        <v>2124.9440079999999</v>
      </c>
      <c r="K563" s="33">
        <f t="shared" si="802"/>
        <v>2641.449278</v>
      </c>
      <c r="L563" s="33">
        <f t="shared" si="802"/>
        <v>4156.7596970000004</v>
      </c>
      <c r="M563" s="33">
        <f t="shared" si="802"/>
        <v>8116.2040129999996</v>
      </c>
      <c r="N563" s="33">
        <f t="shared" si="802"/>
        <v>9761.4347780000007</v>
      </c>
      <c r="O563" s="33">
        <f t="shared" si="802"/>
        <v>11669.751007999999</v>
      </c>
      <c r="P563" s="33">
        <f t="shared" si="802"/>
        <v>20818.474461999998</v>
      </c>
      <c r="Q563" s="33">
        <f t="shared" si="802"/>
        <v>31209.525065000002</v>
      </c>
      <c r="R563" s="33">
        <f t="shared" si="802"/>
        <v>118842.59195999999</v>
      </c>
      <c r="S563" s="33">
        <f t="shared" si="802"/>
        <v>144413.90166799998</v>
      </c>
      <c r="T563" s="33">
        <f t="shared" si="802"/>
        <v>162048.47731299998</v>
      </c>
      <c r="U563" s="33">
        <f t="shared" ca="1" si="802"/>
        <v>162833.72294815688</v>
      </c>
      <c r="V563" s="33">
        <f t="shared" ca="1" si="802"/>
        <v>172285.7970053051</v>
      </c>
      <c r="W563" s="33">
        <f t="shared" ca="1" si="802"/>
        <v>185419.9891947679</v>
      </c>
      <c r="X563" s="33">
        <f t="shared" ca="1" si="802"/>
        <v>203557.38052487391</v>
      </c>
      <c r="Y563" s="33">
        <f t="shared" ca="1" si="802"/>
        <v>226431.64915116341</v>
      </c>
      <c r="Z563" s="33">
        <f t="shared" ca="1" si="802"/>
        <v>252410.19804641328</v>
      </c>
      <c r="AA563" s="33">
        <f t="shared" ca="1" si="802"/>
        <v>282790.67097220407</v>
      </c>
      <c r="AB563" s="33">
        <f t="shared" ca="1" si="802"/>
        <v>317588.7893926322</v>
      </c>
      <c r="AC563" s="33">
        <f t="shared" ca="1" si="802"/>
        <v>356664.42929438641</v>
      </c>
      <c r="AD563" s="33">
        <f t="shared" ca="1" si="802"/>
        <v>399395.97646891978</v>
      </c>
      <c r="AE563" s="33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3">
        <f>AY554+AY562</f>
        <v>9761.4347780000007</v>
      </c>
      <c r="AZ563" s="34"/>
      <c r="BA563" s="34"/>
      <c r="BB563" s="34"/>
      <c r="BC563" s="33">
        <f t="shared" ref="BC563:BU563" si="803">BC554+BC562</f>
        <v>11669.751007999999</v>
      </c>
      <c r="BD563" s="33">
        <f t="shared" si="803"/>
        <v>12403.793562000001</v>
      </c>
      <c r="BE563" s="33">
        <f t="shared" si="803"/>
        <v>13471.475671</v>
      </c>
      <c r="BF563" s="33">
        <f t="shared" si="803"/>
        <v>14729.392817</v>
      </c>
      <c r="BG563" s="33">
        <f t="shared" si="803"/>
        <v>20818.474461999998</v>
      </c>
      <c r="BH563" s="33">
        <f t="shared" si="803"/>
        <v>21389.664455000002</v>
      </c>
      <c r="BI563" s="33">
        <f t="shared" si="803"/>
        <v>23773.445204</v>
      </c>
      <c r="BJ563" s="33">
        <f t="shared" si="803"/>
        <v>28267.486268999994</v>
      </c>
      <c r="BK563" s="33">
        <f t="shared" si="803"/>
        <v>31209.525065000002</v>
      </c>
      <c r="BL563" s="33">
        <f t="shared" si="803"/>
        <v>31943.854078999997</v>
      </c>
      <c r="BM563" s="33">
        <f t="shared" si="803"/>
        <v>45741.806303000005</v>
      </c>
      <c r="BN563" s="33">
        <f t="shared" si="803"/>
        <v>49250.974526000005</v>
      </c>
      <c r="BO563" s="33">
        <f t="shared" si="803"/>
        <v>118842.59195999999</v>
      </c>
      <c r="BP563" s="33">
        <f t="shared" si="803"/>
        <v>109968.54281000001</v>
      </c>
      <c r="BQ563" s="33">
        <f t="shared" si="803"/>
        <v>112212.800709</v>
      </c>
      <c r="BR563" s="33">
        <f t="shared" si="803"/>
        <v>135558.25126400002</v>
      </c>
      <c r="BS563" s="33">
        <f t="shared" si="803"/>
        <v>144413.90166799998</v>
      </c>
      <c r="BT563" s="33">
        <f t="shared" si="803"/>
        <v>145941.58682500001</v>
      </c>
      <c r="BU563" s="33">
        <f t="shared" si="803"/>
        <v>154681.63278299998</v>
      </c>
      <c r="BV563" s="33">
        <f>BV554+BV562</f>
        <v>163227.45570699999</v>
      </c>
      <c r="BW563" s="33">
        <f>BW554+BW562</f>
        <v>162048.47731299998</v>
      </c>
      <c r="BX563" s="400"/>
      <c r="BY563" s="400"/>
      <c r="BZ563" s="400"/>
      <c r="CA563" s="400"/>
      <c r="CB563" s="400"/>
      <c r="CC563" s="400"/>
      <c r="CD563" s="400"/>
      <c r="CE563" s="400"/>
      <c r="CF563" s="31"/>
      <c r="CH563" s="5" t="s">
        <v>562</v>
      </c>
    </row>
    <row r="564" spans="1:96" s="38" customFormat="1" ht="15.75" outlineLevel="1" thickTop="1">
      <c r="A564" s="35"/>
      <c r="B564" s="17" t="s">
        <v>137</v>
      </c>
      <c r="C564" s="17"/>
      <c r="D564" s="17"/>
      <c r="E564" s="17"/>
      <c r="F564" s="17"/>
      <c r="G564" s="17"/>
      <c r="H564" s="17">
        <f t="shared" ref="H564:AD564" si="804">H563-H540</f>
        <v>-4.820600000016384E-2</v>
      </c>
      <c r="I564" s="17">
        <f t="shared" si="804"/>
        <v>0</v>
      </c>
      <c r="J564" s="17">
        <f t="shared" si="804"/>
        <v>0</v>
      </c>
      <c r="K564" s="17">
        <f t="shared" si="804"/>
        <v>0</v>
      </c>
      <c r="L564" s="17">
        <f t="shared" si="804"/>
        <v>0</v>
      </c>
      <c r="M564" s="17">
        <f t="shared" si="804"/>
        <v>0</v>
      </c>
      <c r="N564" s="17">
        <f t="shared" si="804"/>
        <v>0</v>
      </c>
      <c r="O564" s="17">
        <f t="shared" si="804"/>
        <v>0</v>
      </c>
      <c r="P564" s="17">
        <f t="shared" si="804"/>
        <v>0</v>
      </c>
      <c r="Q564" s="17">
        <f t="shared" si="804"/>
        <v>0</v>
      </c>
      <c r="R564" s="17">
        <f t="shared" si="804"/>
        <v>0</v>
      </c>
      <c r="S564" s="17">
        <f t="shared" si="804"/>
        <v>0</v>
      </c>
      <c r="T564" s="17">
        <f t="shared" si="804"/>
        <v>0</v>
      </c>
      <c r="U564" s="17">
        <f t="shared" ca="1" si="804"/>
        <v>0</v>
      </c>
      <c r="V564" s="17">
        <f t="shared" ca="1" si="804"/>
        <v>0</v>
      </c>
      <c r="W564" s="17">
        <f t="shared" ca="1" si="804"/>
        <v>0</v>
      </c>
      <c r="X564" s="17">
        <f t="shared" ca="1" si="804"/>
        <v>0</v>
      </c>
      <c r="Y564" s="17">
        <f t="shared" ca="1" si="804"/>
        <v>0</v>
      </c>
      <c r="Z564" s="17">
        <f t="shared" ca="1" si="804"/>
        <v>0</v>
      </c>
      <c r="AA564" s="17">
        <f t="shared" ca="1" si="804"/>
        <v>0</v>
      </c>
      <c r="AB564" s="17">
        <f t="shared" ca="1" si="804"/>
        <v>0</v>
      </c>
      <c r="AC564" s="17">
        <f t="shared" ca="1" si="804"/>
        <v>0</v>
      </c>
      <c r="AD564" s="17">
        <f t="shared" ca="1" si="804"/>
        <v>0</v>
      </c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  <c r="AX564" s="17"/>
      <c r="AY564" s="17">
        <f>AY563-AY540</f>
        <v>0</v>
      </c>
      <c r="AZ564" s="17"/>
      <c r="BA564" s="17"/>
      <c r="BB564" s="17"/>
      <c r="BC564" s="17">
        <f t="shared" ref="BC564:BU564" si="805">BC563-BC540</f>
        <v>0</v>
      </c>
      <c r="BD564" s="17">
        <f t="shared" si="805"/>
        <v>0</v>
      </c>
      <c r="BE564" s="17">
        <f t="shared" si="805"/>
        <v>0</v>
      </c>
      <c r="BF564" s="17">
        <f t="shared" si="805"/>
        <v>0</v>
      </c>
      <c r="BG564" s="17">
        <f t="shared" si="805"/>
        <v>0</v>
      </c>
      <c r="BH564" s="17">
        <f t="shared" si="805"/>
        <v>0</v>
      </c>
      <c r="BI564" s="17">
        <f t="shared" si="805"/>
        <v>0</v>
      </c>
      <c r="BJ564" s="17">
        <f t="shared" si="805"/>
        <v>0</v>
      </c>
      <c r="BK564" s="17">
        <f t="shared" si="805"/>
        <v>0</v>
      </c>
      <c r="BL564" s="17">
        <f t="shared" si="805"/>
        <v>0</v>
      </c>
      <c r="BM564" s="17">
        <f t="shared" si="805"/>
        <v>0</v>
      </c>
      <c r="BN564" s="17">
        <f t="shared" si="805"/>
        <v>0</v>
      </c>
      <c r="BO564" s="17">
        <f t="shared" si="805"/>
        <v>0</v>
      </c>
      <c r="BP564" s="17">
        <f t="shared" si="805"/>
        <v>0</v>
      </c>
      <c r="BQ564" s="17">
        <f t="shared" si="805"/>
        <v>0</v>
      </c>
      <c r="BR564" s="17">
        <f t="shared" si="805"/>
        <v>0</v>
      </c>
      <c r="BS564" s="17">
        <f t="shared" si="805"/>
        <v>0</v>
      </c>
      <c r="BT564" s="17">
        <f t="shared" si="805"/>
        <v>0</v>
      </c>
      <c r="BU564" s="17">
        <f t="shared" si="805"/>
        <v>0</v>
      </c>
      <c r="BV564" s="17">
        <f>BV563-BV540</f>
        <v>0</v>
      </c>
      <c r="BW564" s="17">
        <f>BW563-BW540</f>
        <v>0</v>
      </c>
      <c r="BX564" s="17"/>
      <c r="BY564" s="17"/>
      <c r="BZ564" s="17"/>
      <c r="CA564" s="17"/>
      <c r="CB564" s="17"/>
      <c r="CC564" s="17"/>
      <c r="CD564" s="17"/>
      <c r="CE564" s="17"/>
      <c r="CF564" s="64"/>
      <c r="CH564" s="5" t="s">
        <v>562</v>
      </c>
      <c r="CI564" s="35"/>
      <c r="CJ564"/>
      <c r="CK564"/>
      <c r="CL564"/>
      <c r="CM564"/>
      <c r="CN564"/>
      <c r="CO564"/>
      <c r="CP564" s="35"/>
      <c r="CQ564" s="35"/>
      <c r="CR564" s="35"/>
    </row>
    <row r="565" spans="1:96" outlineLevel="1">
      <c r="B565" s="39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  <c r="BL565" s="6"/>
      <c r="BM565" s="6"/>
      <c r="BN565" s="6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  <c r="BZ565" s="6"/>
      <c r="CA565" s="6"/>
      <c r="CB565" s="6"/>
      <c r="CC565" s="6"/>
      <c r="CD565" s="6"/>
      <c r="CE565" s="6"/>
      <c r="CF565" s="5"/>
      <c r="CH565" s="5" t="s">
        <v>562</v>
      </c>
    </row>
    <row r="566" spans="1:96" outlineLevel="1">
      <c r="B566" s="39" t="s">
        <v>537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>
        <f t="shared" ref="N566:AD566" si="806">N525+N526+N527-N542-N552</f>
        <v>5003.536274</v>
      </c>
      <c r="O566" s="6">
        <f t="shared" si="806"/>
        <v>4023.529246000001</v>
      </c>
      <c r="P566" s="6">
        <f t="shared" si="806"/>
        <v>5081.1973920000009</v>
      </c>
      <c r="Q566" s="6">
        <f t="shared" si="806"/>
        <v>1031.0606440000001</v>
      </c>
      <c r="R566" s="6">
        <f t="shared" si="806"/>
        <v>-1326.4788759999974</v>
      </c>
      <c r="S566" s="6">
        <f t="shared" si="806"/>
        <v>-7245.9492959999952</v>
      </c>
      <c r="T566" s="6">
        <f t="shared" si="806"/>
        <v>2585.1889880000017</v>
      </c>
      <c r="U566" s="6">
        <f t="shared" ca="1" si="806"/>
        <v>7174.6568074897295</v>
      </c>
      <c r="V566" s="6">
        <f t="shared" ca="1" si="806"/>
        <v>12448.578178232463</v>
      </c>
      <c r="W566" s="6">
        <f t="shared" ca="1" si="806"/>
        <v>20116.570401833378</v>
      </c>
      <c r="X566" s="6">
        <f t="shared" ca="1" si="806"/>
        <v>29025.228337916611</v>
      </c>
      <c r="Y566" s="6">
        <f t="shared" ca="1" si="806"/>
        <v>41074.220022317437</v>
      </c>
      <c r="Z566" s="6">
        <f t="shared" ca="1" si="806"/>
        <v>56899.626361630137</v>
      </c>
      <c r="AA566" s="6">
        <f t="shared" ca="1" si="806"/>
        <v>74743.336005083955</v>
      </c>
      <c r="AB566" s="6">
        <f t="shared" ca="1" si="806"/>
        <v>96140.827472810517</v>
      </c>
      <c r="AC566" s="6">
        <f t="shared" ca="1" si="806"/>
        <v>121123.20696491358</v>
      </c>
      <c r="AD566" s="6">
        <f t="shared" ca="1" si="806"/>
        <v>149628.6460494783</v>
      </c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>
        <f t="shared" ref="BC566:BW566" si="807">BC525+BC526+BC527-BC542-BC552</f>
        <v>4023.529246000001</v>
      </c>
      <c r="BD566" s="6">
        <f t="shared" si="807"/>
        <v>4594.9884050000001</v>
      </c>
      <c r="BE566" s="6">
        <f t="shared" si="807"/>
        <v>5161.0888050000003</v>
      </c>
      <c r="BF566" s="6">
        <f t="shared" si="807"/>
        <v>5085.4990440000001</v>
      </c>
      <c r="BG566" s="6">
        <f t="shared" si="807"/>
        <v>5081.1973920000009</v>
      </c>
      <c r="BH566" s="6">
        <f t="shared" si="807"/>
        <v>4785.7577619999993</v>
      </c>
      <c r="BI566" s="6">
        <f t="shared" si="807"/>
        <v>3431.9376969999994</v>
      </c>
      <c r="BJ566" s="6">
        <f t="shared" si="807"/>
        <v>659.58408500000041</v>
      </c>
      <c r="BK566" s="6">
        <f t="shared" si="807"/>
        <v>1031.0606440000001</v>
      </c>
      <c r="BL566" s="6">
        <f t="shared" si="807"/>
        <v>845.20940799999971</v>
      </c>
      <c r="BM566" s="6">
        <f t="shared" si="807"/>
        <v>-1862.239497999999</v>
      </c>
      <c r="BN566" s="6">
        <f t="shared" si="807"/>
        <v>-5407.7431249999972</v>
      </c>
      <c r="BO566" s="6">
        <f t="shared" si="807"/>
        <v>-1326.4788759999974</v>
      </c>
      <c r="BP566" s="6">
        <f t="shared" si="807"/>
        <v>-9784.1108310000018</v>
      </c>
      <c r="BQ566" s="6">
        <f t="shared" si="807"/>
        <v>-13088.407605</v>
      </c>
      <c r="BR566" s="6">
        <f t="shared" si="807"/>
        <v>-2639.6158120000036</v>
      </c>
      <c r="BS566" s="6">
        <f t="shared" si="807"/>
        <v>-7245.9492959999952</v>
      </c>
      <c r="BT566" s="6">
        <f t="shared" si="807"/>
        <v>-8970.3211940000037</v>
      </c>
      <c r="BU566" s="6">
        <f t="shared" si="807"/>
        <v>-3760.3359209999981</v>
      </c>
      <c r="BV566" s="6">
        <f t="shared" si="807"/>
        <v>-1025.1027220000033</v>
      </c>
      <c r="BW566" s="6">
        <f t="shared" si="807"/>
        <v>2585.1889880000017</v>
      </c>
      <c r="BX566" s="6"/>
      <c r="BY566" s="6"/>
      <c r="BZ566" s="6"/>
      <c r="CA566" s="6"/>
      <c r="CB566" s="6"/>
      <c r="CC566" s="6"/>
      <c r="CD566" s="6"/>
      <c r="CE566" s="6"/>
      <c r="CF566" s="5"/>
      <c r="CH566" s="5" t="s">
        <v>562</v>
      </c>
    </row>
    <row r="567" spans="1:96" outlineLevel="1"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  <c r="BL567" s="6"/>
      <c r="BM567" s="6"/>
      <c r="BN567" s="6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  <c r="BZ567" s="6"/>
      <c r="CA567" s="6"/>
      <c r="CB567" s="6"/>
      <c r="CC567" s="6"/>
      <c r="CD567" s="6"/>
      <c r="CE567" s="6"/>
      <c r="CF567" s="5"/>
      <c r="CH567" s="5" t="s">
        <v>562</v>
      </c>
    </row>
    <row r="568" spans="1:96" s="528" customFormat="1" outlineLevel="1">
      <c r="A568" s="332"/>
      <c r="B568" s="530" t="s">
        <v>593</v>
      </c>
      <c r="C568" s="532"/>
      <c r="D568" s="532"/>
      <c r="E568" s="532"/>
      <c r="F568" s="532"/>
      <c r="G568" s="532"/>
      <c r="H568" s="532"/>
      <c r="I568" s="532"/>
      <c r="J568" s="532"/>
      <c r="K568" s="532"/>
      <c r="L568" s="532"/>
      <c r="M568" s="532"/>
      <c r="N568" s="532"/>
      <c r="O568" s="532"/>
      <c r="P568" s="532"/>
      <c r="Q568" s="532"/>
      <c r="R568" s="532"/>
      <c r="S568" s="532"/>
      <c r="T568" s="532"/>
      <c r="U568" s="532"/>
      <c r="V568" s="532"/>
      <c r="W568" s="532"/>
      <c r="X568" s="532"/>
      <c r="Y568" s="532"/>
      <c r="Z568" s="532"/>
      <c r="AA568" s="532"/>
      <c r="AB568" s="532"/>
      <c r="AC568" s="532"/>
      <c r="AD568" s="532"/>
      <c r="AE568" s="532"/>
      <c r="AF568" s="532"/>
      <c r="AG568" s="532"/>
      <c r="AH568" s="532"/>
      <c r="AI568" s="532"/>
      <c r="AJ568" s="532"/>
      <c r="AK568" s="532"/>
      <c r="AL568" s="532"/>
      <c r="AM568" s="532"/>
      <c r="AN568" s="532"/>
      <c r="AO568" s="532"/>
      <c r="AP568" s="532"/>
      <c r="AQ568" s="532"/>
      <c r="AR568" s="532"/>
      <c r="AS568" s="532"/>
      <c r="AT568" s="532"/>
      <c r="AU568" s="532"/>
      <c r="AV568" s="532"/>
      <c r="AW568" s="532"/>
      <c r="AX568" s="532"/>
      <c r="AY568" s="532"/>
      <c r="AZ568" s="532"/>
      <c r="BA568" s="532"/>
      <c r="BB568" s="532"/>
      <c r="BC568" s="532"/>
      <c r="BD568" s="532"/>
      <c r="BE568" s="532"/>
      <c r="BF568" s="532"/>
      <c r="BG568" s="532"/>
      <c r="BH568" s="532"/>
      <c r="BI568" s="532"/>
      <c r="BJ568" s="532"/>
      <c r="BK568" s="532"/>
      <c r="BL568" s="532"/>
      <c r="BM568" s="532"/>
      <c r="BN568" s="532"/>
      <c r="BO568" s="532"/>
      <c r="BP568" s="532"/>
      <c r="BQ568" s="532"/>
      <c r="BR568" s="532"/>
      <c r="BS568" s="532"/>
      <c r="BT568" s="532"/>
      <c r="BU568" s="532"/>
      <c r="BV568" s="532"/>
      <c r="BW568" s="532"/>
      <c r="BX568" s="532"/>
      <c r="BY568" s="532"/>
      <c r="BZ568" s="532"/>
      <c r="CA568" s="532"/>
      <c r="CB568" s="532"/>
      <c r="CC568" s="532"/>
      <c r="CD568" s="532"/>
      <c r="CE568" s="532"/>
      <c r="CF568" s="533"/>
      <c r="CH568" s="505" t="s">
        <v>562</v>
      </c>
      <c r="CJ568"/>
      <c r="CK568"/>
      <c r="CL568"/>
      <c r="CM568"/>
      <c r="CN568"/>
      <c r="CO568"/>
    </row>
    <row r="569" spans="1:96" outlineLevel="1">
      <c r="A569" s="51"/>
      <c r="B569" s="22" t="s">
        <v>173</v>
      </c>
      <c r="C569" s="22"/>
      <c r="D569" s="22"/>
      <c r="E569" s="22"/>
      <c r="F569" s="22"/>
      <c r="G569" s="22"/>
      <c r="H569" s="184">
        <f t="shared" ref="H569:S569" si="808">H526</f>
        <v>6.6</v>
      </c>
      <c r="I569" s="184">
        <f t="shared" si="808"/>
        <v>6.6</v>
      </c>
      <c r="J569" s="184">
        <f t="shared" si="808"/>
        <v>6.6</v>
      </c>
      <c r="K569" s="500">
        <f t="shared" si="808"/>
        <v>6.6</v>
      </c>
      <c r="L569" s="500">
        <f t="shared" si="808"/>
        <v>113.150289</v>
      </c>
      <c r="M569" s="500">
        <f t="shared" si="808"/>
        <v>224.179126</v>
      </c>
      <c r="N569" s="500">
        <f t="shared" si="808"/>
        <v>211.63629399999999</v>
      </c>
      <c r="O569" s="500">
        <f t="shared" si="808"/>
        <v>768.22857699999997</v>
      </c>
      <c r="P569" s="500">
        <f t="shared" si="808"/>
        <v>739.54361400000005</v>
      </c>
      <c r="Q569" s="500">
        <f t="shared" si="808"/>
        <v>836.39495099999999</v>
      </c>
      <c r="R569" s="500">
        <f t="shared" si="808"/>
        <v>2286.8825919999999</v>
      </c>
      <c r="S569" s="500">
        <f t="shared" si="808"/>
        <v>1744.490307</v>
      </c>
      <c r="T569" s="500">
        <f>T526</f>
        <v>1748.796431</v>
      </c>
      <c r="U569" s="22">
        <f ca="1">U571*Model!U305</f>
        <v>2079.7130027603721</v>
      </c>
      <c r="V569" s="22">
        <f ca="1">V571*Model!V305</f>
        <v>2613.8128430901438</v>
      </c>
      <c r="W569" s="22">
        <f ca="1">W571*Model!W305</f>
        <v>3194.2745988589572</v>
      </c>
      <c r="X569" s="22">
        <f ca="1">X571*Model!X305</f>
        <v>3846.0098566875281</v>
      </c>
      <c r="Y569" s="22">
        <f ca="1">Y571*Model!Y305</f>
        <v>4590.2761494946726</v>
      </c>
      <c r="Z569" s="22">
        <f ca="1">Z571*Model!Z305</f>
        <v>5314.2076481819286</v>
      </c>
      <c r="AA569" s="22">
        <f ca="1">AA571*Model!AA305</f>
        <v>6097.6732964457951</v>
      </c>
      <c r="AB569" s="22">
        <f ca="1">AB571*Model!AB305</f>
        <v>6941.9410229094347</v>
      </c>
      <c r="AC569" s="22">
        <f ca="1">AC571*Model!AC305</f>
        <v>7842.1167149819566</v>
      </c>
      <c r="AD569" s="22">
        <f ca="1">AD571*Model!AD305</f>
        <v>8766.9672298858768</v>
      </c>
      <c r="AE569" s="184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>
        <f>AY526</f>
        <v>211.63629399999999</v>
      </c>
      <c r="AZ569" s="22"/>
      <c r="BA569" s="22"/>
      <c r="BB569" s="22"/>
      <c r="BC569" s="22">
        <f t="shared" ref="BC569:BU569" si="809">BC526</f>
        <v>768.22857699999997</v>
      </c>
      <c r="BD569" s="22">
        <f t="shared" si="809"/>
        <v>737.74582599999997</v>
      </c>
      <c r="BE569" s="22">
        <f t="shared" si="809"/>
        <v>735.970778</v>
      </c>
      <c r="BF569" s="22">
        <f t="shared" si="809"/>
        <v>739.16863000000001</v>
      </c>
      <c r="BG569" s="22">
        <f t="shared" si="809"/>
        <v>739.54361400000005</v>
      </c>
      <c r="BH569" s="22">
        <f t="shared" si="809"/>
        <v>737.98109999999997</v>
      </c>
      <c r="BI569" s="22">
        <f t="shared" si="809"/>
        <v>1209.0873469999999</v>
      </c>
      <c r="BJ569" s="22">
        <f t="shared" si="809"/>
        <v>821.22644300000002</v>
      </c>
      <c r="BK569" s="22">
        <f t="shared" si="809"/>
        <v>836.39495099999999</v>
      </c>
      <c r="BL569" s="22">
        <f t="shared" si="809"/>
        <v>865.77240200000006</v>
      </c>
      <c r="BM569" s="22">
        <f t="shared" si="809"/>
        <v>1167.673256</v>
      </c>
      <c r="BN569" s="22">
        <f t="shared" si="809"/>
        <v>1076.345583</v>
      </c>
      <c r="BO569" s="22">
        <f t="shared" si="809"/>
        <v>2286.8825919999999</v>
      </c>
      <c r="BP569" s="22">
        <f t="shared" si="809"/>
        <v>2417.9665890000001</v>
      </c>
      <c r="BQ569" s="22">
        <f t="shared" si="809"/>
        <v>2417.4475499999999</v>
      </c>
      <c r="BR569" s="22">
        <f t="shared" si="809"/>
        <v>1981.091232</v>
      </c>
      <c r="BS569" s="22">
        <f t="shared" si="809"/>
        <v>1744.490307</v>
      </c>
      <c r="BT569" s="22">
        <f t="shared" si="809"/>
        <v>2207.070084</v>
      </c>
      <c r="BU569" s="22">
        <f t="shared" si="809"/>
        <v>1967.095499</v>
      </c>
      <c r="BV569" s="22"/>
      <c r="BW569" s="22"/>
      <c r="BX569" s="22"/>
      <c r="BY569" s="22"/>
      <c r="BZ569" s="22"/>
      <c r="CA569" s="22"/>
      <c r="CB569" s="22"/>
      <c r="CC569" s="22"/>
      <c r="CD569" s="22"/>
      <c r="CE569" s="22"/>
      <c r="CF569" s="22"/>
      <c r="CH569" s="5" t="s">
        <v>562</v>
      </c>
      <c r="CI569" s="12"/>
      <c r="CP569" s="12"/>
      <c r="CQ569" s="12"/>
      <c r="CR569" s="12"/>
    </row>
    <row r="570" spans="1:96" outlineLevel="1">
      <c r="A570" s="51"/>
      <c r="B570" s="12" t="s">
        <v>82</v>
      </c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117">
        <f t="shared" ref="N570:AD570" si="810">N569/M569-1</f>
        <v>-5.5950044162452528E-2</v>
      </c>
      <c r="O570" s="117">
        <f t="shared" si="810"/>
        <v>2.6299472197334923</v>
      </c>
      <c r="P570" s="117">
        <f t="shared" si="810"/>
        <v>-3.7339099141582621E-2</v>
      </c>
      <c r="Q570" s="117">
        <f t="shared" si="810"/>
        <v>0.1309609537105676</v>
      </c>
      <c r="R570" s="117">
        <f t="shared" si="810"/>
        <v>1.7342137697815923</v>
      </c>
      <c r="S570" s="117">
        <f t="shared" si="810"/>
        <v>-0.2371753962784986</v>
      </c>
      <c r="T570" s="117">
        <f t="shared" si="810"/>
        <v>2.4684138299428948E-3</v>
      </c>
      <c r="U570" s="117">
        <f t="shared" ca="1" si="810"/>
        <v>0.18922532428268202</v>
      </c>
      <c r="V570" s="117">
        <f t="shared" ca="1" si="810"/>
        <v>0.25681420446997683</v>
      </c>
      <c r="W570" s="117">
        <f t="shared" ca="1" si="810"/>
        <v>0.22207472019403296</v>
      </c>
      <c r="X570" s="117">
        <f t="shared" ca="1" si="810"/>
        <v>0.20403232022111695</v>
      </c>
      <c r="Y570" s="117">
        <f t="shared" ca="1" si="810"/>
        <v>0.19351648085690609</v>
      </c>
      <c r="Z570" s="117">
        <f t="shared" ca="1" si="810"/>
        <v>0.15770979241999439</v>
      </c>
      <c r="AA570" s="117">
        <f t="shared" ca="1" si="810"/>
        <v>0.14742849736628227</v>
      </c>
      <c r="AB570" s="117">
        <f t="shared" ca="1" si="810"/>
        <v>0.13845735667008352</v>
      </c>
      <c r="AC570" s="117">
        <f t="shared" ca="1" si="810"/>
        <v>0.12967204548436939</v>
      </c>
      <c r="AD570" s="117">
        <f t="shared" ca="1" si="810"/>
        <v>0.11793378605766502</v>
      </c>
      <c r="AE570" s="117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22"/>
      <c r="BC570" s="22"/>
      <c r="BD570" s="22"/>
      <c r="BE570" s="22"/>
      <c r="BF570" s="22"/>
      <c r="BG570" s="22"/>
      <c r="BH570" s="22"/>
      <c r="BI570" s="22"/>
      <c r="BJ570" s="22"/>
      <c r="BK570" s="22"/>
      <c r="BL570" s="22"/>
      <c r="BM570" s="22"/>
      <c r="BN570" s="22"/>
      <c r="BO570" s="22"/>
      <c r="BP570" s="22"/>
      <c r="BQ570" s="22"/>
      <c r="BR570" s="22"/>
      <c r="BS570" s="22"/>
      <c r="BT570" s="22"/>
      <c r="BU570" s="22"/>
      <c r="BV570" s="22"/>
      <c r="BW570" s="22"/>
      <c r="BX570" s="22"/>
      <c r="BY570" s="22"/>
      <c r="BZ570" s="22"/>
      <c r="CA570" s="22"/>
      <c r="CB570" s="22"/>
      <c r="CC570" s="22"/>
      <c r="CD570" s="22"/>
      <c r="CE570" s="22"/>
      <c r="CF570" s="22"/>
      <c r="CH570" s="5" t="s">
        <v>562</v>
      </c>
      <c r="CI570" s="12"/>
      <c r="CP570" s="12"/>
      <c r="CQ570" s="12"/>
      <c r="CR570" s="12"/>
    </row>
    <row r="571" spans="1:96" outlineLevel="1">
      <c r="A571" s="51"/>
      <c r="B571" s="117" t="s">
        <v>742</v>
      </c>
      <c r="C571" s="117"/>
      <c r="D571" s="117"/>
      <c r="E571" s="117"/>
      <c r="F571" s="117"/>
      <c r="G571" s="117"/>
      <c r="H571" s="117">
        <f>H569/Model!H305</f>
        <v>1.1865927958715201E-2</v>
      </c>
      <c r="I571" s="117">
        <f>I569/Model!I305</f>
        <v>7.9134163003635183E-3</v>
      </c>
      <c r="J571" s="117">
        <f>J569/Model!J305</f>
        <v>5.1270967351434134E-3</v>
      </c>
      <c r="K571" s="117">
        <f>K569/Model!K305</f>
        <v>4.1557567819164422E-3</v>
      </c>
      <c r="L571" s="117">
        <f>L569/Model!L305</f>
        <v>5.3308360309336306E-2</v>
      </c>
      <c r="M571" s="117">
        <f>M569/Model!M305</f>
        <v>7.3100783954965318E-2</v>
      </c>
      <c r="N571" s="117">
        <f>N569/Model!N305</f>
        <v>5.6795227414434338E-2</v>
      </c>
      <c r="O571" s="117">
        <f>O569/Model!O305</f>
        <v>0.1742334042263938</v>
      </c>
      <c r="P571" s="117">
        <f>P569/Model!P305</f>
        <v>0.12935830101253598</v>
      </c>
      <c r="Q571" s="117">
        <f>Q569/Model!Q305</f>
        <v>0.10760872380683301</v>
      </c>
      <c r="R571" s="117">
        <f>R569/Model!R305</f>
        <v>0.19891217292347316</v>
      </c>
      <c r="S571" s="117">
        <f>S569/Model!S305</f>
        <v>8.8158614772282859E-2</v>
      </c>
      <c r="T571" s="117">
        <f>T569/Model!T305</f>
        <v>6.4825494803106065E-2</v>
      </c>
      <c r="U571" s="233">
        <f t="shared" ref="U571:AD571" si="811">T571</f>
        <v>6.4825494803106065E-2</v>
      </c>
      <c r="V571" s="233">
        <f t="shared" si="811"/>
        <v>6.4825494803106065E-2</v>
      </c>
      <c r="W571" s="233">
        <f t="shared" si="811"/>
        <v>6.4825494803106065E-2</v>
      </c>
      <c r="X571" s="233">
        <f t="shared" si="811"/>
        <v>6.4825494803106065E-2</v>
      </c>
      <c r="Y571" s="233">
        <f t="shared" si="811"/>
        <v>6.4825494803106065E-2</v>
      </c>
      <c r="Z571" s="233">
        <f t="shared" si="811"/>
        <v>6.4825494803106065E-2</v>
      </c>
      <c r="AA571" s="233">
        <f t="shared" si="811"/>
        <v>6.4825494803106065E-2</v>
      </c>
      <c r="AB571" s="233">
        <f t="shared" si="811"/>
        <v>6.4825494803106065E-2</v>
      </c>
      <c r="AC571" s="233">
        <f t="shared" si="811"/>
        <v>6.4825494803106065E-2</v>
      </c>
      <c r="AD571" s="233">
        <f t="shared" si="811"/>
        <v>6.4825494803106065E-2</v>
      </c>
      <c r="AE571" s="233"/>
      <c r="AF571" s="117"/>
      <c r="AG571" s="117"/>
      <c r="AH571" s="117"/>
      <c r="AI571" s="117"/>
      <c r="AJ571" s="117"/>
      <c r="AK571" s="117"/>
      <c r="AL571" s="117"/>
      <c r="AM571" s="117"/>
      <c r="AN571" s="117"/>
      <c r="AO571" s="117"/>
      <c r="AP571" s="117"/>
      <c r="AQ571" s="117"/>
      <c r="AR571" s="117"/>
      <c r="AS571" s="117"/>
      <c r="AT571" s="117"/>
      <c r="AU571" s="117"/>
      <c r="AV571" s="117"/>
      <c r="AW571" s="117"/>
      <c r="AX571" s="117"/>
      <c r="AY571" s="117">
        <f>AY569/Model!BC305</f>
        <v>0.18130503373199641</v>
      </c>
      <c r="AZ571" s="117"/>
      <c r="BA571" s="117"/>
      <c r="BB571" s="117"/>
      <c r="BC571" s="117">
        <f>BC569/Model!BC305</f>
        <v>0.65812770311914737</v>
      </c>
      <c r="BD571" s="117">
        <f>BD569/Model!BD305</f>
        <v>0.60057055429065864</v>
      </c>
      <c r="BE571" s="117">
        <f>BE569/Model!BE305</f>
        <v>0.55749012368358708</v>
      </c>
      <c r="BF571" s="117">
        <f>BF569/Model!BF305</f>
        <v>0.4505789938610878</v>
      </c>
      <c r="BG571" s="117">
        <f>BG569/Model!BG305</f>
        <v>0.48400330302858136</v>
      </c>
      <c r="BH571" s="117">
        <f>BH569/Model!BH305</f>
        <v>0.44106687263032879</v>
      </c>
      <c r="BI571" s="117">
        <f>BI569/Model!BI305</f>
        <v>0.66451415048365592</v>
      </c>
      <c r="BJ571" s="117">
        <f>BJ569/Model!BJ305</f>
        <v>0.36345950157368179</v>
      </c>
      <c r="BK571" s="117">
        <f>BK569/Model!BK305</f>
        <v>0.41397352950261568</v>
      </c>
      <c r="BL571" s="117">
        <f>BL569/Model!BL305</f>
        <v>0.35434514585864479</v>
      </c>
      <c r="BM571" s="117">
        <f>BM569/Model!BM305</f>
        <v>0.43807094821029141</v>
      </c>
      <c r="BN571" s="117">
        <f>BN569/Model!BN305</f>
        <v>0.32074487355955444</v>
      </c>
      <c r="BO571" s="117">
        <f>BO569/Model!BO305</f>
        <v>0.75415278866629631</v>
      </c>
      <c r="BP571" s="117">
        <f>BP569/Model!BP305</f>
        <v>0.54964513062957343</v>
      </c>
      <c r="BQ571" s="117">
        <f>BQ569/Model!BQ305</f>
        <v>0.53219700876662457</v>
      </c>
      <c r="BR571" s="117">
        <f>BR569/Model!BR305</f>
        <v>0.34953475373054183</v>
      </c>
      <c r="BS571" s="117">
        <f>BS569/Model!BS305</f>
        <v>0.336854930960787</v>
      </c>
      <c r="BT571" s="117">
        <f>BT569/Model!BT305</f>
        <v>0.35985207495201499</v>
      </c>
      <c r="BU571" s="117">
        <f>BU569/Model!BU305</f>
        <v>0.3044302736736304</v>
      </c>
      <c r="BV571" s="117"/>
      <c r="BW571" s="117"/>
      <c r="BX571" s="117"/>
      <c r="BY571" s="117"/>
      <c r="BZ571" s="117"/>
      <c r="CA571" s="117"/>
      <c r="CB571" s="117"/>
      <c r="CC571" s="117"/>
      <c r="CD571" s="117"/>
      <c r="CE571" s="117"/>
      <c r="CF571" s="117"/>
      <c r="CH571" s="5" t="s">
        <v>562</v>
      </c>
      <c r="CI571" s="12"/>
      <c r="CP571" s="12"/>
      <c r="CQ571" s="12"/>
      <c r="CR571" s="12"/>
    </row>
    <row r="572" spans="1:96" outlineLevel="1">
      <c r="A572" s="51"/>
      <c r="B572" s="115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439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22"/>
      <c r="BC572" s="22"/>
      <c r="BD572" s="22"/>
      <c r="BE572" s="22"/>
      <c r="BF572" s="22"/>
      <c r="BG572" s="22"/>
      <c r="BH572" s="22"/>
      <c r="BI572" s="22"/>
      <c r="BJ572" s="22"/>
      <c r="BK572" s="22"/>
      <c r="BL572" s="22"/>
      <c r="BM572" s="22"/>
      <c r="BN572" s="22"/>
      <c r="BO572" s="22"/>
      <c r="BP572" s="22"/>
      <c r="BQ572" s="22"/>
      <c r="BR572" s="22"/>
      <c r="BS572" s="22"/>
      <c r="BT572" s="22"/>
      <c r="BU572" s="22"/>
      <c r="BV572" s="22"/>
      <c r="BW572" s="22"/>
      <c r="BX572" s="22"/>
      <c r="BY572" s="22"/>
      <c r="BZ572" s="22"/>
      <c r="CA572" s="22"/>
      <c r="CB572" s="22"/>
      <c r="CC572" s="22"/>
      <c r="CD572" s="22"/>
      <c r="CE572" s="22"/>
      <c r="CF572" s="22"/>
      <c r="CH572" s="5" t="s">
        <v>562</v>
      </c>
      <c r="CI572" s="12"/>
      <c r="CP572" s="12"/>
      <c r="CQ572" s="12"/>
      <c r="CR572" s="12"/>
    </row>
    <row r="573" spans="1:96" outlineLevel="1">
      <c r="B573" s="20" t="s">
        <v>578</v>
      </c>
      <c r="C573" s="20"/>
      <c r="D573" s="20"/>
      <c r="E573" s="20"/>
      <c r="F573" s="20"/>
      <c r="G573" s="20"/>
      <c r="H573" s="20">
        <f t="shared" ref="H573:S573" si="812">H528</f>
        <v>63.440215000000002</v>
      </c>
      <c r="I573" s="20">
        <f t="shared" si="812"/>
        <v>136.688354</v>
      </c>
      <c r="J573" s="20">
        <f t="shared" si="812"/>
        <v>260.68376999999998</v>
      </c>
      <c r="K573" s="20">
        <f t="shared" si="812"/>
        <v>274.30245400000001</v>
      </c>
      <c r="L573" s="20">
        <f t="shared" si="812"/>
        <v>420.579005</v>
      </c>
      <c r="M573" s="20">
        <f t="shared" si="812"/>
        <v>621.54884900000002</v>
      </c>
      <c r="N573" s="588">
        <f t="shared" si="812"/>
        <v>789.03632900000002</v>
      </c>
      <c r="O573" s="588">
        <f t="shared" si="812"/>
        <v>983.80440299999998</v>
      </c>
      <c r="P573" s="588">
        <f t="shared" si="812"/>
        <v>1518.2300290000001</v>
      </c>
      <c r="Q573" s="588">
        <f t="shared" si="812"/>
        <v>1826.7659490000001</v>
      </c>
      <c r="R573" s="588">
        <f t="shared" si="812"/>
        <v>3150.768364</v>
      </c>
      <c r="S573" s="588">
        <f t="shared" si="812"/>
        <v>4624.8183220000001</v>
      </c>
      <c r="T573" s="588">
        <f>T528</f>
        <v>4559.0527009999996</v>
      </c>
      <c r="U573" s="20">
        <f ca="1">U575*Model!U305</f>
        <v>6416.3428573189203</v>
      </c>
      <c r="V573" s="20">
        <f ca="1">V575*Model!V305</f>
        <v>8064.1508438278979</v>
      </c>
      <c r="W573" s="20">
        <f ca="1">W575*Model!W305</f>
        <v>9854.994886073453</v>
      </c>
      <c r="X573" s="20">
        <f ca="1">X575*Model!X305</f>
        <v>11865.732358446263</v>
      </c>
      <c r="Y573" s="20">
        <f ca="1">Y575*Model!Y305</f>
        <v>14161.947127242702</v>
      </c>
      <c r="Z573" s="20">
        <f ca="1">Z575*Model!Z305</f>
        <v>16395.424868943082</v>
      </c>
      <c r="AA573" s="20">
        <f ca="1">AA575*Model!AA305</f>
        <v>18812.577721053134</v>
      </c>
      <c r="AB573" s="20">
        <f ca="1">AB575*Model!AB305</f>
        <v>21417.317504460661</v>
      </c>
      <c r="AC573" s="20">
        <f ca="1">AC575*Model!AC305</f>
        <v>24194.544874052262</v>
      </c>
      <c r="AD573" s="20">
        <f ca="1">AD575*Model!AD305</f>
        <v>27047.899152991318</v>
      </c>
      <c r="AE573" s="20"/>
      <c r="AF573" s="20"/>
      <c r="AG573" s="20"/>
      <c r="AH573" s="20"/>
      <c r="AI573" s="20"/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>
        <f>AY528</f>
        <v>789.03632900000002</v>
      </c>
      <c r="AZ573" s="20"/>
      <c r="BA573" s="20"/>
      <c r="BB573" s="20"/>
      <c r="BC573" s="20">
        <f t="shared" ref="BC573:BU573" si="813">BC528</f>
        <v>983.80440299999998</v>
      </c>
      <c r="BD573" s="20">
        <f t="shared" si="813"/>
        <v>1254.4436209999999</v>
      </c>
      <c r="BE573" s="20">
        <f t="shared" si="813"/>
        <v>1545.0386309999999</v>
      </c>
      <c r="BF573" s="20">
        <f t="shared" si="813"/>
        <v>1552.1820970000001</v>
      </c>
      <c r="BG573" s="20">
        <f t="shared" si="813"/>
        <v>1518.2300290000001</v>
      </c>
      <c r="BH573" s="20">
        <f t="shared" si="813"/>
        <v>1578.6129510000001</v>
      </c>
      <c r="BI573" s="20">
        <f t="shared" si="813"/>
        <v>1998.512645</v>
      </c>
      <c r="BJ573" s="20">
        <f t="shared" si="813"/>
        <v>2017.679173</v>
      </c>
      <c r="BK573" s="20">
        <f t="shared" si="813"/>
        <v>1826.7659490000001</v>
      </c>
      <c r="BL573" s="20">
        <f t="shared" si="813"/>
        <v>2210.7888149999999</v>
      </c>
      <c r="BM573" s="20">
        <f t="shared" si="813"/>
        <v>2708.5869830000001</v>
      </c>
      <c r="BN573" s="20">
        <f t="shared" si="813"/>
        <v>3179.848066</v>
      </c>
      <c r="BO573" s="20">
        <f t="shared" si="813"/>
        <v>3150.768364</v>
      </c>
      <c r="BP573" s="20">
        <f t="shared" si="813"/>
        <v>2797.7415099999998</v>
      </c>
      <c r="BQ573" s="20">
        <f t="shared" si="813"/>
        <v>3658.0782290000002</v>
      </c>
      <c r="BR573" s="20">
        <f t="shared" si="813"/>
        <v>4389.9899420000002</v>
      </c>
      <c r="BS573" s="20">
        <f t="shared" si="813"/>
        <v>4624.8183220000001</v>
      </c>
      <c r="BT573" s="20">
        <f t="shared" si="813"/>
        <v>4815.5781500000003</v>
      </c>
      <c r="BU573" s="20">
        <f t="shared" si="813"/>
        <v>5266.699517</v>
      </c>
      <c r="BV573" s="20"/>
      <c r="BW573" s="20"/>
      <c r="BX573" s="20"/>
      <c r="BY573" s="20"/>
      <c r="BZ573" s="20"/>
      <c r="CA573" s="20"/>
      <c r="CB573" s="20"/>
      <c r="CC573" s="20"/>
      <c r="CD573" s="20"/>
      <c r="CE573" s="20"/>
      <c r="CF573" s="20"/>
      <c r="CH573" s="5" t="s">
        <v>562</v>
      </c>
    </row>
    <row r="574" spans="1:96" outlineLevel="1">
      <c r="B574" s="12" t="s">
        <v>82</v>
      </c>
      <c r="C574" s="6"/>
      <c r="D574" s="6"/>
      <c r="E574" s="6"/>
      <c r="F574" s="6"/>
      <c r="G574" s="6"/>
      <c r="H574" s="41"/>
      <c r="I574" s="41">
        <f t="shared" ref="I574:AD574" si="814">I573/H573-1</f>
        <v>1.1546010523451096</v>
      </c>
      <c r="J574" s="41">
        <f t="shared" si="814"/>
        <v>0.90713957971869341</v>
      </c>
      <c r="K574" s="41">
        <f t="shared" si="814"/>
        <v>5.2242162985444152E-2</v>
      </c>
      <c r="L574" s="41">
        <f t="shared" si="814"/>
        <v>0.53326738010152819</v>
      </c>
      <c r="M574" s="41">
        <f t="shared" si="814"/>
        <v>0.47784088509125655</v>
      </c>
      <c r="N574" s="41">
        <f t="shared" si="814"/>
        <v>0.26946792721033574</v>
      </c>
      <c r="O574" s="41">
        <f t="shared" si="814"/>
        <v>0.24684297394372567</v>
      </c>
      <c r="P574" s="41">
        <f t="shared" si="814"/>
        <v>0.54322345414426865</v>
      </c>
      <c r="Q574" s="41">
        <f t="shared" si="814"/>
        <v>0.20322079929035586</v>
      </c>
      <c r="R574" s="41">
        <f t="shared" si="814"/>
        <v>0.72477944737517097</v>
      </c>
      <c r="S574" s="323">
        <f t="shared" si="814"/>
        <v>0.46783825013675306</v>
      </c>
      <c r="T574" s="323">
        <f t="shared" si="814"/>
        <v>-1.4220152321910096E-2</v>
      </c>
      <c r="U574" s="41">
        <f t="shared" ca="1" si="814"/>
        <v>0.40738510346930967</v>
      </c>
      <c r="V574" s="41">
        <f t="shared" ca="1" si="814"/>
        <v>0.25681420446997705</v>
      </c>
      <c r="W574" s="41">
        <f t="shared" ca="1" si="814"/>
        <v>0.22207472019403296</v>
      </c>
      <c r="X574" s="41">
        <f t="shared" ca="1" si="814"/>
        <v>0.20403232022111717</v>
      </c>
      <c r="Y574" s="41">
        <f t="shared" ca="1" si="814"/>
        <v>0.19351648085690631</v>
      </c>
      <c r="Z574" s="41">
        <f t="shared" ca="1" si="814"/>
        <v>0.15770979241999417</v>
      </c>
      <c r="AA574" s="41">
        <f t="shared" ca="1" si="814"/>
        <v>0.14742849736628205</v>
      </c>
      <c r="AB574" s="41">
        <f t="shared" ca="1" si="814"/>
        <v>0.13845735667008396</v>
      </c>
      <c r="AC574" s="323">
        <f t="shared" ca="1" si="814"/>
        <v>0.12967204548436917</v>
      </c>
      <c r="AD574" s="323">
        <f t="shared" ca="1" si="814"/>
        <v>0.11793378605766502</v>
      </c>
      <c r="AE574" s="323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  <c r="BL574" s="6"/>
      <c r="BM574" s="6"/>
      <c r="BN574" s="6"/>
      <c r="BO574" s="6"/>
      <c r="BP574" s="6"/>
      <c r="BQ574" s="6"/>
      <c r="BR574" s="6"/>
      <c r="BS574" s="6"/>
      <c r="BT574" s="6"/>
      <c r="BU574" s="6"/>
      <c r="BV574" s="6"/>
      <c r="BW574" s="6"/>
      <c r="BX574" s="6"/>
      <c r="BY574" s="6"/>
      <c r="BZ574" s="6"/>
      <c r="CA574" s="6"/>
      <c r="CB574" s="6"/>
      <c r="CC574" s="6"/>
      <c r="CD574" s="6"/>
      <c r="CE574" s="6"/>
      <c r="CF574" s="5"/>
      <c r="CH574" s="5" t="s">
        <v>562</v>
      </c>
    </row>
    <row r="575" spans="1:96" outlineLevel="1">
      <c r="B575" s="12" t="s">
        <v>607</v>
      </c>
      <c r="C575" s="6"/>
      <c r="D575" s="6"/>
      <c r="E575" s="6"/>
      <c r="F575" s="6"/>
      <c r="G575" s="6"/>
      <c r="H575" s="41">
        <f>H573/Model!H305</f>
        <v>0.11405712437506114</v>
      </c>
      <c r="I575" s="41">
        <f>I573/Model!I305</f>
        <v>0.16388967403234228</v>
      </c>
      <c r="J575" s="41">
        <f>J573/Model!J305</f>
        <v>0.20250771304119342</v>
      </c>
      <c r="K575" s="41">
        <f>K573/Model!K305</f>
        <v>0.17271731568285198</v>
      </c>
      <c r="L575" s="41">
        <f>L573/Model!L305</f>
        <v>0.19814688354072302</v>
      </c>
      <c r="M575" s="41">
        <f>M573/Model!M305</f>
        <v>0.20267590894348642</v>
      </c>
      <c r="N575" s="323">
        <f>N573/Model!N305</f>
        <v>0.21174769646932787</v>
      </c>
      <c r="O575" s="323">
        <f>O573/Model!O305</f>
        <v>0.22312576667869127</v>
      </c>
      <c r="P575" s="323">
        <f>P573/Model!P305</f>
        <v>0.26556331956596846</v>
      </c>
      <c r="Q575" s="41">
        <f>Q573/Model!Q305</f>
        <v>0.23502766513671625</v>
      </c>
      <c r="R575" s="41">
        <v>0.2010937266495372</v>
      </c>
      <c r="S575" s="323">
        <f>S573/(Model!S305)</f>
        <v>0.23371730711542077</v>
      </c>
      <c r="T575" s="323">
        <f>T573/(Model!T305)</f>
        <v>0.16899785586065286</v>
      </c>
      <c r="U575" s="42">
        <v>0.2</v>
      </c>
      <c r="V575" s="42">
        <v>0.2</v>
      </c>
      <c r="W575" s="42">
        <v>0.2</v>
      </c>
      <c r="X575" s="42">
        <v>0.2</v>
      </c>
      <c r="Y575" s="42">
        <v>0.2</v>
      </c>
      <c r="Z575" s="42">
        <v>0.2</v>
      </c>
      <c r="AA575" s="42">
        <v>0.2</v>
      </c>
      <c r="AB575" s="42">
        <v>0.2</v>
      </c>
      <c r="AC575" s="42">
        <v>0.2</v>
      </c>
      <c r="AD575" s="42">
        <v>0.2</v>
      </c>
      <c r="AE575" s="42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  <c r="BL575" s="323">
        <f>BL573/Model!BL305</f>
        <v>0.90483628642373304</v>
      </c>
      <c r="BM575" s="323">
        <f>BM573/Model!BM305</f>
        <v>1.016168916994415</v>
      </c>
      <c r="BN575" s="323">
        <f>BN573/Model!BN305</f>
        <v>0.9475766723778748</v>
      </c>
      <c r="BO575" s="323">
        <f>BO573/Model!BO305</f>
        <v>1.0390392390341585</v>
      </c>
      <c r="BP575" s="323">
        <f>BP573/Model!BP305</f>
        <v>0.63597446082483067</v>
      </c>
      <c r="BQ575" s="323">
        <f>BQ573/Model!BQ305</f>
        <v>0.8053197643556369</v>
      </c>
      <c r="BR575" s="323">
        <f>BR573/Model!BR305</f>
        <v>0.77454991898955894</v>
      </c>
      <c r="BS575" s="323">
        <f>BS573/Model!BS305</f>
        <v>0.89303612081548411</v>
      </c>
      <c r="BT575" s="323">
        <f>BT573/Model!BT305</f>
        <v>0.78515666626700831</v>
      </c>
      <c r="BU575" s="323">
        <f>BU573/Model!BU305</f>
        <v>0.81508130954097979</v>
      </c>
      <c r="BV575" s="6"/>
      <c r="BW575" s="6"/>
      <c r="BX575" s="6"/>
      <c r="BY575" s="6"/>
      <c r="BZ575" s="6"/>
      <c r="CA575" s="6"/>
      <c r="CB575" s="6"/>
      <c r="CC575" s="6"/>
      <c r="CD575" s="6"/>
      <c r="CE575" s="6"/>
      <c r="CF575" s="5"/>
      <c r="CH575" s="5" t="s">
        <v>562</v>
      </c>
    </row>
    <row r="576" spans="1:96" outlineLevel="1"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  <c r="BL576" s="6"/>
      <c r="BM576" s="6"/>
      <c r="BN576" s="6"/>
      <c r="BO576" s="6"/>
      <c r="BP576" s="6"/>
      <c r="BQ576" s="6"/>
      <c r="BR576" s="6"/>
      <c r="BS576" s="6"/>
      <c r="BT576" s="6"/>
      <c r="BU576" s="6"/>
      <c r="BV576" s="6"/>
      <c r="BW576" s="6"/>
      <c r="BX576" s="6"/>
      <c r="BY576" s="6"/>
      <c r="BZ576" s="6"/>
      <c r="CA576" s="6"/>
      <c r="CB576" s="6"/>
      <c r="CC576" s="6"/>
      <c r="CD576" s="6"/>
      <c r="CE576" s="6"/>
      <c r="CF576" s="5"/>
      <c r="CH576" s="5" t="s">
        <v>562</v>
      </c>
    </row>
    <row r="577" spans="2:86" outlineLevel="1">
      <c r="B577" s="20" t="s">
        <v>179</v>
      </c>
      <c r="C577" s="20"/>
      <c r="D577" s="20"/>
      <c r="E577" s="20"/>
      <c r="F577" s="20"/>
      <c r="G577" s="20"/>
      <c r="H577" s="588">
        <f t="shared" ref="H577:S577" si="815">H530</f>
        <v>43.475298000000002</v>
      </c>
      <c r="I577" s="588">
        <f t="shared" si="815"/>
        <v>61.931153999999999</v>
      </c>
      <c r="J577" s="588">
        <f t="shared" si="815"/>
        <v>61.350651999999997</v>
      </c>
      <c r="K577" s="588">
        <f t="shared" si="815"/>
        <v>92.138482999999994</v>
      </c>
      <c r="L577" s="588">
        <f t="shared" si="815"/>
        <v>132.03019900000001</v>
      </c>
      <c r="M577" s="588">
        <f t="shared" si="815"/>
        <v>352.61448899999999</v>
      </c>
      <c r="N577" s="588">
        <f t="shared" si="815"/>
        <v>561.19315099999994</v>
      </c>
      <c r="O577" s="588">
        <f t="shared" si="815"/>
        <v>993.82054000000005</v>
      </c>
      <c r="P577" s="588">
        <f t="shared" si="815"/>
        <v>1215.7562869999999</v>
      </c>
      <c r="Q577" s="588">
        <f t="shared" si="815"/>
        <v>2469.7073350000001</v>
      </c>
      <c r="R577" s="588">
        <f t="shared" si="815"/>
        <v>6749.965827</v>
      </c>
      <c r="S577" s="588">
        <f t="shared" si="815"/>
        <v>6994.5896720000001</v>
      </c>
      <c r="T577" s="588">
        <f>T530</f>
        <v>6546.0412200000001</v>
      </c>
      <c r="U577" s="20">
        <f ca="1">U579*Model!U305</f>
        <v>7784.7179926223034</v>
      </c>
      <c r="V577" s="20">
        <f ca="1">V579*Model!V305</f>
        <v>9783.9441509207172</v>
      </c>
      <c r="W577" s="20">
        <f ca="1">W579*Model!W305</f>
        <v>11956.710810630479</v>
      </c>
      <c r="X577" s="20">
        <f ca="1">X579*Model!X305</f>
        <v>14396.266259536329</v>
      </c>
      <c r="Y577" s="20">
        <f ca="1">Y579*Model!Y305</f>
        <v>17182.181043560817</v>
      </c>
      <c r="Z577" s="20">
        <f ca="1">Z579*Model!Z305</f>
        <v>19891.979249263553</v>
      </c>
      <c r="AA577" s="20">
        <f ca="1">AA579*Model!AA305</f>
        <v>22824.623859623745</v>
      </c>
      <c r="AB577" s="20">
        <f ca="1">AB579*Model!AB305</f>
        <v>25984.860946216173</v>
      </c>
      <c r="AC577" s="20">
        <f ca="1">AC579*Model!AC305</f>
        <v>29354.371016738929</v>
      </c>
      <c r="AD577" s="20">
        <f ca="1">AD579*Model!AD305</f>
        <v>32816.243128084338</v>
      </c>
      <c r="AE577" s="20"/>
      <c r="AF577" s="20"/>
      <c r="AG577" s="20"/>
      <c r="AH577" s="20"/>
      <c r="AI577" s="20"/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>
        <f>AY530</f>
        <v>561.19315099999994</v>
      </c>
      <c r="AZ577" s="20"/>
      <c r="BA577" s="20"/>
      <c r="BB577" s="20"/>
      <c r="BC577" s="20">
        <f t="shared" ref="BC577:BU577" si="816">BC530</f>
        <v>993.82054000000005</v>
      </c>
      <c r="BD577" s="20">
        <f t="shared" si="816"/>
        <v>745.78529000000003</v>
      </c>
      <c r="BE577" s="20">
        <f t="shared" si="816"/>
        <v>957.35090200000002</v>
      </c>
      <c r="BF577" s="20">
        <f t="shared" si="816"/>
        <v>1820.705017</v>
      </c>
      <c r="BG577" s="20">
        <f t="shared" si="816"/>
        <v>1215.7562869999999</v>
      </c>
      <c r="BH577" s="20">
        <f t="shared" si="816"/>
        <v>1459.5780580000001</v>
      </c>
      <c r="BI577" s="20">
        <f t="shared" si="816"/>
        <v>1811.2523779999999</v>
      </c>
      <c r="BJ577" s="20">
        <f t="shared" si="816"/>
        <v>3022.5299450000002</v>
      </c>
      <c r="BK577" s="20">
        <f t="shared" si="816"/>
        <v>2469.7073350000001</v>
      </c>
      <c r="BL577" s="20">
        <f t="shared" si="816"/>
        <v>2315.7306520000002</v>
      </c>
      <c r="BM577" s="20">
        <f t="shared" si="816"/>
        <v>3223.484751</v>
      </c>
      <c r="BN577" s="20">
        <f t="shared" si="816"/>
        <v>5020.9690060000003</v>
      </c>
      <c r="BO577" s="20">
        <f t="shared" si="816"/>
        <v>6749.965827</v>
      </c>
      <c r="BP577" s="20">
        <f t="shared" si="816"/>
        <v>6461.4344929999997</v>
      </c>
      <c r="BQ577" s="20">
        <f t="shared" si="816"/>
        <v>7509.3787789999997</v>
      </c>
      <c r="BR577" s="20">
        <f t="shared" si="816"/>
        <v>8881.6504729999997</v>
      </c>
      <c r="BS577" s="20">
        <f t="shared" si="816"/>
        <v>6994.5896720000001</v>
      </c>
      <c r="BT577" s="20">
        <f t="shared" si="816"/>
        <v>5774.9238800000003</v>
      </c>
      <c r="BU577" s="20">
        <f t="shared" si="816"/>
        <v>7096.5174209999996</v>
      </c>
      <c r="BV577" s="20"/>
      <c r="BW577" s="20"/>
      <c r="BX577" s="20"/>
      <c r="BY577" s="20"/>
      <c r="BZ577" s="20"/>
      <c r="CA577" s="20"/>
      <c r="CB577" s="20"/>
      <c r="CC577" s="20"/>
      <c r="CD577" s="20"/>
      <c r="CE577" s="20"/>
      <c r="CF577" s="20"/>
      <c r="CH577" s="5" t="s">
        <v>562</v>
      </c>
    </row>
    <row r="578" spans="2:86" outlineLevel="1">
      <c r="B578" s="12" t="s">
        <v>82</v>
      </c>
      <c r="C578" s="6"/>
      <c r="D578" s="6"/>
      <c r="E578" s="6"/>
      <c r="F578" s="6"/>
      <c r="G578" s="6"/>
      <c r="H578" s="560"/>
      <c r="I578" s="560">
        <f t="shared" ref="I578:AD578" si="817">I577/H577-1</f>
        <v>0.4245136169049375</v>
      </c>
      <c r="J578" s="560">
        <f t="shared" si="817"/>
        <v>-9.3733438262753044E-3</v>
      </c>
      <c r="K578" s="560">
        <f t="shared" si="817"/>
        <v>0.50183380284206258</v>
      </c>
      <c r="L578" s="560">
        <f t="shared" si="817"/>
        <v>0.43295390483040652</v>
      </c>
      <c r="M578" s="560">
        <f t="shared" si="817"/>
        <v>1.6707108803191302</v>
      </c>
      <c r="N578" s="560">
        <f t="shared" si="817"/>
        <v>0.59152039552180735</v>
      </c>
      <c r="O578" s="560">
        <f t="shared" si="817"/>
        <v>0.77090639511386372</v>
      </c>
      <c r="P578" s="560">
        <f t="shared" si="817"/>
        <v>0.22331571754393398</v>
      </c>
      <c r="Q578" s="560">
        <f t="shared" si="817"/>
        <v>1.031416461842241</v>
      </c>
      <c r="R578" s="560">
        <f t="shared" si="817"/>
        <v>1.7331035266168491</v>
      </c>
      <c r="S578" s="560">
        <f t="shared" si="817"/>
        <v>3.6240753104482382E-2</v>
      </c>
      <c r="T578" s="560">
        <f t="shared" si="817"/>
        <v>-6.4127915007735403E-2</v>
      </c>
      <c r="U578" s="41">
        <f t="shared" ca="1" si="817"/>
        <v>0.18922532428268202</v>
      </c>
      <c r="V578" s="41">
        <f t="shared" ca="1" si="817"/>
        <v>0.25681420446997705</v>
      </c>
      <c r="W578" s="41">
        <f t="shared" ca="1" si="817"/>
        <v>0.22207472019403274</v>
      </c>
      <c r="X578" s="41">
        <f t="shared" ca="1" si="817"/>
        <v>0.20403232022111717</v>
      </c>
      <c r="Y578" s="41">
        <f t="shared" ca="1" si="817"/>
        <v>0.19351648085690631</v>
      </c>
      <c r="Z578" s="41">
        <f t="shared" ca="1" si="817"/>
        <v>0.15770979241999417</v>
      </c>
      <c r="AA578" s="41">
        <f t="shared" ca="1" si="817"/>
        <v>0.14742849736628227</v>
      </c>
      <c r="AB578" s="41">
        <f t="shared" ca="1" si="817"/>
        <v>0.13845735667008374</v>
      </c>
      <c r="AC578" s="323">
        <f t="shared" ca="1" si="817"/>
        <v>0.12967204548436939</v>
      </c>
      <c r="AD578" s="323">
        <f t="shared" ca="1" si="817"/>
        <v>0.1179337860576648</v>
      </c>
      <c r="AE578" s="323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323"/>
      <c r="BG578" s="323">
        <f t="shared" ref="BG578:BU578" si="818">BG577/BC577-1</f>
        <v>0.22331571754393398</v>
      </c>
      <c r="BH578" s="41">
        <f t="shared" si="818"/>
        <v>0.95710223514867132</v>
      </c>
      <c r="BI578" s="41">
        <f t="shared" si="818"/>
        <v>0.89194199766889648</v>
      </c>
      <c r="BJ578" s="41">
        <f t="shared" si="818"/>
        <v>0.66008766756751358</v>
      </c>
      <c r="BK578" s="41">
        <f t="shared" si="818"/>
        <v>1.031416461842241</v>
      </c>
      <c r="BL578" s="41">
        <f t="shared" si="818"/>
        <v>0.5865754073976357</v>
      </c>
      <c r="BM578" s="41">
        <f t="shared" si="818"/>
        <v>0.77969938930288607</v>
      </c>
      <c r="BN578" s="41">
        <f t="shared" si="818"/>
        <v>0.66118089724996909</v>
      </c>
      <c r="BO578" s="41">
        <f t="shared" si="818"/>
        <v>1.7331035266168491</v>
      </c>
      <c r="BP578" s="41">
        <f t="shared" si="818"/>
        <v>1.7902357674540119</v>
      </c>
      <c r="BQ578" s="41">
        <f t="shared" si="818"/>
        <v>1.3295840864984441</v>
      </c>
      <c r="BR578" s="41">
        <f t="shared" si="818"/>
        <v>0.76891163087972259</v>
      </c>
      <c r="BS578" s="323">
        <f t="shared" si="818"/>
        <v>3.6240753104482382E-2</v>
      </c>
      <c r="BT578" s="323">
        <f t="shared" si="818"/>
        <v>-0.1062473996670138</v>
      </c>
      <c r="BU578" s="323">
        <f t="shared" si="818"/>
        <v>-5.497942907801745E-2</v>
      </c>
      <c r="BV578" s="6"/>
      <c r="BW578" s="6"/>
      <c r="BX578" s="6"/>
      <c r="BY578" s="6"/>
      <c r="BZ578" s="6"/>
      <c r="CA578" s="6"/>
      <c r="CB578" s="6"/>
      <c r="CC578" s="6"/>
      <c r="CD578" s="6"/>
      <c r="CE578" s="6"/>
      <c r="CF578" s="5"/>
      <c r="CH578" s="5" t="s">
        <v>562</v>
      </c>
    </row>
    <row r="579" spans="2:86" outlineLevel="1">
      <c r="B579" s="12" t="s">
        <v>607</v>
      </c>
      <c r="C579" s="6"/>
      <c r="D579" s="6"/>
      <c r="E579" s="6"/>
      <c r="F579" s="6"/>
      <c r="G579" s="6"/>
      <c r="H579" s="560">
        <f t="shared" ref="H579:M579" si="819">H577/Rev_Gross</f>
        <v>7.8162841522981072E-2</v>
      </c>
      <c r="I579" s="560">
        <f t="shared" si="819"/>
        <v>7.4255606600594451E-2</v>
      </c>
      <c r="J579" s="560">
        <f t="shared" si="819"/>
        <v>4.7659201146684808E-2</v>
      </c>
      <c r="K579" s="560">
        <f t="shared" si="819"/>
        <v>5.8015928121627702E-2</v>
      </c>
      <c r="L579" s="560">
        <f t="shared" si="819"/>
        <v>6.2203229724012231E-2</v>
      </c>
      <c r="M579" s="560">
        <f t="shared" si="819"/>
        <v>0.11498124753943191</v>
      </c>
      <c r="N579" s="560">
        <f>N577/Model!N305</f>
        <v>0.15060315049018949</v>
      </c>
      <c r="O579" s="560">
        <f>O577/Model!O305</f>
        <v>0.22539741563702984</v>
      </c>
      <c r="P579" s="560">
        <f>P577/Model!P305</f>
        <v>0.21265570380765814</v>
      </c>
      <c r="Q579" s="560">
        <f>Q577/Model!Q305</f>
        <v>0.31774708130169549</v>
      </c>
      <c r="R579" s="560">
        <v>0.43080786211310812</v>
      </c>
      <c r="S579" s="560">
        <f>S577/(Model!S305)</f>
        <v>0.35347478510468811</v>
      </c>
      <c r="T579" s="560">
        <f>T577/(Model!T305)</f>
        <v>0.24265280599033204</v>
      </c>
      <c r="U579" s="42">
        <f t="shared" ref="U579:AD579" si="820">T579</f>
        <v>0.24265280599033204</v>
      </c>
      <c r="V579" s="42">
        <f t="shared" si="820"/>
        <v>0.24265280599033204</v>
      </c>
      <c r="W579" s="42">
        <f t="shared" si="820"/>
        <v>0.24265280599033204</v>
      </c>
      <c r="X579" s="42">
        <f t="shared" si="820"/>
        <v>0.24265280599033204</v>
      </c>
      <c r="Y579" s="42">
        <f t="shared" si="820"/>
        <v>0.24265280599033204</v>
      </c>
      <c r="Z579" s="42">
        <f t="shared" si="820"/>
        <v>0.24265280599033204</v>
      </c>
      <c r="AA579" s="42">
        <f t="shared" si="820"/>
        <v>0.24265280599033204</v>
      </c>
      <c r="AB579" s="42">
        <f t="shared" si="820"/>
        <v>0.24265280599033204</v>
      </c>
      <c r="AC579" s="42">
        <f t="shared" si="820"/>
        <v>0.24265280599033204</v>
      </c>
      <c r="AD579" s="42">
        <f t="shared" si="820"/>
        <v>0.24265280599033204</v>
      </c>
      <c r="AE579" s="42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323">
        <f>BF577/Model!BF305</f>
        <v>1.1098569411389858</v>
      </c>
      <c r="BG579" s="323">
        <f>BG577/Model!BG305</f>
        <v>0.79566647246549527</v>
      </c>
      <c r="BH579" s="41">
        <f>BH577/Model!BH305</f>
        <v>0.8723414859837314</v>
      </c>
      <c r="BI579" s="41">
        <f>BI577/Model!BI305</f>
        <v>0.99546392430998754</v>
      </c>
      <c r="BJ579" s="41">
        <f>BJ577/Model!BJ305</f>
        <v>1.3377153605625287</v>
      </c>
      <c r="BK579" s="41">
        <f>BK577/Model!BK305</f>
        <v>1.2223811981242445</v>
      </c>
      <c r="BL579" s="41">
        <f>BL577/Model!BL305</f>
        <v>0.9477871017333197</v>
      </c>
      <c r="BM579" s="41">
        <f>BM577/Model!BM305</f>
        <v>1.209340895799351</v>
      </c>
      <c r="BN579" s="41">
        <f>BN577/Model!BN305</f>
        <v>1.4962202608638491</v>
      </c>
      <c r="BO579" s="41">
        <f>BO577/Model!BO305</f>
        <v>2.2259584158985337</v>
      </c>
      <c r="BP579" s="41">
        <f>BP577/Model!BP305</f>
        <v>1.4687944912539965</v>
      </c>
      <c r="BQ579" s="41">
        <f>BQ577/Model!BQ305</f>
        <v>1.6531770974221831</v>
      </c>
      <c r="BR579" s="41">
        <f>BR577/Model!BR305</f>
        <v>1.5670381356777441</v>
      </c>
      <c r="BS579" s="323">
        <f>BS577/Model!BS305</f>
        <v>1.3506306177834178</v>
      </c>
      <c r="BT579" s="323">
        <f>BT577/Model!BT305</f>
        <v>0.94157333560593059</v>
      </c>
      <c r="BU579" s="323">
        <f>BU577/Model!BU305</f>
        <v>1.0982663229634668</v>
      </c>
      <c r="BV579" s="6"/>
      <c r="BW579" s="6"/>
      <c r="BX579" s="6"/>
      <c r="BY579" s="6"/>
      <c r="BZ579" s="6"/>
      <c r="CA579" s="6"/>
      <c r="CB579" s="6"/>
      <c r="CC579" s="6"/>
      <c r="CD579" s="6"/>
      <c r="CE579" s="6"/>
      <c r="CF579" s="5"/>
      <c r="CH579" s="5" t="s">
        <v>562</v>
      </c>
    </row>
    <row r="580" spans="2:86" outlineLevel="1" collapsed="1">
      <c r="C580" s="6"/>
      <c r="D580" s="6"/>
      <c r="E580" s="6"/>
      <c r="F580" s="6"/>
      <c r="G580" s="6"/>
      <c r="H580" s="492"/>
      <c r="I580" s="492"/>
      <c r="J580" s="492"/>
      <c r="K580" s="492"/>
      <c r="L580" s="492"/>
      <c r="M580" s="492"/>
      <c r="N580" s="492"/>
      <c r="O580" s="492"/>
      <c r="P580" s="492"/>
      <c r="Q580" s="492"/>
      <c r="R580" s="492"/>
      <c r="S580" s="492"/>
      <c r="T580" s="492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  <c r="BL580" s="6"/>
      <c r="BM580" s="6"/>
      <c r="BN580" s="6"/>
      <c r="BO580" s="6"/>
      <c r="BP580" s="6"/>
      <c r="BQ580" s="6"/>
      <c r="BR580" s="6"/>
      <c r="BS580" s="6"/>
      <c r="BT580" s="6"/>
      <c r="BU580" s="6"/>
      <c r="BV580" s="6"/>
      <c r="BW580" s="6"/>
      <c r="BX580" s="6"/>
      <c r="BY580" s="6"/>
      <c r="BZ580" s="6"/>
      <c r="CA580" s="6"/>
      <c r="CB580" s="6"/>
      <c r="CC580" s="6"/>
      <c r="CD580" s="6"/>
      <c r="CE580" s="6"/>
      <c r="CF580" s="5"/>
      <c r="CH580" s="5" t="s">
        <v>562</v>
      </c>
    </row>
    <row r="581" spans="2:86" hidden="1" outlineLevel="2">
      <c r="B581" s="43" t="s">
        <v>141</v>
      </c>
      <c r="C581" s="6"/>
      <c r="D581" s="6"/>
      <c r="E581" s="6"/>
      <c r="F581" s="6"/>
      <c r="G581" s="6"/>
      <c r="H581" s="492"/>
      <c r="I581" s="492"/>
      <c r="J581" s="492"/>
      <c r="K581" s="492"/>
      <c r="L581" s="492"/>
      <c r="M581" s="492"/>
      <c r="N581" s="492"/>
      <c r="O581" s="492"/>
      <c r="P581" s="492"/>
      <c r="Q581" s="492"/>
      <c r="R581" s="492"/>
      <c r="S581" s="492"/>
      <c r="T581" s="492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  <c r="BL581" s="6"/>
      <c r="BM581" s="6"/>
      <c r="BN581" s="6"/>
      <c r="BO581" s="6"/>
      <c r="BP581" s="6"/>
      <c r="BQ581" s="6"/>
      <c r="BR581" s="6"/>
      <c r="BS581" s="6"/>
      <c r="BT581" s="6"/>
      <c r="BU581" s="6"/>
      <c r="BV581" s="6"/>
      <c r="BW581" s="6"/>
      <c r="BX581" s="6"/>
      <c r="BY581" s="6"/>
      <c r="BZ581" s="6"/>
      <c r="CA581" s="6"/>
      <c r="CB581" s="6"/>
      <c r="CC581" s="6"/>
      <c r="CD581" s="6"/>
      <c r="CE581" s="6"/>
      <c r="CF581" s="5"/>
      <c r="CH581" s="5" t="s">
        <v>562</v>
      </c>
    </row>
    <row r="582" spans="2:86" hidden="1" outlineLevel="2">
      <c r="B582" s="44" t="s">
        <v>608</v>
      </c>
      <c r="C582" s="6"/>
      <c r="D582" s="6"/>
      <c r="E582" s="6"/>
      <c r="F582" s="6"/>
      <c r="G582" s="6"/>
      <c r="H582" s="492"/>
      <c r="I582" s="492"/>
      <c r="J582" s="492"/>
      <c r="K582" s="492"/>
      <c r="L582" s="492"/>
      <c r="M582" s="492"/>
      <c r="N582" s="492"/>
      <c r="O582" s="492"/>
      <c r="P582" s="492"/>
      <c r="Q582" s="589">
        <v>2277.0553030000001</v>
      </c>
      <c r="R582" s="589">
        <v>5527.802541</v>
      </c>
      <c r="S582" s="589">
        <v>5527.802541</v>
      </c>
      <c r="T582" s="589">
        <v>5527.802541</v>
      </c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  <c r="BL582" s="6"/>
      <c r="BM582" s="6"/>
      <c r="BN582" s="6"/>
      <c r="BO582" s="6"/>
      <c r="BP582" s="6"/>
      <c r="BQ582" s="6"/>
      <c r="BR582" s="6"/>
      <c r="BS582" s="6"/>
      <c r="BT582" s="6"/>
      <c r="BU582" s="6"/>
      <c r="BV582" s="6"/>
      <c r="BW582" s="6"/>
      <c r="BX582" s="6"/>
      <c r="BY582" s="6"/>
      <c r="BZ582" s="6"/>
      <c r="CA582" s="6"/>
      <c r="CB582" s="6"/>
      <c r="CC582" s="6"/>
      <c r="CD582" s="6"/>
      <c r="CE582" s="6"/>
      <c r="CF582" s="5"/>
      <c r="CH582" s="5" t="s">
        <v>562</v>
      </c>
    </row>
    <row r="583" spans="2:86" hidden="1" outlineLevel="2">
      <c r="B583" s="44" t="s">
        <v>609</v>
      </c>
      <c r="C583" s="6"/>
      <c r="D583" s="6"/>
      <c r="E583" s="6"/>
      <c r="F583" s="6"/>
      <c r="G583" s="6"/>
      <c r="H583" s="492"/>
      <c r="I583" s="492"/>
      <c r="J583" s="492"/>
      <c r="K583" s="492"/>
      <c r="L583" s="492"/>
      <c r="M583" s="492"/>
      <c r="N583" s="492"/>
      <c r="O583" s="492"/>
      <c r="P583" s="492"/>
      <c r="Q583" s="589">
        <v>24.041437999999999</v>
      </c>
      <c r="R583" s="589">
        <v>453.30499700000001</v>
      </c>
      <c r="S583" s="589">
        <v>453.30499700000001</v>
      </c>
      <c r="T583" s="589">
        <v>453.30499700000001</v>
      </c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  <c r="BL583" s="6"/>
      <c r="BM583" s="6"/>
      <c r="BN583" s="6"/>
      <c r="BO583" s="6"/>
      <c r="BP583" s="6"/>
      <c r="BQ583" s="6"/>
      <c r="BR583" s="6"/>
      <c r="BS583" s="6"/>
      <c r="BT583" s="6"/>
      <c r="BU583" s="6"/>
      <c r="BV583" s="6"/>
      <c r="BW583" s="6"/>
      <c r="BX583" s="6"/>
      <c r="BY583" s="6"/>
      <c r="BZ583" s="6"/>
      <c r="CA583" s="6"/>
      <c r="CB583" s="6"/>
      <c r="CC583" s="6"/>
      <c r="CD583" s="6"/>
      <c r="CE583" s="6"/>
      <c r="CF583" s="5"/>
      <c r="CH583" s="5" t="s">
        <v>562</v>
      </c>
    </row>
    <row r="584" spans="2:86" hidden="1" outlineLevel="2">
      <c r="B584" s="44" t="s">
        <v>610</v>
      </c>
      <c r="C584" s="6"/>
      <c r="D584" s="6"/>
      <c r="E584" s="6"/>
      <c r="F584" s="6"/>
      <c r="G584" s="6"/>
      <c r="H584" s="492"/>
      <c r="I584" s="492"/>
      <c r="J584" s="492"/>
      <c r="K584" s="492"/>
      <c r="L584" s="492"/>
      <c r="M584" s="492"/>
      <c r="N584" s="492"/>
      <c r="O584" s="492"/>
      <c r="P584" s="492"/>
      <c r="Q584" s="589">
        <v>27.226997000000001</v>
      </c>
      <c r="R584" s="589">
        <v>262.79732899999999</v>
      </c>
      <c r="S584" s="589">
        <v>262.79732899999999</v>
      </c>
      <c r="T584" s="589">
        <v>262.79732899999999</v>
      </c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  <c r="BL584" s="6"/>
      <c r="BM584" s="6"/>
      <c r="BN584" s="6"/>
      <c r="BO584" s="6"/>
      <c r="BP584" s="6"/>
      <c r="BQ584" s="6"/>
      <c r="BR584" s="6"/>
      <c r="BS584" s="6"/>
      <c r="BT584" s="6"/>
      <c r="BU584" s="6"/>
      <c r="BV584" s="6"/>
      <c r="BW584" s="6"/>
      <c r="BX584" s="6"/>
      <c r="BY584" s="6"/>
      <c r="BZ584" s="6"/>
      <c r="CA584" s="6"/>
      <c r="CB584" s="6"/>
      <c r="CC584" s="6"/>
      <c r="CD584" s="6"/>
      <c r="CE584" s="6"/>
      <c r="CF584" s="5"/>
      <c r="CH584" s="5" t="s">
        <v>562</v>
      </c>
    </row>
    <row r="585" spans="2:86" hidden="1" outlineLevel="2">
      <c r="B585" s="44" t="s">
        <v>611</v>
      </c>
      <c r="C585" s="6"/>
      <c r="D585" s="6"/>
      <c r="E585" s="6"/>
      <c r="F585" s="6"/>
      <c r="G585" s="6"/>
      <c r="H585" s="492"/>
      <c r="I585" s="492"/>
      <c r="J585" s="492"/>
      <c r="K585" s="492"/>
      <c r="L585" s="492"/>
      <c r="M585" s="492"/>
      <c r="N585" s="492"/>
      <c r="O585" s="492"/>
      <c r="P585" s="492"/>
      <c r="Q585" s="589">
        <v>65.310412999999997</v>
      </c>
      <c r="R585" s="589">
        <v>221.22173599999999</v>
      </c>
      <c r="S585" s="589">
        <v>221.22173599999999</v>
      </c>
      <c r="T585" s="589">
        <v>221.22173599999999</v>
      </c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  <c r="BL585" s="6"/>
      <c r="BM585" s="6"/>
      <c r="BN585" s="6"/>
      <c r="BO585" s="6"/>
      <c r="BP585" s="6"/>
      <c r="BQ585" s="6"/>
      <c r="BR585" s="6"/>
      <c r="BS585" s="6"/>
      <c r="BT585" s="6"/>
      <c r="BU585" s="6"/>
      <c r="BV585" s="6"/>
      <c r="BW585" s="6"/>
      <c r="BX585" s="6"/>
      <c r="BY585" s="6"/>
      <c r="BZ585" s="6"/>
      <c r="CA585" s="6"/>
      <c r="CB585" s="6"/>
      <c r="CC585" s="6"/>
      <c r="CD585" s="6"/>
      <c r="CE585" s="6"/>
      <c r="CF585" s="5"/>
      <c r="CH585" s="5" t="s">
        <v>562</v>
      </c>
    </row>
    <row r="586" spans="2:86" hidden="1" outlineLevel="2">
      <c r="B586" s="44" t="s">
        <v>612</v>
      </c>
      <c r="C586" s="6"/>
      <c r="D586" s="6"/>
      <c r="E586" s="6"/>
      <c r="F586" s="6"/>
      <c r="G586" s="6"/>
      <c r="H586" s="492"/>
      <c r="I586" s="492"/>
      <c r="J586" s="492"/>
      <c r="K586" s="492"/>
      <c r="L586" s="492"/>
      <c r="M586" s="492"/>
      <c r="N586" s="492"/>
      <c r="O586" s="492"/>
      <c r="P586" s="492"/>
      <c r="Q586" s="589">
        <v>39.436993000000001</v>
      </c>
      <c r="R586" s="589">
        <v>71.558994999999996</v>
      </c>
      <c r="S586" s="589">
        <v>71.558994999999996</v>
      </c>
      <c r="T586" s="589">
        <v>71.558994999999996</v>
      </c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  <c r="BL586" s="6"/>
      <c r="BM586" s="6"/>
      <c r="BN586" s="6"/>
      <c r="BO586" s="6"/>
      <c r="BP586" s="6"/>
      <c r="BQ586" s="6"/>
      <c r="BR586" s="6"/>
      <c r="BS586" s="6"/>
      <c r="BT586" s="6"/>
      <c r="BU586" s="6"/>
      <c r="BV586" s="6"/>
      <c r="BW586" s="6"/>
      <c r="BX586" s="6"/>
      <c r="BY586" s="6"/>
      <c r="BZ586" s="6"/>
      <c r="CA586" s="6"/>
      <c r="CB586" s="6"/>
      <c r="CC586" s="6"/>
      <c r="CD586" s="6"/>
      <c r="CE586" s="6"/>
      <c r="CF586" s="5"/>
      <c r="CH586" s="5" t="s">
        <v>562</v>
      </c>
    </row>
    <row r="587" spans="2:86" hidden="1" outlineLevel="2">
      <c r="B587" s="44" t="s">
        <v>17</v>
      </c>
      <c r="C587" s="6"/>
      <c r="D587" s="6"/>
      <c r="E587" s="6"/>
      <c r="F587" s="6"/>
      <c r="G587" s="6"/>
      <c r="H587" s="492"/>
      <c r="I587" s="492"/>
      <c r="J587" s="492"/>
      <c r="K587" s="492"/>
      <c r="L587" s="492"/>
      <c r="M587" s="492"/>
      <c r="N587" s="492"/>
      <c r="O587" s="492"/>
      <c r="P587" s="492"/>
      <c r="Q587" s="589">
        <v>36.636190999999997</v>
      </c>
      <c r="R587" s="589">
        <v>213.28022899999999</v>
      </c>
      <c r="S587" s="589">
        <v>213.28022899999999</v>
      </c>
      <c r="T587" s="589">
        <v>213.28022899999999</v>
      </c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  <c r="BL587" s="6"/>
      <c r="BM587" s="6"/>
      <c r="BN587" s="6"/>
      <c r="BO587" s="6"/>
      <c r="BP587" s="6"/>
      <c r="BQ587" s="6"/>
      <c r="BR587" s="6"/>
      <c r="BS587" s="6"/>
      <c r="BT587" s="6"/>
      <c r="BU587" s="6"/>
      <c r="BV587" s="6"/>
      <c r="BW587" s="6"/>
      <c r="BX587" s="6"/>
      <c r="BY587" s="6"/>
      <c r="BZ587" s="6"/>
      <c r="CA587" s="6"/>
      <c r="CB587" s="6"/>
      <c r="CC587" s="6"/>
      <c r="CD587" s="6"/>
      <c r="CE587" s="6"/>
      <c r="CF587" s="5"/>
      <c r="CH587" s="5" t="s">
        <v>562</v>
      </c>
    </row>
    <row r="588" spans="2:86" hidden="1" outlineLevel="2">
      <c r="B588" s="46" t="s">
        <v>125</v>
      </c>
      <c r="C588" s="6"/>
      <c r="D588" s="6"/>
      <c r="E588" s="6"/>
      <c r="F588" s="6"/>
      <c r="G588" s="6"/>
      <c r="H588" s="492"/>
      <c r="I588" s="492"/>
      <c r="J588" s="492"/>
      <c r="K588" s="492"/>
      <c r="L588" s="492"/>
      <c r="M588" s="492"/>
      <c r="N588" s="492"/>
      <c r="O588" s="492"/>
      <c r="P588" s="492"/>
      <c r="Q588" s="589">
        <v>2469.7073350000001</v>
      </c>
      <c r="R588" s="589">
        <v>6749.965827</v>
      </c>
      <c r="S588" s="589">
        <v>6749.965827</v>
      </c>
      <c r="T588" s="589">
        <v>6749.965827</v>
      </c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  <c r="BL588" s="6"/>
      <c r="BM588" s="6"/>
      <c r="BN588" s="6"/>
      <c r="BO588" s="6"/>
      <c r="BP588" s="6"/>
      <c r="BQ588" s="6"/>
      <c r="BR588" s="6"/>
      <c r="BS588" s="6"/>
      <c r="BT588" s="6"/>
      <c r="BU588" s="6"/>
      <c r="BV588" s="6"/>
      <c r="BW588" s="6"/>
      <c r="BX588" s="6"/>
      <c r="BY588" s="6"/>
      <c r="BZ588" s="6"/>
      <c r="CA588" s="6"/>
      <c r="CB588" s="6"/>
      <c r="CC588" s="6"/>
      <c r="CD588" s="6"/>
      <c r="CE588" s="6"/>
      <c r="CF588" s="5"/>
      <c r="CH588" s="5" t="s">
        <v>562</v>
      </c>
    </row>
    <row r="589" spans="2:86" hidden="1" outlineLevel="2">
      <c r="C589" s="6"/>
      <c r="D589" s="6"/>
      <c r="E589" s="6"/>
      <c r="F589" s="6"/>
      <c r="G589" s="6"/>
      <c r="H589" s="492"/>
      <c r="I589" s="492"/>
      <c r="J589" s="492"/>
      <c r="K589" s="492"/>
      <c r="L589" s="492"/>
      <c r="M589" s="492"/>
      <c r="N589" s="492"/>
      <c r="O589" s="492"/>
      <c r="P589" s="492"/>
      <c r="Q589" s="492"/>
      <c r="R589" s="492"/>
      <c r="S589" s="492"/>
      <c r="T589" s="492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  <c r="BL589" s="6"/>
      <c r="BM589" s="6"/>
      <c r="BN589" s="6"/>
      <c r="BO589" s="6"/>
      <c r="BP589" s="6"/>
      <c r="BQ589" s="6"/>
      <c r="BR589" s="6"/>
      <c r="BS589" s="6"/>
      <c r="BT589" s="6"/>
      <c r="BU589" s="6"/>
      <c r="BV589" s="6"/>
      <c r="BW589" s="6"/>
      <c r="BX589" s="6"/>
      <c r="BY589" s="6"/>
      <c r="BZ589" s="6"/>
      <c r="CA589" s="6"/>
      <c r="CB589" s="6"/>
      <c r="CC589" s="6"/>
      <c r="CD589" s="6"/>
      <c r="CE589" s="6"/>
      <c r="CF589" s="5"/>
      <c r="CH589" s="5" t="s">
        <v>562</v>
      </c>
    </row>
    <row r="590" spans="2:86" outlineLevel="1">
      <c r="B590" s="20" t="s">
        <v>182</v>
      </c>
      <c r="C590" s="20"/>
      <c r="D590" s="20"/>
      <c r="E590" s="20"/>
      <c r="F590" s="20"/>
      <c r="G590" s="20"/>
      <c r="H590" s="588">
        <f t="shared" ref="H590:S590" si="821">H533</f>
        <v>54.284801000000002</v>
      </c>
      <c r="I590" s="588">
        <f t="shared" si="821"/>
        <v>80.174983999999995</v>
      </c>
      <c r="J590" s="588">
        <f t="shared" si="821"/>
        <v>147.09298999999999</v>
      </c>
      <c r="K590" s="588">
        <f t="shared" si="821"/>
        <v>145.50000199999999</v>
      </c>
      <c r="L590" s="588">
        <f t="shared" si="821"/>
        <v>143.19519099999999</v>
      </c>
      <c r="M590" s="588">
        <f t="shared" si="821"/>
        <v>155.85662199999999</v>
      </c>
      <c r="N590" s="588">
        <f t="shared" si="821"/>
        <v>155.36049199999999</v>
      </c>
      <c r="O590" s="588">
        <f t="shared" si="821"/>
        <v>210.61831000000001</v>
      </c>
      <c r="P590" s="588">
        <f t="shared" si="821"/>
        <v>559.185652</v>
      </c>
      <c r="Q590" s="588">
        <f t="shared" si="821"/>
        <v>225.26906299999999</v>
      </c>
      <c r="R590" s="588">
        <f t="shared" si="821"/>
        <v>486.78596800000003</v>
      </c>
      <c r="S590" s="588">
        <f t="shared" si="821"/>
        <v>1147.2791970000001</v>
      </c>
      <c r="T590" s="588">
        <f>T533</f>
        <v>839.92025599999999</v>
      </c>
      <c r="U590" s="20">
        <f ca="1">U592*Model!U305</f>
        <v>998.85443881319327</v>
      </c>
      <c r="V590" s="20">
        <f ca="1">V592*Model!V305</f>
        <v>1255.3744468983089</v>
      </c>
      <c r="W590" s="20">
        <f ca="1">W592*Model!W305</f>
        <v>1534.1613759319896</v>
      </c>
      <c r="X590" s="20">
        <f ca="1">X592*Model!X305</f>
        <v>1847.1798810570147</v>
      </c>
      <c r="Y590" s="20">
        <f ca="1">Y592*Model!Y305</f>
        <v>2204.639631148847</v>
      </c>
      <c r="Z590" s="20">
        <f ca="1">Z592*Model!Z305</f>
        <v>2552.3328897382244</v>
      </c>
      <c r="AA590" s="20">
        <f ca="1">AA592*Model!AA305</f>
        <v>2928.6194924508713</v>
      </c>
      <c r="AB590" s="20">
        <f ca="1">AB592*Model!AB305</f>
        <v>3334.1084060681014</v>
      </c>
      <c r="AC590" s="20">
        <f ca="1">AC592*Model!AC305</f>
        <v>3766.4490629495822</v>
      </c>
      <c r="AD590" s="20">
        <f ca="1">AD592*Model!AD305</f>
        <v>4210.6406609365713</v>
      </c>
      <c r="AE590" s="20"/>
      <c r="AF590" s="20"/>
      <c r="AG590" s="20"/>
      <c r="AH590" s="20"/>
      <c r="AI590" s="20"/>
      <c r="AJ590" s="20"/>
      <c r="AK590" s="20"/>
      <c r="AL590" s="20"/>
      <c r="AM590" s="20"/>
      <c r="AN590" s="20"/>
      <c r="AO590" s="20"/>
      <c r="AP590" s="20"/>
      <c r="AQ590" s="20"/>
      <c r="AR590" s="20"/>
      <c r="AS590" s="20"/>
      <c r="AT590" s="20"/>
      <c r="AU590" s="20"/>
      <c r="AV590" s="20"/>
      <c r="AW590" s="20"/>
      <c r="AX590" s="20"/>
      <c r="AY590" s="20">
        <f>AY533</f>
        <v>155.36049199999999</v>
      </c>
      <c r="AZ590" s="20"/>
      <c r="BA590" s="20"/>
      <c r="BB590" s="20"/>
      <c r="BC590" s="20">
        <f t="shared" ref="BC590:BU590" si="822">BC533</f>
        <v>210.61831000000001</v>
      </c>
      <c r="BD590" s="20">
        <f t="shared" si="822"/>
        <v>191.532838</v>
      </c>
      <c r="BE590" s="20">
        <f t="shared" si="822"/>
        <v>196.873152</v>
      </c>
      <c r="BF590" s="20">
        <f t="shared" si="822"/>
        <v>226.60450499999999</v>
      </c>
      <c r="BG590" s="20">
        <f t="shared" si="822"/>
        <v>559.185652</v>
      </c>
      <c r="BH590" s="20">
        <f t="shared" si="822"/>
        <v>547.25220300000001</v>
      </c>
      <c r="BI590" s="20">
        <f t="shared" si="822"/>
        <v>2053.7544549999998</v>
      </c>
      <c r="BJ590" s="20">
        <f t="shared" si="822"/>
        <v>1623.315083</v>
      </c>
      <c r="BK590" s="20">
        <f t="shared" si="822"/>
        <v>225.26906299999999</v>
      </c>
      <c r="BL590" s="20">
        <f t="shared" si="822"/>
        <v>310.789896</v>
      </c>
      <c r="BM590" s="20">
        <f t="shared" si="822"/>
        <v>415.450333</v>
      </c>
      <c r="BN590" s="20">
        <f t="shared" si="822"/>
        <v>1425.5589239999999</v>
      </c>
      <c r="BO590" s="20">
        <f t="shared" si="822"/>
        <v>486.78596800000003</v>
      </c>
      <c r="BP590" s="20">
        <f t="shared" si="822"/>
        <v>685.50660800000003</v>
      </c>
      <c r="BQ590" s="20">
        <f t="shared" si="822"/>
        <v>691.94079899999997</v>
      </c>
      <c r="BR590" s="20">
        <f t="shared" si="822"/>
        <v>699.28083700000002</v>
      </c>
      <c r="BS590" s="20">
        <f t="shared" si="822"/>
        <v>1147.2791970000001</v>
      </c>
      <c r="BT590" s="20">
        <f t="shared" si="822"/>
        <v>1144.3549410000001</v>
      </c>
      <c r="BU590" s="20">
        <f t="shared" si="822"/>
        <v>1197.3257550000001</v>
      </c>
      <c r="BV590" s="20"/>
      <c r="BW590" s="20"/>
      <c r="BX590" s="20"/>
      <c r="BY590" s="20"/>
      <c r="BZ590" s="20"/>
      <c r="CA590" s="20"/>
      <c r="CB590" s="20"/>
      <c r="CC590" s="20"/>
      <c r="CD590" s="20"/>
      <c r="CE590" s="20"/>
      <c r="CF590" s="47"/>
      <c r="CH590" s="5" t="s">
        <v>562</v>
      </c>
    </row>
    <row r="591" spans="2:86" outlineLevel="1">
      <c r="B591" s="12" t="s">
        <v>82</v>
      </c>
      <c r="C591" s="6"/>
      <c r="D591" s="6"/>
      <c r="E591" s="6"/>
      <c r="F591" s="6"/>
      <c r="G591" s="6"/>
      <c r="H591" s="492"/>
      <c r="I591" s="492"/>
      <c r="J591" s="492"/>
      <c r="K591" s="492"/>
      <c r="L591" s="492"/>
      <c r="M591" s="492"/>
      <c r="N591" s="560">
        <f t="shared" ref="N591:AD591" si="823">N590/M590-1</f>
        <v>-3.1832462017558072E-3</v>
      </c>
      <c r="O591" s="560">
        <f t="shared" si="823"/>
        <v>0.35567483913477838</v>
      </c>
      <c r="P591" s="560">
        <f t="shared" si="823"/>
        <v>1.6549716973799664</v>
      </c>
      <c r="Q591" s="560">
        <f t="shared" si="823"/>
        <v>-0.59714799155826692</v>
      </c>
      <c r="R591" s="560">
        <f t="shared" si="823"/>
        <v>1.1609090991779909</v>
      </c>
      <c r="S591" s="560">
        <f t="shared" si="823"/>
        <v>1.3568452511350944</v>
      </c>
      <c r="T591" s="560">
        <f t="shared" si="823"/>
        <v>-0.26790247901618669</v>
      </c>
      <c r="U591" s="41">
        <f t="shared" ca="1" si="823"/>
        <v>0.18922532428268202</v>
      </c>
      <c r="V591" s="41">
        <f t="shared" ca="1" si="823"/>
        <v>0.25681420446997705</v>
      </c>
      <c r="W591" s="41">
        <f t="shared" ca="1" si="823"/>
        <v>0.22207472019403296</v>
      </c>
      <c r="X591" s="41">
        <f t="shared" ca="1" si="823"/>
        <v>0.20403232022111695</v>
      </c>
      <c r="Y591" s="41">
        <f t="shared" ca="1" si="823"/>
        <v>0.19351648085690631</v>
      </c>
      <c r="Z591" s="41">
        <f t="shared" ca="1" si="823"/>
        <v>0.15770979241999417</v>
      </c>
      <c r="AA591" s="41">
        <f t="shared" ca="1" si="823"/>
        <v>0.14742849736628205</v>
      </c>
      <c r="AB591" s="41">
        <f t="shared" ca="1" si="823"/>
        <v>0.13845735667008374</v>
      </c>
      <c r="AC591" s="323">
        <f t="shared" ca="1" si="823"/>
        <v>0.12967204548436917</v>
      </c>
      <c r="AD591" s="323">
        <f t="shared" ca="1" si="823"/>
        <v>0.11793378605766502</v>
      </c>
      <c r="AE591" s="323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  <c r="BL591" s="6"/>
      <c r="BM591" s="6"/>
      <c r="BN591" s="6"/>
      <c r="BO591" s="6"/>
      <c r="BP591" s="6"/>
      <c r="BQ591" s="6"/>
      <c r="BR591" s="6"/>
      <c r="BS591" s="6"/>
      <c r="BT591" s="6"/>
      <c r="BU591" s="6"/>
      <c r="BV591" s="6"/>
      <c r="BW591" s="6"/>
      <c r="BX591" s="6"/>
      <c r="BY591" s="6"/>
      <c r="BZ591" s="6"/>
      <c r="CA591" s="6"/>
      <c r="CB591" s="6"/>
      <c r="CC591" s="6"/>
      <c r="CD591" s="6"/>
      <c r="CE591" s="6"/>
      <c r="CF591" s="5"/>
      <c r="CH591" s="5" t="s">
        <v>562</v>
      </c>
    </row>
    <row r="592" spans="2:86" outlineLevel="1">
      <c r="B592" s="12" t="s">
        <v>607</v>
      </c>
      <c r="C592" s="6"/>
      <c r="D592" s="6"/>
      <c r="E592" s="6"/>
      <c r="F592" s="6"/>
      <c r="G592" s="6"/>
      <c r="H592" s="492"/>
      <c r="I592" s="492"/>
      <c r="J592" s="492"/>
      <c r="K592" s="492"/>
      <c r="L592" s="492"/>
      <c r="M592" s="492"/>
      <c r="N592" s="560">
        <f>N590/Model!N305</f>
        <v>4.169291716267913E-2</v>
      </c>
      <c r="O592" s="560">
        <f>O590/Model!O305</f>
        <v>4.7768003225047852E-2</v>
      </c>
      <c r="P592" s="560">
        <f>P590/Model!P305</f>
        <v>9.7810736951758986E-2</v>
      </c>
      <c r="Q592" s="560">
        <f>Q590/Model!Q305</f>
        <v>2.8982619220272007E-2</v>
      </c>
      <c r="R592" s="560">
        <v>3.1068486501352455E-2</v>
      </c>
      <c r="S592" s="560">
        <f>S590/(Model!S305)</f>
        <v>5.7978278445417024E-2</v>
      </c>
      <c r="T592" s="560">
        <f>T590/(Model!T305)</f>
        <v>3.1134696540532632E-2</v>
      </c>
      <c r="U592" s="42">
        <f t="shared" ref="U592:AD592" si="824">T592</f>
        <v>3.1134696540532632E-2</v>
      </c>
      <c r="V592" s="42">
        <f t="shared" si="824"/>
        <v>3.1134696540532632E-2</v>
      </c>
      <c r="W592" s="42">
        <f t="shared" si="824"/>
        <v>3.1134696540532632E-2</v>
      </c>
      <c r="X592" s="42">
        <f t="shared" si="824"/>
        <v>3.1134696540532632E-2</v>
      </c>
      <c r="Y592" s="42">
        <f t="shared" si="824"/>
        <v>3.1134696540532632E-2</v>
      </c>
      <c r="Z592" s="42">
        <f t="shared" si="824"/>
        <v>3.1134696540532632E-2</v>
      </c>
      <c r="AA592" s="42">
        <f t="shared" si="824"/>
        <v>3.1134696540532632E-2</v>
      </c>
      <c r="AB592" s="42">
        <f t="shared" si="824"/>
        <v>3.1134696540532632E-2</v>
      </c>
      <c r="AC592" s="42">
        <f t="shared" si="824"/>
        <v>3.1134696540532632E-2</v>
      </c>
      <c r="AD592" s="42">
        <f t="shared" si="824"/>
        <v>3.1134696540532632E-2</v>
      </c>
      <c r="AE592" s="42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  <c r="BL592" s="6"/>
      <c r="BM592" s="6"/>
      <c r="BN592" s="6"/>
      <c r="BO592" s="6"/>
      <c r="BP592" s="6"/>
      <c r="BQ592" s="6"/>
      <c r="BR592" s="6"/>
      <c r="BS592" s="6"/>
      <c r="BT592" s="6"/>
      <c r="BU592" s="6"/>
      <c r="BV592" s="6"/>
      <c r="BW592" s="6"/>
      <c r="BX592" s="6"/>
      <c r="BY592" s="6"/>
      <c r="BZ592" s="6"/>
      <c r="CA592" s="6"/>
      <c r="CB592" s="6"/>
      <c r="CC592" s="6"/>
      <c r="CD592" s="6"/>
      <c r="CE592" s="6"/>
      <c r="CF592" s="5"/>
      <c r="CH592" s="5" t="s">
        <v>562</v>
      </c>
    </row>
    <row r="593" spans="2:86" outlineLevel="1" collapsed="1">
      <c r="C593" s="6"/>
      <c r="D593" s="6"/>
      <c r="E593" s="6"/>
      <c r="F593" s="6"/>
      <c r="G593" s="6"/>
      <c r="H593" s="492"/>
      <c r="I593" s="492"/>
      <c r="J593" s="492"/>
      <c r="K593" s="492"/>
      <c r="L593" s="492"/>
      <c r="M593" s="492"/>
      <c r="N593" s="492"/>
      <c r="O593" s="492"/>
      <c r="P593" s="492"/>
      <c r="Q593" s="492"/>
      <c r="R593" s="492"/>
      <c r="S593" s="492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  <c r="BL593" s="6"/>
      <c r="BM593" s="6"/>
      <c r="BN593" s="6"/>
      <c r="BO593" s="6"/>
      <c r="BP593" s="6"/>
      <c r="BQ593" s="6"/>
      <c r="BR593" s="6"/>
      <c r="BS593" s="6"/>
      <c r="BT593" s="6"/>
      <c r="BU593" s="6"/>
      <c r="BV593" s="6"/>
      <c r="BW593" s="6"/>
      <c r="BX593" s="6"/>
      <c r="BY593" s="6"/>
      <c r="BZ593" s="6"/>
      <c r="CA593" s="6"/>
      <c r="CB593" s="6"/>
      <c r="CC593" s="6"/>
      <c r="CD593" s="6"/>
      <c r="CE593" s="6"/>
      <c r="CF593" s="5"/>
      <c r="CH593" s="5" t="s">
        <v>562</v>
      </c>
    </row>
    <row r="594" spans="2:86" hidden="1" outlineLevel="2">
      <c r="B594" s="43" t="s">
        <v>141</v>
      </c>
      <c r="C594" s="6"/>
      <c r="D594" s="6"/>
      <c r="E594" s="6"/>
      <c r="F594" s="6"/>
      <c r="G594" s="6"/>
      <c r="H594" s="492"/>
      <c r="I594" s="492"/>
      <c r="J594" s="492"/>
      <c r="K594" s="492"/>
      <c r="L594" s="492"/>
      <c r="M594" s="492"/>
      <c r="N594" s="492"/>
      <c r="O594" s="492"/>
      <c r="P594" s="492"/>
      <c r="Q594" s="492"/>
      <c r="R594" s="492"/>
      <c r="S594" s="492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  <c r="BL594" s="6"/>
      <c r="BM594" s="6"/>
      <c r="BN594" s="6"/>
      <c r="BO594" s="6"/>
      <c r="BP594" s="6"/>
      <c r="BQ594" s="6"/>
      <c r="BR594" s="6"/>
      <c r="BS594" s="6"/>
      <c r="BT594" s="6"/>
      <c r="BU594" s="6"/>
      <c r="BV594" s="6"/>
      <c r="BW594" s="6"/>
      <c r="BX594" s="6"/>
      <c r="BY594" s="6"/>
      <c r="BZ594" s="6"/>
      <c r="CA594" s="6"/>
      <c r="CB594" s="6"/>
      <c r="CC594" s="6"/>
      <c r="CD594" s="6"/>
      <c r="CE594" s="6"/>
      <c r="CF594" s="5"/>
      <c r="CH594" s="5" t="s">
        <v>562</v>
      </c>
    </row>
    <row r="595" spans="2:86" hidden="1" outlineLevel="2">
      <c r="B595" s="44" t="s">
        <v>613</v>
      </c>
      <c r="C595" s="6"/>
      <c r="D595" s="6"/>
      <c r="E595" s="6"/>
      <c r="F595" s="6"/>
      <c r="G595" s="6"/>
      <c r="H595" s="492"/>
      <c r="I595" s="492"/>
      <c r="J595" s="492"/>
      <c r="K595" s="492"/>
      <c r="L595" s="492"/>
      <c r="M595" s="492"/>
      <c r="N595" s="492"/>
      <c r="O595" s="492"/>
      <c r="P595" s="492"/>
      <c r="Q595" s="570">
        <v>128.84505100000001</v>
      </c>
      <c r="R595" s="570">
        <v>141.89070699999999</v>
      </c>
      <c r="S595" s="492"/>
      <c r="T595" s="6"/>
      <c r="U595" s="12"/>
      <c r="V595" s="12"/>
      <c r="W595" s="12"/>
      <c r="X595" s="12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  <c r="BL595" s="6"/>
      <c r="BM595" s="6"/>
      <c r="BN595" s="6"/>
      <c r="BO595" s="6"/>
      <c r="BP595" s="6"/>
      <c r="BQ595" s="6"/>
      <c r="BR595" s="6"/>
      <c r="BS595" s="6"/>
      <c r="BT595" s="6"/>
      <c r="BU595" s="6"/>
      <c r="BV595" s="6"/>
      <c r="BW595" s="6"/>
      <c r="BX595" s="6"/>
      <c r="BY595" s="6"/>
      <c r="BZ595" s="6"/>
      <c r="CA595" s="6"/>
      <c r="CB595" s="6"/>
      <c r="CC595" s="6"/>
      <c r="CD595" s="6"/>
      <c r="CE595" s="6"/>
      <c r="CF595" s="5"/>
      <c r="CH595" s="5" t="s">
        <v>562</v>
      </c>
    </row>
    <row r="596" spans="2:86" hidden="1" outlineLevel="2">
      <c r="B596" s="44" t="s">
        <v>614</v>
      </c>
      <c r="C596" s="6"/>
      <c r="D596" s="6"/>
      <c r="E596" s="6"/>
      <c r="F596" s="6"/>
      <c r="G596" s="6"/>
      <c r="H596" s="492"/>
      <c r="I596" s="492"/>
      <c r="J596" s="492"/>
      <c r="K596" s="492"/>
      <c r="L596" s="492"/>
      <c r="M596" s="492"/>
      <c r="N596" s="492"/>
      <c r="O596" s="492"/>
      <c r="P596" s="492"/>
      <c r="Q596" s="570">
        <v>0</v>
      </c>
      <c r="R596" s="570">
        <v>120.699207</v>
      </c>
      <c r="S596" s="492"/>
      <c r="T596" s="6"/>
      <c r="U596" s="6"/>
      <c r="V596" s="6"/>
      <c r="W596" s="12"/>
      <c r="X596" s="12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  <c r="BL596" s="6"/>
      <c r="BM596" s="6"/>
      <c r="BN596" s="6"/>
      <c r="BO596" s="6"/>
      <c r="BP596" s="6"/>
      <c r="BQ596" s="6"/>
      <c r="BR596" s="6"/>
      <c r="BS596" s="6"/>
      <c r="BT596" s="6"/>
      <c r="BU596" s="6"/>
      <c r="BV596" s="6"/>
      <c r="BW596" s="6"/>
      <c r="BX596" s="6"/>
      <c r="BY596" s="6"/>
      <c r="BZ596" s="6"/>
      <c r="CA596" s="6"/>
      <c r="CB596" s="6"/>
      <c r="CC596" s="6"/>
      <c r="CD596" s="6"/>
      <c r="CE596" s="6"/>
      <c r="CF596" s="5"/>
      <c r="CH596" s="5" t="s">
        <v>562</v>
      </c>
    </row>
    <row r="597" spans="2:86" hidden="1" outlineLevel="2">
      <c r="B597" s="44" t="s">
        <v>615</v>
      </c>
      <c r="C597" s="6"/>
      <c r="D597" s="6"/>
      <c r="E597" s="6"/>
      <c r="F597" s="6"/>
      <c r="G597" s="6"/>
      <c r="H597" s="492"/>
      <c r="I597" s="492"/>
      <c r="J597" s="492"/>
      <c r="K597" s="492"/>
      <c r="L597" s="492"/>
      <c r="M597" s="492"/>
      <c r="N597" s="492"/>
      <c r="O597" s="492"/>
      <c r="P597" s="492"/>
      <c r="Q597" s="570">
        <v>42.495334999999997</v>
      </c>
      <c r="R597" s="570">
        <v>118.851829</v>
      </c>
      <c r="S597" s="492"/>
      <c r="T597" s="6"/>
      <c r="U597" s="12"/>
      <c r="V597" s="12"/>
      <c r="W597" s="12"/>
      <c r="X597" s="12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  <c r="BL597" s="6"/>
      <c r="BM597" s="6"/>
      <c r="BN597" s="6"/>
      <c r="BO597" s="6"/>
      <c r="BP597" s="6"/>
      <c r="BQ597" s="6"/>
      <c r="BR597" s="6"/>
      <c r="BS597" s="6"/>
      <c r="BT597" s="6"/>
      <c r="BU597" s="6"/>
      <c r="BV597" s="6"/>
      <c r="BW597" s="6"/>
      <c r="BX597" s="6"/>
      <c r="BY597" s="6"/>
      <c r="BZ597" s="6"/>
      <c r="CA597" s="6"/>
      <c r="CB597" s="6"/>
      <c r="CC597" s="6"/>
      <c r="CD597" s="6"/>
      <c r="CE597" s="6"/>
      <c r="CF597" s="5"/>
      <c r="CH597" s="5" t="s">
        <v>562</v>
      </c>
    </row>
    <row r="598" spans="2:86" hidden="1" outlineLevel="2">
      <c r="B598" s="44" t="s">
        <v>616</v>
      </c>
      <c r="C598" s="6"/>
      <c r="D598" s="6"/>
      <c r="E598" s="6"/>
      <c r="F598" s="6"/>
      <c r="G598" s="6"/>
      <c r="H598" s="492"/>
      <c r="I598" s="492"/>
      <c r="J598" s="492"/>
      <c r="K598" s="492"/>
      <c r="L598" s="492"/>
      <c r="M598" s="492"/>
      <c r="N598" s="492"/>
      <c r="O598" s="492"/>
      <c r="P598" s="492"/>
      <c r="Q598" s="570">
        <v>16.165551000000001</v>
      </c>
      <c r="R598" s="570">
        <v>40.360900000000001</v>
      </c>
      <c r="S598" s="492"/>
      <c r="T598" s="12"/>
      <c r="U598" s="12"/>
      <c r="V598" s="6"/>
      <c r="W598" s="12"/>
      <c r="X598" s="12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  <c r="BL598" s="6"/>
      <c r="BM598" s="6"/>
      <c r="BN598" s="6"/>
      <c r="BO598" s="6"/>
      <c r="BP598" s="6"/>
      <c r="BQ598" s="6"/>
      <c r="BR598" s="6"/>
      <c r="BS598" s="6"/>
      <c r="BT598" s="6"/>
      <c r="BU598" s="6"/>
      <c r="BV598" s="6"/>
      <c r="BW598" s="6"/>
      <c r="BX598" s="6"/>
      <c r="BY598" s="6"/>
      <c r="BZ598" s="6"/>
      <c r="CA598" s="6"/>
      <c r="CB598" s="6"/>
      <c r="CC598" s="6"/>
      <c r="CD598" s="6"/>
      <c r="CE598" s="6"/>
      <c r="CF598" s="5"/>
      <c r="CH598" s="5" t="s">
        <v>562</v>
      </c>
    </row>
    <row r="599" spans="2:86" hidden="1" outlineLevel="2">
      <c r="B599" s="44" t="s">
        <v>617</v>
      </c>
      <c r="C599" s="6"/>
      <c r="D599" s="6"/>
      <c r="E599" s="6"/>
      <c r="F599" s="6"/>
      <c r="G599" s="6"/>
      <c r="H599" s="492"/>
      <c r="I599" s="492"/>
      <c r="J599" s="492"/>
      <c r="K599" s="492"/>
      <c r="L599" s="492"/>
      <c r="M599" s="492"/>
      <c r="N599" s="492"/>
      <c r="O599" s="492"/>
      <c r="P599" s="492"/>
      <c r="Q599" s="570">
        <v>1.387812</v>
      </c>
      <c r="R599" s="570">
        <v>2.5862919999999998</v>
      </c>
      <c r="S599" s="492"/>
      <c r="T599" s="6"/>
      <c r="U599" s="12"/>
      <c r="V599" s="12"/>
      <c r="W599" s="12"/>
      <c r="X599" s="12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  <c r="BL599" s="6"/>
      <c r="BM599" s="6"/>
      <c r="BN599" s="6"/>
      <c r="BO599" s="6"/>
      <c r="BP599" s="6"/>
      <c r="BQ599" s="6"/>
      <c r="BR599" s="6"/>
      <c r="BS599" s="6"/>
      <c r="BT599" s="6"/>
      <c r="BU599" s="6"/>
      <c r="BV599" s="6"/>
      <c r="BW599" s="6"/>
      <c r="BX599" s="6"/>
      <c r="BY599" s="6"/>
      <c r="BZ599" s="6"/>
      <c r="CA599" s="6"/>
      <c r="CB599" s="6"/>
      <c r="CC599" s="6"/>
      <c r="CD599" s="6"/>
      <c r="CE599" s="6"/>
      <c r="CF599" s="5"/>
      <c r="CH599" s="5" t="s">
        <v>562</v>
      </c>
    </row>
    <row r="600" spans="2:86" hidden="1" outlineLevel="2">
      <c r="B600" s="44" t="s">
        <v>17</v>
      </c>
      <c r="C600" s="6"/>
      <c r="D600" s="6"/>
      <c r="E600" s="6"/>
      <c r="F600" s="6"/>
      <c r="G600" s="6"/>
      <c r="H600" s="492"/>
      <c r="I600" s="492"/>
      <c r="J600" s="492"/>
      <c r="K600" s="492"/>
      <c r="L600" s="492"/>
      <c r="M600" s="492"/>
      <c r="N600" s="492"/>
      <c r="O600" s="492"/>
      <c r="P600" s="492"/>
      <c r="Q600" s="570">
        <v>36.375314000000003</v>
      </c>
      <c r="R600" s="570">
        <v>62.397033</v>
      </c>
      <c r="S600" s="492"/>
      <c r="T600" s="6"/>
      <c r="U600" s="6"/>
      <c r="V600" s="6"/>
      <c r="W600" s="12"/>
      <c r="X600" s="12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  <c r="BL600" s="6"/>
      <c r="BM600" s="6"/>
      <c r="BN600" s="6"/>
      <c r="BO600" s="6"/>
      <c r="BP600" s="6"/>
      <c r="BQ600" s="6"/>
      <c r="BR600" s="6"/>
      <c r="BS600" s="6"/>
      <c r="BT600" s="6"/>
      <c r="BU600" s="6"/>
      <c r="BV600" s="6"/>
      <c r="BW600" s="6"/>
      <c r="BX600" s="6"/>
      <c r="BY600" s="6"/>
      <c r="BZ600" s="6"/>
      <c r="CA600" s="6"/>
      <c r="CB600" s="6"/>
      <c r="CC600" s="6"/>
      <c r="CD600" s="6"/>
      <c r="CE600" s="6"/>
      <c r="CF600" s="5"/>
      <c r="CH600" s="5" t="s">
        <v>562</v>
      </c>
    </row>
    <row r="601" spans="2:86" hidden="1" outlineLevel="2">
      <c r="B601" s="44" t="s">
        <v>125</v>
      </c>
      <c r="C601" s="6"/>
      <c r="D601" s="6"/>
      <c r="E601" s="6"/>
      <c r="F601" s="6"/>
      <c r="G601" s="6"/>
      <c r="H601" s="492"/>
      <c r="I601" s="492"/>
      <c r="J601" s="492"/>
      <c r="K601" s="492"/>
      <c r="L601" s="492"/>
      <c r="M601" s="492"/>
      <c r="N601" s="492"/>
      <c r="O601" s="492"/>
      <c r="P601" s="492"/>
      <c r="Q601" s="570">
        <v>225.26906299999999</v>
      </c>
      <c r="R601" s="570">
        <v>486.78596800000003</v>
      </c>
      <c r="S601" s="492"/>
      <c r="T601" s="6"/>
      <c r="U601" s="6"/>
      <c r="V601" s="6"/>
      <c r="W601" s="12"/>
      <c r="X601" s="12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  <c r="BL601" s="6"/>
      <c r="BM601" s="6"/>
      <c r="BN601" s="6"/>
      <c r="BO601" s="6"/>
      <c r="BP601" s="6"/>
      <c r="BQ601" s="6"/>
      <c r="BR601" s="6"/>
      <c r="BS601" s="6"/>
      <c r="BT601" s="6"/>
      <c r="BU601" s="6"/>
      <c r="BV601" s="6"/>
      <c r="BW601" s="6"/>
      <c r="BX601" s="6"/>
      <c r="BY601" s="6"/>
      <c r="BZ601" s="6"/>
      <c r="CA601" s="6"/>
      <c r="CB601" s="6"/>
      <c r="CC601" s="6"/>
      <c r="CD601" s="6"/>
      <c r="CE601" s="6"/>
      <c r="CF601" s="5"/>
      <c r="CH601" s="5" t="s">
        <v>562</v>
      </c>
    </row>
    <row r="602" spans="2:86" hidden="1" outlineLevel="2">
      <c r="C602" s="6"/>
      <c r="D602" s="6"/>
      <c r="E602" s="6"/>
      <c r="F602" s="6"/>
      <c r="G602" s="6"/>
      <c r="H602" s="492"/>
      <c r="I602" s="492"/>
      <c r="J602" s="492"/>
      <c r="K602" s="492"/>
      <c r="L602" s="492"/>
      <c r="M602" s="492"/>
      <c r="N602" s="492"/>
      <c r="O602" s="492"/>
      <c r="P602" s="492"/>
      <c r="Q602" s="492"/>
      <c r="R602" s="492"/>
      <c r="S602" s="492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  <c r="BL602" s="6"/>
      <c r="BM602" s="6"/>
      <c r="BN602" s="6"/>
      <c r="BO602" s="6"/>
      <c r="BP602" s="6"/>
      <c r="BQ602" s="6"/>
      <c r="BR602" s="6"/>
      <c r="BS602" s="6"/>
      <c r="BT602" s="6"/>
      <c r="BU602" s="6"/>
      <c r="BV602" s="6"/>
      <c r="BW602" s="6"/>
      <c r="BX602" s="6"/>
      <c r="BY602" s="6"/>
      <c r="BZ602" s="6"/>
      <c r="CA602" s="6"/>
      <c r="CB602" s="6"/>
      <c r="CC602" s="6"/>
      <c r="CD602" s="6"/>
      <c r="CE602" s="6"/>
      <c r="CF602" s="5"/>
      <c r="CH602" s="5" t="s">
        <v>562</v>
      </c>
    </row>
    <row r="603" spans="2:86" hidden="1" outlineLevel="2">
      <c r="B603" s="49" t="s">
        <v>618</v>
      </c>
      <c r="C603" s="6"/>
      <c r="D603" s="6"/>
      <c r="E603" s="6"/>
      <c r="F603" s="6"/>
      <c r="G603" s="6"/>
      <c r="H603" s="492"/>
      <c r="I603" s="492"/>
      <c r="J603" s="492"/>
      <c r="K603" s="492"/>
      <c r="L603" s="492"/>
      <c r="M603" s="492"/>
      <c r="N603" s="492"/>
      <c r="O603" s="492"/>
      <c r="P603" s="492"/>
      <c r="Q603" s="492">
        <v>1928.0907050000001</v>
      </c>
      <c r="R603" s="492">
        <v>5048.3495309999998</v>
      </c>
      <c r="S603" s="208"/>
      <c r="T603" s="12"/>
      <c r="U603" s="12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  <c r="BL603" s="6"/>
      <c r="BM603" s="6"/>
      <c r="BN603" s="6"/>
      <c r="BO603" s="6"/>
      <c r="BP603" s="6"/>
      <c r="BQ603" s="6"/>
      <c r="BR603" s="6"/>
      <c r="BS603" s="6"/>
      <c r="BT603" s="6"/>
      <c r="BU603" s="6"/>
      <c r="BV603" s="6"/>
      <c r="BW603" s="6"/>
      <c r="BX603" s="6"/>
      <c r="BY603" s="6"/>
      <c r="BZ603" s="6"/>
      <c r="CA603" s="6"/>
      <c r="CB603" s="6"/>
      <c r="CC603" s="6"/>
      <c r="CD603" s="6"/>
      <c r="CE603" s="6"/>
      <c r="CF603" s="5"/>
      <c r="CH603" s="5" t="s">
        <v>562</v>
      </c>
    </row>
    <row r="604" spans="2:86" hidden="1" outlineLevel="2">
      <c r="B604" s="49" t="s">
        <v>619</v>
      </c>
      <c r="C604" s="6"/>
      <c r="D604" s="6"/>
      <c r="E604" s="6"/>
      <c r="F604" s="6"/>
      <c r="G604" s="6"/>
      <c r="H604" s="492"/>
      <c r="I604" s="492"/>
      <c r="J604" s="492"/>
      <c r="K604" s="492"/>
      <c r="L604" s="492"/>
      <c r="M604" s="492"/>
      <c r="N604" s="492"/>
      <c r="O604" s="492"/>
      <c r="P604" s="492"/>
      <c r="Q604" s="492">
        <v>350.02270600000003</v>
      </c>
      <c r="R604" s="492">
        <v>534.73463900000002</v>
      </c>
      <c r="S604" s="492"/>
      <c r="T604" s="12"/>
      <c r="U604" s="12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  <c r="BL604" s="6"/>
      <c r="BM604" s="6"/>
      <c r="BN604" s="6"/>
      <c r="BO604" s="6"/>
      <c r="BP604" s="6"/>
      <c r="BQ604" s="6"/>
      <c r="BR604" s="6"/>
      <c r="BS604" s="6"/>
      <c r="BT604" s="6"/>
      <c r="BU604" s="6"/>
      <c r="BV604" s="6"/>
      <c r="BW604" s="6"/>
      <c r="BX604" s="6"/>
      <c r="BY604" s="6"/>
      <c r="BZ604" s="6"/>
      <c r="CA604" s="6"/>
      <c r="CB604" s="6"/>
      <c r="CC604" s="6"/>
      <c r="CD604" s="6"/>
      <c r="CE604" s="6"/>
      <c r="CF604" s="5"/>
      <c r="CH604" s="5" t="s">
        <v>562</v>
      </c>
    </row>
    <row r="605" spans="2:86" hidden="1" outlineLevel="2">
      <c r="B605" s="50" t="s">
        <v>620</v>
      </c>
      <c r="C605" s="6"/>
      <c r="D605" s="6"/>
      <c r="E605" s="6"/>
      <c r="F605" s="6"/>
      <c r="G605" s="6"/>
      <c r="H605" s="492"/>
      <c r="I605" s="492"/>
      <c r="J605" s="492"/>
      <c r="K605" s="492"/>
      <c r="L605" s="492"/>
      <c r="M605" s="492"/>
      <c r="N605" s="492"/>
      <c r="O605" s="492"/>
      <c r="P605" s="492"/>
      <c r="Q605" s="492">
        <v>246.791832</v>
      </c>
      <c r="R605" s="492">
        <v>377.45756499999999</v>
      </c>
      <c r="S605" s="492"/>
      <c r="T605" s="12"/>
      <c r="U605" s="12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  <c r="BL605" s="6"/>
      <c r="BM605" s="6"/>
      <c r="BN605" s="6"/>
      <c r="BO605" s="6"/>
      <c r="BP605" s="6"/>
      <c r="BQ605" s="6"/>
      <c r="BR605" s="6"/>
      <c r="BS605" s="6"/>
      <c r="BT605" s="6"/>
      <c r="BU605" s="6"/>
      <c r="BV605" s="6"/>
      <c r="BW605" s="6"/>
      <c r="BX605" s="6"/>
      <c r="BY605" s="6"/>
      <c r="BZ605" s="6"/>
      <c r="CA605" s="6"/>
      <c r="CB605" s="6"/>
      <c r="CC605" s="6"/>
      <c r="CD605" s="6"/>
      <c r="CE605" s="6"/>
      <c r="CF605" s="5"/>
      <c r="CH605" s="5" t="s">
        <v>562</v>
      </c>
    </row>
    <row r="606" spans="2:86" hidden="1" outlineLevel="2">
      <c r="B606" s="50" t="s">
        <v>621</v>
      </c>
      <c r="C606" s="6"/>
      <c r="D606" s="6"/>
      <c r="E606" s="6"/>
      <c r="F606" s="6"/>
      <c r="G606" s="6"/>
      <c r="H606" s="492"/>
      <c r="I606" s="492"/>
      <c r="J606" s="492"/>
      <c r="K606" s="492"/>
      <c r="L606" s="492"/>
      <c r="M606" s="492"/>
      <c r="N606" s="492"/>
      <c r="O606" s="492"/>
      <c r="P606" s="492"/>
      <c r="Q606" s="492">
        <v>86.013103000000001</v>
      </c>
      <c r="R606" s="492">
        <v>125.60983</v>
      </c>
      <c r="S606" s="492"/>
      <c r="T606" s="12"/>
      <c r="U606" s="12"/>
      <c r="V606" s="12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  <c r="BL606" s="6"/>
      <c r="BM606" s="6"/>
      <c r="BN606" s="6"/>
      <c r="BO606" s="6"/>
      <c r="BP606" s="6"/>
      <c r="BQ606" s="6"/>
      <c r="BR606" s="6"/>
      <c r="BS606" s="6"/>
      <c r="BT606" s="6"/>
      <c r="BU606" s="6"/>
      <c r="BV606" s="6"/>
      <c r="BW606" s="6"/>
      <c r="BX606" s="6"/>
      <c r="BY606" s="6"/>
      <c r="BZ606" s="6"/>
      <c r="CA606" s="6"/>
      <c r="CB606" s="6"/>
      <c r="CC606" s="6"/>
      <c r="CD606" s="6"/>
      <c r="CE606" s="6"/>
      <c r="CF606" s="5"/>
      <c r="CH606" s="5" t="s">
        <v>562</v>
      </c>
    </row>
    <row r="607" spans="2:86" hidden="1" outlineLevel="2">
      <c r="B607" s="49" t="s">
        <v>622</v>
      </c>
      <c r="C607" s="6"/>
      <c r="D607" s="6"/>
      <c r="E607" s="6"/>
      <c r="F607" s="6"/>
      <c r="G607" s="6"/>
      <c r="H607" s="492"/>
      <c r="I607" s="492"/>
      <c r="J607" s="492"/>
      <c r="K607" s="492"/>
      <c r="L607" s="492"/>
      <c r="M607" s="492"/>
      <c r="N607" s="492"/>
      <c r="O607" s="492"/>
      <c r="P607" s="492"/>
      <c r="Q607" s="492">
        <v>76.484725999999995</v>
      </c>
      <c r="R607" s="492">
        <v>101.444245</v>
      </c>
      <c r="S607" s="208"/>
      <c r="T607" s="12"/>
      <c r="U607" s="12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  <c r="BL607" s="6"/>
      <c r="BM607" s="6"/>
      <c r="BN607" s="6"/>
      <c r="BO607" s="6"/>
      <c r="BP607" s="6"/>
      <c r="BQ607" s="6"/>
      <c r="BR607" s="6"/>
      <c r="BS607" s="6"/>
      <c r="BT607" s="6"/>
      <c r="BU607" s="6"/>
      <c r="BV607" s="6"/>
      <c r="BW607" s="6"/>
      <c r="BX607" s="6"/>
      <c r="BY607" s="6"/>
      <c r="BZ607" s="6"/>
      <c r="CA607" s="6"/>
      <c r="CB607" s="6"/>
      <c r="CC607" s="6"/>
      <c r="CD607" s="6"/>
      <c r="CE607" s="6"/>
      <c r="CF607" s="5"/>
      <c r="CH607" s="5" t="s">
        <v>562</v>
      </c>
    </row>
    <row r="608" spans="2:86" hidden="1" outlineLevel="2">
      <c r="B608" s="49" t="s">
        <v>623</v>
      </c>
      <c r="C608" s="6"/>
      <c r="D608" s="6"/>
      <c r="E608" s="6"/>
      <c r="F608" s="6"/>
      <c r="G608" s="6"/>
      <c r="H608" s="492"/>
      <c r="I608" s="492"/>
      <c r="J608" s="492"/>
      <c r="K608" s="492"/>
      <c r="L608" s="492"/>
      <c r="M608" s="492"/>
      <c r="N608" s="492"/>
      <c r="O608" s="492"/>
      <c r="P608" s="492"/>
      <c r="Q608" s="492">
        <v>51.638809000000002</v>
      </c>
      <c r="R608" s="492">
        <v>129.40101300000001</v>
      </c>
      <c r="S608" s="492"/>
      <c r="T608" s="12"/>
      <c r="U608" s="12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  <c r="BL608" s="6"/>
      <c r="BM608" s="6"/>
      <c r="BN608" s="6"/>
      <c r="BO608" s="6"/>
      <c r="BP608" s="6"/>
      <c r="BQ608" s="6"/>
      <c r="BR608" s="6"/>
      <c r="BS608" s="6"/>
      <c r="BT608" s="6"/>
      <c r="BU608" s="6"/>
      <c r="BV608" s="6"/>
      <c r="BW608" s="6"/>
      <c r="BX608" s="6"/>
      <c r="BY608" s="6"/>
      <c r="BZ608" s="6"/>
      <c r="CA608" s="6"/>
      <c r="CB608" s="6"/>
      <c r="CC608" s="6"/>
      <c r="CD608" s="6"/>
      <c r="CE608" s="6"/>
      <c r="CF608" s="5"/>
      <c r="CH608" s="5" t="s">
        <v>562</v>
      </c>
    </row>
    <row r="609" spans="1:96" hidden="1" outlineLevel="2">
      <c r="B609" s="49" t="s">
        <v>624</v>
      </c>
      <c r="C609" s="6"/>
      <c r="D609" s="6"/>
      <c r="E609" s="6"/>
      <c r="F609" s="6"/>
      <c r="G609" s="6"/>
      <c r="H609" s="492"/>
      <c r="I609" s="492"/>
      <c r="J609" s="492"/>
      <c r="K609" s="492"/>
      <c r="L609" s="492"/>
      <c r="M609" s="492"/>
      <c r="N609" s="492"/>
      <c r="O609" s="492"/>
      <c r="P609" s="492"/>
      <c r="Q609" s="492">
        <v>3014.1549100000002</v>
      </c>
      <c r="R609" s="492">
        <v>11.231274000000001</v>
      </c>
      <c r="S609" s="492"/>
      <c r="T609" s="12"/>
      <c r="U609" s="12"/>
      <c r="V609" s="12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  <c r="BL609" s="6"/>
      <c r="BM609" s="6"/>
      <c r="BN609" s="6"/>
      <c r="BO609" s="6"/>
      <c r="BP609" s="6"/>
      <c r="BQ609" s="6"/>
      <c r="BR609" s="6"/>
      <c r="BS609" s="6"/>
      <c r="BT609" s="6"/>
      <c r="BU609" s="6"/>
      <c r="BV609" s="6"/>
      <c r="BW609" s="6"/>
      <c r="BX609" s="6"/>
      <c r="BY609" s="6"/>
      <c r="BZ609" s="6"/>
      <c r="CA609" s="6"/>
      <c r="CB609" s="6"/>
      <c r="CC609" s="6"/>
      <c r="CD609" s="6"/>
      <c r="CE609" s="6"/>
      <c r="CF609" s="5"/>
      <c r="CH609" s="5" t="s">
        <v>562</v>
      </c>
    </row>
    <row r="610" spans="1:96" hidden="1" outlineLevel="2">
      <c r="B610" s="49" t="s">
        <v>625</v>
      </c>
      <c r="C610" s="6"/>
      <c r="D610" s="6"/>
      <c r="E610" s="6"/>
      <c r="F610" s="6"/>
      <c r="G610" s="6"/>
      <c r="H610" s="492"/>
      <c r="I610" s="492"/>
      <c r="J610" s="492"/>
      <c r="K610" s="492"/>
      <c r="L610" s="492"/>
      <c r="M610" s="492"/>
      <c r="N610" s="492">
        <f>N615</f>
        <v>-244.57093800000001</v>
      </c>
      <c r="O610" s="492">
        <f>O615</f>
        <v>-319.68241599999999</v>
      </c>
      <c r="P610" s="492">
        <f>P615</f>
        <v>-386.12593299999997</v>
      </c>
      <c r="Q610" s="492">
        <v>-532.57033000000001</v>
      </c>
      <c r="R610" s="492">
        <v>-772.268598</v>
      </c>
      <c r="S610" s="492"/>
      <c r="T610" s="12"/>
      <c r="U610" s="12"/>
      <c r="V610" s="6"/>
      <c r="W610" s="12"/>
      <c r="X610" s="12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  <c r="BL610" s="6"/>
      <c r="BM610" s="6"/>
      <c r="BN610" s="6"/>
      <c r="BO610" s="6"/>
      <c r="BP610" s="6"/>
      <c r="BQ610" s="6"/>
      <c r="BR610" s="6"/>
      <c r="BS610" s="6"/>
      <c r="BT610" s="6"/>
      <c r="BU610" s="6"/>
      <c r="BV610" s="6"/>
      <c r="BW610" s="6"/>
      <c r="BX610" s="6"/>
      <c r="BY610" s="6"/>
      <c r="BZ610" s="6"/>
      <c r="CA610" s="6"/>
      <c r="CB610" s="6"/>
      <c r="CC610" s="6"/>
      <c r="CD610" s="6"/>
      <c r="CE610" s="6"/>
      <c r="CF610" s="5"/>
      <c r="CH610" s="5" t="s">
        <v>562</v>
      </c>
    </row>
    <row r="611" spans="1:96" hidden="1" outlineLevel="2">
      <c r="B611" s="49" t="s">
        <v>626</v>
      </c>
      <c r="C611" s="6"/>
      <c r="D611" s="6"/>
      <c r="E611" s="6"/>
      <c r="F611" s="6"/>
      <c r="G611" s="6"/>
      <c r="H611" s="492"/>
      <c r="I611" s="492"/>
      <c r="J611" s="492"/>
      <c r="K611" s="492"/>
      <c r="L611" s="492"/>
      <c r="M611" s="492"/>
      <c r="N611" s="492"/>
      <c r="O611" s="492"/>
      <c r="P611" s="492"/>
      <c r="Q611" s="492">
        <v>5220.6264609999998</v>
      </c>
      <c r="R611" s="492">
        <v>5555.9594989999996</v>
      </c>
      <c r="S611" s="492"/>
      <c r="T611" s="12"/>
      <c r="U611" s="12"/>
      <c r="V611" s="12"/>
      <c r="W611" s="12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  <c r="BL611" s="6"/>
      <c r="BM611" s="6"/>
      <c r="BN611" s="6"/>
      <c r="BO611" s="6"/>
      <c r="BP611" s="6"/>
      <c r="BQ611" s="6"/>
      <c r="BR611" s="6"/>
      <c r="BS611" s="6"/>
      <c r="BT611" s="6"/>
      <c r="BU611" s="6"/>
      <c r="BV611" s="6"/>
      <c r="BW611" s="6"/>
      <c r="BX611" s="6"/>
      <c r="BY611" s="6"/>
      <c r="BZ611" s="6"/>
      <c r="CA611" s="6"/>
      <c r="CB611" s="6"/>
      <c r="CC611" s="6"/>
      <c r="CD611" s="6"/>
      <c r="CE611" s="6"/>
      <c r="CF611" s="5"/>
      <c r="CH611" s="5" t="s">
        <v>562</v>
      </c>
    </row>
    <row r="612" spans="1:96" hidden="1" outlineLevel="2">
      <c r="C612" s="6"/>
      <c r="D612" s="6"/>
      <c r="E612" s="6"/>
      <c r="F612" s="6"/>
      <c r="G612" s="6"/>
      <c r="H612" s="492"/>
      <c r="I612" s="492"/>
      <c r="J612" s="492"/>
      <c r="K612" s="492"/>
      <c r="L612" s="492"/>
      <c r="M612" s="492"/>
      <c r="N612" s="492"/>
      <c r="O612" s="492"/>
      <c r="P612" s="492"/>
      <c r="Q612" s="492"/>
      <c r="R612" s="492"/>
      <c r="S612" s="492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  <c r="BL612" s="6"/>
      <c r="BM612" s="6"/>
      <c r="BN612" s="6"/>
      <c r="BO612" s="6"/>
      <c r="BP612" s="6"/>
      <c r="BQ612" s="6"/>
      <c r="BR612" s="6"/>
      <c r="BS612" s="6"/>
      <c r="BT612" s="6"/>
      <c r="BU612" s="6"/>
      <c r="BV612" s="6"/>
      <c r="BW612" s="6"/>
      <c r="BX612" s="6"/>
      <c r="BY612" s="6"/>
      <c r="BZ612" s="6"/>
      <c r="CA612" s="6"/>
      <c r="CB612" s="6"/>
      <c r="CC612" s="6"/>
      <c r="CD612" s="6"/>
      <c r="CE612" s="6"/>
      <c r="CF612" s="5"/>
      <c r="CH612" s="5" t="s">
        <v>562</v>
      </c>
    </row>
    <row r="613" spans="1:96" s="55" customFormat="1" outlineLevel="1">
      <c r="A613" s="51" t="s">
        <v>272</v>
      </c>
      <c r="B613" s="52" t="s">
        <v>627</v>
      </c>
      <c r="C613" s="53"/>
      <c r="D613" s="53"/>
      <c r="E613" s="53"/>
      <c r="F613" s="53"/>
      <c r="G613" s="53"/>
      <c r="H613" s="590">
        <v>53.552242999999997</v>
      </c>
      <c r="I613" s="590">
        <v>153.690484</v>
      </c>
      <c r="J613" s="590">
        <v>267.19478800000002</v>
      </c>
      <c r="K613" s="590">
        <v>346.11708299999998</v>
      </c>
      <c r="L613" s="590">
        <v>550.50659499999995</v>
      </c>
      <c r="M613" s="590">
        <v>653.67898000000002</v>
      </c>
      <c r="N613" s="590">
        <f t="shared" ref="N613:S613" si="825">N535</f>
        <v>683.90386999999998</v>
      </c>
      <c r="O613" s="590">
        <f t="shared" si="825"/>
        <v>1123.937191</v>
      </c>
      <c r="P613" s="590">
        <f t="shared" si="825"/>
        <v>1412.9436929999999</v>
      </c>
      <c r="Q613" s="590">
        <f t="shared" si="825"/>
        <v>5220.6264609999998</v>
      </c>
      <c r="R613" s="590">
        <f t="shared" si="825"/>
        <v>5555.9594989999996</v>
      </c>
      <c r="S613" s="590">
        <f t="shared" si="825"/>
        <v>5591.9600810000002</v>
      </c>
      <c r="T613" s="54">
        <f t="shared" ref="T613:AD613" si="826">T614+T615</f>
        <v>6050.4631210854332</v>
      </c>
      <c r="U613" s="54">
        <f t="shared" ca="1" si="826"/>
        <v>6431.5662518283025</v>
      </c>
      <c r="V613" s="54">
        <f t="shared" ca="1" si="826"/>
        <v>6976.1775327717769</v>
      </c>
      <c r="W613" s="54">
        <f t="shared" ca="1" si="826"/>
        <v>7688.222002616877</v>
      </c>
      <c r="X613" s="54">
        <f t="shared" ca="1" si="826"/>
        <v>8902.4625747976788</v>
      </c>
      <c r="Y613" s="54">
        <f t="shared" ca="1" si="826"/>
        <v>10369.2750352281</v>
      </c>
      <c r="Z613" s="54">
        <f t="shared" ca="1" si="826"/>
        <v>12066.036174474817</v>
      </c>
      <c r="AA613" s="54">
        <f t="shared" ca="1" si="826"/>
        <v>14005.243316655396</v>
      </c>
      <c r="AB613" s="54">
        <f t="shared" ca="1" si="826"/>
        <v>16198.843301970117</v>
      </c>
      <c r="AC613" s="54">
        <f t="shared" ca="1" si="826"/>
        <v>18655.528441370487</v>
      </c>
      <c r="AD613" s="54">
        <f t="shared" ca="1" si="826"/>
        <v>21369.369264856956</v>
      </c>
      <c r="AE613" s="54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>
        <v>683.90386999999998</v>
      </c>
      <c r="AZ613" s="53"/>
      <c r="BA613" s="53"/>
      <c r="BB613" s="53"/>
      <c r="BC613" s="53">
        <v>1123.937191</v>
      </c>
      <c r="BD613" s="53">
        <v>1302.5259590000001</v>
      </c>
      <c r="BE613" s="53">
        <v>1331.91148</v>
      </c>
      <c r="BF613" s="53">
        <v>1367.988034</v>
      </c>
      <c r="BG613" s="53">
        <v>1412.9436929999999</v>
      </c>
      <c r="BH613" s="53">
        <v>1511.141969</v>
      </c>
      <c r="BI613" s="53">
        <v>2095.4039120000002</v>
      </c>
      <c r="BJ613" s="53">
        <v>3479.4573559999999</v>
      </c>
      <c r="BK613" s="53">
        <v>5220.6264609999998</v>
      </c>
      <c r="BL613" s="53">
        <v>5257.0152520000001</v>
      </c>
      <c r="BM613" s="53">
        <v>5351.0605150000001</v>
      </c>
      <c r="BN613" s="53">
        <v>5314.659388</v>
      </c>
      <c r="BO613" s="53">
        <v>5555.9594989999996</v>
      </c>
      <c r="BP613" s="53">
        <v>5562.9769759999999</v>
      </c>
      <c r="BQ613" s="590">
        <f>BQ535</f>
        <v>5568.7385860000004</v>
      </c>
      <c r="BR613" s="590">
        <f>BR535</f>
        <v>5574.1686669999999</v>
      </c>
      <c r="BS613" s="590">
        <f>BS535</f>
        <v>5591.9600810000002</v>
      </c>
      <c r="BT613" s="590">
        <f>BT535</f>
        <v>5564.9044370000001</v>
      </c>
      <c r="BU613" s="590">
        <f>BU535</f>
        <v>5647.5302979999997</v>
      </c>
      <c r="BV613" s="53"/>
      <c r="BW613" s="53"/>
      <c r="BX613" s="53"/>
      <c r="BY613" s="53"/>
      <c r="BZ613" s="53"/>
      <c r="CA613" s="53"/>
      <c r="CB613" s="53"/>
      <c r="CC613" s="53"/>
      <c r="CD613" s="53"/>
      <c r="CE613" s="53"/>
      <c r="CF613" s="53"/>
      <c r="CH613" s="5" t="s">
        <v>562</v>
      </c>
      <c r="CJ613"/>
      <c r="CK613"/>
      <c r="CL613"/>
      <c r="CM613"/>
      <c r="CN613"/>
      <c r="CO613"/>
    </row>
    <row r="614" spans="1:96" s="55" customFormat="1" outlineLevel="1" collapsed="1">
      <c r="A614" s="51" t="s">
        <v>310</v>
      </c>
      <c r="B614" s="56" t="s">
        <v>628</v>
      </c>
      <c r="C614" s="57"/>
      <c r="D614" s="57"/>
      <c r="E614" s="57"/>
      <c r="F614" s="57"/>
      <c r="G614" s="57"/>
      <c r="H614" s="58">
        <f t="shared" ref="H614:R614" si="827">-H615+H613</f>
        <v>74.389613999999995</v>
      </c>
      <c r="I614" s="58">
        <f t="shared" si="827"/>
        <v>185.97644</v>
      </c>
      <c r="J614" s="58">
        <f t="shared" si="827"/>
        <v>319.127477</v>
      </c>
      <c r="K614" s="58">
        <f t="shared" si="827"/>
        <v>434.41679099999999</v>
      </c>
      <c r="L614" s="58">
        <f t="shared" si="827"/>
        <v>690.10400199999992</v>
      </c>
      <c r="M614" s="58">
        <f t="shared" si="827"/>
        <v>842.47922500000004</v>
      </c>
      <c r="N614" s="58">
        <f t="shared" si="827"/>
        <v>928.47480799999994</v>
      </c>
      <c r="O614" s="58">
        <f t="shared" si="827"/>
        <v>1443.6196070000001</v>
      </c>
      <c r="P614" s="58">
        <f t="shared" si="827"/>
        <v>1799.069626</v>
      </c>
      <c r="Q614" s="58">
        <f t="shared" si="827"/>
        <v>5753.1967910000003</v>
      </c>
      <c r="R614" s="58">
        <f t="shared" si="827"/>
        <v>6328.2280969999993</v>
      </c>
      <c r="S614" s="58">
        <f t="shared" ref="S614:AD614" si="828">R614-S616</f>
        <v>7011.0594069999988</v>
      </c>
      <c r="T614" s="58">
        <f t="shared" si="828"/>
        <v>7820.3689709199989</v>
      </c>
      <c r="U614" s="58">
        <f t="shared" ca="1" si="828"/>
        <v>8782.8203995178374</v>
      </c>
      <c r="V614" s="58">
        <f t="shared" ca="1" si="828"/>
        <v>9992.4430260920217</v>
      </c>
      <c r="W614" s="58">
        <f t="shared" ca="1" si="828"/>
        <v>11470.692259003039</v>
      </c>
      <c r="X614" s="58">
        <f t="shared" ca="1" si="828"/>
        <v>13250.552112769978</v>
      </c>
      <c r="Y614" s="58">
        <f t="shared" ca="1" si="828"/>
        <v>15374.844181856382</v>
      </c>
      <c r="Z614" s="58">
        <f t="shared" ca="1" si="828"/>
        <v>17834.157912197843</v>
      </c>
      <c r="AA614" s="58">
        <f t="shared" ca="1" si="828"/>
        <v>20656.044570355814</v>
      </c>
      <c r="AB614" s="58">
        <f t="shared" ca="1" si="828"/>
        <v>23868.642196024914</v>
      </c>
      <c r="AC614" s="58">
        <f t="shared" ca="1" si="828"/>
        <v>27497.823927132751</v>
      </c>
      <c r="AD614" s="58">
        <f t="shared" ca="1" si="828"/>
        <v>31555.00880008145</v>
      </c>
      <c r="AE614" s="58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7"/>
      <c r="AT614" s="57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8"/>
      <c r="BQ614" s="58"/>
      <c r="BR614" s="58"/>
      <c r="BS614" s="58"/>
      <c r="BT614" s="58"/>
      <c r="BU614" s="58"/>
      <c r="BV614" s="58"/>
      <c r="BW614" s="58"/>
      <c r="BX614" s="58"/>
      <c r="BY614" s="58"/>
      <c r="BZ614" s="58"/>
      <c r="CA614" s="58"/>
      <c r="CB614" s="58"/>
      <c r="CC614" s="58"/>
      <c r="CD614" s="58"/>
      <c r="CE614" s="58"/>
      <c r="CF614" s="58"/>
      <c r="CH614" s="5" t="s">
        <v>562</v>
      </c>
      <c r="CJ614"/>
      <c r="CK614"/>
      <c r="CL614"/>
      <c r="CM614"/>
      <c r="CN614"/>
      <c r="CO614"/>
    </row>
    <row r="615" spans="1:96" s="55" customFormat="1" outlineLevel="1">
      <c r="A615" s="51" t="s">
        <v>311</v>
      </c>
      <c r="B615" s="56" t="s">
        <v>305</v>
      </c>
      <c r="H615" s="60">
        <v>-20.837371000000001</v>
      </c>
      <c r="I615" s="60">
        <v>-32.285955999999999</v>
      </c>
      <c r="J615" s="60">
        <v>-51.932689000000003</v>
      </c>
      <c r="K615" s="60">
        <v>-88.299707999999995</v>
      </c>
      <c r="L615" s="60">
        <v>-139.597407</v>
      </c>
      <c r="M615" s="60">
        <v>-188.80024499999999</v>
      </c>
      <c r="N615" s="60">
        <v>-244.57093800000001</v>
      </c>
      <c r="O615" s="60">
        <v>-319.68241599999999</v>
      </c>
      <c r="P615" s="60">
        <v>-386.12593299999997</v>
      </c>
      <c r="Q615" s="60">
        <v>-532.57033000000001</v>
      </c>
      <c r="R615" s="60">
        <v>-772.268598</v>
      </c>
      <c r="S615" s="60">
        <v>-1253.759503</v>
      </c>
      <c r="T615" s="58">
        <f t="shared" ref="T615:AD615" si="829">S615-T617</f>
        <v>-1769.9058498345657</v>
      </c>
      <c r="U615" s="58">
        <f t="shared" ca="1" si="829"/>
        <v>-2351.2541476895344</v>
      </c>
      <c r="V615" s="58">
        <f t="shared" ca="1" si="829"/>
        <v>-3016.2654933202443</v>
      </c>
      <c r="W615" s="58">
        <f t="shared" ca="1" si="829"/>
        <v>-3782.470256386162</v>
      </c>
      <c r="X615" s="58">
        <f t="shared" ca="1" si="829"/>
        <v>-4348.0895379722997</v>
      </c>
      <c r="Y615" s="58">
        <f t="shared" ca="1" si="829"/>
        <v>-5005.5691466282833</v>
      </c>
      <c r="Z615" s="58">
        <f t="shared" ca="1" si="829"/>
        <v>-5768.1217377230259</v>
      </c>
      <c r="AA615" s="58">
        <f t="shared" ca="1" si="829"/>
        <v>-6650.8012537004179</v>
      </c>
      <c r="AB615" s="58">
        <f t="shared" ca="1" si="829"/>
        <v>-7669.7988940547966</v>
      </c>
      <c r="AC615" s="58">
        <f t="shared" ca="1" si="829"/>
        <v>-8842.2954857622644</v>
      </c>
      <c r="AD615" s="58">
        <f t="shared" ca="1" si="829"/>
        <v>-10185.639535224496</v>
      </c>
      <c r="AE615" s="58"/>
      <c r="AF615" s="59"/>
      <c r="AG615" s="59"/>
      <c r="AH615" s="59"/>
      <c r="AI615" s="59"/>
      <c r="AJ615" s="60"/>
      <c r="AK615" s="60"/>
      <c r="AL615" s="60"/>
      <c r="AM615" s="60"/>
      <c r="AN615" s="60"/>
      <c r="AO615" s="60"/>
      <c r="AP615" s="60"/>
      <c r="AQ615" s="60"/>
      <c r="AR615" s="60"/>
      <c r="AS615" s="60"/>
      <c r="AT615" s="60"/>
      <c r="AU615" s="60"/>
      <c r="AV615" s="60"/>
      <c r="AW615" s="60"/>
      <c r="AX615" s="60"/>
      <c r="AY615" s="60"/>
      <c r="AZ615" s="60"/>
      <c r="BA615" s="60"/>
      <c r="BB615" s="60"/>
      <c r="BC615" s="60"/>
      <c r="BD615" s="60"/>
      <c r="BE615" s="60"/>
      <c r="BF615" s="60"/>
      <c r="BG615" s="60"/>
      <c r="BH615" s="60"/>
      <c r="BI615" s="60"/>
      <c r="BJ615" s="60"/>
      <c r="BK615" s="60"/>
      <c r="CF615" s="58"/>
      <c r="CH615" s="5" t="s">
        <v>562</v>
      </c>
      <c r="CJ615"/>
      <c r="CK615"/>
      <c r="CL615"/>
      <c r="CM615"/>
      <c r="CN615"/>
      <c r="CO615"/>
    </row>
    <row r="616" spans="1:96" s="55" customFormat="1" outlineLevel="1">
      <c r="A616" s="51" t="s">
        <v>271</v>
      </c>
      <c r="B616" s="56" t="s">
        <v>308</v>
      </c>
      <c r="H616" s="60">
        <v>-31.885162999999999</v>
      </c>
      <c r="I616" s="60">
        <v>-96.572815000000006</v>
      </c>
      <c r="J616" s="60">
        <v>-126.84634800000001</v>
      </c>
      <c r="K616" s="60">
        <v>-115.372416</v>
      </c>
      <c r="L616" s="60">
        <v>-175.94681600000001</v>
      </c>
      <c r="M616" s="60">
        <v>-162.37884500000001</v>
      </c>
      <c r="N616" s="60">
        <v>-205.212492</v>
      </c>
      <c r="O616" s="60">
        <v>-543.12330899999995</v>
      </c>
      <c r="P616" s="60">
        <v>-651.76521700000001</v>
      </c>
      <c r="Q616" s="60">
        <v>-4788.6763709999996</v>
      </c>
      <c r="R616" s="60">
        <v>-638.13342999999998</v>
      </c>
      <c r="S616" s="60">
        <v>-682.83131000000003</v>
      </c>
      <c r="T616" s="58">
        <f>-T618*Model!T305</f>
        <v>-809.30956391999996</v>
      </c>
      <c r="U616" s="58">
        <f ca="1">-U618*Model!U305</f>
        <v>-962.451428597838</v>
      </c>
      <c r="V616" s="58">
        <f ca="1">-V618*Model!V305</f>
        <v>-1209.6226265741846</v>
      </c>
      <c r="W616" s="58">
        <f ca="1">-W618*Model!W305</f>
        <v>-1478.2492329110178</v>
      </c>
      <c r="X616" s="58">
        <f ca="1">-X618*Model!X305</f>
        <v>-1779.8598537669393</v>
      </c>
      <c r="Y616" s="58">
        <f ca="1">-Y618*Model!Y305</f>
        <v>-2124.2920690864048</v>
      </c>
      <c r="Z616" s="58">
        <f ca="1">-Z618*Model!Z305</f>
        <v>-2459.3137303414624</v>
      </c>
      <c r="AA616" s="58">
        <f ca="1">-AA618*Model!AA305</f>
        <v>-2821.88665815797</v>
      </c>
      <c r="AB616" s="58">
        <f ca="1">-AB618*Model!AB305</f>
        <v>-3212.5976256690988</v>
      </c>
      <c r="AC616" s="58">
        <f ca="1">-AC618*Model!AC305</f>
        <v>-3629.1817311078389</v>
      </c>
      <c r="AD616" s="58">
        <f ca="1">-AD618*Model!AD305</f>
        <v>-4057.1848729486974</v>
      </c>
      <c r="AE616" s="58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  <c r="AW616" s="59"/>
      <c r="AX616" s="59"/>
      <c r="AY616" s="59"/>
      <c r="AZ616" s="59"/>
      <c r="BA616" s="59"/>
      <c r="BB616" s="59"/>
      <c r="BC616" s="59"/>
      <c r="BD616" s="59"/>
      <c r="BE616" s="59"/>
      <c r="BF616" s="59"/>
      <c r="BG616" s="59"/>
      <c r="BH616" s="59"/>
      <c r="BI616" s="59"/>
      <c r="BJ616" s="59"/>
      <c r="BK616" s="59"/>
      <c r="CF616" s="58"/>
      <c r="CH616" s="5" t="s">
        <v>562</v>
      </c>
      <c r="CJ616"/>
      <c r="CK616"/>
      <c r="CL616"/>
      <c r="CM616"/>
      <c r="CN616"/>
      <c r="CO616"/>
    </row>
    <row r="617" spans="1:96" s="55" customFormat="1" outlineLevel="1">
      <c r="A617" s="51" t="s">
        <v>270</v>
      </c>
      <c r="B617" s="56" t="s">
        <v>312</v>
      </c>
      <c r="H617" s="60">
        <v>8.4137070000000005</v>
      </c>
      <c r="I617" s="60">
        <v>12.25408</v>
      </c>
      <c r="J617" s="60">
        <v>24.773734999999999</v>
      </c>
      <c r="K617" s="60">
        <v>35.574685000000002</v>
      </c>
      <c r="L617" s="60">
        <v>45.196677999999999</v>
      </c>
      <c r="M617" s="60">
        <v>62.929541</v>
      </c>
      <c r="N617" s="60">
        <v>78.809866999999997</v>
      </c>
      <c r="O617" s="60">
        <v>88.462806999999998</v>
      </c>
      <c r="P617" s="60">
        <v>110.494928</v>
      </c>
      <c r="Q617" s="60">
        <v>173.78697299999999</v>
      </c>
      <c r="R617" s="63">
        <v>255.966352</v>
      </c>
      <c r="S617" s="63">
        <v>461.39114699999999</v>
      </c>
      <c r="T617" s="61">
        <f t="shared" ref="T617:AD617" si="830">T619/100*(T614-T616/2)</f>
        <v>516.14634683456586</v>
      </c>
      <c r="U617" s="61">
        <f t="shared" ca="1" si="830"/>
        <v>581.34829785496879</v>
      </c>
      <c r="V617" s="61">
        <f t="shared" ca="1" si="830"/>
        <v>665.01134563071003</v>
      </c>
      <c r="W617" s="61">
        <f t="shared" ca="1" si="830"/>
        <v>766.20476306591752</v>
      </c>
      <c r="X617" s="61">
        <f t="shared" ca="1" si="830"/>
        <v>565.61928158613784</v>
      </c>
      <c r="Y617" s="61">
        <f t="shared" ca="1" si="830"/>
        <v>657.4796086559835</v>
      </c>
      <c r="Z617" s="61">
        <f t="shared" ca="1" si="830"/>
        <v>762.55259109474298</v>
      </c>
      <c r="AA617" s="61">
        <f t="shared" ca="1" si="830"/>
        <v>882.67951597739204</v>
      </c>
      <c r="AB617" s="61">
        <f t="shared" ca="1" si="830"/>
        <v>1018.9976403543785</v>
      </c>
      <c r="AC617" s="61">
        <f t="shared" ca="1" si="830"/>
        <v>1172.4965917074669</v>
      </c>
      <c r="AD617" s="61">
        <f t="shared" ca="1" si="830"/>
        <v>1343.3440494622319</v>
      </c>
      <c r="AE617" s="61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  <c r="AT617" s="59"/>
      <c r="AU617" s="59"/>
      <c r="AV617" s="59"/>
      <c r="AW617" s="59"/>
      <c r="AX617" s="59"/>
      <c r="AY617" s="59"/>
      <c r="AZ617" s="59"/>
      <c r="BA617" s="59"/>
      <c r="BB617" s="59"/>
      <c r="BC617" s="59"/>
      <c r="BD617" s="59"/>
      <c r="BE617" s="59"/>
      <c r="BF617" s="59"/>
      <c r="BG617" s="59"/>
      <c r="BH617" s="59"/>
      <c r="BI617" s="59"/>
      <c r="BJ617" s="59"/>
      <c r="BK617" s="59"/>
      <c r="BP617" s="61"/>
      <c r="BQ617" s="61"/>
      <c r="BR617" s="61"/>
      <c r="BS617" s="61"/>
      <c r="BT617" s="61"/>
      <c r="BU617" s="61"/>
      <c r="BV617" s="61"/>
      <c r="BW617" s="61"/>
      <c r="BX617" s="61"/>
      <c r="BY617" s="61"/>
      <c r="BZ617" s="61"/>
      <c r="CA617" s="61"/>
      <c r="CB617" s="61"/>
      <c r="CC617" s="61"/>
      <c r="CD617" s="61"/>
      <c r="CE617" s="61"/>
      <c r="CF617" s="62"/>
      <c r="CH617" s="5" t="s">
        <v>562</v>
      </c>
      <c r="CJ617"/>
      <c r="CK617"/>
      <c r="CL617"/>
      <c r="CM617"/>
      <c r="CN617"/>
      <c r="CO617"/>
    </row>
    <row r="618" spans="1:96" outlineLevel="1">
      <c r="A618" s="51"/>
      <c r="B618" s="117" t="s">
        <v>743</v>
      </c>
      <c r="C618" s="117"/>
      <c r="D618" s="117"/>
      <c r="E618" s="117"/>
      <c r="F618" s="117"/>
      <c r="G618" s="117"/>
      <c r="H618" s="117">
        <f>-H616/Model!H305</f>
        <v>5.7325310168165375E-2</v>
      </c>
      <c r="I618" s="117">
        <f>-I616/Model!I305</f>
        <v>0.11579104369590767</v>
      </c>
      <c r="J618" s="117">
        <f>-J616/Model!J305</f>
        <v>9.8538408590252327E-2</v>
      </c>
      <c r="K618" s="117">
        <f>-K616/Model!K305</f>
        <v>7.2645409126982599E-2</v>
      </c>
      <c r="L618" s="117">
        <f>-L616/Model!L305</f>
        <v>8.2893612959384466E-2</v>
      </c>
      <c r="M618" s="117">
        <f>-M616/Model!M305</f>
        <v>5.294882301932876E-2</v>
      </c>
      <c r="N618" s="117">
        <f>-N616/Model!N305</f>
        <v>5.5071320382423572E-2</v>
      </c>
      <c r="O618" s="117">
        <f>-O616/Model!O305</f>
        <v>0.12317977471147051</v>
      </c>
      <c r="P618" s="117">
        <f>-P616/Model!P305</f>
        <v>0.11400442047517542</v>
      </c>
      <c r="Q618" s="117">
        <f>-Q616/Model!Q305</f>
        <v>0.61610050657425153</v>
      </c>
      <c r="R618" s="117">
        <v>4.0728043040091783E-2</v>
      </c>
      <c r="S618" s="117">
        <f>-S616/(Model!S305)</f>
        <v>3.4507192256209691E-2</v>
      </c>
      <c r="T618" s="233">
        <v>0.03</v>
      </c>
      <c r="U618" s="233">
        <v>0.03</v>
      </c>
      <c r="V618" s="233">
        <v>0.03</v>
      </c>
      <c r="W618" s="233">
        <v>0.03</v>
      </c>
      <c r="X618" s="233">
        <v>0.03</v>
      </c>
      <c r="Y618" s="233">
        <v>0.03</v>
      </c>
      <c r="Z618" s="233">
        <v>0.03</v>
      </c>
      <c r="AA618" s="233">
        <v>0.03</v>
      </c>
      <c r="AB618" s="233">
        <v>0.03</v>
      </c>
      <c r="AC618" s="233">
        <v>0.03</v>
      </c>
      <c r="AD618" s="233">
        <v>0.03</v>
      </c>
      <c r="AE618" s="233"/>
      <c r="AF618" s="117"/>
      <c r="AG618" s="117"/>
      <c r="AH618" s="117"/>
      <c r="AI618" s="117"/>
      <c r="AJ618" s="117"/>
      <c r="AK618" s="117"/>
      <c r="AL618" s="117"/>
      <c r="AM618" s="117"/>
      <c r="AN618" s="117"/>
      <c r="AO618" s="117"/>
      <c r="AP618" s="117"/>
      <c r="AQ618" s="117"/>
      <c r="AR618" s="117"/>
      <c r="AS618" s="117"/>
      <c r="AT618" s="117"/>
      <c r="AU618" s="117"/>
      <c r="AV618" s="117"/>
      <c r="AW618" s="117"/>
      <c r="AX618" s="117"/>
      <c r="AY618" s="117"/>
      <c r="AZ618" s="117"/>
      <c r="BA618" s="117"/>
      <c r="BB618" s="117"/>
      <c r="BC618" s="117">
        <f>-BC616/Model!BG305</f>
        <v>0</v>
      </c>
      <c r="BD618" s="117">
        <f>-BD616/Model!BH305</f>
        <v>0</v>
      </c>
      <c r="BE618" s="117">
        <f>-BE616/Model!BI305</f>
        <v>0</v>
      </c>
      <c r="BF618" s="117">
        <f>-BF616/Model!BJ305</f>
        <v>0</v>
      </c>
      <c r="BG618" s="117">
        <f>-BG616/Model!BK305</f>
        <v>0</v>
      </c>
      <c r="BH618" s="117">
        <f>-BH616/Model!BL305</f>
        <v>0</v>
      </c>
      <c r="BI618" s="117">
        <f>-BI616/Model!BM305</f>
        <v>0</v>
      </c>
      <c r="BJ618" s="117">
        <f>-BJ616/Model!BN305</f>
        <v>0</v>
      </c>
      <c r="BK618" s="117">
        <f>-BK616/Model!BO305</f>
        <v>0</v>
      </c>
      <c r="BL618" s="117">
        <f>-BL616/Model!BP305</f>
        <v>0</v>
      </c>
      <c r="BM618" s="117">
        <f>-BM616/Model!BQ305</f>
        <v>0</v>
      </c>
      <c r="BN618" s="117">
        <f>-BN616/Model!BR305</f>
        <v>0</v>
      </c>
      <c r="BO618" s="117">
        <f>-BO616/Model!BS305</f>
        <v>0</v>
      </c>
      <c r="BP618" s="117">
        <f>-BP616/Model!BT305</f>
        <v>0</v>
      </c>
      <c r="BQ618" s="117">
        <f>-BQ616/Model!BU305</f>
        <v>0</v>
      </c>
      <c r="BR618" s="117">
        <f>-BR616/Model!BV305</f>
        <v>0</v>
      </c>
      <c r="BS618" s="117">
        <f>-BS616/Model!BW305</f>
        <v>0</v>
      </c>
      <c r="BT618" s="117">
        <f ca="1">-BT616/Model!BX305</f>
        <v>0</v>
      </c>
      <c r="BU618" s="117">
        <f ca="1">-BU616/Model!BY305</f>
        <v>0</v>
      </c>
      <c r="BV618" s="117"/>
      <c r="BW618" s="117"/>
      <c r="BX618" s="117"/>
      <c r="BY618" s="117"/>
      <c r="BZ618" s="117"/>
      <c r="CA618" s="117"/>
      <c r="CB618" s="117"/>
      <c r="CC618" s="117"/>
      <c r="CD618" s="117"/>
      <c r="CE618" s="117"/>
      <c r="CF618" s="117"/>
      <c r="CH618" s="5" t="s">
        <v>562</v>
      </c>
      <c r="CI618" s="12"/>
      <c r="CP618" s="12"/>
      <c r="CQ618" s="12"/>
      <c r="CR618" s="12"/>
    </row>
    <row r="619" spans="1:96" outlineLevel="1">
      <c r="A619" s="51"/>
      <c r="B619" s="56" t="s">
        <v>309</v>
      </c>
      <c r="C619" s="5"/>
      <c r="D619" s="5"/>
      <c r="E619" s="5"/>
      <c r="F619" s="5"/>
      <c r="G619" s="5"/>
      <c r="H619" s="61">
        <f t="shared" ref="H619:S619" si="831">H617/(H614-H616/2)*100</f>
        <v>9.3141841105810386</v>
      </c>
      <c r="I619" s="61">
        <f t="shared" si="831"/>
        <v>5.2309105480330169</v>
      </c>
      <c r="J619" s="61">
        <f t="shared" si="831"/>
        <v>6.4759359146927711</v>
      </c>
      <c r="K619" s="61">
        <f t="shared" si="831"/>
        <v>7.2291136352127774</v>
      </c>
      <c r="L619" s="61">
        <f t="shared" si="831"/>
        <v>5.8087636807242617</v>
      </c>
      <c r="M619" s="61">
        <f t="shared" si="831"/>
        <v>6.8129995719054648</v>
      </c>
      <c r="N619" s="61">
        <f t="shared" si="831"/>
        <v>7.6434211155624627</v>
      </c>
      <c r="O619" s="61">
        <f t="shared" si="831"/>
        <v>5.1576360461538302</v>
      </c>
      <c r="P619" s="61">
        <f t="shared" si="831"/>
        <v>5.1998781998974852</v>
      </c>
      <c r="Q619" s="61">
        <f t="shared" si="831"/>
        <v>2.1330006376315676</v>
      </c>
      <c r="R619" s="61">
        <f t="shared" si="831"/>
        <v>3.8506845151191111</v>
      </c>
      <c r="S619" s="61">
        <f t="shared" si="831"/>
        <v>6.2753174014097741</v>
      </c>
      <c r="T619" s="64">
        <f>S619</f>
        <v>6.2753174014097741</v>
      </c>
      <c r="U619" s="64">
        <f>T619</f>
        <v>6.2753174014097741</v>
      </c>
      <c r="V619" s="64">
        <f>U619</f>
        <v>6.2753174014097741</v>
      </c>
      <c r="W619" s="64">
        <f>V619</f>
        <v>6.2753174014097741</v>
      </c>
      <c r="X619" s="64">
        <v>4</v>
      </c>
      <c r="Y619" s="64">
        <f t="shared" ref="Y619:AD619" si="832">X619</f>
        <v>4</v>
      </c>
      <c r="Z619" s="64">
        <f t="shared" si="832"/>
        <v>4</v>
      </c>
      <c r="AA619" s="64">
        <f t="shared" si="832"/>
        <v>4</v>
      </c>
      <c r="AB619" s="64">
        <f t="shared" si="832"/>
        <v>4</v>
      </c>
      <c r="AC619" s="64">
        <f t="shared" si="832"/>
        <v>4</v>
      </c>
      <c r="AD619" s="64">
        <f t="shared" si="832"/>
        <v>4</v>
      </c>
      <c r="AE619" s="64"/>
      <c r="AF619" s="61"/>
      <c r="AG619" s="61"/>
      <c r="AH619" s="61"/>
      <c r="AI619" s="61"/>
      <c r="AJ619" s="61"/>
      <c r="AK619" s="61"/>
      <c r="AL619" s="61"/>
      <c r="AM619" s="61"/>
      <c r="AN619" s="61"/>
      <c r="AO619" s="61"/>
      <c r="AP619" s="61"/>
      <c r="AQ619" s="61"/>
      <c r="AR619" s="61"/>
      <c r="AS619" s="61"/>
      <c r="AT619" s="61"/>
      <c r="AU619" s="61"/>
      <c r="AV619" s="61"/>
      <c r="AW619" s="61"/>
      <c r="AX619" s="61"/>
      <c r="AY619" s="61"/>
      <c r="AZ619" s="61"/>
      <c r="BA619" s="61"/>
      <c r="BB619" s="61"/>
      <c r="BC619" s="61"/>
      <c r="BD619" s="61"/>
      <c r="BE619" s="61"/>
      <c r="BF619" s="61"/>
      <c r="BG619" s="61"/>
      <c r="BH619" s="61"/>
      <c r="BI619" s="61"/>
      <c r="BJ619" s="61"/>
      <c r="BK619" s="61"/>
      <c r="BL619" s="5"/>
      <c r="BM619" s="5"/>
      <c r="BN619" s="5"/>
      <c r="BO619" s="5"/>
      <c r="BP619" s="37"/>
      <c r="BQ619" s="37"/>
      <c r="BR619" s="37"/>
      <c r="BS619" s="37"/>
      <c r="BT619" s="37"/>
      <c r="BU619" s="37"/>
      <c r="BV619" s="37"/>
      <c r="BW619" s="37"/>
      <c r="BX619" s="37"/>
      <c r="BY619" s="37"/>
      <c r="BZ619" s="37"/>
      <c r="CA619" s="37"/>
      <c r="CB619" s="37"/>
      <c r="CC619" s="37"/>
      <c r="CD619" s="37"/>
      <c r="CE619" s="37"/>
      <c r="CF619" s="37"/>
      <c r="CH619" s="5" t="s">
        <v>562</v>
      </c>
      <c r="CI619" s="12"/>
      <c r="CP619" s="12"/>
      <c r="CQ619" s="12"/>
      <c r="CR619" s="12"/>
    </row>
    <row r="620" spans="1:96" outlineLevel="1">
      <c r="A620" s="51"/>
      <c r="B620" s="6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37"/>
      <c r="S620" s="37"/>
      <c r="T620" s="37"/>
      <c r="U620" s="37"/>
      <c r="V620" s="37"/>
      <c r="W620" s="37"/>
      <c r="X620" s="37"/>
      <c r="Y620" s="37"/>
      <c r="Z620" s="37"/>
      <c r="AA620" s="37"/>
      <c r="AB620" s="37"/>
      <c r="AC620" s="37"/>
      <c r="AD620" s="37"/>
      <c r="AE620" s="37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37"/>
      <c r="BQ620" s="37"/>
      <c r="BR620" s="37"/>
      <c r="BS620" s="37"/>
      <c r="BT620" s="37"/>
      <c r="BU620" s="37"/>
      <c r="BV620" s="37"/>
      <c r="BW620" s="37"/>
      <c r="BX620" s="37"/>
      <c r="BY620" s="37"/>
      <c r="BZ620" s="37"/>
      <c r="CA620" s="37"/>
      <c r="CB620" s="37"/>
      <c r="CC620" s="37"/>
      <c r="CD620" s="37"/>
      <c r="CE620" s="37"/>
      <c r="CF620" s="37"/>
      <c r="CH620" s="5" t="s">
        <v>562</v>
      </c>
      <c r="CI620" s="12"/>
      <c r="CP620" s="12"/>
      <c r="CQ620" s="12"/>
      <c r="CR620" s="12"/>
    </row>
    <row r="621" spans="1:96" outlineLevel="1">
      <c r="A621" s="3" t="s">
        <v>590</v>
      </c>
      <c r="B621" s="52" t="s">
        <v>317</v>
      </c>
      <c r="C621" s="47"/>
      <c r="D621" s="47"/>
      <c r="E621" s="47"/>
      <c r="F621" s="47"/>
      <c r="G621" s="47"/>
      <c r="H621" s="47"/>
      <c r="I621" s="591">
        <v>3.058465</v>
      </c>
      <c r="J621" s="591">
        <v>2.918809</v>
      </c>
      <c r="K621" s="591">
        <v>24.498763</v>
      </c>
      <c r="L621" s="591">
        <v>66.851954000000006</v>
      </c>
      <c r="M621" s="591">
        <v>296.96409199999999</v>
      </c>
      <c r="N621" s="591">
        <v>306.42019199999999</v>
      </c>
      <c r="O621" s="591">
        <v>321.48342000000002</v>
      </c>
      <c r="P621" s="591">
        <v>356.65302200000002</v>
      </c>
      <c r="Q621" s="591">
        <v>668.20237099999997</v>
      </c>
      <c r="R621" s="591">
        <f>R538</f>
        <v>11007.915171000001</v>
      </c>
      <c r="S621" s="591">
        <f>S538</f>
        <v>13924.769931000001</v>
      </c>
      <c r="T621" s="47">
        <f t="shared" ref="T621:AD621" si="833">SUM(T622:T623)</f>
        <v>10424.522484347584</v>
      </c>
      <c r="U621" s="47">
        <f t="shared" ca="1" si="833"/>
        <v>10078.969123739029</v>
      </c>
      <c r="V621" s="47">
        <f t="shared" ca="1" si="833"/>
        <v>9749.1590789643196</v>
      </c>
      <c r="W621" s="47">
        <f t="shared" ca="1" si="833"/>
        <v>9446.6658046338271</v>
      </c>
      <c r="X621" s="47">
        <f t="shared" ca="1" si="833"/>
        <v>9312.8577598460506</v>
      </c>
      <c r="Y621" s="47">
        <f t="shared" ca="1" si="833"/>
        <v>9190.7700573040674</v>
      </c>
      <c r="Z621" s="47">
        <f t="shared" ca="1" si="833"/>
        <v>9079.813105026833</v>
      </c>
      <c r="AA621" s="47">
        <f t="shared" ca="1" si="833"/>
        <v>8980.792392465095</v>
      </c>
      <c r="AB621" s="47">
        <f t="shared" ca="1" si="833"/>
        <v>8894.5165725622646</v>
      </c>
      <c r="AC621" s="47">
        <f t="shared" ca="1" si="833"/>
        <v>8821.6899240060065</v>
      </c>
      <c r="AD621" s="47">
        <f t="shared" ca="1" si="833"/>
        <v>8762.4559628510178</v>
      </c>
      <c r="AE621" s="47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  <c r="AZ621" s="66"/>
      <c r="BA621" s="66"/>
      <c r="BB621" s="66"/>
      <c r="BC621" s="66"/>
      <c r="BD621" s="66">
        <v>319.63017500000001</v>
      </c>
      <c r="BE621" s="66">
        <v>318.00701199999997</v>
      </c>
      <c r="BF621" s="66">
        <v>358.21982100000002</v>
      </c>
      <c r="BG621" s="66">
        <v>356.65302200000002</v>
      </c>
      <c r="BH621" s="66">
        <v>426.64095700000001</v>
      </c>
      <c r="BI621" s="66">
        <v>426.17026900000002</v>
      </c>
      <c r="BJ621" s="66">
        <v>425.30783100000002</v>
      </c>
      <c r="BK621" s="66">
        <v>668.20237099999997</v>
      </c>
      <c r="BL621" s="67">
        <v>998.37338599999998</v>
      </c>
      <c r="BM621" s="67">
        <v>1063.545732</v>
      </c>
      <c r="BN621" s="66">
        <v>1042.417811</v>
      </c>
      <c r="BO621" s="66">
        <v>1042.417811</v>
      </c>
      <c r="BP621" s="66"/>
      <c r="BQ621" s="66"/>
      <c r="BR621" s="66"/>
      <c r="BS621" s="66"/>
      <c r="BT621" s="66"/>
      <c r="BU621" s="671"/>
      <c r="BV621" s="68"/>
      <c r="BW621" s="68"/>
      <c r="BX621" s="68"/>
      <c r="BY621" s="68"/>
      <c r="BZ621" s="68"/>
      <c r="CA621" s="68"/>
      <c r="CB621" s="68"/>
      <c r="CC621" s="68"/>
      <c r="CD621" s="68"/>
      <c r="CE621" s="68"/>
      <c r="CF621" s="47"/>
      <c r="CH621" s="5" t="s">
        <v>562</v>
      </c>
      <c r="CI621" s="12"/>
      <c r="CP621" s="12"/>
      <c r="CQ621" s="12"/>
      <c r="CR621" s="12"/>
    </row>
    <row r="622" spans="1:96" outlineLevel="1">
      <c r="A622" s="3" t="s">
        <v>591</v>
      </c>
      <c r="B622" s="56" t="s">
        <v>315</v>
      </c>
      <c r="C622" s="5"/>
      <c r="D622" s="5"/>
      <c r="E622" s="5"/>
      <c r="F622" s="5"/>
      <c r="G622" s="5"/>
      <c r="H622" s="5"/>
      <c r="I622" s="70">
        <v>3.5123479999999998</v>
      </c>
      <c r="J622" s="9">
        <v>3.5123479999999998</v>
      </c>
      <c r="K622" s="9">
        <v>25.231957999999999</v>
      </c>
      <c r="L622" s="9">
        <v>73.132570999999999</v>
      </c>
      <c r="M622" s="9">
        <v>310.39897100000002</v>
      </c>
      <c r="N622" s="9">
        <v>328.30102099999999</v>
      </c>
      <c r="O622" s="9">
        <v>351.13102099999998</v>
      </c>
      <c r="P622" s="9">
        <v>393.66398700000002</v>
      </c>
      <c r="Q622" s="9">
        <v>709.413861</v>
      </c>
      <c r="R622" s="60">
        <v>11107.215032</v>
      </c>
      <c r="S622" s="58">
        <f t="shared" ref="S622:AD622" si="834">R622-S624</f>
        <v>11130.128054997491</v>
      </c>
      <c r="T622" s="58">
        <f t="shared" si="834"/>
        <v>11161.365248347583</v>
      </c>
      <c r="U622" s="58">
        <f t="shared" ca="1" si="834"/>
        <v>11198.513309739028</v>
      </c>
      <c r="V622" s="58">
        <f t="shared" ca="1" si="834"/>
        <v>11245.20152096432</v>
      </c>
      <c r="W622" s="58">
        <f t="shared" ca="1" si="834"/>
        <v>11302.258003633828</v>
      </c>
      <c r="X622" s="58">
        <f t="shared" ca="1" si="834"/>
        <v>11370.955852846051</v>
      </c>
      <c r="Y622" s="58">
        <f t="shared" ca="1" si="834"/>
        <v>11452.947868080262</v>
      </c>
      <c r="Z622" s="58">
        <f t="shared" ca="1" si="834"/>
        <v>11547.870827017157</v>
      </c>
      <c r="AA622" s="58">
        <f t="shared" ca="1" si="834"/>
        <v>11656.788135155681</v>
      </c>
      <c r="AB622" s="58">
        <f t="shared" ca="1" si="834"/>
        <v>11780.785845874685</v>
      </c>
      <c r="AC622" s="58">
        <f t="shared" ca="1" si="834"/>
        <v>11920.862593378002</v>
      </c>
      <c r="AD622" s="58">
        <f t="shared" ca="1" si="834"/>
        <v>12077.459122053029</v>
      </c>
      <c r="AE622" s="58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9"/>
      <c r="BA622" s="9"/>
      <c r="BB622" s="9"/>
      <c r="BC622" s="9"/>
      <c r="BD622" s="5"/>
      <c r="BE622" s="5"/>
      <c r="BF622" s="5"/>
      <c r="BG622" s="5"/>
      <c r="BH622" s="9"/>
      <c r="BI622" s="9"/>
      <c r="BJ622" s="9"/>
      <c r="BK622" s="9"/>
      <c r="BL622" s="5"/>
      <c r="BM622" s="5"/>
      <c r="BN622" s="5"/>
      <c r="BO622" s="5"/>
      <c r="BP622" s="69"/>
      <c r="BQ622" s="69"/>
      <c r="BR622" s="69"/>
      <c r="BS622" s="69"/>
      <c r="BT622" s="69"/>
      <c r="BU622" s="69"/>
      <c r="BV622" s="69"/>
      <c r="BW622" s="69"/>
      <c r="BX622" s="69"/>
      <c r="BY622" s="69"/>
      <c r="BZ622" s="69"/>
      <c r="CA622" s="69"/>
      <c r="CB622" s="69"/>
      <c r="CC622" s="69"/>
      <c r="CD622" s="69"/>
      <c r="CE622" s="69"/>
      <c r="CF622" s="58"/>
      <c r="CH622" s="5" t="s">
        <v>562</v>
      </c>
      <c r="CI622" s="12"/>
      <c r="CP622" s="12"/>
      <c r="CQ622" s="12"/>
      <c r="CR622" s="12"/>
    </row>
    <row r="623" spans="1:96" outlineLevel="1">
      <c r="A623" s="51"/>
      <c r="B623" s="56" t="s">
        <v>316</v>
      </c>
      <c r="C623" s="5"/>
      <c r="D623" s="5"/>
      <c r="E623" s="5"/>
      <c r="F623" s="5"/>
      <c r="G623" s="5"/>
      <c r="H623" s="5"/>
      <c r="I623" s="72">
        <f t="shared" ref="I623:R623" si="835">I621-I622</f>
        <v>-0.45388299999999981</v>
      </c>
      <c r="J623" s="5">
        <f t="shared" si="835"/>
        <v>-0.59353899999999982</v>
      </c>
      <c r="K623" s="5">
        <f t="shared" si="835"/>
        <v>-0.73319499999999849</v>
      </c>
      <c r="L623" s="5">
        <f t="shared" si="835"/>
        <v>-6.2806169999999923</v>
      </c>
      <c r="M623" s="5">
        <f t="shared" si="835"/>
        <v>-13.434879000000024</v>
      </c>
      <c r="N623" s="5">
        <f t="shared" si="835"/>
        <v>-21.880829000000006</v>
      </c>
      <c r="O623" s="5">
        <f t="shared" si="835"/>
        <v>-29.647600999999952</v>
      </c>
      <c r="P623" s="5">
        <f t="shared" si="835"/>
        <v>-37.010964999999999</v>
      </c>
      <c r="Q623" s="5">
        <f t="shared" si="835"/>
        <v>-41.211490000000026</v>
      </c>
      <c r="R623" s="5">
        <f t="shared" si="835"/>
        <v>-99.29986099999951</v>
      </c>
      <c r="S623" s="58">
        <f t="shared" ref="S623:AD623" si="836">R623-S625</f>
        <v>-353.83650799999953</v>
      </c>
      <c r="T623" s="58">
        <f t="shared" si="836"/>
        <v>-736.84276399999953</v>
      </c>
      <c r="U623" s="58">
        <f t="shared" si="836"/>
        <v>-1119.5441859999996</v>
      </c>
      <c r="V623" s="58">
        <f t="shared" si="836"/>
        <v>-1496.0424419999997</v>
      </c>
      <c r="W623" s="58">
        <f t="shared" si="836"/>
        <v>-1855.5921989999997</v>
      </c>
      <c r="X623" s="58">
        <f t="shared" si="836"/>
        <v>-2058.0980929999996</v>
      </c>
      <c r="Y623" s="58">
        <f t="shared" ca="1" si="836"/>
        <v>-2262.1778107761943</v>
      </c>
      <c r="Z623" s="58">
        <f t="shared" ca="1" si="836"/>
        <v>-2468.0577219903248</v>
      </c>
      <c r="AA623" s="58">
        <f t="shared" ca="1" si="836"/>
        <v>-2675.9957426905853</v>
      </c>
      <c r="AB623" s="58">
        <f t="shared" ca="1" si="836"/>
        <v>-2886.2692733124209</v>
      </c>
      <c r="AC623" s="58">
        <f t="shared" ca="1" si="836"/>
        <v>-3099.1726693719957</v>
      </c>
      <c r="AD623" s="58">
        <f t="shared" ca="1" si="836"/>
        <v>-3315.0031592020114</v>
      </c>
      <c r="AE623" s="58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>
        <f>BD621-BD622</f>
        <v>319.63017500000001</v>
      </c>
      <c r="BE623" s="5">
        <f>BE621-BE622</f>
        <v>318.00701199999997</v>
      </c>
      <c r="BF623" s="5">
        <f>BF621-BF622</f>
        <v>358.21982100000002</v>
      </c>
      <c r="BG623" s="5">
        <f>BG621-BG622</f>
        <v>356.65302200000002</v>
      </c>
      <c r="BH623" s="5"/>
      <c r="BI623" s="5"/>
      <c r="BJ623" s="5"/>
      <c r="BK623" s="5"/>
      <c r="BL623" s="5"/>
      <c r="BM623" s="5"/>
      <c r="BN623" s="5"/>
      <c r="BO623" s="5"/>
      <c r="BP623" s="71"/>
      <c r="BQ623" s="71"/>
      <c r="BR623" s="71"/>
      <c r="BS623" s="71"/>
      <c r="BT623" s="71"/>
      <c r="BU623" s="71"/>
      <c r="BV623" s="71"/>
      <c r="BW623" s="71"/>
      <c r="BX623" s="71"/>
      <c r="BY623" s="71"/>
      <c r="BZ623" s="71"/>
      <c r="CA623" s="71"/>
      <c r="CB623" s="71"/>
      <c r="CC623" s="71"/>
      <c r="CD623" s="71"/>
      <c r="CE623" s="71"/>
      <c r="CF623" s="58"/>
      <c r="CH623" s="5" t="s">
        <v>562</v>
      </c>
      <c r="CI623" s="12"/>
      <c r="CP623" s="12"/>
      <c r="CQ623" s="12"/>
      <c r="CR623" s="12"/>
    </row>
    <row r="624" spans="1:96" outlineLevel="1">
      <c r="A624" s="3" t="s">
        <v>320</v>
      </c>
      <c r="B624" s="6" t="s">
        <v>223</v>
      </c>
      <c r="C624" s="5"/>
      <c r="D624" s="5"/>
      <c r="E624" s="5"/>
      <c r="F624" s="5"/>
      <c r="G624" s="5"/>
      <c r="H624" s="5"/>
      <c r="I624" s="70">
        <v>-2.3950710000000002</v>
      </c>
      <c r="J624" s="70">
        <v>0</v>
      </c>
      <c r="K624" s="70">
        <v>-1</v>
      </c>
      <c r="L624" s="70">
        <v>-2.2000000000000002</v>
      </c>
      <c r="M624" s="70">
        <v>-3.5832000000000002</v>
      </c>
      <c r="N624" s="70">
        <v>-3.2338499999999999</v>
      </c>
      <c r="O624" s="70">
        <v>0</v>
      </c>
      <c r="P624" s="70">
        <v>0</v>
      </c>
      <c r="Q624" s="70">
        <v>-9</v>
      </c>
      <c r="R624" s="467">
        <v>-13.312545182693118</v>
      </c>
      <c r="S624" s="467">
        <v>-22.913022997490597</v>
      </c>
      <c r="T624" s="58">
        <f>-T626*Model!T305</f>
        <v>-31.237193350093193</v>
      </c>
      <c r="U624" s="58">
        <f ca="1">-U626*Model!U305</f>
        <v>-37.148061391445417</v>
      </c>
      <c r="V624" s="58">
        <f ca="1">-V626*Model!V305</f>
        <v>-46.68821122529134</v>
      </c>
      <c r="W624" s="58">
        <f ca="1">-W626*Model!W305</f>
        <v>-57.056482669507815</v>
      </c>
      <c r="X624" s="58">
        <f ca="1">-X626*Model!X305</f>
        <v>-68.697849212223446</v>
      </c>
      <c r="Y624" s="58">
        <f ca="1">-Y626*Model!Y305</f>
        <v>-81.992015234211323</v>
      </c>
      <c r="Z624" s="58">
        <f ca="1">-Z626*Model!Z305</f>
        <v>-94.922958936895796</v>
      </c>
      <c r="AA624" s="58">
        <f ca="1">-AA626*Model!AA305</f>
        <v>-108.91730813852365</v>
      </c>
      <c r="AB624" s="58">
        <f ca="1">-AB626*Model!AB305</f>
        <v>-123.99771071900463</v>
      </c>
      <c r="AC624" s="58">
        <f ca="1">-AC626*Model!AC305</f>
        <v>-140.07674750331708</v>
      </c>
      <c r="AD624" s="58">
        <f ca="1">-AD626*Model!AD305</f>
        <v>-156.59652867502683</v>
      </c>
      <c r="AE624" s="58"/>
      <c r="AF624" s="70"/>
      <c r="AG624" s="70"/>
      <c r="AH624" s="70"/>
      <c r="AI624" s="70"/>
      <c r="AJ624" s="70"/>
      <c r="AK624" s="70"/>
      <c r="AL624" s="70"/>
      <c r="AM624" s="70"/>
      <c r="AN624" s="70"/>
      <c r="AO624" s="70"/>
      <c r="AP624" s="70"/>
      <c r="AQ624" s="70"/>
      <c r="AR624" s="70"/>
      <c r="AS624" s="70"/>
      <c r="AT624" s="70"/>
      <c r="AU624" s="70"/>
      <c r="AV624" s="70"/>
      <c r="AW624" s="70"/>
      <c r="AX624" s="70"/>
      <c r="AY624" s="70"/>
      <c r="AZ624" s="70"/>
      <c r="BA624" s="70"/>
      <c r="BB624" s="70"/>
      <c r="BC624" s="70"/>
      <c r="BD624" s="70"/>
      <c r="BE624" s="70"/>
      <c r="BF624" s="70"/>
      <c r="BG624" s="70"/>
      <c r="BH624" s="70"/>
      <c r="BI624" s="70"/>
      <c r="BJ624" s="70"/>
      <c r="BK624" s="70"/>
      <c r="BL624" s="5"/>
      <c r="BM624" s="5"/>
      <c r="BN624" s="5"/>
      <c r="BO624" s="5"/>
      <c r="BP624" s="55"/>
      <c r="BQ624" s="55"/>
      <c r="BR624" s="55"/>
      <c r="BS624" s="55"/>
      <c r="BT624" s="55"/>
      <c r="BU624" s="55"/>
      <c r="BV624" s="55"/>
      <c r="BW624" s="55"/>
      <c r="BX624" s="55"/>
      <c r="BY624" s="55"/>
      <c r="BZ624" s="55"/>
      <c r="CA624" s="55"/>
      <c r="CB624" s="55"/>
      <c r="CC624" s="55"/>
      <c r="CD624" s="55"/>
      <c r="CE624" s="55"/>
      <c r="CF624" s="58"/>
      <c r="CH624" s="5" t="s">
        <v>562</v>
      </c>
      <c r="CI624" s="12"/>
      <c r="CP624" s="12"/>
      <c r="CQ624" s="12"/>
      <c r="CR624" s="12"/>
    </row>
    <row r="625" spans="1:96" outlineLevel="1">
      <c r="A625" s="51" t="s">
        <v>324</v>
      </c>
      <c r="B625" s="56" t="s">
        <v>321</v>
      </c>
      <c r="C625" s="5"/>
      <c r="D625" s="5"/>
      <c r="E625" s="5"/>
      <c r="F625" s="5"/>
      <c r="G625" s="5"/>
      <c r="H625" s="5"/>
      <c r="I625" s="9">
        <v>0.139656</v>
      </c>
      <c r="J625" s="9">
        <v>0.139656</v>
      </c>
      <c r="K625" s="9">
        <v>0.139656</v>
      </c>
      <c r="L625" s="9">
        <v>5.5474220000000001</v>
      </c>
      <c r="M625" s="9">
        <v>7.1542620000000001</v>
      </c>
      <c r="N625" s="9">
        <v>8.4459499999999998</v>
      </c>
      <c r="O625" s="9">
        <v>7.7367670000000004</v>
      </c>
      <c r="P625" s="9">
        <v>7.736364</v>
      </c>
      <c r="Q625" s="9">
        <v>5.4261020000000002</v>
      </c>
      <c r="R625" s="499">
        <f>Amort_Total-Amort_Land</f>
        <v>57.339731999999998</v>
      </c>
      <c r="S625" s="499">
        <f>Amort_Total-Amort_Land</f>
        <v>254.53664699999999</v>
      </c>
      <c r="T625" s="554">
        <v>383.00625600000001</v>
      </c>
      <c r="U625" s="554">
        <v>382.70142199999998</v>
      </c>
      <c r="V625" s="554">
        <v>376.49825600000003</v>
      </c>
      <c r="W625" s="554">
        <v>359.549757</v>
      </c>
      <c r="X625" s="554">
        <v>202.50589400000001</v>
      </c>
      <c r="Y625" s="73">
        <f t="shared" ref="Y625:AD625" ca="1" si="837">Y627/100*(Y622-Y624/2)</f>
        <v>204.07971777619454</v>
      </c>
      <c r="Z625" s="73">
        <f t="shared" ca="1" si="837"/>
        <v>205.87991121413049</v>
      </c>
      <c r="AA625" s="73">
        <f t="shared" ca="1" si="837"/>
        <v>207.93802070026041</v>
      </c>
      <c r="AB625" s="73">
        <f t="shared" ca="1" si="837"/>
        <v>210.27353062183536</v>
      </c>
      <c r="AC625" s="73">
        <f t="shared" ca="1" si="837"/>
        <v>212.90339605957465</v>
      </c>
      <c r="AD625" s="73">
        <f t="shared" ca="1" si="837"/>
        <v>215.83048983001586</v>
      </c>
      <c r="AE625" s="73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9"/>
      <c r="AS625" s="9"/>
      <c r="AT625" s="9"/>
      <c r="AU625" s="9"/>
      <c r="AV625" s="5"/>
      <c r="AW625" s="5"/>
      <c r="AX625" s="5"/>
      <c r="AY625" s="5"/>
      <c r="AZ625" s="5"/>
      <c r="BA625" s="5"/>
      <c r="BB625" s="5"/>
      <c r="BC625" s="5"/>
      <c r="BD625" s="9"/>
      <c r="BE625" s="9"/>
      <c r="BF625" s="9"/>
      <c r="BG625" s="9"/>
      <c r="BH625" s="9"/>
      <c r="BI625" s="9"/>
      <c r="BJ625" s="9"/>
      <c r="BK625" s="9"/>
      <c r="BL625" s="5"/>
      <c r="BM625" s="5"/>
      <c r="BN625" s="5"/>
      <c r="BO625" s="5"/>
      <c r="BP625" s="37"/>
      <c r="BQ625" s="37"/>
      <c r="BR625" s="37"/>
      <c r="BS625" s="37"/>
      <c r="BT625" s="37"/>
      <c r="BU625" s="37"/>
      <c r="BV625" s="37"/>
      <c r="BW625" s="37"/>
      <c r="BX625" s="37"/>
      <c r="BY625" s="37"/>
      <c r="BZ625" s="37"/>
      <c r="CA625" s="37"/>
      <c r="CB625" s="37"/>
      <c r="CC625" s="37"/>
      <c r="CD625" s="37"/>
      <c r="CE625" s="37"/>
      <c r="CF625" s="37"/>
      <c r="CH625" s="5" t="s">
        <v>562</v>
      </c>
      <c r="CI625" s="12"/>
      <c r="CP625" s="12"/>
      <c r="CQ625" s="12"/>
      <c r="CR625" s="12"/>
    </row>
    <row r="626" spans="1:96" outlineLevel="1">
      <c r="A626" s="51"/>
      <c r="B626" s="6" t="s">
        <v>744</v>
      </c>
      <c r="C626" s="74">
        <f>-C624/Model!C305</f>
        <v>0</v>
      </c>
      <c r="D626" s="74">
        <f>-D624/Model!D305</f>
        <v>0</v>
      </c>
      <c r="E626" s="74">
        <f>-E624/Model!E305</f>
        <v>0</v>
      </c>
      <c r="F626" s="74">
        <f>-F624/Model!F305</f>
        <v>0</v>
      </c>
      <c r="G626" s="74">
        <f>-G624/Model!G305</f>
        <v>0</v>
      </c>
      <c r="H626" s="74">
        <f>-H624/Model!H305</f>
        <v>0</v>
      </c>
      <c r="I626" s="74">
        <f>-I624/Model!I305</f>
        <v>2.8716960442315086E-3</v>
      </c>
      <c r="J626" s="74">
        <f>-J624/Model!J305</f>
        <v>0</v>
      </c>
      <c r="K626" s="74">
        <f>-K624/Model!K305</f>
        <v>6.2966011847218832E-4</v>
      </c>
      <c r="L626" s="74">
        <f>-L624/Model!L305</f>
        <v>1.0364833684210907E-3</v>
      </c>
      <c r="M626" s="74">
        <f>-M624/Model!M305</f>
        <v>1.1684171213488974E-3</v>
      </c>
      <c r="N626" s="375">
        <f>-N624/Model!N305</f>
        <v>8.6784380269940128E-4</v>
      </c>
      <c r="O626" s="375">
        <f>-O624/Model!O305</f>
        <v>0</v>
      </c>
      <c r="P626" s="375">
        <f>-P624/Model!P305</f>
        <v>0</v>
      </c>
      <c r="Q626" s="375">
        <f>-Q624/Model!Q305</f>
        <v>1.1579200868005921E-3</v>
      </c>
      <c r="R626" s="375">
        <f>-R624/Model!R305</f>
        <v>1.1579200868005921E-3</v>
      </c>
      <c r="S626" s="375">
        <f>-S624/Model!S305</f>
        <v>1.1579200868005921E-3</v>
      </c>
      <c r="T626" s="376">
        <f t="shared" ref="T626:AD626" si="838">(S626)</f>
        <v>1.1579200868005921E-3</v>
      </c>
      <c r="U626" s="376">
        <f t="shared" si="838"/>
        <v>1.1579200868005921E-3</v>
      </c>
      <c r="V626" s="376">
        <f t="shared" si="838"/>
        <v>1.1579200868005921E-3</v>
      </c>
      <c r="W626" s="376">
        <f t="shared" si="838"/>
        <v>1.1579200868005921E-3</v>
      </c>
      <c r="X626" s="376">
        <f t="shared" si="838"/>
        <v>1.1579200868005921E-3</v>
      </c>
      <c r="Y626" s="376">
        <f t="shared" si="838"/>
        <v>1.1579200868005921E-3</v>
      </c>
      <c r="Z626" s="376">
        <f t="shared" si="838"/>
        <v>1.1579200868005921E-3</v>
      </c>
      <c r="AA626" s="376">
        <f t="shared" si="838"/>
        <v>1.1579200868005921E-3</v>
      </c>
      <c r="AB626" s="376">
        <f t="shared" si="838"/>
        <v>1.1579200868005921E-3</v>
      </c>
      <c r="AC626" s="376">
        <f t="shared" si="838"/>
        <v>1.1579200868005921E-3</v>
      </c>
      <c r="AD626" s="376">
        <f t="shared" si="838"/>
        <v>1.1579200868005921E-3</v>
      </c>
      <c r="AE626" s="376"/>
      <c r="AF626" s="74"/>
      <c r="AG626" s="74"/>
      <c r="AH626" s="74"/>
      <c r="AI626" s="74"/>
      <c r="AJ626" s="74"/>
      <c r="AK626" s="74"/>
      <c r="AL626" s="74"/>
      <c r="AM626" s="74"/>
      <c r="AN626" s="74"/>
      <c r="AO626" s="74"/>
      <c r="AP626" s="74"/>
      <c r="AQ626" s="74"/>
      <c r="AR626" s="74"/>
      <c r="AS626" s="74"/>
      <c r="AT626" s="74"/>
      <c r="AU626" s="74"/>
      <c r="AV626" s="74"/>
      <c r="AW626" s="74"/>
      <c r="AX626" s="74"/>
      <c r="AY626" s="74"/>
      <c r="AZ626" s="74"/>
      <c r="BA626" s="74"/>
      <c r="BB626" s="74"/>
      <c r="BC626" s="74">
        <f>-BC624/Model!BG305</f>
        <v>0</v>
      </c>
      <c r="BD626" s="74">
        <f>-BD624/Model!BH305</f>
        <v>0</v>
      </c>
      <c r="BE626" s="74">
        <f>-BE624/Model!BI305</f>
        <v>0</v>
      </c>
      <c r="BF626" s="74">
        <f>-BF624/Model!BJ305</f>
        <v>0</v>
      </c>
      <c r="BG626" s="74">
        <f>-BG624/Model!BK305</f>
        <v>0</v>
      </c>
      <c r="BH626" s="74">
        <f>-BH624/Model!BL305</f>
        <v>0</v>
      </c>
      <c r="BI626" s="74">
        <f>-BI624/Model!BM305</f>
        <v>0</v>
      </c>
      <c r="BJ626" s="74">
        <f>-BJ624/Model!BN305</f>
        <v>0</v>
      </c>
      <c r="BK626" s="74">
        <f>-BK624/Model!BO305</f>
        <v>0</v>
      </c>
      <c r="BL626" s="74">
        <f>-BL624/Model!BP305</f>
        <v>0</v>
      </c>
      <c r="BM626" s="74">
        <f>-BM624/Model!BQ305</f>
        <v>0</v>
      </c>
      <c r="BN626" s="74">
        <f>-BN624/Model!BR305</f>
        <v>0</v>
      </c>
      <c r="BO626" s="74">
        <f>-BO624/Model!BS305</f>
        <v>0</v>
      </c>
      <c r="BP626" s="74">
        <f>-BP624/Model!BT305</f>
        <v>0</v>
      </c>
      <c r="BQ626" s="74">
        <f>-BQ624/Model!BU305</f>
        <v>0</v>
      </c>
      <c r="BR626" s="74">
        <f>-BR624/Model!BV305</f>
        <v>0</v>
      </c>
      <c r="BS626" s="74">
        <f>-BS624/Model!BW305</f>
        <v>0</v>
      </c>
      <c r="BT626" s="74">
        <f ca="1">-BT624/Model!BX305</f>
        <v>0</v>
      </c>
      <c r="BU626" s="74">
        <f ca="1">-BU624/Model!BY305</f>
        <v>0</v>
      </c>
      <c r="BV626" s="74"/>
      <c r="BW626" s="74"/>
      <c r="BX626" s="74"/>
      <c r="BY626" s="74"/>
      <c r="BZ626" s="74"/>
      <c r="CA626" s="74"/>
      <c r="CB626" s="74"/>
      <c r="CC626" s="74"/>
      <c r="CD626" s="74"/>
      <c r="CE626" s="74"/>
      <c r="CF626" s="74"/>
      <c r="CH626" s="5" t="s">
        <v>562</v>
      </c>
      <c r="CI626" s="12"/>
      <c r="CP626" s="12"/>
      <c r="CQ626" s="12"/>
      <c r="CR626" s="12"/>
    </row>
    <row r="627" spans="1:96" outlineLevel="1">
      <c r="A627" s="51"/>
      <c r="B627" s="56" t="s">
        <v>318</v>
      </c>
      <c r="C627" s="5"/>
      <c r="D627" s="5"/>
      <c r="E627" s="5"/>
      <c r="F627" s="5"/>
      <c r="G627" s="5"/>
      <c r="H627" s="5"/>
      <c r="I627" s="77">
        <f t="shared" ref="I627:X627" si="839">I625/(I622-I624/2)*100</f>
        <v>2.9651688836889489</v>
      </c>
      <c r="J627" s="77">
        <f t="shared" si="839"/>
        <v>3.9761435939718961</v>
      </c>
      <c r="K627" s="77">
        <f t="shared" si="839"/>
        <v>0.5427336699368156</v>
      </c>
      <c r="L627" s="77">
        <f t="shared" si="839"/>
        <v>7.4730295950547099</v>
      </c>
      <c r="M627" s="77">
        <f t="shared" si="839"/>
        <v>2.291632952617265</v>
      </c>
      <c r="N627" s="77">
        <f t="shared" si="839"/>
        <v>2.5600153318122318</v>
      </c>
      <c r="O627" s="77">
        <f t="shared" si="839"/>
        <v>2.2033846448445811</v>
      </c>
      <c r="P627" s="77">
        <f t="shared" si="839"/>
        <v>1.9652201510624845</v>
      </c>
      <c r="Q627" s="77">
        <f t="shared" si="839"/>
        <v>0.76004995790381502</v>
      </c>
      <c r="R627" s="77">
        <f t="shared" si="839"/>
        <v>0.51592942214754545</v>
      </c>
      <c r="S627" s="77">
        <f t="shared" si="839"/>
        <v>2.2845641522608462</v>
      </c>
      <c r="T627" s="77">
        <f t="shared" si="839"/>
        <v>3.4267407138694361</v>
      </c>
      <c r="U627" s="77">
        <f t="shared" ca="1" si="839"/>
        <v>3.4117717940954111</v>
      </c>
      <c r="V627" s="77">
        <f t="shared" ca="1" si="839"/>
        <v>3.3411432892637496</v>
      </c>
      <c r="W627" s="77">
        <f t="shared" ca="1" si="839"/>
        <v>3.1732110131338636</v>
      </c>
      <c r="X627" s="77">
        <f t="shared" ca="1" si="839"/>
        <v>1.7755412761993539</v>
      </c>
      <c r="Y627" s="466">
        <f t="shared" ref="Y627:AD627" ca="1" si="840">X627</f>
        <v>1.7755412761993539</v>
      </c>
      <c r="Z627" s="466">
        <f t="shared" ca="1" si="840"/>
        <v>1.7755412761993539</v>
      </c>
      <c r="AA627" s="466">
        <f t="shared" ca="1" si="840"/>
        <v>1.7755412761993539</v>
      </c>
      <c r="AB627" s="466">
        <f t="shared" ca="1" si="840"/>
        <v>1.7755412761993539</v>
      </c>
      <c r="AC627" s="466">
        <f t="shared" ca="1" si="840"/>
        <v>1.7755412761993539</v>
      </c>
      <c r="AD627" s="466">
        <f t="shared" ca="1" si="840"/>
        <v>1.7755412761993539</v>
      </c>
      <c r="AE627" s="466"/>
      <c r="AF627" s="77"/>
      <c r="AG627" s="77"/>
      <c r="AH627" s="77"/>
      <c r="AI627" s="77"/>
      <c r="AJ627" s="77"/>
      <c r="AK627" s="77"/>
      <c r="AL627" s="77"/>
      <c r="AM627" s="77"/>
      <c r="AN627" s="77"/>
      <c r="AO627" s="77"/>
      <c r="AP627" s="77"/>
      <c r="AQ627" s="77"/>
      <c r="AR627" s="77"/>
      <c r="AS627" s="77"/>
      <c r="AT627" s="77"/>
      <c r="AU627" s="77"/>
      <c r="AV627" s="77"/>
      <c r="AW627" s="77"/>
      <c r="AX627" s="77"/>
      <c r="AY627" s="77"/>
      <c r="AZ627" s="77"/>
      <c r="BA627" s="77"/>
      <c r="BB627" s="77"/>
      <c r="BC627" s="77"/>
      <c r="BD627" s="77"/>
      <c r="BE627" s="77"/>
      <c r="BF627" s="77"/>
      <c r="BG627" s="77"/>
      <c r="BH627" s="77"/>
      <c r="BI627" s="77"/>
      <c r="BJ627" s="77"/>
      <c r="BK627" s="77"/>
      <c r="BL627" s="5"/>
      <c r="BM627" s="5"/>
      <c r="BN627" s="5"/>
      <c r="BO627" s="5"/>
      <c r="BP627" s="37"/>
      <c r="BQ627" s="37"/>
      <c r="BR627" s="37"/>
      <c r="BS627" s="37"/>
      <c r="BT627" s="37"/>
      <c r="BU627" s="37"/>
      <c r="BV627" s="37"/>
      <c r="BW627" s="37"/>
      <c r="BX627" s="37"/>
      <c r="BY627" s="37"/>
      <c r="BZ627" s="37"/>
      <c r="CA627" s="37"/>
      <c r="CB627" s="37"/>
      <c r="CC627" s="37"/>
      <c r="CD627" s="37"/>
      <c r="CE627" s="37"/>
      <c r="CF627" s="78"/>
      <c r="CH627" s="5" t="s">
        <v>562</v>
      </c>
      <c r="CI627" s="12"/>
      <c r="CP627" s="12"/>
      <c r="CQ627" s="12"/>
      <c r="CR627" s="12"/>
    </row>
    <row r="628" spans="1:96" outlineLevel="1">
      <c r="A628" s="51"/>
      <c r="B628" s="56"/>
      <c r="C628" s="5"/>
      <c r="D628" s="5"/>
      <c r="E628" s="5"/>
      <c r="F628" s="5"/>
      <c r="G628" s="5"/>
      <c r="H628" s="5"/>
      <c r="I628" s="77"/>
      <c r="J628" s="77"/>
      <c r="K628" s="77"/>
      <c r="L628" s="77"/>
      <c r="M628" s="77"/>
      <c r="N628" s="77"/>
      <c r="O628" s="77"/>
      <c r="P628" s="77"/>
      <c r="Q628" s="77"/>
      <c r="R628" s="73"/>
      <c r="S628" s="73"/>
      <c r="T628" s="73"/>
      <c r="U628" s="73"/>
      <c r="V628" s="73"/>
      <c r="W628" s="76"/>
      <c r="X628" s="76"/>
      <c r="Y628" s="76"/>
      <c r="Z628" s="76"/>
      <c r="AA628" s="76"/>
      <c r="AB628" s="76"/>
      <c r="AC628" s="76"/>
      <c r="AD628" s="76"/>
      <c r="AE628" s="76"/>
      <c r="AF628" s="77"/>
      <c r="AG628" s="77"/>
      <c r="AH628" s="77"/>
      <c r="AI628" s="77"/>
      <c r="AJ628" s="77"/>
      <c r="AK628" s="77"/>
      <c r="AL628" s="77"/>
      <c r="AM628" s="77"/>
      <c r="AN628" s="77"/>
      <c r="AO628" s="77"/>
      <c r="AP628" s="77"/>
      <c r="AQ628" s="77"/>
      <c r="AR628" s="77"/>
      <c r="AS628" s="77"/>
      <c r="AT628" s="77"/>
      <c r="AU628" s="77"/>
      <c r="AV628" s="77"/>
      <c r="AW628" s="77"/>
      <c r="AX628" s="77"/>
      <c r="AY628" s="77"/>
      <c r="AZ628" s="77"/>
      <c r="BA628" s="77"/>
      <c r="BB628" s="77"/>
      <c r="BC628" s="77"/>
      <c r="BD628" s="77"/>
      <c r="BE628" s="77"/>
      <c r="BF628" s="77"/>
      <c r="BG628" s="77"/>
      <c r="BH628" s="77"/>
      <c r="BI628" s="77"/>
      <c r="BJ628" s="77"/>
      <c r="BK628" s="77"/>
      <c r="BL628" s="5"/>
      <c r="BM628" s="5"/>
      <c r="BN628" s="5"/>
      <c r="BO628" s="5"/>
      <c r="BP628" s="37"/>
      <c r="BQ628" s="37"/>
      <c r="BR628" s="37"/>
      <c r="BS628" s="37"/>
      <c r="BT628" s="37"/>
      <c r="BU628" s="37"/>
      <c r="BV628" s="37"/>
      <c r="BW628" s="37"/>
      <c r="BX628" s="37"/>
      <c r="BY628" s="37"/>
      <c r="BZ628" s="37"/>
      <c r="CA628" s="37"/>
      <c r="CB628" s="37"/>
      <c r="CC628" s="37"/>
      <c r="CD628" s="37"/>
      <c r="CE628" s="37"/>
      <c r="CF628" s="78"/>
      <c r="CH628" s="5" t="s">
        <v>562</v>
      </c>
      <c r="CI628" s="12"/>
      <c r="CP628" s="12"/>
      <c r="CQ628" s="12"/>
      <c r="CR628" s="12"/>
    </row>
    <row r="629" spans="1:96" outlineLevel="1">
      <c r="A629" s="51" t="s">
        <v>325</v>
      </c>
      <c r="B629" s="52" t="s">
        <v>183</v>
      </c>
      <c r="C629" s="47"/>
      <c r="D629" s="47"/>
      <c r="E629" s="47"/>
      <c r="F629" s="47"/>
      <c r="G629" s="47"/>
      <c r="H629" s="47"/>
      <c r="I629" s="40">
        <v>66.449207999999999</v>
      </c>
      <c r="J629" s="40">
        <v>65.083814000000004</v>
      </c>
      <c r="K629" s="40">
        <v>111.510231</v>
      </c>
      <c r="L629" s="40">
        <v>108.92201799999999</v>
      </c>
      <c r="M629" s="40">
        <v>106.333805</v>
      </c>
      <c r="N629" s="81">
        <v>113.460899</v>
      </c>
      <c r="O629" s="81">
        <v>110.659284</v>
      </c>
      <c r="P629" s="81">
        <v>107.476794</v>
      </c>
      <c r="Q629" s="81">
        <v>104.56886799999999</v>
      </c>
      <c r="R629" s="82">
        <f>R534</f>
        <v>102.328181</v>
      </c>
      <c r="S629" s="82">
        <f>S534</f>
        <v>99.544771999999995</v>
      </c>
      <c r="T629" s="82">
        <f>T534</f>
        <v>96.761364</v>
      </c>
      <c r="U629" s="83">
        <f t="shared" ref="T629:AD630" si="841">T629</f>
        <v>96.761364</v>
      </c>
      <c r="V629" s="83">
        <f t="shared" si="841"/>
        <v>96.761364</v>
      </c>
      <c r="W629" s="83">
        <f t="shared" si="841"/>
        <v>96.761364</v>
      </c>
      <c r="X629" s="83">
        <f t="shared" si="841"/>
        <v>96.761364</v>
      </c>
      <c r="Y629" s="83">
        <f t="shared" si="841"/>
        <v>96.761364</v>
      </c>
      <c r="Z629" s="83">
        <f t="shared" si="841"/>
        <v>96.761364</v>
      </c>
      <c r="AA629" s="83">
        <f t="shared" si="841"/>
        <v>96.761364</v>
      </c>
      <c r="AB629" s="83">
        <f t="shared" si="841"/>
        <v>96.761364</v>
      </c>
      <c r="AC629" s="83">
        <f t="shared" si="841"/>
        <v>96.761364</v>
      </c>
      <c r="AD629" s="83">
        <f t="shared" si="841"/>
        <v>96.761364</v>
      </c>
      <c r="AE629" s="83"/>
      <c r="AF629" s="40"/>
      <c r="AG629" s="40"/>
      <c r="AH629" s="40"/>
      <c r="AI629" s="40"/>
      <c r="AJ629" s="40"/>
      <c r="AK629" s="40"/>
      <c r="AL629" s="40"/>
      <c r="AM629" s="40"/>
      <c r="AN629" s="40"/>
      <c r="AO629" s="40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  <c r="BB629" s="40"/>
      <c r="BC629" s="40"/>
      <c r="BD629" s="40">
        <v>109.71623700000001</v>
      </c>
      <c r="BE629" s="40">
        <v>108.970499</v>
      </c>
      <c r="BF629" s="40">
        <v>108.224205</v>
      </c>
      <c r="BG629" s="40">
        <v>107.476794</v>
      </c>
      <c r="BH629" s="40">
        <v>106.699743</v>
      </c>
      <c r="BI629" s="40">
        <v>105.909243</v>
      </c>
      <c r="BJ629" s="40">
        <v>105.19751599999999</v>
      </c>
      <c r="BK629" s="40">
        <v>104.56886799999999</v>
      </c>
      <c r="BL629" s="79">
        <v>103.785228</v>
      </c>
      <c r="BM629" s="79">
        <v>103.71986699999999</v>
      </c>
      <c r="BN629" s="66">
        <v>103.024034</v>
      </c>
      <c r="BO629" s="66"/>
      <c r="BP629" s="66"/>
      <c r="BQ629" s="66"/>
      <c r="BR629" s="66"/>
      <c r="BS629" s="66"/>
      <c r="BT629" s="66"/>
      <c r="BU629" s="80"/>
      <c r="BV629" s="80"/>
      <c r="BW629" s="80"/>
      <c r="BX629" s="80"/>
      <c r="BY629" s="80"/>
      <c r="BZ629" s="80"/>
      <c r="CA629" s="80"/>
      <c r="CB629" s="80"/>
      <c r="CC629" s="80"/>
      <c r="CD629" s="80"/>
      <c r="CE629" s="80"/>
      <c r="CF629" s="80"/>
      <c r="CH629" s="5" t="s">
        <v>562</v>
      </c>
      <c r="CI629" s="12"/>
      <c r="CP629" s="12"/>
      <c r="CQ629" s="12"/>
      <c r="CR629" s="12"/>
    </row>
    <row r="630" spans="1:96" outlineLevel="1">
      <c r="A630" s="51" t="s">
        <v>326</v>
      </c>
      <c r="B630" s="56" t="s">
        <v>322</v>
      </c>
      <c r="C630" s="5"/>
      <c r="D630" s="5"/>
      <c r="E630" s="5"/>
      <c r="F630" s="5"/>
      <c r="G630" s="5"/>
      <c r="H630" s="5"/>
      <c r="I630" s="5">
        <f t="shared" ref="I630:Q630" si="842">Amort_Total-Amort_Int</f>
        <v>1.8205260000000001</v>
      </c>
      <c r="J630" s="5">
        <f t="shared" si="842"/>
        <v>1.365394</v>
      </c>
      <c r="K630" s="5">
        <f t="shared" si="842"/>
        <v>2.4863119999999999</v>
      </c>
      <c r="L630" s="5">
        <f t="shared" si="842"/>
        <v>2.5882130000000005</v>
      </c>
      <c r="M630" s="5">
        <f t="shared" si="842"/>
        <v>2.5882130000000005</v>
      </c>
      <c r="N630" s="5">
        <f t="shared" si="842"/>
        <v>2.6207060000000002</v>
      </c>
      <c r="O630" s="5">
        <f t="shared" si="842"/>
        <v>2.801615</v>
      </c>
      <c r="P630" s="5">
        <f t="shared" si="842"/>
        <v>2.8094900000000003</v>
      </c>
      <c r="Q630" s="5">
        <f t="shared" si="842"/>
        <v>2.9079259999999998</v>
      </c>
      <c r="R630" s="64">
        <f>Q630</f>
        <v>2.9079259999999998</v>
      </c>
      <c r="S630" s="64">
        <f>R630</f>
        <v>2.9079259999999998</v>
      </c>
      <c r="T630" s="64">
        <f t="shared" si="841"/>
        <v>2.9079259999999998</v>
      </c>
      <c r="U630" s="64">
        <f t="shared" si="841"/>
        <v>2.9079259999999998</v>
      </c>
      <c r="V630" s="64">
        <f t="shared" si="841"/>
        <v>2.9079259999999998</v>
      </c>
      <c r="W630" s="64">
        <f t="shared" si="841"/>
        <v>2.9079259999999998</v>
      </c>
      <c r="X630" s="64">
        <f t="shared" si="841"/>
        <v>2.9079259999999998</v>
      </c>
      <c r="Y630" s="64">
        <f t="shared" si="841"/>
        <v>2.9079259999999998</v>
      </c>
      <c r="Z630" s="64">
        <f t="shared" si="841"/>
        <v>2.9079259999999998</v>
      </c>
      <c r="AA630" s="64">
        <f t="shared" si="841"/>
        <v>2.9079259999999998</v>
      </c>
      <c r="AB630" s="64">
        <f t="shared" si="841"/>
        <v>2.9079259999999998</v>
      </c>
      <c r="AC630" s="64">
        <f t="shared" si="841"/>
        <v>2.9079259999999998</v>
      </c>
      <c r="AD630" s="64">
        <f t="shared" si="841"/>
        <v>2.9079259999999998</v>
      </c>
      <c r="AE630" s="72"/>
      <c r="AF630" s="5">
        <f t="shared" ref="AF630:BG630" si="843">Amort_Total-Amort_Int</f>
        <v>0</v>
      </c>
      <c r="AG630" s="5">
        <f t="shared" si="843"/>
        <v>0</v>
      </c>
      <c r="AH630" s="5">
        <f t="shared" si="843"/>
        <v>0</v>
      </c>
      <c r="AI630" s="5">
        <f t="shared" si="843"/>
        <v>0</v>
      </c>
      <c r="AJ630" s="5">
        <f t="shared" si="843"/>
        <v>0</v>
      </c>
      <c r="AK630" s="5">
        <f t="shared" si="843"/>
        <v>0</v>
      </c>
      <c r="AL630" s="5">
        <f t="shared" si="843"/>
        <v>0</v>
      </c>
      <c r="AM630" s="5">
        <f t="shared" si="843"/>
        <v>0</v>
      </c>
      <c r="AN630" s="5">
        <f t="shared" si="843"/>
        <v>0</v>
      </c>
      <c r="AO630" s="5">
        <f t="shared" si="843"/>
        <v>0</v>
      </c>
      <c r="AP630" s="5">
        <f t="shared" si="843"/>
        <v>0</v>
      </c>
      <c r="AQ630" s="5">
        <f t="shared" si="843"/>
        <v>0</v>
      </c>
      <c r="AR630" s="5">
        <f t="shared" si="843"/>
        <v>0</v>
      </c>
      <c r="AS630" s="5">
        <f t="shared" si="843"/>
        <v>0</v>
      </c>
      <c r="AT630" s="5">
        <f t="shared" si="843"/>
        <v>0</v>
      </c>
      <c r="AU630" s="5">
        <f t="shared" si="843"/>
        <v>0</v>
      </c>
      <c r="AV630" s="5">
        <f t="shared" si="843"/>
        <v>0</v>
      </c>
      <c r="AW630" s="5">
        <f t="shared" si="843"/>
        <v>0</v>
      </c>
      <c r="AX630" s="5">
        <f t="shared" si="843"/>
        <v>0</v>
      </c>
      <c r="AY630" s="5">
        <f t="shared" si="843"/>
        <v>0</v>
      </c>
      <c r="AZ630" s="5">
        <f t="shared" si="843"/>
        <v>0</v>
      </c>
      <c r="BA630" s="5">
        <f t="shared" si="843"/>
        <v>0</v>
      </c>
      <c r="BB630" s="5">
        <f t="shared" si="843"/>
        <v>0</v>
      </c>
      <c r="BC630" s="5">
        <f t="shared" si="843"/>
        <v>0</v>
      </c>
      <c r="BD630" s="5">
        <f t="shared" si="843"/>
        <v>0</v>
      </c>
      <c r="BE630" s="5">
        <f t="shared" si="843"/>
        <v>0</v>
      </c>
      <c r="BF630" s="5">
        <f t="shared" si="843"/>
        <v>0</v>
      </c>
      <c r="BG630" s="5">
        <f t="shared" si="843"/>
        <v>0</v>
      </c>
      <c r="BH630" s="5"/>
      <c r="BI630" s="5"/>
      <c r="BJ630" s="5"/>
      <c r="BK630" s="5"/>
      <c r="BL630" s="5"/>
      <c r="BM630" s="5"/>
      <c r="BN630" s="5"/>
      <c r="BO630" s="5"/>
      <c r="BP630" s="37"/>
      <c r="BQ630" s="37"/>
      <c r="BR630" s="37"/>
      <c r="BS630" s="37"/>
      <c r="BT630" s="37"/>
      <c r="BU630" s="37"/>
      <c r="BV630" s="37"/>
      <c r="BW630" s="37"/>
      <c r="BX630" s="37"/>
      <c r="BY630" s="37"/>
      <c r="BZ630" s="37"/>
      <c r="CA630" s="37"/>
      <c r="CB630" s="37"/>
      <c r="CC630" s="37"/>
      <c r="CD630" s="37"/>
      <c r="CE630" s="37"/>
      <c r="CF630" s="37"/>
      <c r="CH630" s="5" t="s">
        <v>562</v>
      </c>
      <c r="CI630" s="12"/>
      <c r="CP630" s="12"/>
      <c r="CQ630" s="12"/>
      <c r="CR630" s="12"/>
    </row>
    <row r="631" spans="1:96" outlineLevel="1">
      <c r="A631" s="51" t="s">
        <v>323</v>
      </c>
      <c r="B631" s="56" t="s">
        <v>327</v>
      </c>
      <c r="C631" s="5"/>
      <c r="D631" s="5"/>
      <c r="E631" s="5"/>
      <c r="F631" s="5"/>
      <c r="G631" s="5"/>
      <c r="H631" s="5"/>
      <c r="I631" s="5">
        <f t="shared" ref="I631:Q631" si="844">Amort_Total</f>
        <v>1.9601820000000001</v>
      </c>
      <c r="J631" s="5">
        <f t="shared" si="844"/>
        <v>1.50505</v>
      </c>
      <c r="K631" s="5">
        <f t="shared" si="844"/>
        <v>2.6259679999999999</v>
      </c>
      <c r="L631" s="5">
        <f t="shared" si="844"/>
        <v>8.1356350000000006</v>
      </c>
      <c r="M631" s="5">
        <f t="shared" si="844"/>
        <v>9.7424750000000007</v>
      </c>
      <c r="N631" s="5">
        <f t="shared" si="844"/>
        <v>11.066656</v>
      </c>
      <c r="O631" s="5">
        <f t="shared" si="844"/>
        <v>10.538382</v>
      </c>
      <c r="P631" s="5">
        <f t="shared" si="844"/>
        <v>10.545854</v>
      </c>
      <c r="Q631" s="5">
        <f t="shared" si="844"/>
        <v>8.334028</v>
      </c>
      <c r="R631" s="5">
        <f t="shared" ref="R631:AD631" si="845">Amort_Int+Amort_Land</f>
        <v>60.247658000000001</v>
      </c>
      <c r="S631" s="5">
        <f t="shared" si="845"/>
        <v>257.44457299999999</v>
      </c>
      <c r="T631" s="5">
        <f t="shared" si="845"/>
        <v>385.91418199999998</v>
      </c>
      <c r="U631" s="5">
        <f t="shared" si="845"/>
        <v>385.60934799999995</v>
      </c>
      <c r="V631" s="5">
        <f t="shared" si="845"/>
        <v>379.406182</v>
      </c>
      <c r="W631" s="5">
        <f t="shared" si="845"/>
        <v>362.45768299999997</v>
      </c>
      <c r="X631" s="5">
        <f t="shared" si="845"/>
        <v>205.41382000000002</v>
      </c>
      <c r="Y631" s="5">
        <f t="shared" ca="1" si="845"/>
        <v>206.98764377619455</v>
      </c>
      <c r="Z631" s="5">
        <f t="shared" ca="1" si="845"/>
        <v>208.78783721413049</v>
      </c>
      <c r="AA631" s="5">
        <f t="shared" ca="1" si="845"/>
        <v>210.84594670026041</v>
      </c>
      <c r="AB631" s="5">
        <f t="shared" ca="1" si="845"/>
        <v>213.18145662183537</v>
      </c>
      <c r="AC631" s="5">
        <f t="shared" ca="1" si="845"/>
        <v>215.81132205957465</v>
      </c>
      <c r="AD631" s="5">
        <f t="shared" ca="1" si="845"/>
        <v>218.73841583001587</v>
      </c>
      <c r="AE631" s="5"/>
      <c r="AF631" s="5">
        <f t="shared" ref="AF631:BC631" si="846">Amort_Total</f>
        <v>0</v>
      </c>
      <c r="AG631" s="5">
        <f t="shared" si="846"/>
        <v>0</v>
      </c>
      <c r="AH631" s="5">
        <f t="shared" si="846"/>
        <v>0</v>
      </c>
      <c r="AI631" s="5">
        <f t="shared" si="846"/>
        <v>0</v>
      </c>
      <c r="AJ631" s="5">
        <f t="shared" si="846"/>
        <v>0</v>
      </c>
      <c r="AK631" s="5">
        <f t="shared" si="846"/>
        <v>0</v>
      </c>
      <c r="AL631" s="5">
        <f t="shared" si="846"/>
        <v>0</v>
      </c>
      <c r="AM631" s="5">
        <f t="shared" si="846"/>
        <v>0</v>
      </c>
      <c r="AN631" s="5">
        <f t="shared" si="846"/>
        <v>0</v>
      </c>
      <c r="AO631" s="5">
        <f t="shared" si="846"/>
        <v>0</v>
      </c>
      <c r="AP631" s="5">
        <f t="shared" si="846"/>
        <v>0</v>
      </c>
      <c r="AQ631" s="5">
        <f t="shared" si="846"/>
        <v>0</v>
      </c>
      <c r="AR631" s="5">
        <f t="shared" si="846"/>
        <v>0</v>
      </c>
      <c r="AS631" s="5">
        <f t="shared" si="846"/>
        <v>0</v>
      </c>
      <c r="AT631" s="5">
        <f t="shared" si="846"/>
        <v>0</v>
      </c>
      <c r="AU631" s="5">
        <f t="shared" si="846"/>
        <v>0</v>
      </c>
      <c r="AV631" s="5">
        <f t="shared" si="846"/>
        <v>0</v>
      </c>
      <c r="AW631" s="5">
        <f t="shared" si="846"/>
        <v>0</v>
      </c>
      <c r="AX631" s="5">
        <f t="shared" si="846"/>
        <v>0</v>
      </c>
      <c r="AY631" s="5">
        <f t="shared" si="846"/>
        <v>0</v>
      </c>
      <c r="AZ631" s="5">
        <f t="shared" si="846"/>
        <v>0</v>
      </c>
      <c r="BA631" s="5">
        <f t="shared" si="846"/>
        <v>0</v>
      </c>
      <c r="BB631" s="5">
        <f t="shared" si="846"/>
        <v>0</v>
      </c>
      <c r="BC631" s="5">
        <f t="shared" si="846"/>
        <v>0</v>
      </c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 t="s">
        <v>562</v>
      </c>
      <c r="CI631" s="5"/>
      <c r="CP631" s="5"/>
      <c r="CQ631" s="5"/>
      <c r="CR631" s="5"/>
    </row>
    <row r="632" spans="1:96" outlineLevel="1">
      <c r="A632" s="51"/>
      <c r="B632" s="56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 t="s">
        <v>562</v>
      </c>
      <c r="CI632" s="5"/>
      <c r="CP632" s="5"/>
      <c r="CQ632" s="5"/>
      <c r="CR632" s="5"/>
    </row>
    <row r="633" spans="1:96" outlineLevel="1">
      <c r="A633" s="51" t="s">
        <v>335</v>
      </c>
      <c r="B633" s="52" t="s">
        <v>186</v>
      </c>
      <c r="C633" s="20">
        <f t="shared" ref="C633:R633" si="847">C537</f>
        <v>0</v>
      </c>
      <c r="D633" s="20">
        <f t="shared" si="847"/>
        <v>0</v>
      </c>
      <c r="E633" s="20">
        <f t="shared" si="847"/>
        <v>0</v>
      </c>
      <c r="F633" s="20">
        <f t="shared" si="847"/>
        <v>0</v>
      </c>
      <c r="G633" s="20">
        <f t="shared" si="847"/>
        <v>0</v>
      </c>
      <c r="H633" s="20">
        <f t="shared" si="847"/>
        <v>9.5158489999999993</v>
      </c>
      <c r="I633" s="20">
        <f t="shared" si="847"/>
        <v>14.595848999999999</v>
      </c>
      <c r="J633" s="20">
        <f t="shared" si="847"/>
        <v>14.595848999999999</v>
      </c>
      <c r="K633" s="20">
        <f t="shared" si="847"/>
        <v>63.689736000000003</v>
      </c>
      <c r="L633" s="20">
        <f t="shared" si="847"/>
        <v>322.93683800000002</v>
      </c>
      <c r="M633" s="20">
        <f t="shared" si="847"/>
        <v>758.23144100000002</v>
      </c>
      <c r="N633" s="588">
        <f t="shared" si="847"/>
        <v>798.601767</v>
      </c>
      <c r="O633" s="588">
        <f t="shared" si="847"/>
        <v>822.58534099999997</v>
      </c>
      <c r="P633" s="588">
        <f t="shared" si="847"/>
        <v>972.53118400000005</v>
      </c>
      <c r="Q633" s="588">
        <f t="shared" si="847"/>
        <v>1892.5077080000001</v>
      </c>
      <c r="R633" s="588">
        <f t="shared" si="847"/>
        <v>45690.440903000002</v>
      </c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20">
        <f t="shared" ref="AF633:BU633" si="848">AF537</f>
        <v>0</v>
      </c>
      <c r="AG633" s="20">
        <f t="shared" si="848"/>
        <v>0</v>
      </c>
      <c r="AH633" s="20">
        <f t="shared" si="848"/>
        <v>0</v>
      </c>
      <c r="AI633" s="20">
        <f t="shared" si="848"/>
        <v>0</v>
      </c>
      <c r="AJ633" s="20">
        <f t="shared" si="848"/>
        <v>0</v>
      </c>
      <c r="AK633" s="20">
        <f t="shared" si="848"/>
        <v>0</v>
      </c>
      <c r="AL633" s="20">
        <f t="shared" si="848"/>
        <v>0</v>
      </c>
      <c r="AM633" s="20">
        <f t="shared" si="848"/>
        <v>0</v>
      </c>
      <c r="AN633" s="20">
        <f t="shared" si="848"/>
        <v>0</v>
      </c>
      <c r="AO633" s="20">
        <f t="shared" si="848"/>
        <v>0</v>
      </c>
      <c r="AP633" s="20">
        <f t="shared" si="848"/>
        <v>0</v>
      </c>
      <c r="AQ633" s="20">
        <f t="shared" si="848"/>
        <v>0</v>
      </c>
      <c r="AR633" s="20">
        <f t="shared" si="848"/>
        <v>0</v>
      </c>
      <c r="AS633" s="20">
        <f t="shared" si="848"/>
        <v>0</v>
      </c>
      <c r="AT633" s="20">
        <f t="shared" si="848"/>
        <v>0</v>
      </c>
      <c r="AU633" s="20">
        <f t="shared" si="848"/>
        <v>0</v>
      </c>
      <c r="AV633" s="20">
        <f t="shared" si="848"/>
        <v>0</v>
      </c>
      <c r="AW633" s="20">
        <f t="shared" si="848"/>
        <v>0</v>
      </c>
      <c r="AX633" s="20">
        <f t="shared" si="848"/>
        <v>0</v>
      </c>
      <c r="AY633" s="20">
        <f t="shared" si="848"/>
        <v>798.601767</v>
      </c>
      <c r="AZ633" s="20">
        <f t="shared" si="848"/>
        <v>0</v>
      </c>
      <c r="BA633" s="20">
        <f t="shared" si="848"/>
        <v>0</v>
      </c>
      <c r="BB633" s="20">
        <f t="shared" si="848"/>
        <v>0</v>
      </c>
      <c r="BC633" s="20">
        <f t="shared" si="848"/>
        <v>822.58534099999997</v>
      </c>
      <c r="BD633" s="20">
        <f t="shared" si="848"/>
        <v>828.98933899999997</v>
      </c>
      <c r="BE633" s="20">
        <f t="shared" si="848"/>
        <v>828.98933899999997</v>
      </c>
      <c r="BF633" s="20">
        <f t="shared" si="848"/>
        <v>944.779314</v>
      </c>
      <c r="BG633" s="20">
        <f t="shared" si="848"/>
        <v>972.53118400000005</v>
      </c>
      <c r="BH633" s="20">
        <f t="shared" si="848"/>
        <v>1180.513074</v>
      </c>
      <c r="BI633" s="20">
        <f t="shared" si="848"/>
        <v>1180.513074</v>
      </c>
      <c r="BJ633" s="20">
        <f t="shared" si="848"/>
        <v>1185.513074</v>
      </c>
      <c r="BK633" s="20">
        <f t="shared" si="848"/>
        <v>1892.5077080000001</v>
      </c>
      <c r="BL633" s="20">
        <f t="shared" si="848"/>
        <v>2560.1154710000001</v>
      </c>
      <c r="BM633" s="20">
        <f t="shared" si="848"/>
        <v>2535.9667030000001</v>
      </c>
      <c r="BN633" s="20">
        <f t="shared" si="848"/>
        <v>2719.0367809999998</v>
      </c>
      <c r="BO633" s="20">
        <f t="shared" si="848"/>
        <v>45690.440903000002</v>
      </c>
      <c r="BP633" s="20">
        <f t="shared" si="848"/>
        <v>46440.453882000002</v>
      </c>
      <c r="BQ633" s="20">
        <f t="shared" si="848"/>
        <v>46392.118214000002</v>
      </c>
      <c r="BR633" s="20">
        <f t="shared" si="848"/>
        <v>46431.214139999996</v>
      </c>
      <c r="BS633" s="20">
        <f t="shared" si="848"/>
        <v>56015.185590000001</v>
      </c>
      <c r="BT633" s="20">
        <f t="shared" si="848"/>
        <v>56015.185590000001</v>
      </c>
      <c r="BU633" s="20">
        <f t="shared" si="848"/>
        <v>56218.081471999998</v>
      </c>
      <c r="BV633" s="20"/>
      <c r="BW633" s="20"/>
      <c r="BX633" s="20"/>
      <c r="BY633" s="20"/>
      <c r="BZ633" s="20"/>
      <c r="CA633" s="20"/>
      <c r="CB633" s="20"/>
      <c r="CC633" s="20"/>
      <c r="CD633" s="20"/>
      <c r="CE633" s="20"/>
      <c r="CF633" s="20"/>
      <c r="CH633" s="5" t="s">
        <v>562</v>
      </c>
    </row>
    <row r="634" spans="1:96" outlineLevel="1">
      <c r="A634" s="51"/>
      <c r="B634" s="56" t="s">
        <v>634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5"/>
      <c r="O634" s="85"/>
      <c r="P634" s="85"/>
      <c r="Q634" s="6">
        <f>P633</f>
        <v>972.53118400000005</v>
      </c>
      <c r="R634" s="6">
        <f>Q633</f>
        <v>1892.5077080000001</v>
      </c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84"/>
      <c r="AG634" s="84"/>
      <c r="AH634" s="84"/>
      <c r="AI634" s="84"/>
      <c r="AJ634" s="84"/>
      <c r="AK634" s="84"/>
      <c r="AL634" s="84"/>
      <c r="AM634" s="84"/>
      <c r="AN634" s="84"/>
      <c r="AO634" s="84"/>
      <c r="AP634" s="84"/>
      <c r="AQ634" s="84"/>
      <c r="AR634" s="84"/>
      <c r="AS634" s="84"/>
      <c r="AT634" s="84"/>
      <c r="AU634" s="84"/>
      <c r="AV634" s="84"/>
      <c r="AW634" s="84"/>
      <c r="AX634" s="84"/>
      <c r="AY634" s="84"/>
      <c r="AZ634" s="84"/>
      <c r="BA634" s="84"/>
      <c r="BB634" s="84"/>
      <c r="BC634" s="84"/>
      <c r="BD634" s="84"/>
      <c r="BE634" s="84"/>
      <c r="BF634" s="84"/>
      <c r="BG634" s="84"/>
      <c r="BH634" s="84"/>
      <c r="BI634" s="84"/>
      <c r="BJ634" s="84"/>
      <c r="BK634" s="84"/>
      <c r="BL634" s="84"/>
      <c r="BM634" s="84"/>
      <c r="BN634" s="84"/>
      <c r="BO634" s="84"/>
      <c r="BP634" s="84"/>
      <c r="BQ634" s="84"/>
      <c r="BR634" s="84"/>
      <c r="BS634" s="84"/>
      <c r="BT634" s="84"/>
      <c r="BU634" s="84"/>
      <c r="BV634" s="84"/>
      <c r="BW634" s="84"/>
      <c r="BX634" s="84"/>
      <c r="BY634" s="84"/>
      <c r="BZ634" s="84"/>
      <c r="CA634" s="84"/>
      <c r="CB634" s="84"/>
      <c r="CC634" s="84"/>
      <c r="CD634" s="84"/>
      <c r="CE634" s="84"/>
      <c r="CF634" s="84"/>
      <c r="CH634" s="5" t="s">
        <v>562</v>
      </c>
    </row>
    <row r="635" spans="1:96" outlineLevel="1">
      <c r="B635" s="56" t="s">
        <v>629</v>
      </c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10"/>
      <c r="R635" s="10">
        <v>42980.923491000001</v>
      </c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  <c r="BL635" s="6"/>
      <c r="BM635" s="6"/>
      <c r="BN635" s="6"/>
      <c r="BO635" s="6"/>
      <c r="BP635" s="6"/>
      <c r="BQ635" s="6"/>
      <c r="BR635" s="6"/>
      <c r="BS635" s="6"/>
      <c r="BT635" s="6"/>
      <c r="BU635" s="6"/>
      <c r="BV635" s="6"/>
      <c r="BW635" s="6"/>
      <c r="BX635" s="6"/>
      <c r="BY635" s="6"/>
      <c r="BZ635" s="6"/>
      <c r="CA635" s="6"/>
      <c r="CB635" s="6"/>
      <c r="CC635" s="6"/>
      <c r="CD635" s="6"/>
      <c r="CE635" s="6"/>
      <c r="CF635" s="5"/>
      <c r="CH635" s="5" t="s">
        <v>562</v>
      </c>
    </row>
    <row r="636" spans="1:96" outlineLevel="1">
      <c r="B636" s="56" t="s">
        <v>630</v>
      </c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10"/>
      <c r="R636" s="10">
        <v>687.63302399999998</v>
      </c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  <c r="BL636" s="6"/>
      <c r="BM636" s="6"/>
      <c r="BN636" s="6"/>
      <c r="BO636" s="6"/>
      <c r="BP636" s="6"/>
      <c r="BQ636" s="6"/>
      <c r="BR636" s="6"/>
      <c r="BS636" s="6"/>
      <c r="BT636" s="6"/>
      <c r="BU636" s="6"/>
      <c r="BV636" s="6"/>
      <c r="BW636" s="6"/>
      <c r="BX636" s="6"/>
      <c r="BY636" s="6"/>
      <c r="BZ636" s="6"/>
      <c r="CA636" s="6"/>
      <c r="CB636" s="6"/>
      <c r="CC636" s="6"/>
      <c r="CD636" s="6"/>
      <c r="CE636" s="6"/>
      <c r="CF636" s="5"/>
      <c r="CH636" s="5" t="s">
        <v>562</v>
      </c>
    </row>
    <row r="637" spans="1:96" outlineLevel="1">
      <c r="B637" s="56" t="s">
        <v>631</v>
      </c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10">
        <v>330.66995800000001</v>
      </c>
      <c r="R637" s="10">
        <v>0.94556099999999998</v>
      </c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  <c r="BL637" s="6"/>
      <c r="BM637" s="6"/>
      <c r="BN637" s="6"/>
      <c r="BO637" s="6"/>
      <c r="BP637" s="6"/>
      <c r="BQ637" s="6"/>
      <c r="BR637" s="6"/>
      <c r="BS637" s="6"/>
      <c r="BT637" s="6"/>
      <c r="BU637" s="6"/>
      <c r="BV637" s="6"/>
      <c r="BW637" s="6"/>
      <c r="BX637" s="6"/>
      <c r="BY637" s="6"/>
      <c r="BZ637" s="6"/>
      <c r="CA637" s="6"/>
      <c r="CB637" s="6"/>
      <c r="CC637" s="6"/>
      <c r="CD637" s="6"/>
      <c r="CE637" s="6"/>
      <c r="CF637" s="5"/>
      <c r="CH637" s="5" t="s">
        <v>562</v>
      </c>
    </row>
    <row r="638" spans="1:96" outlineLevel="1">
      <c r="B638" s="86" t="s">
        <v>632</v>
      </c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10">
        <v>366.88472200000001</v>
      </c>
      <c r="R638" s="10">
        <v>-33.564</v>
      </c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  <c r="BL638" s="6"/>
      <c r="BM638" s="6"/>
      <c r="BN638" s="6"/>
      <c r="BO638" s="6"/>
      <c r="BP638" s="6"/>
      <c r="BQ638" s="6"/>
      <c r="BR638" s="6"/>
      <c r="BS638" s="6"/>
      <c r="BT638" s="6"/>
      <c r="BU638" s="6"/>
      <c r="BV638" s="6"/>
      <c r="BW638" s="6"/>
      <c r="BX638" s="6"/>
      <c r="BY638" s="6"/>
      <c r="BZ638" s="6"/>
      <c r="CA638" s="6"/>
      <c r="CB638" s="6"/>
      <c r="CC638" s="6"/>
      <c r="CD638" s="6"/>
      <c r="CE638" s="6"/>
      <c r="CF638" s="5"/>
      <c r="CH638" s="5" t="s">
        <v>562</v>
      </c>
    </row>
    <row r="639" spans="1:96" outlineLevel="1">
      <c r="B639" s="56" t="s">
        <v>633</v>
      </c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10">
        <v>207.98188999999999</v>
      </c>
      <c r="R639" s="10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  <c r="BL639" s="6"/>
      <c r="BM639" s="6"/>
      <c r="BN639" s="6"/>
      <c r="BO639" s="6"/>
      <c r="BP639" s="6"/>
      <c r="BQ639" s="6"/>
      <c r="BR639" s="6"/>
      <c r="BS639" s="6"/>
      <c r="BT639" s="6"/>
      <c r="BU639" s="6"/>
      <c r="BV639" s="6"/>
      <c r="BW639" s="6"/>
      <c r="BX639" s="6"/>
      <c r="BY639" s="6"/>
      <c r="BZ639" s="6"/>
      <c r="CA639" s="6"/>
      <c r="CB639" s="6"/>
      <c r="CC639" s="6"/>
      <c r="CD639" s="6"/>
      <c r="CE639" s="6"/>
      <c r="CF639" s="5"/>
      <c r="CH639" s="5" t="s">
        <v>562</v>
      </c>
    </row>
    <row r="640" spans="1:96" outlineLevel="1">
      <c r="B640" s="56" t="s">
        <v>17</v>
      </c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10">
        <v>14.439954</v>
      </c>
      <c r="R640" s="10">
        <v>161.99511899999999</v>
      </c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  <c r="BL640" s="6"/>
      <c r="BM640" s="6"/>
      <c r="BN640" s="6"/>
      <c r="BO640" s="6"/>
      <c r="BP640" s="6"/>
      <c r="BQ640" s="6"/>
      <c r="BR640" s="6"/>
      <c r="BS640" s="6"/>
      <c r="BT640" s="6"/>
      <c r="BU640" s="6"/>
      <c r="BV640" s="6"/>
      <c r="BW640" s="6"/>
      <c r="BX640" s="6"/>
      <c r="BY640" s="6"/>
      <c r="BZ640" s="6"/>
      <c r="CA640" s="6"/>
      <c r="CB640" s="6"/>
      <c r="CC640" s="6"/>
      <c r="CD640" s="6"/>
      <c r="CE640" s="6"/>
      <c r="CF640" s="5"/>
      <c r="CH640" s="5" t="s">
        <v>562</v>
      </c>
    </row>
    <row r="641" spans="2:86" outlineLevel="1">
      <c r="B641" s="56" t="s">
        <v>635</v>
      </c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>
        <f>SUM(Q634:Q640)</f>
        <v>1892.5077080000001</v>
      </c>
      <c r="R641" s="6">
        <f>SUM(R634:R640)</f>
        <v>45690.440903000002</v>
      </c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  <c r="BL641" s="6"/>
      <c r="BM641" s="6"/>
      <c r="BN641" s="6"/>
      <c r="BO641" s="6"/>
      <c r="BP641" s="6"/>
      <c r="BQ641" s="6"/>
      <c r="BR641" s="6"/>
      <c r="BS641" s="6"/>
      <c r="BT641" s="6"/>
      <c r="BU641" s="6"/>
      <c r="BV641" s="6"/>
      <c r="BW641" s="6"/>
      <c r="BX641" s="6"/>
      <c r="BY641" s="6"/>
      <c r="BZ641" s="6"/>
      <c r="CA641" s="6"/>
      <c r="CB641" s="6"/>
      <c r="CC641" s="6"/>
      <c r="CD641" s="6"/>
      <c r="CE641" s="6"/>
      <c r="CF641" s="5"/>
      <c r="CH641" s="5" t="s">
        <v>562</v>
      </c>
    </row>
    <row r="642" spans="2:86" outlineLevel="1"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  <c r="BL642" s="6"/>
      <c r="BM642" s="6"/>
      <c r="BN642" s="6"/>
      <c r="BO642" s="6"/>
      <c r="BP642" s="6"/>
      <c r="BQ642" s="6"/>
      <c r="BR642" s="6"/>
      <c r="BS642" s="6"/>
      <c r="BT642" s="6"/>
      <c r="BU642" s="6"/>
      <c r="BV642" s="6"/>
      <c r="BW642" s="6"/>
      <c r="BX642" s="6"/>
      <c r="BY642" s="6"/>
      <c r="BZ642" s="6"/>
      <c r="CA642" s="6"/>
      <c r="CB642" s="6"/>
      <c r="CC642" s="6"/>
      <c r="CD642" s="6"/>
      <c r="CE642" s="6"/>
      <c r="CF642" s="5"/>
      <c r="CH642" s="5" t="s">
        <v>562</v>
      </c>
    </row>
    <row r="643" spans="2:86" outlineLevel="1">
      <c r="B643" s="87" t="s">
        <v>185</v>
      </c>
      <c r="C643" s="87">
        <f t="shared" ref="C643:S643" si="849">C536</f>
        <v>0</v>
      </c>
      <c r="D643" s="87">
        <f t="shared" si="849"/>
        <v>0</v>
      </c>
      <c r="E643" s="87">
        <f t="shared" si="849"/>
        <v>0</v>
      </c>
      <c r="F643" s="87">
        <f t="shared" si="849"/>
        <v>0</v>
      </c>
      <c r="G643" s="87">
        <f t="shared" si="849"/>
        <v>0</v>
      </c>
      <c r="H643" s="87">
        <f t="shared" si="849"/>
        <v>0</v>
      </c>
      <c r="I643" s="87">
        <f t="shared" si="849"/>
        <v>80.416250000000005</v>
      </c>
      <c r="J643" s="87">
        <f t="shared" si="849"/>
        <v>80.416250000000005</v>
      </c>
      <c r="K643" s="87">
        <f t="shared" si="849"/>
        <v>318.826459</v>
      </c>
      <c r="L643" s="87">
        <f t="shared" si="849"/>
        <v>658.05128500000001</v>
      </c>
      <c r="M643" s="87">
        <f t="shared" si="849"/>
        <v>1574.2306229999999</v>
      </c>
      <c r="N643" s="592">
        <f t="shared" si="849"/>
        <v>1305.145043</v>
      </c>
      <c r="O643" s="592">
        <f t="shared" si="849"/>
        <v>1437.2479490000001</v>
      </c>
      <c r="P643" s="592">
        <f t="shared" si="849"/>
        <v>2857.2134799999999</v>
      </c>
      <c r="Q643" s="592">
        <f t="shared" si="849"/>
        <v>5318.7564469999998</v>
      </c>
      <c r="R643" s="592">
        <f t="shared" si="849"/>
        <v>13870.523498</v>
      </c>
      <c r="S643" s="592">
        <f t="shared" si="849"/>
        <v>20532.822365</v>
      </c>
      <c r="T643" s="592">
        <f>T536</f>
        <v>25573.785268</v>
      </c>
      <c r="U643" s="20">
        <f ca="1">U645*Model!U305</f>
        <v>27846.455935545411</v>
      </c>
      <c r="V643" s="20">
        <f ca="1">V645*Model!V305</f>
        <v>31772.161026409616</v>
      </c>
      <c r="W643" s="20">
        <f ca="1">W645*Model!W305</f>
        <v>34885.95684187991</v>
      </c>
      <c r="X643" s="20">
        <f ca="1">X645*Model!X305</f>
        <v>39630.673087773168</v>
      </c>
      <c r="Y643" s="20">
        <f ca="1">Y645*Model!Y305</f>
        <v>44467.472052260986</v>
      </c>
      <c r="Z643" s="20">
        <f ca="1">Z645*Model!Z305</f>
        <v>48201.342865276347</v>
      </c>
      <c r="AA643" s="20">
        <f ca="1">AA645*Model!AA305</f>
        <v>53426.336642835697</v>
      </c>
      <c r="AB643" s="20">
        <f ca="1">AB645*Model!AB305</f>
        <v>58681.874240522688</v>
      </c>
      <c r="AC643" s="20">
        <f ca="1">AC645*Model!AC305</f>
        <v>63871.818418742558</v>
      </c>
      <c r="AD643" s="20">
        <f ca="1">AD645*Model!AD305</f>
        <v>68699.673871953433</v>
      </c>
      <c r="AE643" s="20"/>
      <c r="AF643" s="87">
        <f t="shared" ref="AF643:BU643" si="850">AF536</f>
        <v>0</v>
      </c>
      <c r="AG643" s="87">
        <f t="shared" si="850"/>
        <v>0</v>
      </c>
      <c r="AH643" s="87">
        <f t="shared" si="850"/>
        <v>0</v>
      </c>
      <c r="AI643" s="87">
        <f t="shared" si="850"/>
        <v>0</v>
      </c>
      <c r="AJ643" s="87">
        <f t="shared" si="850"/>
        <v>0</v>
      </c>
      <c r="AK643" s="87">
        <f t="shared" si="850"/>
        <v>0</v>
      </c>
      <c r="AL643" s="87">
        <f t="shared" si="850"/>
        <v>0</v>
      </c>
      <c r="AM643" s="87">
        <f t="shared" si="850"/>
        <v>0</v>
      </c>
      <c r="AN643" s="87">
        <f t="shared" si="850"/>
        <v>0</v>
      </c>
      <c r="AO643" s="87">
        <f t="shared" si="850"/>
        <v>0</v>
      </c>
      <c r="AP643" s="87">
        <f t="shared" si="850"/>
        <v>0</v>
      </c>
      <c r="AQ643" s="87">
        <f t="shared" si="850"/>
        <v>0</v>
      </c>
      <c r="AR643" s="87">
        <f t="shared" si="850"/>
        <v>0</v>
      </c>
      <c r="AS643" s="87">
        <f t="shared" si="850"/>
        <v>0</v>
      </c>
      <c r="AT643" s="87">
        <f t="shared" si="850"/>
        <v>0</v>
      </c>
      <c r="AU643" s="87">
        <f t="shared" si="850"/>
        <v>0</v>
      </c>
      <c r="AV643" s="87">
        <f t="shared" si="850"/>
        <v>0</v>
      </c>
      <c r="AW643" s="87">
        <f t="shared" si="850"/>
        <v>0</v>
      </c>
      <c r="AX643" s="87">
        <f t="shared" si="850"/>
        <v>0</v>
      </c>
      <c r="AY643" s="87">
        <f t="shared" si="850"/>
        <v>1305.145043</v>
      </c>
      <c r="AZ643" s="87">
        <f t="shared" si="850"/>
        <v>0</v>
      </c>
      <c r="BA643" s="87">
        <f t="shared" si="850"/>
        <v>0</v>
      </c>
      <c r="BB643" s="87">
        <f t="shared" si="850"/>
        <v>0</v>
      </c>
      <c r="BC643" s="87">
        <f t="shared" si="850"/>
        <v>1437.2479490000001</v>
      </c>
      <c r="BD643" s="87">
        <f t="shared" si="850"/>
        <v>1413.6705219999999</v>
      </c>
      <c r="BE643" s="87">
        <f t="shared" si="850"/>
        <v>1368.876743</v>
      </c>
      <c r="BF643" s="87">
        <f t="shared" si="850"/>
        <v>1528.3858210000001</v>
      </c>
      <c r="BG643" s="87">
        <f t="shared" si="850"/>
        <v>2857.2134799999999</v>
      </c>
      <c r="BH643" s="87">
        <f t="shared" si="850"/>
        <v>2739.3700650000001</v>
      </c>
      <c r="BI643" s="87">
        <f t="shared" si="850"/>
        <v>3030.3988880000002</v>
      </c>
      <c r="BJ643" s="87">
        <f t="shared" si="850"/>
        <v>5067.3865299999998</v>
      </c>
      <c r="BK643" s="87">
        <f t="shared" si="850"/>
        <v>5318.7564469999998</v>
      </c>
      <c r="BL643" s="87">
        <f t="shared" si="850"/>
        <v>5203.3280789999999</v>
      </c>
      <c r="BM643" s="87">
        <f t="shared" si="850"/>
        <v>8558.0360639999999</v>
      </c>
      <c r="BN643" s="87">
        <f t="shared" si="850"/>
        <v>11855.6471</v>
      </c>
      <c r="BO643" s="87">
        <f t="shared" si="850"/>
        <v>13870.523498</v>
      </c>
      <c r="BP643" s="87">
        <f t="shared" si="850"/>
        <v>14743.122934000001</v>
      </c>
      <c r="BQ643" s="87">
        <f t="shared" si="850"/>
        <v>17977.129465000002</v>
      </c>
      <c r="BR643" s="87">
        <f t="shared" si="850"/>
        <v>18285.751276999999</v>
      </c>
      <c r="BS643" s="87">
        <f t="shared" si="850"/>
        <v>20532.822365</v>
      </c>
      <c r="BT643" s="87">
        <f t="shared" si="850"/>
        <v>21478.148266</v>
      </c>
      <c r="BU643" s="87">
        <f t="shared" si="850"/>
        <v>22166.556356000001</v>
      </c>
      <c r="BV643" s="87"/>
      <c r="BW643" s="87"/>
      <c r="BX643" s="87"/>
      <c r="BY643" s="87"/>
      <c r="BZ643" s="87"/>
      <c r="CA643" s="87"/>
      <c r="CB643" s="87"/>
      <c r="CC643" s="87"/>
      <c r="CD643" s="87"/>
      <c r="CE643" s="87"/>
      <c r="CF643" s="87"/>
      <c r="CG643" s="88"/>
      <c r="CH643" s="89" t="s">
        <v>562</v>
      </c>
    </row>
    <row r="644" spans="2:86" outlineLevel="1">
      <c r="B644" s="56" t="s">
        <v>82</v>
      </c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41">
        <f t="shared" ref="O644:AD644" si="851">O643/N643-1</f>
        <v>0.10121703078789546</v>
      </c>
      <c r="P644" s="41">
        <f t="shared" si="851"/>
        <v>0.98797533994602338</v>
      </c>
      <c r="Q644" s="41">
        <f t="shared" si="851"/>
        <v>0.86151874342969981</v>
      </c>
      <c r="R644" s="41">
        <f t="shared" si="851"/>
        <v>1.6078508456283149</v>
      </c>
      <c r="S644" s="323">
        <f t="shared" si="851"/>
        <v>0.48032065033166482</v>
      </c>
      <c r="T644" s="323">
        <f t="shared" si="851"/>
        <v>0.24550754949269726</v>
      </c>
      <c r="U644" s="41">
        <f t="shared" ca="1" si="851"/>
        <v>8.8867199115383322E-2</v>
      </c>
      <c r="V644" s="41">
        <f t="shared" ca="1" si="851"/>
        <v>0.14097683022754515</v>
      </c>
      <c r="W644" s="41">
        <f t="shared" ca="1" si="851"/>
        <v>9.8003903885607535E-2</v>
      </c>
      <c r="X644" s="41">
        <f t="shared" ca="1" si="851"/>
        <v>0.13600648155928807</v>
      </c>
      <c r="Y644" s="41">
        <f t="shared" ca="1" si="851"/>
        <v>0.12204685380375402</v>
      </c>
      <c r="Z644" s="41">
        <f t="shared" ca="1" si="851"/>
        <v>8.3968587389610994E-2</v>
      </c>
      <c r="AA644" s="41">
        <f t="shared" ca="1" si="851"/>
        <v>0.10839934049479294</v>
      </c>
      <c r="AB644" s="41">
        <f t="shared" ca="1" si="851"/>
        <v>9.8369791528496009E-2</v>
      </c>
      <c r="AC644" s="323">
        <f t="shared" ca="1" si="851"/>
        <v>8.8442031639063723E-2</v>
      </c>
      <c r="AD644" s="323">
        <f t="shared" ca="1" si="851"/>
        <v>7.5586629169683839E-2</v>
      </c>
      <c r="AE644" s="323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  <c r="BL644" s="6"/>
      <c r="BM644" s="6"/>
      <c r="BN644" s="6"/>
      <c r="BO644" s="6"/>
      <c r="BP644" s="6"/>
      <c r="BQ644" s="6"/>
      <c r="BR644" s="6"/>
      <c r="BS644" s="6"/>
      <c r="BT644" s="6"/>
      <c r="BU644" s="6"/>
      <c r="BV644" s="6"/>
      <c r="BW644" s="6"/>
      <c r="BX644" s="6"/>
      <c r="BY644" s="6"/>
      <c r="BZ644" s="6"/>
      <c r="CA644" s="6"/>
      <c r="CB644" s="6"/>
      <c r="CC644" s="6"/>
      <c r="CD644" s="6"/>
      <c r="CE644" s="6"/>
      <c r="CF644" s="5"/>
      <c r="CH644" s="5" t="s">
        <v>562</v>
      </c>
    </row>
    <row r="645" spans="2:86" outlineLevel="1">
      <c r="B645" s="323" t="s">
        <v>575</v>
      </c>
      <c r="C645" s="323">
        <v>0</v>
      </c>
      <c r="D645" s="323">
        <v>0</v>
      </c>
      <c r="E645" s="323">
        <v>0</v>
      </c>
      <c r="F645" s="323">
        <v>0</v>
      </c>
      <c r="G645" s="323">
        <v>0</v>
      </c>
      <c r="H645" s="323">
        <v>0</v>
      </c>
      <c r="I645" s="323">
        <v>9.6419282358198161E-2</v>
      </c>
      <c r="J645" s="323">
        <v>6.246998376173888E-2</v>
      </c>
      <c r="K645" s="323">
        <v>0.20075230594600829</v>
      </c>
      <c r="L645" s="323">
        <v>0.31002691475937594</v>
      </c>
      <c r="M645" s="323">
        <v>0.51332831348095032</v>
      </c>
      <c r="N645" s="323">
        <v>0.32720807198481172</v>
      </c>
      <c r="O645" s="323">
        <v>0.29266384943845047</v>
      </c>
      <c r="P645" s="323">
        <v>0.43502435893946179</v>
      </c>
      <c r="Q645" s="323">
        <v>0.5581469456848801</v>
      </c>
      <c r="R645" s="41">
        <v>0.8852682706423145</v>
      </c>
      <c r="S645" s="323">
        <f>S643/(Model!S305)</f>
        <v>1.0376355602552219</v>
      </c>
      <c r="T645" s="323">
        <f>T643/(Model!T305)</f>
        <v>0.94798528553634986</v>
      </c>
      <c r="U645" s="42">
        <f>T645-8%</f>
        <v>0.8679852855363499</v>
      </c>
      <c r="V645" s="42">
        <f>U645-8%</f>
        <v>0.78798528553634994</v>
      </c>
      <c r="W645" s="42">
        <f>V645-8%</f>
        <v>0.70798528553634998</v>
      </c>
      <c r="X645" s="42">
        <f>W645-4%</f>
        <v>0.66798528553634995</v>
      </c>
      <c r="Y645" s="42">
        <f>X645-4%</f>
        <v>0.62798528553634991</v>
      </c>
      <c r="Z645" s="42">
        <f>Y645-4%</f>
        <v>0.58798528553634988</v>
      </c>
      <c r="AA645" s="42">
        <f>Z645-2%</f>
        <v>0.56798528553634986</v>
      </c>
      <c r="AB645" s="42">
        <f>AA645-2%</f>
        <v>0.54798528553634984</v>
      </c>
      <c r="AC645" s="42">
        <f>AB645-2%</f>
        <v>0.52798528553634982</v>
      </c>
      <c r="AD645" s="42">
        <f>AC645-2%</f>
        <v>0.50798528553634981</v>
      </c>
      <c r="AE645" s="42"/>
      <c r="AF645" s="323"/>
      <c r="AG645" s="323"/>
      <c r="AH645" s="323"/>
      <c r="AI645" s="323"/>
      <c r="AJ645" s="323"/>
      <c r="AK645" s="323"/>
      <c r="AL645" s="323"/>
      <c r="AM645" s="323"/>
      <c r="AN645" s="323"/>
      <c r="AO645" s="323"/>
      <c r="AP645" s="323"/>
      <c r="AQ645" s="323"/>
      <c r="AR645" s="323"/>
      <c r="AS645" s="323"/>
      <c r="AT645" s="323"/>
      <c r="AU645" s="323"/>
      <c r="AV645" s="323"/>
      <c r="AW645" s="323"/>
      <c r="AX645" s="323"/>
      <c r="AY645" s="323"/>
      <c r="AZ645" s="323"/>
      <c r="BA645" s="323"/>
      <c r="BB645" s="323"/>
      <c r="BC645" s="323"/>
      <c r="BD645" s="323"/>
      <c r="BE645" s="323"/>
      <c r="BF645" s="323"/>
      <c r="BG645" s="323"/>
      <c r="BH645" s="323"/>
      <c r="BI645" s="323"/>
      <c r="BJ645" s="323"/>
      <c r="BK645" s="323"/>
      <c r="BL645" s="323"/>
      <c r="BM645" s="323"/>
      <c r="BN645" s="323"/>
      <c r="BO645" s="323">
        <v>3.206002396006876</v>
      </c>
      <c r="BP645" s="323">
        <v>2.734126211825318</v>
      </c>
      <c r="BQ645" s="323">
        <v>3.2256200295028221</v>
      </c>
      <c r="BR645" s="323">
        <v>3.2262550387099664</v>
      </c>
      <c r="BS645" s="323">
        <v>3.9648156441101845</v>
      </c>
      <c r="BT645" s="323">
        <v>3.5019079256602001</v>
      </c>
      <c r="BU645" s="323">
        <v>3.4305252700184394</v>
      </c>
      <c r="BV645" s="323"/>
      <c r="BW645" s="323"/>
      <c r="BX645" s="323"/>
      <c r="BY645" s="323"/>
      <c r="BZ645" s="323"/>
      <c r="CA645" s="323"/>
      <c r="CB645" s="323"/>
      <c r="CC645" s="323"/>
      <c r="CD645" s="323"/>
      <c r="CE645" s="323"/>
      <c r="CF645" s="323"/>
      <c r="CH645" s="5" t="s">
        <v>562</v>
      </c>
    </row>
    <row r="646" spans="2:86" outlineLevel="1"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  <c r="BL646" s="6"/>
      <c r="BM646" s="6"/>
      <c r="BN646" s="6"/>
      <c r="BO646" s="6"/>
      <c r="BP646" s="6"/>
      <c r="BQ646" s="6"/>
      <c r="BR646" s="6"/>
      <c r="BS646" s="6"/>
      <c r="BT646" s="6"/>
      <c r="BU646" s="6"/>
      <c r="BV646" s="6"/>
      <c r="BW646" s="6"/>
      <c r="BX646" s="6"/>
      <c r="BY646" s="6"/>
      <c r="BZ646" s="6"/>
      <c r="CA646" s="6"/>
      <c r="CB646" s="6"/>
      <c r="CC646" s="6"/>
      <c r="CD646" s="6"/>
      <c r="CE646" s="6"/>
      <c r="CF646" s="5"/>
      <c r="CH646" s="5" t="s">
        <v>562</v>
      </c>
    </row>
    <row r="647" spans="2:86" outlineLevel="1">
      <c r="B647" s="20" t="s">
        <v>192</v>
      </c>
      <c r="C647" s="20">
        <f t="shared" ref="C647:S647" si="852">C543</f>
        <v>0</v>
      </c>
      <c r="D647" s="20">
        <f t="shared" si="852"/>
        <v>0</v>
      </c>
      <c r="E647" s="20">
        <f t="shared" si="852"/>
        <v>0</v>
      </c>
      <c r="F647" s="20">
        <f t="shared" si="852"/>
        <v>0</v>
      </c>
      <c r="G647" s="20">
        <f t="shared" si="852"/>
        <v>0</v>
      </c>
      <c r="H647" s="20">
        <f t="shared" si="852"/>
        <v>72.353391999999999</v>
      </c>
      <c r="I647" s="20">
        <f t="shared" si="852"/>
        <v>151.408198</v>
      </c>
      <c r="J647" s="20">
        <f t="shared" si="852"/>
        <v>230.904562</v>
      </c>
      <c r="K647" s="20">
        <f t="shared" si="852"/>
        <v>138.65759299999999</v>
      </c>
      <c r="L647" s="20">
        <f t="shared" si="852"/>
        <v>291.04574300000002</v>
      </c>
      <c r="M647" s="20">
        <f t="shared" si="852"/>
        <v>595.28328099999999</v>
      </c>
      <c r="N647" s="588">
        <f t="shared" si="852"/>
        <v>763.25607400000001</v>
      </c>
      <c r="O647" s="588">
        <f t="shared" si="852"/>
        <v>1023.672151</v>
      </c>
      <c r="P647" s="588">
        <f t="shared" si="852"/>
        <v>1637.545824</v>
      </c>
      <c r="Q647" s="588">
        <f t="shared" si="852"/>
        <v>2304.1115249999998</v>
      </c>
      <c r="R647" s="588">
        <f t="shared" si="852"/>
        <v>5944.5016809999997</v>
      </c>
      <c r="S647" s="588">
        <f t="shared" si="852"/>
        <v>7278.7910819999997</v>
      </c>
      <c r="T647" s="588">
        <f>T543</f>
        <v>7459.2032520000002</v>
      </c>
      <c r="U647" s="20">
        <f ca="1">-U649*Model!U308</f>
        <v>5684.6922456069651</v>
      </c>
      <c r="V647" s="20">
        <f ca="1">-V649*Model!V308</f>
        <v>6051.8981327879983</v>
      </c>
      <c r="W647" s="20">
        <f ca="1">-W649*Model!W308</f>
        <v>6089.8546878311881</v>
      </c>
      <c r="X647" s="20">
        <f ca="1">-X649*Model!X308</f>
        <v>6354.7309536523198</v>
      </c>
      <c r="Y647" s="20">
        <f ca="1">-Y649*Model!Y308</f>
        <v>6651.002140029962</v>
      </c>
      <c r="Z647" s="20">
        <f ca="1">-Z649*Model!Z308</f>
        <v>6806.4063714934173</v>
      </c>
      <c r="AA647" s="20">
        <f ca="1">-AA649*Model!AA308</f>
        <v>6891.0570311532192</v>
      </c>
      <c r="AB647" s="20">
        <f ca="1">-AB649*Model!AB308</f>
        <v>6799.1512960362224</v>
      </c>
      <c r="AC647" s="20">
        <f ca="1">-AC649*Model!AC308</f>
        <v>6893.0356493662293</v>
      </c>
      <c r="AD647" s="20">
        <f ca="1">-AD649*Model!AD308</f>
        <v>6825.2765905348497</v>
      </c>
      <c r="AE647" s="20"/>
      <c r="AF647" s="20">
        <f t="shared" ref="AF647:BU647" si="853">AF543</f>
        <v>0</v>
      </c>
      <c r="AG647" s="20">
        <f t="shared" si="853"/>
        <v>0</v>
      </c>
      <c r="AH647" s="20">
        <f t="shared" si="853"/>
        <v>0</v>
      </c>
      <c r="AI647" s="20">
        <f t="shared" si="853"/>
        <v>0</v>
      </c>
      <c r="AJ647" s="20">
        <f t="shared" si="853"/>
        <v>0</v>
      </c>
      <c r="AK647" s="20">
        <f t="shared" si="853"/>
        <v>0</v>
      </c>
      <c r="AL647" s="20">
        <f t="shared" si="853"/>
        <v>0</v>
      </c>
      <c r="AM647" s="20">
        <f t="shared" si="853"/>
        <v>0</v>
      </c>
      <c r="AN647" s="20">
        <f t="shared" si="853"/>
        <v>0</v>
      </c>
      <c r="AO647" s="20">
        <f t="shared" si="853"/>
        <v>0</v>
      </c>
      <c r="AP647" s="20">
        <f t="shared" si="853"/>
        <v>0</v>
      </c>
      <c r="AQ647" s="20">
        <f t="shared" si="853"/>
        <v>0</v>
      </c>
      <c r="AR647" s="20">
        <f t="shared" si="853"/>
        <v>0</v>
      </c>
      <c r="AS647" s="20">
        <f t="shared" si="853"/>
        <v>0</v>
      </c>
      <c r="AT647" s="20">
        <f t="shared" si="853"/>
        <v>0</v>
      </c>
      <c r="AU647" s="20">
        <f t="shared" si="853"/>
        <v>0</v>
      </c>
      <c r="AV647" s="20">
        <f t="shared" si="853"/>
        <v>0</v>
      </c>
      <c r="AW647" s="20">
        <f t="shared" si="853"/>
        <v>0</v>
      </c>
      <c r="AX647" s="20">
        <f t="shared" si="853"/>
        <v>0</v>
      </c>
      <c r="AY647" s="20">
        <f t="shared" si="853"/>
        <v>763.25607400000001</v>
      </c>
      <c r="AZ647" s="20">
        <f t="shared" si="853"/>
        <v>0</v>
      </c>
      <c r="BA647" s="20">
        <f t="shared" si="853"/>
        <v>0</v>
      </c>
      <c r="BB647" s="20">
        <f t="shared" si="853"/>
        <v>0</v>
      </c>
      <c r="BC647" s="20">
        <f t="shared" si="853"/>
        <v>1023.672151</v>
      </c>
      <c r="BD647" s="20">
        <f t="shared" si="853"/>
        <v>1472.6837969999999</v>
      </c>
      <c r="BE647" s="20">
        <f t="shared" si="853"/>
        <v>1532.591707</v>
      </c>
      <c r="BF647" s="20">
        <f t="shared" si="853"/>
        <v>1595.4094190000001</v>
      </c>
      <c r="BG647" s="20">
        <f t="shared" si="853"/>
        <v>1637.545824</v>
      </c>
      <c r="BH647" s="20">
        <f t="shared" si="853"/>
        <v>2082.4388680000002</v>
      </c>
      <c r="BI647" s="20">
        <f t="shared" si="853"/>
        <v>2171.1108089999998</v>
      </c>
      <c r="BJ647" s="20">
        <f t="shared" si="853"/>
        <v>2152.7696460000002</v>
      </c>
      <c r="BK647" s="20">
        <f t="shared" si="853"/>
        <v>2304.1115249999998</v>
      </c>
      <c r="BL647" s="20">
        <f t="shared" si="853"/>
        <v>3517.15834</v>
      </c>
      <c r="BM647" s="20">
        <f t="shared" si="853"/>
        <v>3794.2255690000002</v>
      </c>
      <c r="BN647" s="20">
        <f t="shared" si="853"/>
        <v>4143.3745429999999</v>
      </c>
      <c r="BO647" s="20">
        <f t="shared" si="853"/>
        <v>5944.5016809999997</v>
      </c>
      <c r="BP647" s="20">
        <f t="shared" si="853"/>
        <v>6054.2561910000004</v>
      </c>
      <c r="BQ647" s="20">
        <f t="shared" si="853"/>
        <v>7654.0673909999996</v>
      </c>
      <c r="BR647" s="20">
        <f t="shared" si="853"/>
        <v>7679.7805719999997</v>
      </c>
      <c r="BS647" s="20">
        <f t="shared" si="853"/>
        <v>7278.7910819999997</v>
      </c>
      <c r="BT647" s="20">
        <f t="shared" si="853"/>
        <v>6416.8235210000003</v>
      </c>
      <c r="BU647" s="20">
        <f t="shared" si="853"/>
        <v>7029.5058200000003</v>
      </c>
      <c r="BV647" s="20"/>
      <c r="BW647" s="20"/>
      <c r="BX647" s="20"/>
      <c r="BY647" s="20"/>
      <c r="BZ647" s="20"/>
      <c r="CA647" s="20"/>
      <c r="CB647" s="20"/>
      <c r="CC647" s="20"/>
      <c r="CD647" s="20"/>
      <c r="CE647" s="20"/>
      <c r="CF647" s="20"/>
      <c r="CG647" s="90"/>
      <c r="CH647" s="5" t="s">
        <v>562</v>
      </c>
    </row>
    <row r="648" spans="2:86" outlineLevel="1">
      <c r="B648" s="56" t="s">
        <v>82</v>
      </c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41">
        <f t="shared" ref="N648:AD648" si="854">N647/M647-1</f>
        <v>0.28217287191037377</v>
      </c>
      <c r="O648" s="41">
        <f t="shared" si="854"/>
        <v>0.34119096574657592</v>
      </c>
      <c r="P648" s="41">
        <f t="shared" si="854"/>
        <v>0.59967800472086896</v>
      </c>
      <c r="Q648" s="41">
        <f t="shared" si="854"/>
        <v>0.40705163252884935</v>
      </c>
      <c r="R648" s="41">
        <f t="shared" si="854"/>
        <v>1.5799539720630493</v>
      </c>
      <c r="S648" s="323">
        <f t="shared" si="854"/>
        <v>0.22445773802448366</v>
      </c>
      <c r="T648" s="323">
        <f t="shared" si="854"/>
        <v>2.4786007451999659E-2</v>
      </c>
      <c r="U648" s="41">
        <f t="shared" ca="1" si="854"/>
        <v>-0.23789551597447678</v>
      </c>
      <c r="V648" s="41">
        <f t="shared" ca="1" si="854"/>
        <v>6.4595561433392179E-2</v>
      </c>
      <c r="W648" s="41">
        <f t="shared" ca="1" si="854"/>
        <v>6.271843016912193E-3</v>
      </c>
      <c r="X648" s="41">
        <f t="shared" ca="1" si="854"/>
        <v>4.3494677524967829E-2</v>
      </c>
      <c r="Y648" s="41">
        <f t="shared" ca="1" si="854"/>
        <v>4.6622144751441219E-2</v>
      </c>
      <c r="Z648" s="41">
        <f t="shared" ca="1" si="854"/>
        <v>2.3365536229214889E-2</v>
      </c>
      <c r="AA648" s="41">
        <f t="shared" ca="1" si="854"/>
        <v>1.2436909440837418E-2</v>
      </c>
      <c r="AB648" s="41">
        <f t="shared" ca="1" si="854"/>
        <v>-1.3336957552594231E-2</v>
      </c>
      <c r="AC648" s="323">
        <f t="shared" ca="1" si="854"/>
        <v>1.3808245947511066E-2</v>
      </c>
      <c r="AD648" s="323">
        <f t="shared" ca="1" si="854"/>
        <v>-9.8300752060682672E-3</v>
      </c>
      <c r="AE648" s="323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  <c r="BL648" s="6"/>
      <c r="BM648" s="6"/>
      <c r="BN648" s="6"/>
      <c r="BO648" s="6"/>
      <c r="BP648" s="6"/>
      <c r="BQ648" s="6"/>
      <c r="BR648" s="6"/>
      <c r="BS648" s="6"/>
      <c r="BT648" s="6"/>
      <c r="BU648" s="6"/>
      <c r="BV648" s="6"/>
      <c r="BW648" s="6"/>
      <c r="BX648" s="6"/>
      <c r="BY648" s="6"/>
      <c r="BZ648" s="6"/>
      <c r="CA648" s="6"/>
      <c r="CB648" s="6"/>
      <c r="CC648" s="6"/>
      <c r="CD648" s="6"/>
      <c r="CE648" s="6"/>
      <c r="CF648" s="5"/>
      <c r="CH648" s="5" t="s">
        <v>562</v>
      </c>
    </row>
    <row r="649" spans="2:86" outlineLevel="1">
      <c r="B649" s="56" t="s">
        <v>636</v>
      </c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41">
        <f>-N647/Model!N310</f>
        <v>1.2689520242310401</v>
      </c>
      <c r="O649" s="41">
        <f>-O647/Model!O310</f>
        <v>1.12256481001093</v>
      </c>
      <c r="P649" s="41">
        <f>-P647/Model!P310</f>
        <v>1.3145384887029983</v>
      </c>
      <c r="Q649" s="41">
        <f>-Q647/Model!Q310</f>
        <v>0.99257447723969805</v>
      </c>
      <c r="R649" s="41">
        <v>1.3278826954338603</v>
      </c>
      <c r="S649" s="323">
        <f>-S647/(Model!S308)</f>
        <v>1.5389377422747401</v>
      </c>
      <c r="T649" s="323">
        <f>-T647/(Model!T308)</f>
        <v>1.5944570000551341</v>
      </c>
      <c r="U649" s="42">
        <v>1.05</v>
      </c>
      <c r="V649" s="42">
        <f>U649-15%</f>
        <v>0.9</v>
      </c>
      <c r="W649" s="42">
        <f>V649-15%</f>
        <v>0.75</v>
      </c>
      <c r="X649" s="42">
        <f>W649-10%</f>
        <v>0.65</v>
      </c>
      <c r="Y649" s="42">
        <f>X649-8%</f>
        <v>0.57000000000000006</v>
      </c>
      <c r="Z649" s="42">
        <f>Y649-6%</f>
        <v>0.51</v>
      </c>
      <c r="AA649" s="42">
        <f>Z649-6%</f>
        <v>0.45</v>
      </c>
      <c r="AB649" s="42">
        <f>AA649-6%</f>
        <v>0.39</v>
      </c>
      <c r="AC649" s="42">
        <f>AB649-4%</f>
        <v>0.35000000000000003</v>
      </c>
      <c r="AD649" s="42">
        <f>AC649-4%</f>
        <v>0.31000000000000005</v>
      </c>
      <c r="AE649" s="42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  <c r="BL649" s="6"/>
      <c r="BM649" s="6"/>
      <c r="BN649" s="6"/>
      <c r="BO649" s="6"/>
      <c r="BP649" s="6"/>
      <c r="BQ649" s="6"/>
      <c r="BR649" s="6"/>
      <c r="BS649" s="6"/>
      <c r="BT649" s="6"/>
      <c r="BU649" s="6"/>
      <c r="BV649" s="6"/>
      <c r="BW649" s="6"/>
      <c r="BX649" s="6"/>
      <c r="BY649" s="6"/>
      <c r="BZ649" s="6"/>
      <c r="CA649" s="6"/>
      <c r="CB649" s="6"/>
      <c r="CC649" s="6"/>
      <c r="CD649" s="6"/>
      <c r="CE649" s="6"/>
      <c r="CF649" s="5"/>
      <c r="CH649" s="5" t="s">
        <v>562</v>
      </c>
    </row>
    <row r="650" spans="2:86" outlineLevel="1"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  <c r="BL650" s="6"/>
      <c r="BM650" s="6"/>
      <c r="BN650" s="6"/>
      <c r="BO650" s="6"/>
      <c r="BP650" s="6"/>
      <c r="BQ650" s="6"/>
      <c r="BR650" s="6"/>
      <c r="BS650" s="6"/>
      <c r="BT650" s="6"/>
      <c r="BU650" s="6"/>
      <c r="BV650" s="6"/>
      <c r="BW650" s="6"/>
      <c r="BX650" s="6"/>
      <c r="BY650" s="6"/>
      <c r="BZ650" s="6"/>
      <c r="CA650" s="6"/>
      <c r="CB650" s="6"/>
      <c r="CC650" s="6"/>
      <c r="CD650" s="6"/>
      <c r="CE650" s="6"/>
      <c r="CF650" s="5"/>
      <c r="CH650" s="5" t="s">
        <v>562</v>
      </c>
    </row>
    <row r="651" spans="2:86" outlineLevel="1">
      <c r="B651" s="20" t="s">
        <v>194</v>
      </c>
      <c r="C651" s="20">
        <f t="shared" ref="C651:S651" si="855">C545</f>
        <v>0</v>
      </c>
      <c r="D651" s="20">
        <f t="shared" si="855"/>
        <v>0</v>
      </c>
      <c r="E651" s="20">
        <f t="shared" si="855"/>
        <v>0</v>
      </c>
      <c r="F651" s="20">
        <f t="shared" si="855"/>
        <v>0</v>
      </c>
      <c r="G651" s="20">
        <f t="shared" si="855"/>
        <v>0</v>
      </c>
      <c r="H651" s="20">
        <f t="shared" si="855"/>
        <v>21.343900999999999</v>
      </c>
      <c r="I651" s="20">
        <f t="shared" si="855"/>
        <v>32.778109999999998</v>
      </c>
      <c r="J651" s="20">
        <f t="shared" si="855"/>
        <v>65.497141999999997</v>
      </c>
      <c r="K651" s="20">
        <f t="shared" si="855"/>
        <v>65.590151000000006</v>
      </c>
      <c r="L651" s="20">
        <f t="shared" si="855"/>
        <v>130.53966</v>
      </c>
      <c r="M651" s="20">
        <f t="shared" si="855"/>
        <v>159.25850800000001</v>
      </c>
      <c r="N651" s="588">
        <f t="shared" si="855"/>
        <v>145.524036</v>
      </c>
      <c r="O651" s="588">
        <f t="shared" si="855"/>
        <v>229.96992399999999</v>
      </c>
      <c r="P651" s="588">
        <f t="shared" si="855"/>
        <v>257.64176300000003</v>
      </c>
      <c r="Q651" s="588">
        <f t="shared" si="855"/>
        <v>525.157105</v>
      </c>
      <c r="R651" s="588">
        <f t="shared" si="855"/>
        <v>1196.6918390000001</v>
      </c>
      <c r="S651" s="588">
        <f t="shared" si="855"/>
        <v>2508.4307570000001</v>
      </c>
      <c r="T651" s="588">
        <f>T545</f>
        <v>3464.6920730000002</v>
      </c>
      <c r="U651" s="20">
        <f ca="1">-U653*(Model!U308+Model!U313)</f>
        <v>3439.4776612075743</v>
      </c>
      <c r="V651" s="20">
        <f ca="1">-V653*(Model!V308+Model!V313)</f>
        <v>4121.0544428032554</v>
      </c>
      <c r="W651" s="20">
        <f ca="1">-W653*(Model!W308+Model!W313)</f>
        <v>4907.1021870138538</v>
      </c>
      <c r="X651" s="20">
        <f ca="1">-X653*(Model!X308+Model!X313)</f>
        <v>5766.9625114145983</v>
      </c>
      <c r="Y651" s="20">
        <f ca="1">-Y653*(Model!Y308+Model!Y313)</f>
        <v>6714.2646841646774</v>
      </c>
      <c r="Z651" s="20">
        <f ca="1">-Z653*(Model!Z308+Model!Z313)</f>
        <v>7655.9865068161243</v>
      </c>
      <c r="AA651" s="20">
        <f ca="1">-AA653*(Model!AA308+Model!AA313)</f>
        <v>8672.6473855489294</v>
      </c>
      <c r="AB651" s="20">
        <f ca="1">-AB653*(Model!AB308+Model!AB313)</f>
        <v>9745.8754036991977</v>
      </c>
      <c r="AC651" s="20">
        <f ca="1">-AC653*(Model!AC308+Model!AC313)</f>
        <v>11009.643002332679</v>
      </c>
      <c r="AD651" s="20">
        <f ca="1">-AD653*(Model!AD308+Model!AD313)</f>
        <v>12308.051884741051</v>
      </c>
      <c r="AE651" s="20"/>
      <c r="AF651" s="20">
        <f t="shared" ref="AF651:BU651" si="856">AF545</f>
        <v>0</v>
      </c>
      <c r="AG651" s="20">
        <f t="shared" si="856"/>
        <v>0</v>
      </c>
      <c r="AH651" s="20">
        <f t="shared" si="856"/>
        <v>0</v>
      </c>
      <c r="AI651" s="20">
        <f t="shared" si="856"/>
        <v>0</v>
      </c>
      <c r="AJ651" s="20">
        <f t="shared" si="856"/>
        <v>0</v>
      </c>
      <c r="AK651" s="20">
        <f t="shared" si="856"/>
        <v>0</v>
      </c>
      <c r="AL651" s="20">
        <f t="shared" si="856"/>
        <v>0</v>
      </c>
      <c r="AM651" s="20">
        <f t="shared" si="856"/>
        <v>0</v>
      </c>
      <c r="AN651" s="20">
        <f t="shared" si="856"/>
        <v>0</v>
      </c>
      <c r="AO651" s="20">
        <f t="shared" si="856"/>
        <v>0</v>
      </c>
      <c r="AP651" s="20">
        <f t="shared" si="856"/>
        <v>0</v>
      </c>
      <c r="AQ651" s="20">
        <f t="shared" si="856"/>
        <v>0</v>
      </c>
      <c r="AR651" s="20">
        <f t="shared" si="856"/>
        <v>0</v>
      </c>
      <c r="AS651" s="20">
        <f t="shared" si="856"/>
        <v>0</v>
      </c>
      <c r="AT651" s="20">
        <f t="shared" si="856"/>
        <v>0</v>
      </c>
      <c r="AU651" s="20">
        <f t="shared" si="856"/>
        <v>0</v>
      </c>
      <c r="AV651" s="20">
        <f t="shared" si="856"/>
        <v>0</v>
      </c>
      <c r="AW651" s="20">
        <f t="shared" si="856"/>
        <v>0</v>
      </c>
      <c r="AX651" s="20">
        <f t="shared" si="856"/>
        <v>0</v>
      </c>
      <c r="AY651" s="20">
        <f t="shared" si="856"/>
        <v>145.524036</v>
      </c>
      <c r="AZ651" s="20">
        <f t="shared" si="856"/>
        <v>0</v>
      </c>
      <c r="BA651" s="20">
        <f t="shared" si="856"/>
        <v>0</v>
      </c>
      <c r="BB651" s="20">
        <f t="shared" si="856"/>
        <v>0</v>
      </c>
      <c r="BC651" s="20">
        <f t="shared" si="856"/>
        <v>229.96992399999999</v>
      </c>
      <c r="BD651" s="20">
        <f t="shared" si="856"/>
        <v>206.12562</v>
      </c>
      <c r="BE651" s="20">
        <f t="shared" si="856"/>
        <v>265.013465</v>
      </c>
      <c r="BF651" s="20">
        <f t="shared" si="856"/>
        <v>291.42620299999999</v>
      </c>
      <c r="BG651" s="20">
        <f t="shared" si="856"/>
        <v>257.64176300000003</v>
      </c>
      <c r="BH651" s="20">
        <f t="shared" si="856"/>
        <v>246.317205</v>
      </c>
      <c r="BI651" s="20">
        <f t="shared" si="856"/>
        <v>301.00224100000003</v>
      </c>
      <c r="BJ651" s="20">
        <f t="shared" si="856"/>
        <v>343.56428299999999</v>
      </c>
      <c r="BK651" s="20">
        <f t="shared" si="856"/>
        <v>525.157105</v>
      </c>
      <c r="BL651" s="20">
        <f t="shared" si="856"/>
        <v>519.34419000000003</v>
      </c>
      <c r="BM651" s="20">
        <f t="shared" si="856"/>
        <v>694.19936600000005</v>
      </c>
      <c r="BN651" s="20">
        <f t="shared" si="856"/>
        <v>769.61680200000001</v>
      </c>
      <c r="BO651" s="20">
        <f t="shared" si="856"/>
        <v>1196.6918390000001</v>
      </c>
      <c r="BP651" s="20">
        <f t="shared" si="856"/>
        <v>1049.986615</v>
      </c>
      <c r="BQ651" s="20">
        <f t="shared" si="856"/>
        <v>1115.5813230000001</v>
      </c>
      <c r="BR651" s="20">
        <f t="shared" si="856"/>
        <v>1668.3081460000001</v>
      </c>
      <c r="BS651" s="20">
        <f t="shared" si="856"/>
        <v>2508.4307570000001</v>
      </c>
      <c r="BT651" s="20">
        <f t="shared" si="856"/>
        <v>2436.5263749999999</v>
      </c>
      <c r="BU651" s="20">
        <f t="shared" si="856"/>
        <v>2578.0072479999999</v>
      </c>
      <c r="BV651" s="20"/>
      <c r="BW651" s="20"/>
      <c r="BX651" s="20"/>
      <c r="BY651" s="20"/>
      <c r="BZ651" s="20"/>
      <c r="CA651" s="20"/>
      <c r="CB651" s="20"/>
      <c r="CC651" s="20"/>
      <c r="CD651" s="20"/>
      <c r="CE651" s="20"/>
      <c r="CF651" s="20"/>
      <c r="CG651" s="88"/>
      <c r="CH651" s="89" t="s">
        <v>562</v>
      </c>
    </row>
    <row r="652" spans="2:86" outlineLevel="1">
      <c r="B652" s="56" t="s">
        <v>82</v>
      </c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41">
        <f t="shared" ref="N652:AD652" si="857">N651/M651-1</f>
        <v>-8.6240114719648209E-2</v>
      </c>
      <c r="O652" s="41">
        <f t="shared" si="857"/>
        <v>0.58028824873988505</v>
      </c>
      <c r="P652" s="41">
        <f t="shared" si="857"/>
        <v>0.12032807820556579</v>
      </c>
      <c r="Q652" s="41">
        <f t="shared" si="857"/>
        <v>1.0383228979845165</v>
      </c>
      <c r="R652" s="41">
        <f t="shared" si="857"/>
        <v>1.2787311218040172</v>
      </c>
      <c r="S652" s="323">
        <f t="shared" si="857"/>
        <v>1.0961375980437351</v>
      </c>
      <c r="T652" s="323">
        <f t="shared" si="857"/>
        <v>0.38121894069886819</v>
      </c>
      <c r="U652" s="41">
        <f t="shared" ca="1" si="857"/>
        <v>-7.2775332587040609E-3</v>
      </c>
      <c r="V652" s="41">
        <f t="shared" ca="1" si="857"/>
        <v>0.19816287492804485</v>
      </c>
      <c r="W652" s="41">
        <f t="shared" ca="1" si="857"/>
        <v>0.1907394709582888</v>
      </c>
      <c r="X652" s="41">
        <f t="shared" ca="1" si="857"/>
        <v>0.17522771925888914</v>
      </c>
      <c r="Y652" s="41">
        <f t="shared" ca="1" si="857"/>
        <v>0.16426362593394273</v>
      </c>
      <c r="Z652" s="41">
        <f t="shared" ca="1" si="857"/>
        <v>0.14025688097647682</v>
      </c>
      <c r="AA652" s="41">
        <f t="shared" ca="1" si="857"/>
        <v>0.13279292979783497</v>
      </c>
      <c r="AB652" s="41">
        <f t="shared" ca="1" si="857"/>
        <v>0.12374860529191678</v>
      </c>
      <c r="AC652" s="323">
        <f t="shared" ca="1" si="857"/>
        <v>0.12967204548436961</v>
      </c>
      <c r="AD652" s="323">
        <f t="shared" ca="1" si="857"/>
        <v>0.11793378605766502</v>
      </c>
      <c r="AE652" s="323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  <c r="BL652" s="6"/>
      <c r="BM652" s="6"/>
      <c r="BN652" s="6"/>
      <c r="BO652" s="6"/>
      <c r="BP652" s="6"/>
      <c r="BQ652" s="6"/>
      <c r="BR652" s="6"/>
      <c r="BS652" s="6"/>
      <c r="BT652" s="6"/>
      <c r="BU652" s="6"/>
      <c r="BV652" s="6"/>
      <c r="BW652" s="6"/>
      <c r="BX652" s="6"/>
      <c r="BY652" s="6"/>
      <c r="BZ652" s="6"/>
      <c r="CA652" s="6"/>
      <c r="CB652" s="6"/>
      <c r="CC652" s="6"/>
      <c r="CD652" s="6"/>
      <c r="CE652" s="6"/>
      <c r="CF652" s="5"/>
      <c r="CH652" s="5" t="s">
        <v>562</v>
      </c>
    </row>
    <row r="653" spans="2:86" outlineLevel="1">
      <c r="B653" s="323" t="s">
        <v>745</v>
      </c>
      <c r="C653" s="323">
        <f>-C651/(Model!C308+Model!C313)</f>
        <v>0</v>
      </c>
      <c r="D653" s="323">
        <f>-D651/(Model!D308+Model!D313)</f>
        <v>0</v>
      </c>
      <c r="E653" s="323">
        <f>-E651/(Model!E308+Model!E313)</f>
        <v>0</v>
      </c>
      <c r="F653" s="323">
        <f>-F651/(Model!F308+Model!F313)</f>
        <v>0</v>
      </c>
      <c r="G653" s="323">
        <f>-G651/(Model!G308+Model!G313)</f>
        <v>0</v>
      </c>
      <c r="H653" s="323">
        <f>-H651/(Model!H308+Model!H313)</f>
        <v>7.074014674406226E-2</v>
      </c>
      <c r="I653" s="323">
        <f>-I651/(Model!I308+Model!I313)</f>
        <v>6.2465956187183216E-2</v>
      </c>
      <c r="J653" s="323">
        <f>-J651/(Model!J308+Model!J313)</f>
        <v>8.2408489497661136E-2</v>
      </c>
      <c r="K653" s="323">
        <f>-K651/(Model!K308+Model!K313)</f>
        <v>6.4253815816577881E-2</v>
      </c>
      <c r="L653" s="323">
        <f>-L651/(Model!L308+Model!L313)</f>
        <v>0.10036565547028968</v>
      </c>
      <c r="M653" s="323">
        <f>-M651/(Model!M308+Model!M313)</f>
        <v>8.7164245187207598E-2</v>
      </c>
      <c r="N653" s="323">
        <f>-N651/(Model!N308+Model!N313)</f>
        <v>5.9834960299819578E-2</v>
      </c>
      <c r="O653" s="323">
        <f>-O651/(Model!O308+Model!O313)</f>
        <v>6.5627212981308899E-2</v>
      </c>
      <c r="P653" s="323">
        <f>-P651/(Model!P308+Model!P313)</f>
        <v>5.6645679585992169E-2</v>
      </c>
      <c r="Q653" s="41">
        <f>-Q651/(Model!Q308+Model!Q313)</f>
        <v>7.004228209105165E-2</v>
      </c>
      <c r="R653" s="323">
        <f>-R651/(Model!R308+Model!R313)</f>
        <v>0.11379156382932372</v>
      </c>
      <c r="S653" s="323">
        <f>-S651/(Model!S308)</f>
        <v>0.53035163701516685</v>
      </c>
      <c r="T653" s="323">
        <f>-T651/(Model!T308)</f>
        <v>0.74060222549227084</v>
      </c>
      <c r="U653" s="42">
        <v>0.12</v>
      </c>
      <c r="V653" s="42">
        <v>0.12</v>
      </c>
      <c r="W653" s="42">
        <v>0.12</v>
      </c>
      <c r="X653" s="42">
        <v>0.12</v>
      </c>
      <c r="Y653" s="42">
        <v>0.12</v>
      </c>
      <c r="Z653" s="42">
        <v>0.12</v>
      </c>
      <c r="AA653" s="42">
        <v>0.12</v>
      </c>
      <c r="AB653" s="42">
        <v>0.12</v>
      </c>
      <c r="AC653" s="42">
        <v>0.12</v>
      </c>
      <c r="AD653" s="42">
        <v>0.12</v>
      </c>
      <c r="AE653" s="42"/>
      <c r="AF653" s="323">
        <f>-AF651/(Model!AF308+Model!AF313)</f>
        <v>0</v>
      </c>
      <c r="AG653" s="323">
        <f>-AG651/(Model!AG308+Model!AG313)</f>
        <v>0</v>
      </c>
      <c r="AH653" s="323">
        <f>-AH651/(Model!AH308+Model!AH313)</f>
        <v>0</v>
      </c>
      <c r="AI653" s="323">
        <f>-AI651/(Model!AI308+Model!AI313)</f>
        <v>0</v>
      </c>
      <c r="AJ653" s="323">
        <f>-AJ651/(Model!AJ308+Model!AJ313)</f>
        <v>0</v>
      </c>
      <c r="AK653" s="323">
        <f>-AK651/(Model!AK308+Model!AK313)</f>
        <v>0</v>
      </c>
      <c r="AL653" s="323">
        <f>-AL651/(Model!AL308+Model!AL313)</f>
        <v>0</v>
      </c>
      <c r="AM653" s="323">
        <f>-AM651/(Model!AM308+Model!AM313)</f>
        <v>0</v>
      </c>
      <c r="AN653" s="323">
        <f>-AN651/(Model!AN308+Model!AN313)</f>
        <v>0</v>
      </c>
      <c r="AO653" s="323">
        <f>-AO651/(Model!AO308+Model!AO313)</f>
        <v>0</v>
      </c>
      <c r="AP653" s="323">
        <f>-AP651/(Model!AP308+Model!AP313)</f>
        <v>0</v>
      </c>
      <c r="AQ653" s="323">
        <f>-AQ651/(Model!AQ308+Model!AQ313)</f>
        <v>0</v>
      </c>
      <c r="AR653" s="323">
        <f>-AR651/(Model!AR308+Model!AR313)</f>
        <v>0</v>
      </c>
      <c r="AS653" s="323">
        <f>-AS651/(Model!AS308+Model!AS313)</f>
        <v>0</v>
      </c>
      <c r="AT653" s="323">
        <f>-AT651/(Model!AT308+Model!AT313)</f>
        <v>0</v>
      </c>
      <c r="AU653" s="323">
        <f>-AU651/(Model!AU308+Model!AU313)</f>
        <v>0</v>
      </c>
      <c r="AV653" s="323">
        <f>-AV651/(Model!AV308+Model!AV313)</f>
        <v>0</v>
      </c>
      <c r="AW653" s="323">
        <f>-AW651/(Model!AW308+Model!AW313)</f>
        <v>0</v>
      </c>
      <c r="AX653" s="323">
        <f>-AX651/(Model!AX308+Model!AX313)</f>
        <v>0</v>
      </c>
      <c r="AY653" s="323">
        <f>-AY651/(Model!AY308+Model!AY313)</f>
        <v>0.20931132392982646</v>
      </c>
      <c r="AZ653" s="323">
        <f>-AZ651/(Model!AZ308+Model!AZ313)</f>
        <v>0</v>
      </c>
      <c r="BA653" s="323">
        <f>-BA651/(Model!BA308+Model!BA313)</f>
        <v>0</v>
      </c>
      <c r="BB653" s="323">
        <f>-BB651/(Model!BB308+Model!BB313)</f>
        <v>0</v>
      </c>
      <c r="BC653" s="323">
        <f>-BC651/(Model!BC308+Model!BC313)</f>
        <v>0.23431689034466391</v>
      </c>
      <c r="BD653" s="323">
        <f>-BD651/(Model!BD308+Model!BD313)</f>
        <v>0.2060243820909331</v>
      </c>
      <c r="BE653" s="323">
        <f>-BE651/(Model!BE308+Model!BE313)</f>
        <v>0.25265484564560015</v>
      </c>
      <c r="BF653" s="323">
        <f>-BF651/(Model!BF308+Model!BF313)</f>
        <v>0.23474961455730395</v>
      </c>
      <c r="BG653" s="323">
        <f>-BG651/(Model!BG308+Model!BG313)</f>
        <v>0.20489009735471178</v>
      </c>
      <c r="BH653" s="323">
        <f>-BH651/(Model!BH308+Model!BH313)</f>
        <v>0.16303317587178173</v>
      </c>
      <c r="BI653" s="323">
        <f>-BI651/(Model!BI308+Model!BI313)</f>
        <v>0.18451212284691842</v>
      </c>
      <c r="BJ653" s="323">
        <f>-BJ651/(Model!BJ308+Model!BJ313)</f>
        <v>0.1683043016628944</v>
      </c>
      <c r="BK653" s="323">
        <f>-BK651/(Model!BK308+Model!BK313)</f>
        <v>0.22692762627355093</v>
      </c>
      <c r="BL653" s="323">
        <f>-BL651/(Model!BL308+Model!BL313)</f>
        <v>0.20815034655105827</v>
      </c>
      <c r="BM653" s="323">
        <f>-BM651/(Model!BM308+Model!BM313)</f>
        <v>0.28147938550832041</v>
      </c>
      <c r="BN653" s="323">
        <f>-BN651/(Model!BN308+Model!BN313)</f>
        <v>0.27720292145949893</v>
      </c>
      <c r="BO653" s="323">
        <f>-BO651/(Model!BO308+Model!BO313)</f>
        <v>0.4306409071528155</v>
      </c>
      <c r="BP653" s="323">
        <f>-BP651/(Model!BP308+Model!BP313)</f>
        <v>0.17484093140199006</v>
      </c>
      <c r="BQ653" s="323">
        <f>-BQ651/(Model!BQ308+Model!BQ313)</f>
        <v>0.2320647856314757</v>
      </c>
      <c r="BR653" s="323">
        <f>-BR651/(Model!BR308+Model!BR313)</f>
        <v>0.32555892985969614</v>
      </c>
      <c r="BS653" s="323">
        <f>-BS651/(Model!BS308+Model!BS313)</f>
        <v>0.5161491213336048</v>
      </c>
      <c r="BT653" s="323">
        <f>-BT651/(Model!BT308+Model!BT313)</f>
        <v>0.42965516701185386</v>
      </c>
      <c r="BU653" s="323">
        <f>-BU651/(Model!BU308+Model!BU313)</f>
        <v>0.44675576542547396</v>
      </c>
      <c r="BV653" s="323"/>
      <c r="BW653" s="323"/>
      <c r="BX653" s="323"/>
      <c r="BY653" s="323"/>
      <c r="BZ653" s="323"/>
      <c r="CA653" s="323"/>
      <c r="CB653" s="323"/>
      <c r="CC653" s="323"/>
      <c r="CD653" s="323"/>
      <c r="CE653" s="323"/>
      <c r="CF653" s="323"/>
      <c r="CH653" s="5" t="s">
        <v>562</v>
      </c>
    </row>
    <row r="654" spans="2:86" outlineLevel="1">
      <c r="B654" s="12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H654" s="5" t="s">
        <v>562</v>
      </c>
    </row>
    <row r="655" spans="2:86" outlineLevel="1">
      <c r="B655" s="20" t="s">
        <v>195</v>
      </c>
      <c r="C655" s="20">
        <f t="shared" ref="C655:S655" si="858">C546</f>
        <v>0</v>
      </c>
      <c r="D655" s="20">
        <f t="shared" si="858"/>
        <v>0</v>
      </c>
      <c r="E655" s="20">
        <f t="shared" si="858"/>
        <v>0</v>
      </c>
      <c r="F655" s="20">
        <f t="shared" si="858"/>
        <v>0</v>
      </c>
      <c r="G655" s="20">
        <f t="shared" si="858"/>
        <v>0</v>
      </c>
      <c r="H655" s="20">
        <f t="shared" si="858"/>
        <v>16.050032000000002</v>
      </c>
      <c r="I655" s="20">
        <f t="shared" si="858"/>
        <v>34.913392000000002</v>
      </c>
      <c r="J655" s="20">
        <f t="shared" si="858"/>
        <v>49.079149000000001</v>
      </c>
      <c r="K655" s="20">
        <f t="shared" si="858"/>
        <v>54.745685999999999</v>
      </c>
      <c r="L655" s="20">
        <f t="shared" si="858"/>
        <v>142.25669500000001</v>
      </c>
      <c r="M655" s="20">
        <f t="shared" si="858"/>
        <v>161.77224100000001</v>
      </c>
      <c r="N655" s="588">
        <f t="shared" si="858"/>
        <v>220.60412299999999</v>
      </c>
      <c r="O655" s="588">
        <f t="shared" si="858"/>
        <v>216.45600999999999</v>
      </c>
      <c r="P655" s="588">
        <f t="shared" si="858"/>
        <v>315.29965600000003</v>
      </c>
      <c r="Q655" s="588">
        <f t="shared" si="858"/>
        <v>339.45231899999999</v>
      </c>
      <c r="R655" s="588">
        <f t="shared" si="858"/>
        <v>1641.3794250000001</v>
      </c>
      <c r="S655" s="588">
        <f t="shared" si="858"/>
        <v>1084.2414289999999</v>
      </c>
      <c r="T655" s="588">
        <f>T546</f>
        <v>927.46308899999997</v>
      </c>
      <c r="U655" s="20">
        <f ca="1">-U657*Model!U320</f>
        <v>447.00823997643414</v>
      </c>
      <c r="V655" s="20">
        <f ca="1">-V657*Model!V320</f>
        <v>811.62821979665421</v>
      </c>
      <c r="W655" s="20">
        <f ca="1">-W657*Model!W320</f>
        <v>675.83111531531574</v>
      </c>
      <c r="X655" s="20">
        <f ca="1">-X657*Model!X320</f>
        <v>751.72038007237961</v>
      </c>
      <c r="Y655" s="20">
        <f ca="1">-Y657*Model!Y320</f>
        <v>669.83760892588919</v>
      </c>
      <c r="Z655" s="20">
        <f ca="1">-Z657*Model!Z320</f>
        <v>696.83591396264796</v>
      </c>
      <c r="AA655" s="20">
        <f ca="1">-AA657*Model!AA320</f>
        <v>718.46356457535285</v>
      </c>
      <c r="AB655" s="20">
        <f ca="1">-AB657*Model!AB320</f>
        <v>749.02068900335337</v>
      </c>
      <c r="AC655" s="20">
        <f ca="1">-AC657*Model!AC320</f>
        <v>730.76395196700321</v>
      </c>
      <c r="AD655" s="20">
        <f ca="1">-AD657*Model!AD320</f>
        <v>730.95142611199276</v>
      </c>
      <c r="AE655" s="20"/>
      <c r="AF655" s="20">
        <f t="shared" ref="AF655:BU655" si="859">AF546</f>
        <v>0</v>
      </c>
      <c r="AG655" s="20">
        <f t="shared" si="859"/>
        <v>0</v>
      </c>
      <c r="AH655" s="20">
        <f t="shared" si="859"/>
        <v>0</v>
      </c>
      <c r="AI655" s="20">
        <f t="shared" si="859"/>
        <v>0</v>
      </c>
      <c r="AJ655" s="20">
        <f t="shared" si="859"/>
        <v>0</v>
      </c>
      <c r="AK655" s="20">
        <f t="shared" si="859"/>
        <v>0</v>
      </c>
      <c r="AL655" s="20">
        <f t="shared" si="859"/>
        <v>0</v>
      </c>
      <c r="AM655" s="20">
        <f t="shared" si="859"/>
        <v>0</v>
      </c>
      <c r="AN655" s="20">
        <f t="shared" si="859"/>
        <v>0</v>
      </c>
      <c r="AO655" s="20">
        <f t="shared" si="859"/>
        <v>0</v>
      </c>
      <c r="AP655" s="20">
        <f t="shared" si="859"/>
        <v>0</v>
      </c>
      <c r="AQ655" s="20">
        <f t="shared" si="859"/>
        <v>0</v>
      </c>
      <c r="AR655" s="20">
        <f t="shared" si="859"/>
        <v>0</v>
      </c>
      <c r="AS655" s="20">
        <f t="shared" si="859"/>
        <v>0</v>
      </c>
      <c r="AT655" s="20">
        <f t="shared" si="859"/>
        <v>0</v>
      </c>
      <c r="AU655" s="20">
        <f t="shared" si="859"/>
        <v>0</v>
      </c>
      <c r="AV655" s="20">
        <f t="shared" si="859"/>
        <v>0</v>
      </c>
      <c r="AW655" s="20">
        <f t="shared" si="859"/>
        <v>0</v>
      </c>
      <c r="AX655" s="20">
        <f t="shared" si="859"/>
        <v>0</v>
      </c>
      <c r="AY655" s="20">
        <f t="shared" si="859"/>
        <v>220.60412299999999</v>
      </c>
      <c r="AZ655" s="20">
        <f t="shared" si="859"/>
        <v>0</v>
      </c>
      <c r="BA655" s="20">
        <f t="shared" si="859"/>
        <v>0</v>
      </c>
      <c r="BB655" s="20">
        <f t="shared" si="859"/>
        <v>0</v>
      </c>
      <c r="BC655" s="20">
        <f t="shared" si="859"/>
        <v>216.45600999999999</v>
      </c>
      <c r="BD655" s="20">
        <f t="shared" si="859"/>
        <v>216.03459599999999</v>
      </c>
      <c r="BE655" s="20">
        <f t="shared" si="859"/>
        <v>265.93026099999997</v>
      </c>
      <c r="BF655" s="20">
        <f t="shared" si="859"/>
        <v>317.40009300000003</v>
      </c>
      <c r="BG655" s="20">
        <f t="shared" si="859"/>
        <v>315.29965600000003</v>
      </c>
      <c r="BH655" s="20">
        <f t="shared" si="859"/>
        <v>385.22609699999998</v>
      </c>
      <c r="BI655" s="20">
        <f t="shared" si="859"/>
        <v>363.28481299999999</v>
      </c>
      <c r="BJ655" s="20">
        <f t="shared" si="859"/>
        <v>366.278593</v>
      </c>
      <c r="BK655" s="20">
        <f t="shared" si="859"/>
        <v>339.45231899999999</v>
      </c>
      <c r="BL655" s="20">
        <f t="shared" si="859"/>
        <v>429.76960800000001</v>
      </c>
      <c r="BM655" s="20">
        <f t="shared" si="859"/>
        <v>416.53945800000002</v>
      </c>
      <c r="BN655" s="20">
        <f t="shared" si="859"/>
        <v>549.25805500000001</v>
      </c>
      <c r="BO655" s="20">
        <f t="shared" si="859"/>
        <v>1641.3794250000001</v>
      </c>
      <c r="BP655" s="20">
        <f t="shared" si="859"/>
        <v>1326.151122</v>
      </c>
      <c r="BQ655" s="20">
        <f t="shared" si="859"/>
        <v>934.73313199999996</v>
      </c>
      <c r="BR655" s="20">
        <f t="shared" si="859"/>
        <v>987.20797300000004</v>
      </c>
      <c r="BS655" s="20">
        <f t="shared" si="859"/>
        <v>1084.2414289999999</v>
      </c>
      <c r="BT655" s="20">
        <f t="shared" si="859"/>
        <v>669.15453600000001</v>
      </c>
      <c r="BU655" s="20">
        <f t="shared" si="859"/>
        <v>928.723072</v>
      </c>
      <c r="BV655" s="20"/>
      <c r="BW655" s="20"/>
      <c r="BX655" s="20"/>
      <c r="BY655" s="20"/>
      <c r="BZ655" s="20"/>
      <c r="CA655" s="20"/>
      <c r="CB655" s="20"/>
      <c r="CC655" s="20"/>
      <c r="CD655" s="20"/>
      <c r="CE655" s="20"/>
      <c r="CF655" s="20"/>
      <c r="CG655" s="90"/>
      <c r="CH655" s="47" t="s">
        <v>562</v>
      </c>
    </row>
    <row r="656" spans="2:86" outlineLevel="1">
      <c r="B656" s="56" t="s">
        <v>82</v>
      </c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41">
        <f t="shared" ref="N656:AD656" si="860">N655/M655-1</f>
        <v>0.36367105775582331</v>
      </c>
      <c r="O656" s="41">
        <f t="shared" si="860"/>
        <v>-1.8803424630463472E-2</v>
      </c>
      <c r="P656" s="41">
        <f t="shared" si="860"/>
        <v>0.45664542185730972</v>
      </c>
      <c r="Q656" s="41">
        <f t="shared" si="860"/>
        <v>7.660224976585428E-2</v>
      </c>
      <c r="R656" s="41">
        <f t="shared" si="860"/>
        <v>3.8353754949601626</v>
      </c>
      <c r="S656" s="323">
        <f t="shared" si="860"/>
        <v>-0.33943278897869711</v>
      </c>
      <c r="T656" s="323">
        <f t="shared" si="860"/>
        <v>-0.14459726017349961</v>
      </c>
      <c r="U656" s="41">
        <f t="shared" ca="1" si="860"/>
        <v>-0.51803123458163403</v>
      </c>
      <c r="V656" s="41">
        <f t="shared" ca="1" si="860"/>
        <v>0.81568961645861937</v>
      </c>
      <c r="W656" s="41">
        <f t="shared" ca="1" si="860"/>
        <v>-0.16731441954465454</v>
      </c>
      <c r="X656" s="41">
        <f t="shared" ca="1" si="860"/>
        <v>0.11229027938682123</v>
      </c>
      <c r="Y656" s="41">
        <f t="shared" ca="1" si="860"/>
        <v>-0.10892716669276192</v>
      </c>
      <c r="Z656" s="41">
        <f t="shared" ca="1" si="860"/>
        <v>4.0305746761594374E-2</v>
      </c>
      <c r="AA656" s="41">
        <f t="shared" ca="1" si="860"/>
        <v>3.1036934491100565E-2</v>
      </c>
      <c r="AB656" s="41">
        <f t="shared" ca="1" si="860"/>
        <v>4.2531209562535421E-2</v>
      </c>
      <c r="AC656" s="323">
        <f t="shared" ca="1" si="860"/>
        <v>-2.4374142536226273E-2</v>
      </c>
      <c r="AD656" s="323">
        <f t="shared" ca="1" si="860"/>
        <v>2.5654542001540825E-4</v>
      </c>
      <c r="AE656" s="323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  <c r="BL656" s="6"/>
      <c r="BM656" s="6"/>
      <c r="BN656" s="6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  <c r="BZ656" s="6"/>
      <c r="CA656" s="6"/>
      <c r="CB656" s="6"/>
      <c r="CC656" s="6"/>
      <c r="CD656" s="6"/>
      <c r="CE656" s="6"/>
      <c r="CF656" s="5"/>
      <c r="CH656" s="5" t="s">
        <v>562</v>
      </c>
    </row>
    <row r="657" spans="2:86" outlineLevel="1">
      <c r="B657" s="56" t="s">
        <v>746</v>
      </c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323">
        <f>-N655/Model!N320</f>
        <v>0.84140241540149563</v>
      </c>
      <c r="O657" s="323">
        <f>-O655/Model!O320</f>
        <v>0.73493016690182644</v>
      </c>
      <c r="P657" s="323">
        <f>-P655/Model!P320</f>
        <v>1.0733958955760934</v>
      </c>
      <c r="Q657" s="323">
        <f>-Q655/Model!Q320</f>
        <v>2.594781527538252</v>
      </c>
      <c r="R657" s="41">
        <f>-R655/Model!R320</f>
        <v>3.4908971482694291</v>
      </c>
      <c r="S657" s="323">
        <f>-S655/Model!S320</f>
        <v>2.2682446442387625</v>
      </c>
      <c r="T657" s="323">
        <f>-T655/Model!T320</f>
        <v>0.72428440781095016</v>
      </c>
      <c r="U657" s="42">
        <v>0.5</v>
      </c>
      <c r="V657" s="42">
        <v>0.5</v>
      </c>
      <c r="W657" s="42">
        <v>0.3</v>
      </c>
      <c r="X657" s="42">
        <f>W657-5%</f>
        <v>0.25</v>
      </c>
      <c r="Y657" s="42">
        <v>0.17</v>
      </c>
      <c r="Z657" s="42">
        <v>0.14499999999999999</v>
      </c>
      <c r="AA657" s="42">
        <f>Z657-2%</f>
        <v>0.12499999999999999</v>
      </c>
      <c r="AB657" s="42">
        <f>AA657-1.5%</f>
        <v>0.10999999999999999</v>
      </c>
      <c r="AC657" s="42">
        <f>AB657-1.5%</f>
        <v>9.4999999999999987E-2</v>
      </c>
      <c r="AD657" s="42">
        <f>AC657-1%</f>
        <v>8.4999999999999992E-2</v>
      </c>
      <c r="AE657" s="42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  <c r="BL657" s="6"/>
      <c r="BM657" s="6"/>
      <c r="BN657" s="6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  <c r="BZ657" s="6"/>
      <c r="CA657" s="6"/>
      <c r="CB657" s="6"/>
      <c r="CC657" s="6"/>
      <c r="CD657" s="6"/>
      <c r="CE657" s="6"/>
      <c r="CF657" s="5"/>
      <c r="CH657" s="5" t="s">
        <v>562</v>
      </c>
    </row>
    <row r="658" spans="2:86" outlineLevel="1"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  <c r="BL658" s="6"/>
      <c r="BM658" s="6"/>
      <c r="BN658" s="6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  <c r="BZ658" s="6"/>
      <c r="CA658" s="6"/>
      <c r="CB658" s="6"/>
      <c r="CC658" s="6"/>
      <c r="CD658" s="6"/>
      <c r="CE658" s="6"/>
      <c r="CF658" s="5"/>
      <c r="CH658" s="5" t="s">
        <v>562</v>
      </c>
    </row>
    <row r="659" spans="2:86" outlineLevel="1">
      <c r="B659" s="20" t="s">
        <v>197</v>
      </c>
      <c r="C659" s="20">
        <f t="shared" ref="C659:S659" si="861">C547</f>
        <v>0</v>
      </c>
      <c r="D659" s="20">
        <f t="shared" si="861"/>
        <v>0</v>
      </c>
      <c r="E659" s="20">
        <f t="shared" si="861"/>
        <v>0</v>
      </c>
      <c r="F659" s="20">
        <f t="shared" si="861"/>
        <v>0</v>
      </c>
      <c r="G659" s="20">
        <f t="shared" si="861"/>
        <v>0</v>
      </c>
      <c r="H659" s="20">
        <f t="shared" si="861"/>
        <v>28.172743000000001</v>
      </c>
      <c r="I659" s="20">
        <f t="shared" si="861"/>
        <v>38.178865999999999</v>
      </c>
      <c r="J659" s="20">
        <f t="shared" si="861"/>
        <v>96.672341000000003</v>
      </c>
      <c r="K659" s="20">
        <f t="shared" si="861"/>
        <v>187.57641599999999</v>
      </c>
      <c r="L659" s="20">
        <f t="shared" si="861"/>
        <v>276.79204900000002</v>
      </c>
      <c r="M659" s="20">
        <f t="shared" si="861"/>
        <v>595.73715200000004</v>
      </c>
      <c r="N659" s="588">
        <f t="shared" si="861"/>
        <v>1090.8520659999999</v>
      </c>
      <c r="O659" s="588">
        <f t="shared" si="861"/>
        <v>1414.865769</v>
      </c>
      <c r="P659" s="588">
        <f t="shared" si="861"/>
        <v>2451.93145</v>
      </c>
      <c r="Q659" s="588">
        <f t="shared" si="861"/>
        <v>3937.4775220000001</v>
      </c>
      <c r="R659" s="588">
        <f t="shared" si="861"/>
        <v>5955.8273060000001</v>
      </c>
      <c r="S659" s="588">
        <f t="shared" si="861"/>
        <v>8190.8400570000003</v>
      </c>
      <c r="T659" s="588">
        <f>T547</f>
        <v>7867.5325290000001</v>
      </c>
      <c r="U659" s="20">
        <f ca="1">U661*Model!U305</f>
        <v>9356.2689231045752</v>
      </c>
      <c r="V659" s="20">
        <f ca="1">V661*Model!V305</f>
        <v>11759.091683398845</v>
      </c>
      <c r="W659" s="20">
        <f ca="1">W661*Model!W305</f>
        <v>14370.488678725622</v>
      </c>
      <c r="X659" s="20">
        <f ca="1">X661*Model!X305</f>
        <v>17302.532826557304</v>
      </c>
      <c r="Y659" s="20">
        <f ca="1">Y661*Model!Y305</f>
        <v>20650.858089063775</v>
      </c>
      <c r="Z659" s="20">
        <f ca="1">Z661*Model!Z305</f>
        <v>23907.700631584783</v>
      </c>
      <c r="AA659" s="20">
        <f ca="1">AA661*Model!AA305</f>
        <v>27432.377011182241</v>
      </c>
      <c r="AB659" s="20">
        <f ca="1">AB661*Model!AB305</f>
        <v>31230.591419327706</v>
      </c>
      <c r="AC659" s="20">
        <f ca="1">AC661*Model!AC305</f>
        <v>35280.326090358525</v>
      </c>
      <c r="AD659" s="20">
        <f ca="1">AD661*Model!AD305</f>
        <v>39441.068519543522</v>
      </c>
      <c r="AE659" s="20"/>
      <c r="AF659" s="20">
        <f t="shared" ref="AF659:BU659" si="862">AF547</f>
        <v>0</v>
      </c>
      <c r="AG659" s="20">
        <f t="shared" si="862"/>
        <v>0</v>
      </c>
      <c r="AH659" s="20">
        <f t="shared" si="862"/>
        <v>0</v>
      </c>
      <c r="AI659" s="20">
        <f t="shared" si="862"/>
        <v>0</v>
      </c>
      <c r="AJ659" s="20">
        <f t="shared" si="862"/>
        <v>0</v>
      </c>
      <c r="AK659" s="20">
        <f t="shared" si="862"/>
        <v>0</v>
      </c>
      <c r="AL659" s="20">
        <f t="shared" si="862"/>
        <v>0</v>
      </c>
      <c r="AM659" s="20">
        <f t="shared" si="862"/>
        <v>0</v>
      </c>
      <c r="AN659" s="20">
        <f t="shared" si="862"/>
        <v>0</v>
      </c>
      <c r="AO659" s="20">
        <f t="shared" si="862"/>
        <v>0</v>
      </c>
      <c r="AP659" s="20">
        <f t="shared" si="862"/>
        <v>0</v>
      </c>
      <c r="AQ659" s="20">
        <f t="shared" si="862"/>
        <v>0</v>
      </c>
      <c r="AR659" s="20">
        <f t="shared" si="862"/>
        <v>0</v>
      </c>
      <c r="AS659" s="20">
        <f t="shared" si="862"/>
        <v>0</v>
      </c>
      <c r="AT659" s="20">
        <f t="shared" si="862"/>
        <v>0</v>
      </c>
      <c r="AU659" s="20">
        <f t="shared" si="862"/>
        <v>0</v>
      </c>
      <c r="AV659" s="20">
        <f t="shared" si="862"/>
        <v>0</v>
      </c>
      <c r="AW659" s="20">
        <f t="shared" si="862"/>
        <v>0</v>
      </c>
      <c r="AX659" s="20">
        <f t="shared" si="862"/>
        <v>0</v>
      </c>
      <c r="AY659" s="20">
        <f t="shared" si="862"/>
        <v>1090.8520659999999</v>
      </c>
      <c r="AZ659" s="20">
        <f t="shared" si="862"/>
        <v>0</v>
      </c>
      <c r="BA659" s="20">
        <f t="shared" si="862"/>
        <v>0</v>
      </c>
      <c r="BB659" s="20">
        <f t="shared" si="862"/>
        <v>0</v>
      </c>
      <c r="BC659" s="20">
        <f t="shared" si="862"/>
        <v>1414.865769</v>
      </c>
      <c r="BD659" s="20">
        <f t="shared" si="862"/>
        <v>1330.8906480000001</v>
      </c>
      <c r="BE659" s="20">
        <f t="shared" si="862"/>
        <v>1834.217371</v>
      </c>
      <c r="BF659" s="20">
        <f t="shared" si="862"/>
        <v>1932.614867</v>
      </c>
      <c r="BG659" s="20">
        <f t="shared" si="862"/>
        <v>2451.93145</v>
      </c>
      <c r="BH659" s="20">
        <f t="shared" si="862"/>
        <v>2082.3980769999998</v>
      </c>
      <c r="BI659" s="20">
        <f t="shared" si="862"/>
        <v>3071.9031559999999</v>
      </c>
      <c r="BJ659" s="20">
        <f t="shared" si="862"/>
        <v>3381.7529989999998</v>
      </c>
      <c r="BK659" s="20">
        <f t="shared" si="862"/>
        <v>3937.4775220000001</v>
      </c>
      <c r="BL659" s="20">
        <f t="shared" si="862"/>
        <v>3375.4656190000001</v>
      </c>
      <c r="BM659" s="20">
        <f t="shared" si="862"/>
        <v>4767.9229690000002</v>
      </c>
      <c r="BN659" s="20">
        <f t="shared" si="862"/>
        <v>5360.5713009999999</v>
      </c>
      <c r="BO659" s="20">
        <f t="shared" si="862"/>
        <v>5955.8273060000001</v>
      </c>
      <c r="BP659" s="20">
        <f t="shared" si="862"/>
        <v>4402.7318649999997</v>
      </c>
      <c r="BQ659" s="20">
        <f t="shared" si="862"/>
        <v>5468.0536099999999</v>
      </c>
      <c r="BR659" s="20">
        <f t="shared" si="862"/>
        <v>5725.9908400000004</v>
      </c>
      <c r="BS659" s="20">
        <f t="shared" si="862"/>
        <v>8190.8400570000003</v>
      </c>
      <c r="BT659" s="20">
        <f t="shared" si="862"/>
        <v>6275.6085460000004</v>
      </c>
      <c r="BU659" s="20">
        <f t="shared" si="862"/>
        <v>7782.8911239999998</v>
      </c>
      <c r="BV659" s="20"/>
      <c r="BW659" s="20"/>
      <c r="BX659" s="20"/>
      <c r="BY659" s="20"/>
      <c r="BZ659" s="20"/>
      <c r="CA659" s="20"/>
      <c r="CB659" s="20"/>
      <c r="CC659" s="20"/>
      <c r="CD659" s="20"/>
      <c r="CE659" s="20"/>
      <c r="CF659" s="20"/>
      <c r="CG659" s="88"/>
      <c r="CH659" s="89" t="s">
        <v>562</v>
      </c>
    </row>
    <row r="660" spans="2:86" outlineLevel="1">
      <c r="B660" s="13" t="s">
        <v>82</v>
      </c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41">
        <f t="shared" ref="N660:AD660" si="863">N659/M659-1</f>
        <v>0.83109625165697221</v>
      </c>
      <c r="O660" s="41">
        <f t="shared" si="863"/>
        <v>0.29702808758305088</v>
      </c>
      <c r="P660" s="41">
        <f t="shared" si="863"/>
        <v>0.7329781409108358</v>
      </c>
      <c r="Q660" s="41">
        <f t="shared" si="863"/>
        <v>0.60586770156237435</v>
      </c>
      <c r="R660" s="41">
        <f t="shared" si="863"/>
        <v>0.5125996968167581</v>
      </c>
      <c r="S660" s="323">
        <f t="shared" si="863"/>
        <v>0.37526486853445373</v>
      </c>
      <c r="T660" s="323">
        <f t="shared" si="863"/>
        <v>-3.9471839976132572E-2</v>
      </c>
      <c r="U660" s="41">
        <f t="shared" ca="1" si="863"/>
        <v>0.18922532428268202</v>
      </c>
      <c r="V660" s="41">
        <f t="shared" ca="1" si="863"/>
        <v>0.25681420446997705</v>
      </c>
      <c r="W660" s="41">
        <f t="shared" ca="1" si="863"/>
        <v>0.22207472019403274</v>
      </c>
      <c r="X660" s="41">
        <f t="shared" ca="1" si="863"/>
        <v>0.20403232022111695</v>
      </c>
      <c r="Y660" s="41">
        <f t="shared" ca="1" si="863"/>
        <v>0.19351648085690631</v>
      </c>
      <c r="Z660" s="41">
        <f t="shared" ca="1" si="863"/>
        <v>0.15770979241999439</v>
      </c>
      <c r="AA660" s="41">
        <f t="shared" ca="1" si="863"/>
        <v>0.14742849736628205</v>
      </c>
      <c r="AB660" s="41">
        <f t="shared" ca="1" si="863"/>
        <v>0.13845735667008374</v>
      </c>
      <c r="AC660" s="323">
        <f t="shared" ca="1" si="863"/>
        <v>0.12967204548436939</v>
      </c>
      <c r="AD660" s="323">
        <f t="shared" ca="1" si="863"/>
        <v>0.11793378605766502</v>
      </c>
      <c r="AE660" s="323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  <c r="BL660" s="6"/>
      <c r="BM660" s="6"/>
      <c r="BN660" s="6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  <c r="BZ660" s="6"/>
      <c r="CA660" s="6"/>
      <c r="CB660" s="6"/>
      <c r="CC660" s="6"/>
      <c r="CD660" s="6"/>
      <c r="CE660" s="6"/>
      <c r="CF660" s="5"/>
      <c r="CH660" s="5" t="s">
        <v>562</v>
      </c>
    </row>
    <row r="661" spans="2:86" outlineLevel="1">
      <c r="B661" s="323" t="s">
        <v>575</v>
      </c>
      <c r="C661" s="323">
        <v>0</v>
      </c>
      <c r="D661" s="323">
        <v>0</v>
      </c>
      <c r="E661" s="323">
        <v>0</v>
      </c>
      <c r="F661" s="323">
        <v>0</v>
      </c>
      <c r="G661" s="323">
        <v>0</v>
      </c>
      <c r="H661" s="323">
        <v>3.3779188436689735E-2</v>
      </c>
      <c r="I661" s="323">
        <v>2.9658596851526952E-2</v>
      </c>
      <c r="J661" s="323">
        <v>6.0870717687043788E-2</v>
      </c>
      <c r="K661" s="323">
        <v>8.8372652496379878E-2</v>
      </c>
      <c r="L661" s="323">
        <v>9.0256912565540012E-2</v>
      </c>
      <c r="M661" s="323">
        <v>0.1598734620965695</v>
      </c>
      <c r="N661" s="323">
        <v>0.27348347469186884</v>
      </c>
      <c r="O661" s="323">
        <v>0.28810621207171638</v>
      </c>
      <c r="P661" s="323">
        <v>0.37331823983966195</v>
      </c>
      <c r="Q661" s="323">
        <v>0.41319640681173875</v>
      </c>
      <c r="R661" s="41">
        <v>0.3801229953712375</v>
      </c>
      <c r="S661" s="323">
        <f>S659/(Model!S305)</f>
        <v>0.41392784491203621</v>
      </c>
      <c r="T661" s="323">
        <f>T659/(Model!T305)</f>
        <v>0.2916386836290138</v>
      </c>
      <c r="U661" s="42">
        <f t="shared" ref="U661:AD661" si="864">T661</f>
        <v>0.2916386836290138</v>
      </c>
      <c r="V661" s="42">
        <f t="shared" si="864"/>
        <v>0.2916386836290138</v>
      </c>
      <c r="W661" s="42">
        <f t="shared" si="864"/>
        <v>0.2916386836290138</v>
      </c>
      <c r="X661" s="42">
        <f t="shared" si="864"/>
        <v>0.2916386836290138</v>
      </c>
      <c r="Y661" s="42">
        <f t="shared" si="864"/>
        <v>0.2916386836290138</v>
      </c>
      <c r="Z661" s="42">
        <f t="shared" si="864"/>
        <v>0.2916386836290138</v>
      </c>
      <c r="AA661" s="42">
        <f t="shared" si="864"/>
        <v>0.2916386836290138</v>
      </c>
      <c r="AB661" s="42">
        <f t="shared" si="864"/>
        <v>0.2916386836290138</v>
      </c>
      <c r="AC661" s="42">
        <f t="shared" si="864"/>
        <v>0.2916386836290138</v>
      </c>
      <c r="AD661" s="42">
        <f t="shared" si="864"/>
        <v>0.2916386836290138</v>
      </c>
      <c r="AE661" s="42"/>
      <c r="AF661" s="323"/>
      <c r="AG661" s="323"/>
      <c r="AH661" s="323"/>
      <c r="AI661" s="323"/>
      <c r="AJ661" s="323"/>
      <c r="AK661" s="323"/>
      <c r="AL661" s="323"/>
      <c r="AM661" s="323"/>
      <c r="AN661" s="323"/>
      <c r="AO661" s="323"/>
      <c r="AP661" s="323"/>
      <c r="AQ661" s="323"/>
      <c r="AR661" s="323"/>
      <c r="AS661" s="323"/>
      <c r="AT661" s="323"/>
      <c r="AU661" s="323"/>
      <c r="AV661" s="323"/>
      <c r="AW661" s="323"/>
      <c r="AX661" s="323"/>
      <c r="AY661" s="323"/>
      <c r="AZ661" s="323"/>
      <c r="BA661" s="323"/>
      <c r="BB661" s="323"/>
      <c r="BC661" s="323"/>
      <c r="BD661" s="323"/>
      <c r="BE661" s="323"/>
      <c r="BF661" s="323"/>
      <c r="BG661" s="323"/>
      <c r="BH661" s="323"/>
      <c r="BI661" s="323"/>
      <c r="BJ661" s="323"/>
      <c r="BK661" s="323"/>
      <c r="BL661" s="323"/>
      <c r="BM661" s="323"/>
      <c r="BN661" s="323"/>
      <c r="BO661" s="323">
        <v>1.3766168678487449</v>
      </c>
      <c r="BP661" s="323">
        <v>0.81649082420484864</v>
      </c>
      <c r="BQ661" s="323">
        <v>0.98112789815252133</v>
      </c>
      <c r="BR661" s="323">
        <v>1.0102678593464889</v>
      </c>
      <c r="BS661" s="323">
        <v>1.5816223517208594</v>
      </c>
      <c r="BT661" s="323">
        <v>1.0232075425406828</v>
      </c>
      <c r="BU661" s="323">
        <v>1.2044904154657867</v>
      </c>
      <c r="BV661" s="323"/>
      <c r="BW661" s="323"/>
      <c r="BX661" s="323"/>
      <c r="BY661" s="323"/>
      <c r="BZ661" s="323"/>
      <c r="CA661" s="323"/>
      <c r="CB661" s="323"/>
      <c r="CC661" s="323"/>
      <c r="CD661" s="323"/>
      <c r="CE661" s="323"/>
      <c r="CF661" s="323"/>
      <c r="CH661" s="5" t="s">
        <v>562</v>
      </c>
    </row>
    <row r="662" spans="2:86" outlineLevel="1"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  <c r="BL662" s="6"/>
      <c r="BM662" s="6"/>
      <c r="BN662" s="6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  <c r="BZ662" s="6"/>
      <c r="CA662" s="6"/>
      <c r="CB662" s="6"/>
      <c r="CC662" s="6"/>
      <c r="CD662" s="6"/>
      <c r="CE662" s="6"/>
      <c r="CF662" s="5"/>
      <c r="CH662" s="5" t="s">
        <v>562</v>
      </c>
    </row>
    <row r="663" spans="2:86" outlineLevel="1">
      <c r="B663" s="20" t="s">
        <v>198</v>
      </c>
      <c r="C663" s="20">
        <f t="shared" ref="C663:S663" si="865">C548</f>
        <v>0</v>
      </c>
      <c r="D663" s="20">
        <f t="shared" si="865"/>
        <v>0</v>
      </c>
      <c r="E663" s="20">
        <f t="shared" si="865"/>
        <v>0</v>
      </c>
      <c r="F663" s="20">
        <f t="shared" si="865"/>
        <v>0</v>
      </c>
      <c r="G663" s="20">
        <f t="shared" si="865"/>
        <v>0</v>
      </c>
      <c r="H663" s="20">
        <f t="shared" si="865"/>
        <v>19.776192999999999</v>
      </c>
      <c r="I663" s="20">
        <f t="shared" si="865"/>
        <v>29.566711999999999</v>
      </c>
      <c r="J663" s="20">
        <f t="shared" si="865"/>
        <v>44.659657000000003</v>
      </c>
      <c r="K663" s="20">
        <f t="shared" si="865"/>
        <v>58.046061999999999</v>
      </c>
      <c r="L663" s="20">
        <f t="shared" si="865"/>
        <v>88.254996000000006</v>
      </c>
      <c r="M663" s="20">
        <f t="shared" si="865"/>
        <v>121.319301</v>
      </c>
      <c r="N663" s="588">
        <f t="shared" si="865"/>
        <v>161.83853099999999</v>
      </c>
      <c r="O663" s="588">
        <f t="shared" si="865"/>
        <v>217.54815300000001</v>
      </c>
      <c r="P663" s="588">
        <f t="shared" si="865"/>
        <v>284.66893499999998</v>
      </c>
      <c r="Q663" s="588">
        <f t="shared" si="865"/>
        <v>430.85290800000001</v>
      </c>
      <c r="R663" s="588">
        <f t="shared" si="865"/>
        <v>593.34681599999999</v>
      </c>
      <c r="S663" s="588">
        <f t="shared" si="865"/>
        <v>658.17067999999995</v>
      </c>
      <c r="T663" s="588">
        <f>T548</f>
        <v>609.62164299999995</v>
      </c>
      <c r="U663" s="20">
        <f ca="1">-U665*Model!U308</f>
        <v>1028.6585968241175</v>
      </c>
      <c r="V663" s="20">
        <f ca="1">-V665*Model!V308</f>
        <v>1277.6229391441329</v>
      </c>
      <c r="W663" s="20">
        <f ca="1">-W665*Model!W308</f>
        <v>1542.7631875839008</v>
      </c>
      <c r="X663" s="20">
        <f ca="1">-X665*Model!X308</f>
        <v>1857.5367402983704</v>
      </c>
      <c r="Y663" s="20">
        <f ca="1">-Y665*Model!Y308</f>
        <v>2217.0007133433205</v>
      </c>
      <c r="Z663" s="20">
        <f ca="1">-Z665*Model!Z308</f>
        <v>2535.7200207524497</v>
      </c>
      <c r="AA663" s="20">
        <f ca="1">-AA665*Model!AA308</f>
        <v>2909.5574131535814</v>
      </c>
      <c r="AB663" s="20">
        <f ca="1">-AB665*Model!AB308</f>
        <v>3312.4070416586724</v>
      </c>
      <c r="AC663" s="20">
        <f ca="1">-AC665*Model!AC308</f>
        <v>3741.9336382273814</v>
      </c>
      <c r="AD663" s="20">
        <f ca="1">-AD665*Model!AD308</f>
        <v>4183.2340393600689</v>
      </c>
      <c r="AE663" s="20"/>
      <c r="AF663" s="20">
        <f t="shared" ref="AF663:BU663" si="866">AF548</f>
        <v>0</v>
      </c>
      <c r="AG663" s="20">
        <f t="shared" si="866"/>
        <v>0</v>
      </c>
      <c r="AH663" s="20">
        <f t="shared" si="866"/>
        <v>0</v>
      </c>
      <c r="AI663" s="20">
        <f t="shared" si="866"/>
        <v>0</v>
      </c>
      <c r="AJ663" s="20">
        <f t="shared" si="866"/>
        <v>0</v>
      </c>
      <c r="AK663" s="20">
        <f t="shared" si="866"/>
        <v>0</v>
      </c>
      <c r="AL663" s="20">
        <f t="shared" si="866"/>
        <v>0</v>
      </c>
      <c r="AM663" s="20">
        <f t="shared" si="866"/>
        <v>0</v>
      </c>
      <c r="AN663" s="20">
        <f t="shared" si="866"/>
        <v>0</v>
      </c>
      <c r="AO663" s="20">
        <f t="shared" si="866"/>
        <v>0</v>
      </c>
      <c r="AP663" s="20">
        <f t="shared" si="866"/>
        <v>0</v>
      </c>
      <c r="AQ663" s="20">
        <f t="shared" si="866"/>
        <v>0</v>
      </c>
      <c r="AR663" s="20">
        <f t="shared" si="866"/>
        <v>0</v>
      </c>
      <c r="AS663" s="20">
        <f t="shared" si="866"/>
        <v>0</v>
      </c>
      <c r="AT663" s="20">
        <f t="shared" si="866"/>
        <v>0</v>
      </c>
      <c r="AU663" s="20">
        <f t="shared" si="866"/>
        <v>0</v>
      </c>
      <c r="AV663" s="20">
        <f t="shared" si="866"/>
        <v>0</v>
      </c>
      <c r="AW663" s="20">
        <f t="shared" si="866"/>
        <v>0</v>
      </c>
      <c r="AX663" s="20">
        <f t="shared" si="866"/>
        <v>0</v>
      </c>
      <c r="AY663" s="20">
        <f t="shared" si="866"/>
        <v>161.83853099999999</v>
      </c>
      <c r="AZ663" s="20">
        <f t="shared" si="866"/>
        <v>0</v>
      </c>
      <c r="BA663" s="20">
        <f t="shared" si="866"/>
        <v>0</v>
      </c>
      <c r="BB663" s="20">
        <f t="shared" si="866"/>
        <v>0</v>
      </c>
      <c r="BC663" s="20">
        <f t="shared" si="866"/>
        <v>217.54815300000001</v>
      </c>
      <c r="BD663" s="20">
        <f t="shared" si="866"/>
        <v>228.917574</v>
      </c>
      <c r="BE663" s="20">
        <f t="shared" si="866"/>
        <v>251.719921</v>
      </c>
      <c r="BF663" s="20">
        <f t="shared" si="866"/>
        <v>263.195944</v>
      </c>
      <c r="BG663" s="20">
        <f t="shared" si="866"/>
        <v>284.66893499999998</v>
      </c>
      <c r="BH663" s="20">
        <f t="shared" si="866"/>
        <v>326.35675600000002</v>
      </c>
      <c r="BI663" s="20">
        <f t="shared" si="866"/>
        <v>373.83876500000002</v>
      </c>
      <c r="BJ663" s="20">
        <f t="shared" si="866"/>
        <v>410.53609399999999</v>
      </c>
      <c r="BK663" s="20">
        <f t="shared" si="866"/>
        <v>430.85290800000001</v>
      </c>
      <c r="BL663" s="20">
        <f t="shared" si="866"/>
        <v>498.63996600000002</v>
      </c>
      <c r="BM663" s="20">
        <f t="shared" si="866"/>
        <v>542.97515499999997</v>
      </c>
      <c r="BN663" s="20">
        <f t="shared" si="866"/>
        <v>575.42030699999998</v>
      </c>
      <c r="BO663" s="20">
        <f t="shared" si="866"/>
        <v>593.34681599999999</v>
      </c>
      <c r="BP663" s="20">
        <f t="shared" si="866"/>
        <v>621.64490799999999</v>
      </c>
      <c r="BQ663" s="20">
        <f t="shared" si="866"/>
        <v>633.47683300000006</v>
      </c>
      <c r="BR663" s="20">
        <f t="shared" si="866"/>
        <v>658.40804700000001</v>
      </c>
      <c r="BS663" s="20">
        <f t="shared" si="866"/>
        <v>658.17067999999995</v>
      </c>
      <c r="BT663" s="20">
        <f t="shared" si="866"/>
        <v>643.18603599999994</v>
      </c>
      <c r="BU663" s="20">
        <f t="shared" si="866"/>
        <v>631.24868400000003</v>
      </c>
      <c r="BV663" s="20"/>
      <c r="BW663" s="20"/>
      <c r="BX663" s="20"/>
      <c r="BY663" s="20"/>
      <c r="BZ663" s="20"/>
      <c r="CA663" s="20"/>
      <c r="CB663" s="20"/>
      <c r="CC663" s="20"/>
      <c r="CD663" s="20"/>
      <c r="CE663" s="20"/>
      <c r="CF663" s="20"/>
      <c r="CG663" s="88"/>
      <c r="CH663" s="89" t="s">
        <v>562</v>
      </c>
    </row>
    <row r="664" spans="2:86" outlineLevel="1">
      <c r="B664" s="13" t="s">
        <v>82</v>
      </c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41">
        <f t="shared" ref="N664:AD664" si="867">N663/M663-1</f>
        <v>0.333988323918879</v>
      </c>
      <c r="O664" s="41">
        <f t="shared" si="867"/>
        <v>0.34422965690414009</v>
      </c>
      <c r="P664" s="41">
        <f t="shared" si="867"/>
        <v>0.30853298947566765</v>
      </c>
      <c r="Q664" s="41">
        <f t="shared" si="867"/>
        <v>0.51352274529006836</v>
      </c>
      <c r="R664" s="41">
        <f t="shared" si="867"/>
        <v>0.37714474007913612</v>
      </c>
      <c r="S664" s="323">
        <f t="shared" si="867"/>
        <v>0.10925122079023675</v>
      </c>
      <c r="T664" s="323">
        <f t="shared" si="867"/>
        <v>-7.3763597308831863E-2</v>
      </c>
      <c r="U664" s="41">
        <f t="shared" ca="1" si="867"/>
        <v>0.6873721736026317</v>
      </c>
      <c r="V664" s="41">
        <f t="shared" ca="1" si="867"/>
        <v>0.24202815500562425</v>
      </c>
      <c r="W664" s="41">
        <f t="shared" ca="1" si="867"/>
        <v>0.2075262116202945</v>
      </c>
      <c r="X664" s="41">
        <f t="shared" ca="1" si="867"/>
        <v>0.20403232022111695</v>
      </c>
      <c r="Y664" s="41">
        <f t="shared" ca="1" si="867"/>
        <v>0.19351648085690654</v>
      </c>
      <c r="Z664" s="41">
        <f t="shared" ca="1" si="867"/>
        <v>0.143761481667946</v>
      </c>
      <c r="AA664" s="41">
        <f t="shared" ca="1" si="867"/>
        <v>0.14742849736628227</v>
      </c>
      <c r="AB664" s="41">
        <f t="shared" ca="1" si="867"/>
        <v>0.13845735667008352</v>
      </c>
      <c r="AC664" s="323">
        <f t="shared" ca="1" si="867"/>
        <v>0.12967204548436939</v>
      </c>
      <c r="AD664" s="323">
        <f t="shared" ca="1" si="867"/>
        <v>0.1179337860576648</v>
      </c>
      <c r="AE664" s="323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  <c r="BL664" s="6"/>
      <c r="BM664" s="6"/>
      <c r="BN664" s="6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  <c r="BZ664" s="6"/>
      <c r="CA664" s="6"/>
      <c r="CB664" s="6"/>
      <c r="CC664" s="6"/>
      <c r="CD664" s="6"/>
      <c r="CE664" s="6"/>
      <c r="CF664" s="5"/>
      <c r="CH664" s="5" t="s">
        <v>562</v>
      </c>
    </row>
    <row r="665" spans="2:86" outlineLevel="1">
      <c r="B665" s="13" t="s">
        <v>636</v>
      </c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323">
        <f>-N663/Model!N308</f>
        <v>0.20100924623103994</v>
      </c>
      <c r="O665" s="323">
        <f>-O663/Model!O308</f>
        <v>0.20962615160930081</v>
      </c>
      <c r="P665" s="323">
        <f>-P663/Model!P308</f>
        <v>0.20527523458991975</v>
      </c>
      <c r="Q665" s="323">
        <f>-Q663/Model!Q308</f>
        <v>0.20510882254456875</v>
      </c>
      <c r="R665" s="41">
        <f>-R663/Model!R308</f>
        <v>0.19495927348251599</v>
      </c>
      <c r="S665" s="323">
        <f>-S663/Model!S308</f>
        <v>0.13915548459900562</v>
      </c>
      <c r="T665" s="323">
        <f>-T663/Model!T308</f>
        <v>0.1303109009405046</v>
      </c>
      <c r="U665" s="42">
        <v>0.19</v>
      </c>
      <c r="V665" s="42">
        <v>0.19</v>
      </c>
      <c r="W665" s="42">
        <v>0.19</v>
      </c>
      <c r="X665" s="42">
        <v>0.19</v>
      </c>
      <c r="Y665" s="42">
        <v>0.19</v>
      </c>
      <c r="Z665" s="42">
        <v>0.19</v>
      </c>
      <c r="AA665" s="42">
        <v>0.19</v>
      </c>
      <c r="AB665" s="42">
        <v>0.19</v>
      </c>
      <c r="AC665" s="42">
        <v>0.19</v>
      </c>
      <c r="AD665" s="42">
        <v>0.19</v>
      </c>
      <c r="AE665" s="42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  <c r="BL665" s="6"/>
      <c r="BM665" s="6"/>
      <c r="BN665" s="6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  <c r="BZ665" s="6"/>
      <c r="CA665" s="6"/>
      <c r="CB665" s="6"/>
      <c r="CC665" s="6"/>
      <c r="CD665" s="6"/>
      <c r="CE665" s="6"/>
      <c r="CF665" s="5"/>
      <c r="CH665" s="5" t="s">
        <v>562</v>
      </c>
    </row>
    <row r="666" spans="2:86" outlineLevel="1"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  <c r="BL666" s="6"/>
      <c r="BM666" s="6"/>
      <c r="BN666" s="6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  <c r="BZ666" s="6"/>
      <c r="CA666" s="6"/>
      <c r="CB666" s="6"/>
      <c r="CC666" s="6"/>
      <c r="CD666" s="6"/>
      <c r="CE666" s="6"/>
      <c r="CF666" s="5"/>
      <c r="CH666" s="5" t="s">
        <v>562</v>
      </c>
    </row>
    <row r="667" spans="2:86" outlineLevel="1">
      <c r="B667" s="20" t="s">
        <v>199</v>
      </c>
      <c r="C667" s="20">
        <f t="shared" ref="C667:S667" si="868">C549</f>
        <v>0</v>
      </c>
      <c r="D667" s="20">
        <f t="shared" si="868"/>
        <v>0</v>
      </c>
      <c r="E667" s="20">
        <f t="shared" si="868"/>
        <v>0</v>
      </c>
      <c r="F667" s="20">
        <f t="shared" si="868"/>
        <v>0</v>
      </c>
      <c r="G667" s="20">
        <f t="shared" si="868"/>
        <v>0</v>
      </c>
      <c r="H667" s="20">
        <f t="shared" si="868"/>
        <v>110.288657</v>
      </c>
      <c r="I667" s="20">
        <f t="shared" si="868"/>
        <v>133.792867</v>
      </c>
      <c r="J667" s="20">
        <f t="shared" si="868"/>
        <v>184.97838300000001</v>
      </c>
      <c r="K667" s="20">
        <f t="shared" si="868"/>
        <v>121.171707</v>
      </c>
      <c r="L667" s="20">
        <f t="shared" si="868"/>
        <v>229.18723700000001</v>
      </c>
      <c r="M667" s="20">
        <f t="shared" si="868"/>
        <v>235.66174699999999</v>
      </c>
      <c r="N667" s="588">
        <f t="shared" si="868"/>
        <v>176.78986499999999</v>
      </c>
      <c r="O667" s="588">
        <f t="shared" si="868"/>
        <v>343.757881</v>
      </c>
      <c r="P667" s="588">
        <f t="shared" si="868"/>
        <v>635.10494900000003</v>
      </c>
      <c r="Q667" s="588">
        <f t="shared" si="868"/>
        <v>1600.113658</v>
      </c>
      <c r="R667" s="588">
        <f t="shared" si="868"/>
        <v>3561.1676499999999</v>
      </c>
      <c r="S667" s="588">
        <f t="shared" si="868"/>
        <v>3687.2425920000001</v>
      </c>
      <c r="T667" s="588">
        <f>T549</f>
        <v>5515.137342</v>
      </c>
      <c r="U667" s="20">
        <f ca="1">-U669*Model!U308</f>
        <v>6382.5519941808025</v>
      </c>
      <c r="V667" s="20">
        <f ca="1">-V669*Model!V308</f>
        <v>7927.3092775598498</v>
      </c>
      <c r="W667" s="20">
        <f ca="1">-W669*Model!W308</f>
        <v>9572.4337402742585</v>
      </c>
      <c r="X667" s="20">
        <f ca="1">-X669*Model!X308</f>
        <v>11525.519606465321</v>
      </c>
      <c r="Y667" s="20">
        <f ca="1">-Y669*Model!Y308</f>
        <v>13755.897600755767</v>
      </c>
      <c r="Z667" s="20">
        <f ca="1">-Z669*Model!Z308</f>
        <v>15733.465821512962</v>
      </c>
      <c r="AA667" s="20">
        <f ca="1">-AA669*Model!AA308</f>
        <v>18053.027045942377</v>
      </c>
      <c r="AB667" s="20">
        <f ca="1">-AB669*Model!AB308</f>
        <v>20552.601450617083</v>
      </c>
      <c r="AC667" s="20">
        <f ca="1">-AC669*Model!AC308</f>
        <v>23217.699320743621</v>
      </c>
      <c r="AD667" s="20">
        <f ca="1">-AD669*Model!AD308</f>
        <v>25955.850505187387</v>
      </c>
      <c r="AE667" s="20"/>
      <c r="AF667" s="20">
        <f t="shared" ref="AF667:BU667" si="869">AF549</f>
        <v>0</v>
      </c>
      <c r="AG667" s="20">
        <f t="shared" si="869"/>
        <v>0</v>
      </c>
      <c r="AH667" s="20">
        <f t="shared" si="869"/>
        <v>0</v>
      </c>
      <c r="AI667" s="20">
        <f t="shared" si="869"/>
        <v>0</v>
      </c>
      <c r="AJ667" s="20">
        <f t="shared" si="869"/>
        <v>0</v>
      </c>
      <c r="AK667" s="20">
        <f t="shared" si="869"/>
        <v>0</v>
      </c>
      <c r="AL667" s="20">
        <f t="shared" si="869"/>
        <v>0</v>
      </c>
      <c r="AM667" s="20">
        <f t="shared" si="869"/>
        <v>0</v>
      </c>
      <c r="AN667" s="20">
        <f t="shared" si="869"/>
        <v>0</v>
      </c>
      <c r="AO667" s="20">
        <f t="shared" si="869"/>
        <v>0</v>
      </c>
      <c r="AP667" s="20">
        <f t="shared" si="869"/>
        <v>0</v>
      </c>
      <c r="AQ667" s="20">
        <f t="shared" si="869"/>
        <v>0</v>
      </c>
      <c r="AR667" s="20">
        <f t="shared" si="869"/>
        <v>0</v>
      </c>
      <c r="AS667" s="20">
        <f t="shared" si="869"/>
        <v>0</v>
      </c>
      <c r="AT667" s="20">
        <f t="shared" si="869"/>
        <v>0</v>
      </c>
      <c r="AU667" s="20">
        <f t="shared" si="869"/>
        <v>0</v>
      </c>
      <c r="AV667" s="20">
        <f t="shared" si="869"/>
        <v>0</v>
      </c>
      <c r="AW667" s="20">
        <f t="shared" si="869"/>
        <v>0</v>
      </c>
      <c r="AX667" s="20">
        <f t="shared" si="869"/>
        <v>0</v>
      </c>
      <c r="AY667" s="20">
        <f t="shared" si="869"/>
        <v>176.78986499999999</v>
      </c>
      <c r="AZ667" s="20">
        <f t="shared" si="869"/>
        <v>0</v>
      </c>
      <c r="BA667" s="20">
        <f t="shared" si="869"/>
        <v>0</v>
      </c>
      <c r="BB667" s="20">
        <f t="shared" si="869"/>
        <v>0</v>
      </c>
      <c r="BC667" s="20">
        <f t="shared" si="869"/>
        <v>343.757881</v>
      </c>
      <c r="BD667" s="20">
        <f t="shared" si="869"/>
        <v>375.25474300000002</v>
      </c>
      <c r="BE667" s="20">
        <f t="shared" si="869"/>
        <v>406.17032799999998</v>
      </c>
      <c r="BF667" s="20">
        <f t="shared" si="869"/>
        <v>662.62905799999999</v>
      </c>
      <c r="BG667" s="20">
        <f t="shared" si="869"/>
        <v>635.10494900000003</v>
      </c>
      <c r="BH667" s="20">
        <f t="shared" si="869"/>
        <v>724.90635999999995</v>
      </c>
      <c r="BI667" s="20">
        <f t="shared" si="869"/>
        <v>1067.255633</v>
      </c>
      <c r="BJ667" s="20">
        <f t="shared" si="869"/>
        <v>1221.3454939999999</v>
      </c>
      <c r="BK667" s="20">
        <f t="shared" si="869"/>
        <v>1600.113658</v>
      </c>
      <c r="BL667" s="20">
        <f t="shared" si="869"/>
        <v>1635.657733</v>
      </c>
      <c r="BM667" s="20">
        <f t="shared" si="869"/>
        <v>1546.024508</v>
      </c>
      <c r="BN667" s="20">
        <f t="shared" si="869"/>
        <v>1656.1597039999999</v>
      </c>
      <c r="BO667" s="20">
        <f t="shared" si="869"/>
        <v>3561.1676499999999</v>
      </c>
      <c r="BP667" s="20">
        <f t="shared" si="869"/>
        <v>2571.3044340000001</v>
      </c>
      <c r="BQ667" s="20">
        <f t="shared" si="869"/>
        <v>2516.4594029999998</v>
      </c>
      <c r="BR667" s="20">
        <f t="shared" si="869"/>
        <v>2882.5391169999998</v>
      </c>
      <c r="BS667" s="20">
        <f t="shared" si="869"/>
        <v>3687.2425920000001</v>
      </c>
      <c r="BT667" s="20">
        <f t="shared" si="869"/>
        <v>4595.3151010000001</v>
      </c>
      <c r="BU667" s="20">
        <f t="shared" si="869"/>
        <v>5229.7384089999996</v>
      </c>
      <c r="BV667" s="20"/>
      <c r="BW667" s="20"/>
      <c r="BX667" s="20"/>
      <c r="BY667" s="20"/>
      <c r="BZ667" s="20"/>
      <c r="CA667" s="20"/>
      <c r="CB667" s="20"/>
      <c r="CC667" s="20"/>
      <c r="CD667" s="20"/>
      <c r="CE667" s="20"/>
      <c r="CF667" s="20"/>
      <c r="CG667" s="88"/>
      <c r="CH667" s="89" t="s">
        <v>562</v>
      </c>
    </row>
    <row r="668" spans="2:86" outlineLevel="1">
      <c r="B668" s="13" t="s">
        <v>82</v>
      </c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41">
        <f t="shared" ref="N668:AD668" si="870">N667/M667-1</f>
        <v>-0.24981518107815781</v>
      </c>
      <c r="O668" s="41">
        <f t="shared" si="870"/>
        <v>0.94444337066494177</v>
      </c>
      <c r="P668" s="41">
        <f t="shared" si="870"/>
        <v>0.84753567584389433</v>
      </c>
      <c r="Q668" s="41">
        <f t="shared" si="870"/>
        <v>1.5194476291193251</v>
      </c>
      <c r="R668" s="41">
        <f t="shared" si="870"/>
        <v>1.2255716849833926</v>
      </c>
      <c r="S668" s="323">
        <f t="shared" si="870"/>
        <v>3.5402697764032487E-2</v>
      </c>
      <c r="T668" s="323">
        <f t="shared" si="870"/>
        <v>0.49573487623675172</v>
      </c>
      <c r="U668" s="41">
        <f t="shared" ca="1" si="870"/>
        <v>0.15727888507419197</v>
      </c>
      <c r="V668" s="41">
        <f t="shared" ca="1" si="870"/>
        <v>0.24202815500562425</v>
      </c>
      <c r="W668" s="41">
        <f t="shared" ca="1" si="870"/>
        <v>0.2075262116202945</v>
      </c>
      <c r="X668" s="41">
        <f t="shared" ca="1" si="870"/>
        <v>0.20403232022111695</v>
      </c>
      <c r="Y668" s="41">
        <f t="shared" ca="1" si="870"/>
        <v>0.19351648085690631</v>
      </c>
      <c r="Z668" s="41">
        <f t="shared" ca="1" si="870"/>
        <v>0.14376148166794622</v>
      </c>
      <c r="AA668" s="41">
        <f t="shared" ca="1" si="870"/>
        <v>0.14742849736628227</v>
      </c>
      <c r="AB668" s="41">
        <f t="shared" ca="1" si="870"/>
        <v>0.1384573566700833</v>
      </c>
      <c r="AC668" s="323">
        <f t="shared" ca="1" si="870"/>
        <v>0.12967204548436961</v>
      </c>
      <c r="AD668" s="323">
        <f t="shared" ca="1" si="870"/>
        <v>0.1179337860576648</v>
      </c>
      <c r="AE668" s="323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  <c r="BL668" s="6"/>
      <c r="BM668" s="6"/>
      <c r="BN668" s="6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  <c r="BZ668" s="6"/>
      <c r="CA668" s="6"/>
      <c r="CB668" s="6"/>
      <c r="CC668" s="6"/>
      <c r="CD668" s="6"/>
      <c r="CE668" s="6"/>
      <c r="CF668" s="5"/>
      <c r="CH668" s="5" t="s">
        <v>562</v>
      </c>
    </row>
    <row r="669" spans="2:86" outlineLevel="1">
      <c r="B669" s="323" t="s">
        <v>636</v>
      </c>
      <c r="C669" s="323">
        <f>-C667/Model!C308</f>
        <v>0</v>
      </c>
      <c r="D669" s="323">
        <f>-D667/Model!D308</f>
        <v>0</v>
      </c>
      <c r="E669" s="323">
        <f>-E667/Model!E308</f>
        <v>0</v>
      </c>
      <c r="F669" s="323">
        <f>-F667/Model!F308</f>
        <v>0</v>
      </c>
      <c r="G669" s="323">
        <f>-G667/Model!G308</f>
        <v>0</v>
      </c>
      <c r="H669" s="323">
        <f>-H667/Model!H308</f>
        <v>1.2444095329542928</v>
      </c>
      <c r="I669" s="323">
        <f>-I667/Model!I308</f>
        <v>0.87371017047111754</v>
      </c>
      <c r="J669" s="323">
        <f>-J667/Model!J308</f>
        <v>0.78305662233383622</v>
      </c>
      <c r="K669" s="323">
        <f>-K667/Model!K308</f>
        <v>0.37099762783778301</v>
      </c>
      <c r="L669" s="323">
        <f>-L667/Model!L308</f>
        <v>0.50862367196306624</v>
      </c>
      <c r="M669" s="323">
        <f>-M667/Model!M308</f>
        <v>0.37690119502062547</v>
      </c>
      <c r="N669" s="323">
        <f>-N667/Model!N308</f>
        <v>0.21957933803129559</v>
      </c>
      <c r="O669" s="323">
        <f>-O667/Model!O308</f>
        <v>0.33123996083477658</v>
      </c>
      <c r="P669" s="323">
        <f>-P667/Model!P308</f>
        <v>0.45797521740541886</v>
      </c>
      <c r="Q669" s="41">
        <f>-Q667/Model!Q308</f>
        <v>0.76173891886523548</v>
      </c>
      <c r="R669" s="41">
        <v>0.79549357570008672</v>
      </c>
      <c r="S669" s="323">
        <f>-S667/(Model!S308)</f>
        <v>0.77958506101161118</v>
      </c>
      <c r="T669" s="323">
        <f>-T667/(Model!T308)</f>
        <v>1.1788992797400402</v>
      </c>
      <c r="U669" s="42">
        <f t="shared" ref="U669:AD669" si="871">T669</f>
        <v>1.1788992797400402</v>
      </c>
      <c r="V669" s="42">
        <f t="shared" si="871"/>
        <v>1.1788992797400402</v>
      </c>
      <c r="W669" s="42">
        <f t="shared" si="871"/>
        <v>1.1788992797400402</v>
      </c>
      <c r="X669" s="42">
        <f t="shared" si="871"/>
        <v>1.1788992797400402</v>
      </c>
      <c r="Y669" s="42">
        <f t="shared" si="871"/>
        <v>1.1788992797400402</v>
      </c>
      <c r="Z669" s="42">
        <f t="shared" si="871"/>
        <v>1.1788992797400402</v>
      </c>
      <c r="AA669" s="42">
        <f t="shared" si="871"/>
        <v>1.1788992797400402</v>
      </c>
      <c r="AB669" s="42">
        <f t="shared" si="871"/>
        <v>1.1788992797400402</v>
      </c>
      <c r="AC669" s="42">
        <f t="shared" si="871"/>
        <v>1.1788992797400402</v>
      </c>
      <c r="AD669" s="42">
        <f t="shared" si="871"/>
        <v>1.1788992797400402</v>
      </c>
      <c r="AE669" s="42"/>
      <c r="AF669" s="323">
        <f>-AF667/Model!AF308</f>
        <v>0</v>
      </c>
      <c r="AG669" s="323">
        <f>-AG667/Model!AG308</f>
        <v>0</v>
      </c>
      <c r="AH669" s="323">
        <f>-AH667/Model!AH308</f>
        <v>0</v>
      </c>
      <c r="AI669" s="323">
        <f>-AI667/Model!AI308</f>
        <v>0</v>
      </c>
      <c r="AJ669" s="323">
        <f>-AJ667/Model!AJ308</f>
        <v>0</v>
      </c>
      <c r="AK669" s="323">
        <f>-AK667/Model!AK308</f>
        <v>0</v>
      </c>
      <c r="AL669" s="323">
        <f>-AL667/Model!AL308</f>
        <v>0</v>
      </c>
      <c r="AM669" s="323">
        <f>-AM667/Model!AM308</f>
        <v>0</v>
      </c>
      <c r="AN669" s="323">
        <f>-AN667/Model!AN308</f>
        <v>0</v>
      </c>
      <c r="AO669" s="323">
        <f>-AO667/Model!AO308</f>
        <v>0</v>
      </c>
      <c r="AP669" s="323">
        <f>-AP667/Model!AP308</f>
        <v>0</v>
      </c>
      <c r="AQ669" s="323">
        <f>-AQ667/Model!AQ308</f>
        <v>0</v>
      </c>
      <c r="AR669" s="323">
        <f>-AR667/Model!AR308</f>
        <v>0</v>
      </c>
      <c r="AS669" s="323">
        <f>-AS667/Model!AS308</f>
        <v>0</v>
      </c>
      <c r="AT669" s="323">
        <f>-AT667/Model!AT308</f>
        <v>0</v>
      </c>
      <c r="AU669" s="323">
        <f>-AU667/Model!AU308</f>
        <v>0</v>
      </c>
      <c r="AV669" s="323">
        <f>-AV667/Model!AV308</f>
        <v>0</v>
      </c>
      <c r="AW669" s="323">
        <f>-AW667/Model!AW308</f>
        <v>0</v>
      </c>
      <c r="AX669" s="323">
        <f>-AX667/Model!AX308</f>
        <v>0</v>
      </c>
      <c r="AY669" s="323">
        <f>-AY667/Model!AY308</f>
        <v>0.78736680640808843</v>
      </c>
      <c r="AZ669" s="323">
        <f>-AZ667/Model!AZ308</f>
        <v>0</v>
      </c>
      <c r="BA669" s="323">
        <f>-BA667/Model!BA308</f>
        <v>0</v>
      </c>
      <c r="BB669" s="323">
        <f>-BB667/Model!BB308</f>
        <v>0</v>
      </c>
      <c r="BC669" s="323">
        <f>-BC667/Model!BC308</f>
        <v>1.2074188640325652</v>
      </c>
      <c r="BD669" s="323">
        <f>-BD667/Model!BD308</f>
        <v>1.233693861190966</v>
      </c>
      <c r="BE669" s="323">
        <f>-BE667/Model!BE308</f>
        <v>1.3139947997072974</v>
      </c>
      <c r="BF669" s="323">
        <f>-BF667/Model!BF308</f>
        <v>1.7478003561120261</v>
      </c>
      <c r="BG669" s="323">
        <f>-BG667/Model!BG308</f>
        <v>1.610459345044043</v>
      </c>
      <c r="BH669" s="323">
        <f>-BH667/Model!BH308</f>
        <v>1.6130110950981589</v>
      </c>
      <c r="BI669" s="323">
        <f>-BI667/Model!BI308</f>
        <v>2.2299467753534099</v>
      </c>
      <c r="BJ669" s="323">
        <f>-BJ667/Model!BJ308</f>
        <v>2.0736612738257785</v>
      </c>
      <c r="BK669" s="323">
        <f>-BK667/Model!BK308</f>
        <v>2.7417379735348315</v>
      </c>
      <c r="BL669" s="323">
        <f>-BL667/Model!BL308</f>
        <v>2.3213781944622198</v>
      </c>
      <c r="BM669" s="323">
        <f>-BM667/Model!BM308</f>
        <v>2.117786581374753</v>
      </c>
      <c r="BN669" s="323">
        <f>-BN667/Model!BN308</f>
        <v>1.9586122762643023</v>
      </c>
      <c r="BO669" s="323">
        <f>-BO667/Model!BO308</f>
        <v>4.6658779725695583</v>
      </c>
      <c r="BP669" s="323">
        <f>-BP667/Model!BP308</f>
        <v>2.2635828356763104</v>
      </c>
      <c r="BQ669" s="323">
        <f>-BQ667/Model!BQ308</f>
        <v>2.040678255324142</v>
      </c>
      <c r="BR669" s="323">
        <f>-BR667/Model!BR308</f>
        <v>2.3353688301969608</v>
      </c>
      <c r="BS669" s="323">
        <f>-BS667/Model!BS308</f>
        <v>3.2735915273242138</v>
      </c>
      <c r="BT669" s="323">
        <f>-BT667/Model!BT308</f>
        <v>3.8638601407463584</v>
      </c>
      <c r="BU669" s="323">
        <f>-BU667/Model!BU308</f>
        <v>4.652402494586072</v>
      </c>
      <c r="BV669" s="323"/>
      <c r="BW669" s="323"/>
      <c r="BX669" s="323"/>
      <c r="BY669" s="323"/>
      <c r="BZ669" s="323"/>
      <c r="CA669" s="323"/>
      <c r="CB669" s="323"/>
      <c r="CC669" s="323"/>
      <c r="CD669" s="323"/>
      <c r="CE669" s="323"/>
      <c r="CF669" s="323"/>
      <c r="CH669" s="5" t="s">
        <v>562</v>
      </c>
    </row>
    <row r="670" spans="2:86" outlineLevel="1"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  <c r="BL670" s="6"/>
      <c r="BM670" s="6"/>
      <c r="BN670" s="6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  <c r="BZ670" s="6"/>
      <c r="CA670" s="6"/>
      <c r="CB670" s="6"/>
      <c r="CC670" s="6"/>
      <c r="CD670" s="6"/>
      <c r="CE670" s="6"/>
      <c r="CF670" s="5"/>
      <c r="CH670" s="5" t="s">
        <v>562</v>
      </c>
    </row>
    <row r="671" spans="2:86" outlineLevel="1">
      <c r="B671" s="20" t="s">
        <v>201</v>
      </c>
      <c r="C671" s="20">
        <f t="shared" ref="C671:S671" si="872">C551</f>
        <v>0</v>
      </c>
      <c r="D671" s="20">
        <f t="shared" si="872"/>
        <v>0</v>
      </c>
      <c r="E671" s="20">
        <f t="shared" si="872"/>
        <v>0</v>
      </c>
      <c r="F671" s="20">
        <f t="shared" si="872"/>
        <v>0</v>
      </c>
      <c r="G671" s="20">
        <f t="shared" si="872"/>
        <v>0</v>
      </c>
      <c r="H671" s="20">
        <f t="shared" si="872"/>
        <v>0</v>
      </c>
      <c r="I671" s="20">
        <f t="shared" si="872"/>
        <v>0</v>
      </c>
      <c r="J671" s="20">
        <f t="shared" si="872"/>
        <v>0</v>
      </c>
      <c r="K671" s="20">
        <f t="shared" si="872"/>
        <v>0</v>
      </c>
      <c r="L671" s="20">
        <f t="shared" si="872"/>
        <v>11.509937000000001</v>
      </c>
      <c r="M671" s="20">
        <f t="shared" si="872"/>
        <v>45.382710000000003</v>
      </c>
      <c r="N671" s="588">
        <f t="shared" si="872"/>
        <v>48.308692000000001</v>
      </c>
      <c r="O671" s="588">
        <f t="shared" si="872"/>
        <v>53.309153000000002</v>
      </c>
      <c r="P671" s="588">
        <f t="shared" si="872"/>
        <v>63.197155000000002</v>
      </c>
      <c r="Q671" s="588">
        <f t="shared" si="872"/>
        <v>132.50664399999999</v>
      </c>
      <c r="R671" s="588">
        <f t="shared" si="872"/>
        <v>3045.2593900000002</v>
      </c>
      <c r="S671" s="588">
        <f t="shared" si="872"/>
        <v>3607.8828079999998</v>
      </c>
      <c r="T671" s="588">
        <f>T551</f>
        <v>3847.440251</v>
      </c>
      <c r="U671" s="20">
        <f ca="1">-U673*Model!U308</f>
        <v>3911.162102580472</v>
      </c>
      <c r="V671" s="20">
        <f ca="1">-V673*Model!V308</f>
        <v>4521.5568872632748</v>
      </c>
      <c r="W671" s="20">
        <f ca="1">-W673*Model!W308</f>
        <v>5216.3042711894259</v>
      </c>
      <c r="X671" s="20">
        <f ca="1">-X673*Model!X308</f>
        <v>5987.3036598355729</v>
      </c>
      <c r="Y671" s="20">
        <f ca="1">-Y673*Model!Y308</f>
        <v>6795.8928496965264</v>
      </c>
      <c r="Z671" s="20">
        <f ca="1">-Z673*Model!Z308</f>
        <v>7372.5036296435337</v>
      </c>
      <c r="AA671" s="20">
        <f ca="1">-AA673*Model!AA308</f>
        <v>8000.0169595124598</v>
      </c>
      <c r="AB671" s="20">
        <f ca="1">-AB673*Model!AB308</f>
        <v>8584.6665228857601</v>
      </c>
      <c r="AC671" s="20">
        <f ca="1">-AC673*Model!AC308</f>
        <v>9107.0261636210125</v>
      </c>
      <c r="AD671" s="20">
        <f ca="1">-AD673*Model!AD308</f>
        <v>9520.5416010293538</v>
      </c>
      <c r="AE671" s="20"/>
      <c r="AF671" s="588">
        <f t="shared" ref="AF671:BU671" si="873">AF551</f>
        <v>0</v>
      </c>
      <c r="AG671" s="588">
        <f t="shared" si="873"/>
        <v>0</v>
      </c>
      <c r="AH671" s="588">
        <f t="shared" si="873"/>
        <v>0</v>
      </c>
      <c r="AI671" s="588">
        <f t="shared" si="873"/>
        <v>0</v>
      </c>
      <c r="AJ671" s="588">
        <f t="shared" si="873"/>
        <v>0</v>
      </c>
      <c r="AK671" s="588">
        <f t="shared" si="873"/>
        <v>0</v>
      </c>
      <c r="AL671" s="588">
        <f t="shared" si="873"/>
        <v>0</v>
      </c>
      <c r="AM671" s="588">
        <f t="shared" si="873"/>
        <v>0</v>
      </c>
      <c r="AN671" s="588">
        <f t="shared" si="873"/>
        <v>0</v>
      </c>
      <c r="AO671" s="588">
        <f t="shared" si="873"/>
        <v>0</v>
      </c>
      <c r="AP671" s="588">
        <f t="shared" si="873"/>
        <v>0</v>
      </c>
      <c r="AQ671" s="588">
        <f t="shared" si="873"/>
        <v>0</v>
      </c>
      <c r="AR671" s="588">
        <f t="shared" si="873"/>
        <v>0</v>
      </c>
      <c r="AS671" s="588">
        <f t="shared" si="873"/>
        <v>0</v>
      </c>
      <c r="AT671" s="588">
        <f t="shared" si="873"/>
        <v>0</v>
      </c>
      <c r="AU671" s="588">
        <f t="shared" si="873"/>
        <v>0</v>
      </c>
      <c r="AV671" s="588">
        <f t="shared" si="873"/>
        <v>0</v>
      </c>
      <c r="AW671" s="588">
        <f t="shared" si="873"/>
        <v>0</v>
      </c>
      <c r="AX671" s="588">
        <f t="shared" si="873"/>
        <v>0</v>
      </c>
      <c r="AY671" s="588">
        <f t="shared" si="873"/>
        <v>48.308692000000001</v>
      </c>
      <c r="AZ671" s="588">
        <f t="shared" si="873"/>
        <v>0</v>
      </c>
      <c r="BA671" s="588">
        <f t="shared" si="873"/>
        <v>0</v>
      </c>
      <c r="BB671" s="588">
        <f t="shared" si="873"/>
        <v>0</v>
      </c>
      <c r="BC671" s="588">
        <f t="shared" si="873"/>
        <v>53.309153000000002</v>
      </c>
      <c r="BD671" s="588">
        <f t="shared" si="873"/>
        <v>53.147953999999999</v>
      </c>
      <c r="BE671" s="588">
        <f t="shared" si="873"/>
        <v>53.014654999999998</v>
      </c>
      <c r="BF671" s="588">
        <f t="shared" si="873"/>
        <v>63.206572000000001</v>
      </c>
      <c r="BG671" s="588">
        <f t="shared" si="873"/>
        <v>63.197155000000002</v>
      </c>
      <c r="BH671" s="588">
        <f t="shared" si="873"/>
        <v>72.218275000000006</v>
      </c>
      <c r="BI671" s="588">
        <f t="shared" si="873"/>
        <v>72.004774999999995</v>
      </c>
      <c r="BJ671" s="588">
        <f t="shared" si="873"/>
        <v>71.791274999999999</v>
      </c>
      <c r="BK671" s="588">
        <f t="shared" si="873"/>
        <v>132.50664399999999</v>
      </c>
      <c r="BL671" s="588">
        <f t="shared" si="873"/>
        <v>201.66181399999999</v>
      </c>
      <c r="BM671" s="588">
        <f t="shared" si="873"/>
        <v>213.20292000000001</v>
      </c>
      <c r="BN671" s="588">
        <f t="shared" si="873"/>
        <v>649.66161599999998</v>
      </c>
      <c r="BO671" s="588">
        <f t="shared" si="873"/>
        <v>3045.2593900000002</v>
      </c>
      <c r="BP671" s="588">
        <f t="shared" si="873"/>
        <v>3030.371251</v>
      </c>
      <c r="BQ671" s="588">
        <f t="shared" si="873"/>
        <v>3040.6574740000001</v>
      </c>
      <c r="BR671" s="588">
        <f t="shared" si="873"/>
        <v>3011.5185029999998</v>
      </c>
      <c r="BS671" s="20">
        <f t="shared" si="873"/>
        <v>3607.8828079999998</v>
      </c>
      <c r="BT671" s="20">
        <f t="shared" si="873"/>
        <v>3562.0050059999999</v>
      </c>
      <c r="BU671" s="20">
        <f t="shared" si="873"/>
        <v>3536.1747070000001</v>
      </c>
      <c r="BV671" s="20"/>
      <c r="BW671" s="20"/>
      <c r="BX671" s="20"/>
      <c r="BY671" s="20"/>
      <c r="BZ671" s="20"/>
      <c r="CA671" s="20"/>
      <c r="CB671" s="20"/>
      <c r="CC671" s="20"/>
      <c r="CD671" s="20"/>
      <c r="CE671" s="20"/>
      <c r="CF671" s="20"/>
      <c r="CG671" s="20"/>
      <c r="CH671" s="20" t="str">
        <f>CH551</f>
        <v>a</v>
      </c>
    </row>
    <row r="672" spans="2:86" outlineLevel="1">
      <c r="B672" s="13" t="s">
        <v>82</v>
      </c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41">
        <f t="shared" ref="N672:AD672" si="874">N671/M671-1</f>
        <v>6.447349662459545E-2</v>
      </c>
      <c r="O672" s="41">
        <f t="shared" si="874"/>
        <v>0.10351058563125659</v>
      </c>
      <c r="P672" s="41">
        <f t="shared" si="874"/>
        <v>0.18548413252786067</v>
      </c>
      <c r="Q672" s="41">
        <f t="shared" si="874"/>
        <v>1.0967184994324506</v>
      </c>
      <c r="R672" s="41">
        <f t="shared" si="874"/>
        <v>21.981937343458796</v>
      </c>
      <c r="S672" s="323">
        <f t="shared" si="874"/>
        <v>0.18475385704335667</v>
      </c>
      <c r="T672" s="323">
        <f t="shared" si="874"/>
        <v>6.6398343779020097E-2</v>
      </c>
      <c r="U672" s="41">
        <f t="shared" ca="1" si="874"/>
        <v>1.6562141949809428E-2</v>
      </c>
      <c r="V672" s="41">
        <f t="shared" ca="1" si="874"/>
        <v>0.15606481364709524</v>
      </c>
      <c r="W672" s="41">
        <f t="shared" ca="1" si="874"/>
        <v>0.15365224882676531</v>
      </c>
      <c r="X672" s="41">
        <f t="shared" ca="1" si="874"/>
        <v>0.14780567784446808</v>
      </c>
      <c r="Y672" s="41">
        <f t="shared" ca="1" si="874"/>
        <v>0.13505063978718579</v>
      </c>
      <c r="Z672" s="41">
        <f t="shared" ca="1" si="874"/>
        <v>8.4846949871017596E-2</v>
      </c>
      <c r="AA672" s="41">
        <f t="shared" ca="1" si="874"/>
        <v>8.5115363978365055E-2</v>
      </c>
      <c r="AB672" s="41">
        <f t="shared" ca="1" si="874"/>
        <v>7.3081040494310523E-2</v>
      </c>
      <c r="AC672" s="323">
        <f t="shared" ca="1" si="874"/>
        <v>6.0847982777513909E-2</v>
      </c>
      <c r="AD672" s="323">
        <f t="shared" ca="1" si="874"/>
        <v>4.5406198464672531E-2</v>
      </c>
      <c r="AE672" s="323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  <c r="BL672" s="6"/>
      <c r="BM672" s="6"/>
      <c r="BN672" s="6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  <c r="CC672" s="6"/>
      <c r="CD672" s="6"/>
      <c r="CE672" s="6"/>
      <c r="CF672" s="5"/>
      <c r="CG672" s="6"/>
      <c r="CH672" s="6" t="str">
        <f>CH548</f>
        <v>a</v>
      </c>
    </row>
    <row r="673" spans="1:86" outlineLevel="1">
      <c r="B673" s="13" t="s">
        <v>636</v>
      </c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323">
        <v>5.691331448339082E-2</v>
      </c>
      <c r="O673" s="323">
        <v>4.7027331711146605E-2</v>
      </c>
      <c r="P673" s="323">
        <v>4.0506788580958367E-2</v>
      </c>
      <c r="Q673" s="323">
        <v>5.1851382420003804E-2</v>
      </c>
      <c r="R673" s="41">
        <v>0.68024999639805361</v>
      </c>
      <c r="S673" s="323">
        <f>-S671/(Model!S308)</f>
        <v>0.7628062078421074</v>
      </c>
      <c r="T673" s="323">
        <f>-T671/(Model!T308)</f>
        <v>0.82241733242166282</v>
      </c>
      <c r="U673" s="457">
        <f>T673-10%</f>
        <v>0.72241733242166284</v>
      </c>
      <c r="V673" s="457">
        <f>U673-5%</f>
        <v>0.67241733242166279</v>
      </c>
      <c r="W673" s="457">
        <f t="shared" ref="W673:AD673" si="875">V673-3%</f>
        <v>0.64241733242166277</v>
      </c>
      <c r="X673" s="457">
        <f t="shared" si="875"/>
        <v>0.61241733242166274</v>
      </c>
      <c r="Y673" s="457">
        <f t="shared" si="875"/>
        <v>0.58241733242166271</v>
      </c>
      <c r="Z673" s="457">
        <f t="shared" si="875"/>
        <v>0.55241733242166269</v>
      </c>
      <c r="AA673" s="457">
        <f t="shared" si="875"/>
        <v>0.52241733242166266</v>
      </c>
      <c r="AB673" s="457">
        <f t="shared" si="875"/>
        <v>0.49241733242166263</v>
      </c>
      <c r="AC673" s="457">
        <f t="shared" si="875"/>
        <v>0.46241733242166261</v>
      </c>
      <c r="AD673" s="457">
        <f t="shared" si="875"/>
        <v>0.43241733242166258</v>
      </c>
      <c r="AE673" s="457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  <c r="BL673" s="6"/>
      <c r="BM673" s="6"/>
      <c r="BN673" s="6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  <c r="CC673" s="6"/>
      <c r="CD673" s="6"/>
      <c r="CE673" s="6"/>
      <c r="CF673" s="6"/>
      <c r="CG673" s="6"/>
      <c r="CH673" s="6" t="str">
        <f>CH549</f>
        <v>a</v>
      </c>
    </row>
    <row r="674" spans="1:86" outlineLevel="1"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  <c r="BL674" s="6"/>
      <c r="BM674" s="6"/>
      <c r="BN674" s="6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  <c r="CC674" s="6"/>
      <c r="CD674" s="6"/>
      <c r="CE674" s="6"/>
      <c r="CF674" s="6"/>
      <c r="CG674" s="6"/>
      <c r="CH674" s="6" t="str">
        <f>CH550</f>
        <v>a</v>
      </c>
    </row>
    <row r="675" spans="1:86" outlineLevel="1">
      <c r="A675" s="374" t="s">
        <v>657</v>
      </c>
      <c r="B675" s="20" t="s">
        <v>202</v>
      </c>
      <c r="C675" s="20">
        <f t="shared" ref="C675:T675" si="876">C552</f>
        <v>0</v>
      </c>
      <c r="D675" s="20">
        <f t="shared" si="876"/>
        <v>0</v>
      </c>
      <c r="E675" s="20">
        <f t="shared" si="876"/>
        <v>0</v>
      </c>
      <c r="F675" s="20">
        <f t="shared" si="876"/>
        <v>0</v>
      </c>
      <c r="G675" s="20">
        <f t="shared" si="876"/>
        <v>0</v>
      </c>
      <c r="H675" s="20">
        <f t="shared" si="876"/>
        <v>0</v>
      </c>
      <c r="I675" s="20">
        <f t="shared" si="876"/>
        <v>0</v>
      </c>
      <c r="J675" s="20">
        <f t="shared" si="876"/>
        <v>0</v>
      </c>
      <c r="K675" s="20">
        <f t="shared" si="876"/>
        <v>0</v>
      </c>
      <c r="L675" s="20">
        <f t="shared" si="876"/>
        <v>0</v>
      </c>
      <c r="M675" s="20">
        <f t="shared" si="876"/>
        <v>0</v>
      </c>
      <c r="N675" s="588">
        <f t="shared" si="876"/>
        <v>0</v>
      </c>
      <c r="O675" s="588">
        <f t="shared" si="876"/>
        <v>1121.4179999999999</v>
      </c>
      <c r="P675" s="588">
        <f t="shared" si="876"/>
        <v>5657.1826499999997</v>
      </c>
      <c r="Q675" s="588">
        <f t="shared" si="876"/>
        <v>7984.5880520000001</v>
      </c>
      <c r="R675" s="588">
        <f t="shared" si="876"/>
        <v>18354.608260000001</v>
      </c>
      <c r="S675" s="588">
        <f t="shared" si="876"/>
        <v>34650.673553000001</v>
      </c>
      <c r="T675" s="588">
        <f t="shared" si="876"/>
        <v>29220.254766999999</v>
      </c>
      <c r="U675" s="20">
        <f t="shared" ref="U675:AD675" si="877">T675+U686</f>
        <v>29220.254766999999</v>
      </c>
      <c r="V675" s="20">
        <f t="shared" si="877"/>
        <v>29220.254766999999</v>
      </c>
      <c r="W675" s="20">
        <f t="shared" si="877"/>
        <v>29220.254766999999</v>
      </c>
      <c r="X675" s="20">
        <f t="shared" si="877"/>
        <v>29220.254766999999</v>
      </c>
      <c r="Y675" s="20">
        <f t="shared" si="877"/>
        <v>29220.254766999999</v>
      </c>
      <c r="Z675" s="20">
        <f t="shared" si="877"/>
        <v>29220.254766999999</v>
      </c>
      <c r="AA675" s="20">
        <f t="shared" si="877"/>
        <v>29220.254766999999</v>
      </c>
      <c r="AB675" s="20">
        <f t="shared" si="877"/>
        <v>29220.254766999999</v>
      </c>
      <c r="AC675" s="20">
        <f t="shared" si="877"/>
        <v>29220.254766999999</v>
      </c>
      <c r="AD675" s="20">
        <f t="shared" si="877"/>
        <v>29220.254766999999</v>
      </c>
      <c r="AE675" s="20"/>
      <c r="AF675" s="20">
        <f t="shared" ref="AF675:BU675" si="878">AF552</f>
        <v>0</v>
      </c>
      <c r="AG675" s="20">
        <f t="shared" si="878"/>
        <v>0</v>
      </c>
      <c r="AH675" s="20">
        <f t="shared" si="878"/>
        <v>0</v>
      </c>
      <c r="AI675" s="20">
        <f t="shared" si="878"/>
        <v>0</v>
      </c>
      <c r="AJ675" s="20">
        <f t="shared" si="878"/>
        <v>0</v>
      </c>
      <c r="AK675" s="20">
        <f t="shared" si="878"/>
        <v>0</v>
      </c>
      <c r="AL675" s="20">
        <f t="shared" si="878"/>
        <v>0</v>
      </c>
      <c r="AM675" s="20">
        <f t="shared" si="878"/>
        <v>0</v>
      </c>
      <c r="AN675" s="20">
        <f t="shared" si="878"/>
        <v>0</v>
      </c>
      <c r="AO675" s="20">
        <f t="shared" si="878"/>
        <v>0</v>
      </c>
      <c r="AP675" s="20">
        <f t="shared" si="878"/>
        <v>0</v>
      </c>
      <c r="AQ675" s="20">
        <f t="shared" si="878"/>
        <v>0</v>
      </c>
      <c r="AR675" s="20">
        <f t="shared" si="878"/>
        <v>0</v>
      </c>
      <c r="AS675" s="20">
        <f t="shared" si="878"/>
        <v>0</v>
      </c>
      <c r="AT675" s="20">
        <f t="shared" si="878"/>
        <v>0</v>
      </c>
      <c r="AU675" s="20">
        <f t="shared" si="878"/>
        <v>0</v>
      </c>
      <c r="AV675" s="20">
        <f t="shared" si="878"/>
        <v>0</v>
      </c>
      <c r="AW675" s="20">
        <f t="shared" si="878"/>
        <v>0</v>
      </c>
      <c r="AX675" s="20">
        <f t="shared" si="878"/>
        <v>0</v>
      </c>
      <c r="AY675" s="20">
        <f t="shared" si="878"/>
        <v>0</v>
      </c>
      <c r="AZ675" s="20">
        <f t="shared" si="878"/>
        <v>0</v>
      </c>
      <c r="BA675" s="20">
        <f t="shared" si="878"/>
        <v>0</v>
      </c>
      <c r="BB675" s="20">
        <f t="shared" si="878"/>
        <v>0</v>
      </c>
      <c r="BC675" s="20">
        <f t="shared" si="878"/>
        <v>1121.4179999999999</v>
      </c>
      <c r="BD675" s="20">
        <f t="shared" si="878"/>
        <v>1117.944</v>
      </c>
      <c r="BE675" s="20">
        <f t="shared" si="878"/>
        <v>1104.732</v>
      </c>
      <c r="BF675" s="20">
        <f t="shared" si="878"/>
        <v>1101.5999999999999</v>
      </c>
      <c r="BG675" s="20">
        <f t="shared" si="878"/>
        <v>5657.1826499999997</v>
      </c>
      <c r="BH675" s="20">
        <f t="shared" si="878"/>
        <v>5809.2258000000002</v>
      </c>
      <c r="BI675" s="20">
        <f t="shared" si="878"/>
        <v>5797.2641999999996</v>
      </c>
      <c r="BJ675" s="20">
        <f t="shared" si="878"/>
        <v>7979.4</v>
      </c>
      <c r="BK675" s="20">
        <f t="shared" si="878"/>
        <v>7984.5880520000001</v>
      </c>
      <c r="BL675" s="20">
        <f t="shared" si="878"/>
        <v>8058.7</v>
      </c>
      <c r="BM675" s="20">
        <f t="shared" si="878"/>
        <v>16430</v>
      </c>
      <c r="BN675" s="20">
        <f t="shared" si="878"/>
        <v>16842.34</v>
      </c>
      <c r="BO675" s="20">
        <f t="shared" si="878"/>
        <v>18354.608260000001</v>
      </c>
      <c r="BP675" s="20">
        <f t="shared" si="878"/>
        <v>19157.574462</v>
      </c>
      <c r="BQ675" s="20">
        <f t="shared" si="878"/>
        <v>19737.568171999999</v>
      </c>
      <c r="BR675" s="20">
        <f t="shared" si="878"/>
        <v>28018.488022000001</v>
      </c>
      <c r="BS675" s="20">
        <f t="shared" si="878"/>
        <v>34650.673553000001</v>
      </c>
      <c r="BT675" s="20">
        <f t="shared" si="878"/>
        <v>34304.414250000002</v>
      </c>
      <c r="BU675" s="20">
        <f t="shared" si="878"/>
        <v>35595.921305000003</v>
      </c>
      <c r="BV675" s="20"/>
      <c r="BW675" s="20"/>
      <c r="BX675" s="20"/>
      <c r="BY675" s="20"/>
      <c r="BZ675" s="20"/>
      <c r="CA675" s="20"/>
      <c r="CB675" s="20"/>
      <c r="CC675" s="20"/>
      <c r="CD675" s="20"/>
      <c r="CE675" s="20"/>
      <c r="CF675" s="20"/>
      <c r="CG675" s="19"/>
      <c r="CH675" s="19" t="str">
        <f t="shared" ref="CH675:CH683" si="879">CH552</f>
        <v>a</v>
      </c>
    </row>
    <row r="676" spans="1:86" outlineLevel="1">
      <c r="A676" s="91" t="s">
        <v>647</v>
      </c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  <c r="BL676" s="6"/>
      <c r="BM676" s="6"/>
      <c r="BN676" s="6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  <c r="CC676" s="6"/>
      <c r="CD676" s="6"/>
      <c r="CE676" s="6"/>
      <c r="CF676" s="6"/>
      <c r="CG676" s="6"/>
      <c r="CH676" s="6" t="str">
        <f t="shared" si="879"/>
        <v>a</v>
      </c>
    </row>
    <row r="677" spans="1:86" outlineLevel="1">
      <c r="A677" s="92">
        <f>78/2</f>
        <v>39</v>
      </c>
      <c r="B677" s="6" t="s">
        <v>637</v>
      </c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10">
        <v>4963.68</v>
      </c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  <c r="BL677" s="6"/>
      <c r="BM677" s="6"/>
      <c r="BN677" s="6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  <c r="CC677" s="6"/>
      <c r="CD677" s="6"/>
      <c r="CE677" s="6"/>
      <c r="CF677" s="6"/>
      <c r="CG677" s="6"/>
      <c r="CH677" s="6" t="str">
        <f t="shared" si="879"/>
        <v>a</v>
      </c>
    </row>
    <row r="678" spans="1:86" outlineLevel="1">
      <c r="A678" s="92">
        <f>109/2</f>
        <v>54.5</v>
      </c>
      <c r="B678" s="6" t="s">
        <v>638</v>
      </c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10"/>
      <c r="R678" s="10">
        <v>4534.46</v>
      </c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  <c r="BL678" s="6"/>
      <c r="BM678" s="6"/>
      <c r="BN678" s="6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  <c r="BZ678" s="6"/>
      <c r="CA678" s="6"/>
      <c r="CB678" s="6"/>
      <c r="CC678" s="6"/>
      <c r="CD678" s="6"/>
      <c r="CE678" s="6"/>
      <c r="CF678" s="6"/>
      <c r="CG678" s="6"/>
      <c r="CH678" s="6" t="str">
        <f t="shared" si="879"/>
        <v>a</v>
      </c>
    </row>
    <row r="679" spans="1:86" outlineLevel="1">
      <c r="A679" s="92">
        <f>107/2</f>
        <v>53.5</v>
      </c>
      <c r="B679" s="6" t="s">
        <v>639</v>
      </c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10"/>
      <c r="R679" s="10">
        <v>2591.12</v>
      </c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  <c r="BL679" s="6"/>
      <c r="BM679" s="6"/>
      <c r="BN679" s="6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  <c r="BZ679" s="6"/>
      <c r="CA679" s="6"/>
      <c r="CB679" s="6"/>
      <c r="CC679" s="6"/>
      <c r="CD679" s="6"/>
      <c r="CE679" s="6"/>
      <c r="CF679" s="6"/>
      <c r="CG679" s="6"/>
      <c r="CH679" s="6" t="str">
        <f t="shared" si="879"/>
        <v>a</v>
      </c>
    </row>
    <row r="680" spans="1:86" outlineLevel="1">
      <c r="B680" s="6" t="s">
        <v>640</v>
      </c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10">
        <v>3102.3</v>
      </c>
      <c r="R680" s="10">
        <v>3238.9</v>
      </c>
      <c r="S680" s="41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  <c r="BL680" s="6"/>
      <c r="BM680" s="6"/>
      <c r="BN680" s="6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  <c r="BZ680" s="6"/>
      <c r="CA680" s="6"/>
      <c r="CB680" s="6"/>
      <c r="CC680" s="6"/>
      <c r="CD680" s="6"/>
      <c r="CE680" s="6"/>
      <c r="CF680" s="6"/>
      <c r="CG680" s="6"/>
      <c r="CH680" s="6" t="str">
        <f t="shared" si="879"/>
        <v>a</v>
      </c>
    </row>
    <row r="681" spans="1:86" outlineLevel="1">
      <c r="B681" s="6" t="s">
        <v>641</v>
      </c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10"/>
      <c r="R681" s="10">
        <v>1619.45</v>
      </c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  <c r="BL681" s="6"/>
      <c r="BM681" s="6"/>
      <c r="BN681" s="6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  <c r="BZ681" s="6"/>
      <c r="CA681" s="6"/>
      <c r="CB681" s="6"/>
      <c r="CC681" s="6"/>
      <c r="CD681" s="6"/>
      <c r="CE681" s="6"/>
      <c r="CF681" s="6"/>
      <c r="CG681" s="6"/>
      <c r="CH681" s="6" t="str">
        <f t="shared" si="879"/>
        <v>a</v>
      </c>
    </row>
    <row r="682" spans="1:86" outlineLevel="1">
      <c r="B682" s="6" t="s">
        <v>642</v>
      </c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10"/>
      <c r="R682" s="10">
        <v>3238.9</v>
      </c>
      <c r="S682" s="12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  <c r="BL682" s="6"/>
      <c r="BM682" s="6"/>
      <c r="BN682" s="6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  <c r="BZ682" s="6"/>
      <c r="CA682" s="6"/>
      <c r="CB682" s="6"/>
      <c r="CC682" s="6"/>
      <c r="CD682" s="6"/>
      <c r="CE682" s="6"/>
      <c r="CF682" s="6"/>
      <c r="CG682" s="6"/>
      <c r="CH682" s="6" t="str">
        <f t="shared" si="879"/>
        <v>a</v>
      </c>
    </row>
    <row r="683" spans="1:86" outlineLevel="1">
      <c r="B683" s="6" t="s">
        <v>643</v>
      </c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10"/>
      <c r="R683" s="10">
        <v>3238.9</v>
      </c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  <c r="BL683" s="6"/>
      <c r="BM683" s="6"/>
      <c r="BN683" s="6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  <c r="BZ683" s="6"/>
      <c r="CA683" s="6"/>
      <c r="CB683" s="6"/>
      <c r="CC683" s="6"/>
      <c r="CD683" s="6"/>
      <c r="CE683" s="6"/>
      <c r="CF683" s="6"/>
      <c r="CG683" s="6"/>
      <c r="CH683" s="6" t="str">
        <f t="shared" si="879"/>
        <v>a</v>
      </c>
    </row>
    <row r="684" spans="1:86" outlineLevel="1">
      <c r="A684" s="91">
        <v>65.489999999999995</v>
      </c>
      <c r="B684" s="6" t="s">
        <v>646</v>
      </c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10"/>
      <c r="R684" s="10"/>
      <c r="S684" s="10">
        <f>975*S887</f>
        <v>6532.5</v>
      </c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  <c r="BL684" s="6"/>
      <c r="BM684" s="6"/>
      <c r="BN684" s="6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  <c r="BZ684" s="6"/>
      <c r="CA684" s="6"/>
      <c r="CB684" s="6"/>
      <c r="CC684" s="6"/>
      <c r="CD684" s="6"/>
      <c r="CE684" s="6"/>
      <c r="CF684" s="6"/>
      <c r="CG684" s="6"/>
      <c r="CH684" s="6" t="str">
        <f>CH562</f>
        <v>a</v>
      </c>
    </row>
    <row r="685" spans="1:86" outlineLevel="1">
      <c r="B685" s="6" t="s">
        <v>644</v>
      </c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10">
        <v>-81.391947999999999</v>
      </c>
      <c r="R685" s="10">
        <v>-107.12174</v>
      </c>
      <c r="S685" s="17">
        <v>-20</v>
      </c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  <c r="BL685" s="6"/>
      <c r="BM685" s="6"/>
      <c r="BN685" s="6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  <c r="BZ685" s="6"/>
      <c r="CA685" s="6"/>
      <c r="CB685" s="6"/>
      <c r="CC685" s="6"/>
      <c r="CD685" s="6"/>
      <c r="CE685" s="6"/>
      <c r="CF685" s="6"/>
      <c r="CG685" s="6"/>
      <c r="CH685" s="6" t="str">
        <f>CH562</f>
        <v>a</v>
      </c>
    </row>
    <row r="686" spans="1:86" outlineLevel="1">
      <c r="B686" s="6" t="s">
        <v>125</v>
      </c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84">
        <f>SUM(Q677:Q685)</f>
        <v>7984.5880520000001</v>
      </c>
      <c r="R686" s="84">
        <f>SUM(R677:R685)</f>
        <v>18354.608260000001</v>
      </c>
      <c r="S686" s="84">
        <f>SUM(S677:S685)</f>
        <v>6512.5</v>
      </c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  <c r="BL686" s="6"/>
      <c r="BM686" s="6"/>
      <c r="BN686" s="6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  <c r="BZ686" s="6"/>
      <c r="CA686" s="6"/>
      <c r="CB686" s="6"/>
      <c r="CC686" s="6"/>
      <c r="CD686" s="6"/>
      <c r="CE686" s="6"/>
      <c r="CF686" s="6"/>
      <c r="CG686" s="6"/>
      <c r="CH686" s="6" t="str">
        <f>CH563</f>
        <v>a</v>
      </c>
    </row>
    <row r="687" spans="1:86" outlineLevel="1"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492"/>
      <c r="AG687" s="492"/>
      <c r="AH687" s="492"/>
      <c r="AI687" s="492"/>
      <c r="AJ687" s="492"/>
      <c r="AK687" s="492"/>
      <c r="AL687" s="492"/>
      <c r="AM687" s="492"/>
      <c r="AN687" s="492"/>
      <c r="AO687" s="492"/>
      <c r="AP687" s="492"/>
      <c r="AQ687" s="492"/>
      <c r="AR687" s="492"/>
      <c r="AS687" s="492"/>
      <c r="AT687" s="492"/>
      <c r="AU687" s="492"/>
      <c r="AV687" s="492"/>
      <c r="AW687" s="492"/>
      <c r="AX687" s="492"/>
      <c r="AY687" s="492"/>
      <c r="AZ687" s="492"/>
      <c r="BA687" s="492"/>
      <c r="BB687" s="492"/>
      <c r="BC687" s="492"/>
      <c r="BD687" s="492"/>
      <c r="BE687" s="492"/>
      <c r="BF687" s="492"/>
      <c r="BG687" s="492"/>
      <c r="BH687" s="492"/>
      <c r="BI687" s="492"/>
      <c r="BJ687" s="492"/>
      <c r="BK687" s="492"/>
      <c r="BL687" s="492"/>
      <c r="BM687" s="492"/>
      <c r="BN687" s="492"/>
      <c r="BO687" s="492"/>
      <c r="BP687" s="492"/>
      <c r="BQ687" s="492"/>
      <c r="BR687" s="492"/>
      <c r="BS687" s="492"/>
      <c r="BT687" s="492"/>
      <c r="BU687" s="6"/>
      <c r="BV687" s="6"/>
      <c r="BW687" s="6"/>
      <c r="BX687" s="6"/>
      <c r="BY687" s="6"/>
      <c r="BZ687" s="6"/>
      <c r="CA687" s="6"/>
      <c r="CB687" s="6"/>
      <c r="CC687" s="6"/>
      <c r="CD687" s="6"/>
      <c r="CE687" s="6"/>
      <c r="CF687" s="6"/>
      <c r="CG687" s="6"/>
      <c r="CH687" s="6" t="str">
        <f>CH564</f>
        <v>a</v>
      </c>
    </row>
    <row r="688" spans="1:86" outlineLevel="1">
      <c r="B688" s="20" t="s">
        <v>648</v>
      </c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588">
        <f t="shared" ref="N688:T688" si="880">N555</f>
        <v>102.77096899999999</v>
      </c>
      <c r="O688" s="588">
        <f t="shared" si="880"/>
        <v>95.247538000000006</v>
      </c>
      <c r="P688" s="588">
        <f t="shared" si="880"/>
        <v>199.690428</v>
      </c>
      <c r="Q688" s="588">
        <f t="shared" si="880"/>
        <v>848.54829299999994</v>
      </c>
      <c r="R688" s="588">
        <f t="shared" si="880"/>
        <v>19134.198247</v>
      </c>
      <c r="S688" s="588">
        <f t="shared" si="880"/>
        <v>3983.9177920000002</v>
      </c>
      <c r="T688" s="588">
        <f t="shared" si="880"/>
        <v>1779.2158509999999</v>
      </c>
      <c r="U688" s="20">
        <f t="shared" ref="U688:AD688" si="881">U698</f>
        <v>4385.1772020100007</v>
      </c>
      <c r="V688" s="20">
        <f t="shared" si="881"/>
        <v>4802.1482416490016</v>
      </c>
      <c r="W688" s="20">
        <f t="shared" si="881"/>
        <v>5262.9710533081025</v>
      </c>
      <c r="X688" s="20">
        <f t="shared" si="881"/>
        <v>5771.8153473836928</v>
      </c>
      <c r="Y688" s="20">
        <f t="shared" si="881"/>
        <v>6333.2893519923646</v>
      </c>
      <c r="Z688" s="20">
        <f t="shared" si="881"/>
        <v>6952.4815100748738</v>
      </c>
      <c r="AA688" s="20">
        <f t="shared" si="881"/>
        <v>7635.0065616773054</v>
      </c>
      <c r="AB688" s="20">
        <f t="shared" si="881"/>
        <v>8387.056428380487</v>
      </c>
      <c r="AC688" s="20">
        <f t="shared" si="881"/>
        <v>9215.456360700442</v>
      </c>
      <c r="AD688" s="20">
        <f t="shared" si="881"/>
        <v>10127.7268573042</v>
      </c>
      <c r="AE688" s="20"/>
      <c r="AF688" s="588">
        <f t="shared" ref="AF688:BU688" si="882">AF555</f>
        <v>0</v>
      </c>
      <c r="AG688" s="588">
        <f t="shared" si="882"/>
        <v>0</v>
      </c>
      <c r="AH688" s="588">
        <f t="shared" si="882"/>
        <v>0</v>
      </c>
      <c r="AI688" s="588">
        <f t="shared" si="882"/>
        <v>0</v>
      </c>
      <c r="AJ688" s="588">
        <f t="shared" si="882"/>
        <v>0</v>
      </c>
      <c r="AK688" s="588">
        <f t="shared" si="882"/>
        <v>0</v>
      </c>
      <c r="AL688" s="588">
        <f t="shared" si="882"/>
        <v>0</v>
      </c>
      <c r="AM688" s="588">
        <f t="shared" si="882"/>
        <v>0</v>
      </c>
      <c r="AN688" s="588">
        <f t="shared" si="882"/>
        <v>0</v>
      </c>
      <c r="AO688" s="588">
        <f t="shared" si="882"/>
        <v>0</v>
      </c>
      <c r="AP688" s="588">
        <f t="shared" si="882"/>
        <v>0</v>
      </c>
      <c r="AQ688" s="588">
        <f t="shared" si="882"/>
        <v>0</v>
      </c>
      <c r="AR688" s="588">
        <f t="shared" si="882"/>
        <v>0</v>
      </c>
      <c r="AS688" s="588">
        <f t="shared" si="882"/>
        <v>0</v>
      </c>
      <c r="AT688" s="588">
        <f t="shared" si="882"/>
        <v>0</v>
      </c>
      <c r="AU688" s="588">
        <f t="shared" si="882"/>
        <v>0</v>
      </c>
      <c r="AV688" s="588">
        <f t="shared" si="882"/>
        <v>0</v>
      </c>
      <c r="AW688" s="588">
        <f t="shared" si="882"/>
        <v>0</v>
      </c>
      <c r="AX688" s="588">
        <f t="shared" si="882"/>
        <v>0</v>
      </c>
      <c r="AY688" s="588">
        <f t="shared" si="882"/>
        <v>102.77096899999999</v>
      </c>
      <c r="AZ688" s="588">
        <f t="shared" si="882"/>
        <v>0</v>
      </c>
      <c r="BA688" s="588">
        <f t="shared" si="882"/>
        <v>0</v>
      </c>
      <c r="BB688" s="588">
        <f t="shared" si="882"/>
        <v>0</v>
      </c>
      <c r="BC688" s="588">
        <f t="shared" si="882"/>
        <v>95.247538000000006</v>
      </c>
      <c r="BD688" s="588">
        <f t="shared" si="882"/>
        <v>203.46100799999999</v>
      </c>
      <c r="BE688" s="588">
        <f t="shared" si="882"/>
        <v>181.144193</v>
      </c>
      <c r="BF688" s="588">
        <f t="shared" si="882"/>
        <v>204.793364</v>
      </c>
      <c r="BG688" s="588">
        <f t="shared" si="882"/>
        <v>199.690428</v>
      </c>
      <c r="BH688" s="588">
        <f t="shared" si="882"/>
        <v>262.44090299999999</v>
      </c>
      <c r="BI688" s="588">
        <f t="shared" si="882"/>
        <v>425.92378600000001</v>
      </c>
      <c r="BJ688" s="588">
        <f t="shared" si="882"/>
        <v>536.04152099999999</v>
      </c>
      <c r="BK688" s="588">
        <f t="shared" si="882"/>
        <v>848.54829299999994</v>
      </c>
      <c r="BL688" s="588">
        <f t="shared" si="882"/>
        <v>1062.725113</v>
      </c>
      <c r="BM688" s="588">
        <f t="shared" si="882"/>
        <v>1712.529448</v>
      </c>
      <c r="BN688" s="588">
        <f t="shared" si="882"/>
        <v>1063.3063110000001</v>
      </c>
      <c r="BO688" s="588">
        <f t="shared" si="882"/>
        <v>19134.198247</v>
      </c>
      <c r="BP688" s="588">
        <f t="shared" si="882"/>
        <v>4306.6448890000001</v>
      </c>
      <c r="BQ688" s="588">
        <f t="shared" si="882"/>
        <v>3607.0374959999999</v>
      </c>
      <c r="BR688" s="588">
        <f t="shared" si="882"/>
        <v>3678.2115789999998</v>
      </c>
      <c r="BS688" s="588">
        <f t="shared" si="882"/>
        <v>3983.9177920000002</v>
      </c>
      <c r="BT688" s="588">
        <f t="shared" si="882"/>
        <v>1819.9016810000001</v>
      </c>
      <c r="BU688" s="588">
        <f t="shared" si="882"/>
        <v>1994.570406</v>
      </c>
      <c r="BV688" s="19"/>
      <c r="BW688" s="19"/>
      <c r="BX688" s="19"/>
      <c r="BY688" s="19"/>
      <c r="BZ688" s="19"/>
      <c r="CA688" s="19"/>
      <c r="CB688" s="19"/>
      <c r="CC688" s="19"/>
      <c r="CD688" s="19"/>
      <c r="CE688" s="19"/>
      <c r="CF688" s="19"/>
      <c r="CG688" s="19"/>
      <c r="CH688" s="19" t="str">
        <f>CH557</f>
        <v>a</v>
      </c>
    </row>
    <row r="689" spans="2:86" outlineLevel="1">
      <c r="B689" s="6" t="s">
        <v>649</v>
      </c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10">
        <v>0</v>
      </c>
      <c r="R689" s="10">
        <v>17855.897129000001</v>
      </c>
      <c r="S689" s="10">
        <v>2197.375082</v>
      </c>
      <c r="T689" s="17">
        <f t="shared" ref="T689:AD689" si="883">S689*1.1</f>
        <v>2417.1125902000003</v>
      </c>
      <c r="U689" s="17">
        <f t="shared" si="883"/>
        <v>2658.8238492200007</v>
      </c>
      <c r="V689" s="17">
        <f t="shared" si="883"/>
        <v>2924.706234142001</v>
      </c>
      <c r="W689" s="17">
        <f t="shared" si="883"/>
        <v>3217.1768575562014</v>
      </c>
      <c r="X689" s="17">
        <f t="shared" si="883"/>
        <v>3538.894543311822</v>
      </c>
      <c r="Y689" s="17">
        <f t="shared" si="883"/>
        <v>3892.7839976430046</v>
      </c>
      <c r="Z689" s="17">
        <f t="shared" si="883"/>
        <v>4282.0623974073051</v>
      </c>
      <c r="AA689" s="17">
        <f t="shared" si="883"/>
        <v>4710.2686371480359</v>
      </c>
      <c r="AB689" s="17">
        <f t="shared" si="883"/>
        <v>5181.2955008628396</v>
      </c>
      <c r="AC689" s="17">
        <f t="shared" si="883"/>
        <v>5699.4250509491239</v>
      </c>
      <c r="AD689" s="17">
        <f t="shared" si="883"/>
        <v>6269.367556044037</v>
      </c>
      <c r="AE689" s="17"/>
      <c r="AF689" s="492"/>
      <c r="AG689" s="492"/>
      <c r="AH689" s="492"/>
      <c r="AI689" s="492"/>
      <c r="AJ689" s="492"/>
      <c r="AK689" s="492"/>
      <c r="AL689" s="492"/>
      <c r="AM689" s="492"/>
      <c r="AN689" s="492"/>
      <c r="AO689" s="492"/>
      <c r="AP689" s="492"/>
      <c r="AQ689" s="492"/>
      <c r="AR689" s="492"/>
      <c r="AS689" s="492"/>
      <c r="AT689" s="492"/>
      <c r="AU689" s="492"/>
      <c r="AV689" s="492"/>
      <c r="AW689" s="492"/>
      <c r="AX689" s="492"/>
      <c r="AY689" s="492"/>
      <c r="AZ689" s="492"/>
      <c r="BA689" s="492"/>
      <c r="BB689" s="492"/>
      <c r="BC689" s="492"/>
      <c r="BD689" s="492"/>
      <c r="BE689" s="492"/>
      <c r="BF689" s="492"/>
      <c r="BG689" s="492"/>
      <c r="BH689" s="492"/>
      <c r="BI689" s="492"/>
      <c r="BJ689" s="492"/>
      <c r="BK689" s="492"/>
      <c r="BL689" s="492"/>
      <c r="BM689" s="492"/>
      <c r="BN689" s="492"/>
      <c r="BO689" s="492"/>
      <c r="BP689" s="492"/>
      <c r="BQ689" s="492"/>
      <c r="BR689" s="492"/>
      <c r="BS689" s="492"/>
      <c r="BT689" s="492"/>
      <c r="BU689" s="6"/>
      <c r="BV689" s="6"/>
      <c r="BW689" s="6"/>
      <c r="BX689" s="6"/>
      <c r="BY689" s="6"/>
      <c r="BZ689" s="6"/>
      <c r="CA689" s="6"/>
      <c r="CB689" s="6"/>
      <c r="CC689" s="6"/>
      <c r="CD689" s="6"/>
      <c r="CE689" s="6"/>
      <c r="CF689" s="6"/>
      <c r="CG689" s="6"/>
      <c r="CH689" s="6" t="str">
        <f>CH558</f>
        <v>a</v>
      </c>
    </row>
    <row r="690" spans="2:86" outlineLevel="1">
      <c r="B690" s="6" t="s">
        <v>650</v>
      </c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10">
        <v>367.70549599999998</v>
      </c>
      <c r="R690" s="10">
        <v>455.61467699999997</v>
      </c>
      <c r="S690" s="387">
        <v>454.55041299999999</v>
      </c>
      <c r="T690" s="230">
        <f t="shared" ref="T690:AD690" si="884">S690*1.1</f>
        <v>500.00545430000005</v>
      </c>
      <c r="U690" s="230">
        <f t="shared" si="884"/>
        <v>550.0059997300001</v>
      </c>
      <c r="V690" s="230">
        <f t="shared" si="884"/>
        <v>605.00659970300012</v>
      </c>
      <c r="W690" s="230">
        <f t="shared" si="884"/>
        <v>665.50725967330015</v>
      </c>
      <c r="X690" s="230">
        <f t="shared" si="884"/>
        <v>732.05798564063025</v>
      </c>
      <c r="Y690" s="230">
        <f t="shared" si="884"/>
        <v>805.26378420469337</v>
      </c>
      <c r="Z690" s="230">
        <f t="shared" si="884"/>
        <v>885.79016262516279</v>
      </c>
      <c r="AA690" s="230">
        <f t="shared" si="884"/>
        <v>974.36917888767914</v>
      </c>
      <c r="AB690" s="230">
        <f t="shared" si="884"/>
        <v>1071.8060967764472</v>
      </c>
      <c r="AC690" s="230">
        <f t="shared" si="884"/>
        <v>1178.986706454092</v>
      </c>
      <c r="AD690" s="230">
        <f t="shared" si="884"/>
        <v>1296.8853770995013</v>
      </c>
      <c r="AE690" s="230"/>
      <c r="AF690" s="492"/>
      <c r="AG690" s="492"/>
      <c r="AH690" s="492"/>
      <c r="AI690" s="492"/>
      <c r="AJ690" s="492"/>
      <c r="AK690" s="492"/>
      <c r="AL690" s="492"/>
      <c r="AM690" s="492"/>
      <c r="AN690" s="492"/>
      <c r="AO690" s="492"/>
      <c r="AP690" s="492"/>
      <c r="AQ690" s="492"/>
      <c r="AR690" s="492"/>
      <c r="AS690" s="492"/>
      <c r="AT690" s="492"/>
      <c r="AU690" s="492"/>
      <c r="AV690" s="492"/>
      <c r="AW690" s="492"/>
      <c r="AX690" s="492"/>
      <c r="AY690" s="492"/>
      <c r="AZ690" s="492"/>
      <c r="BA690" s="492"/>
      <c r="BB690" s="492"/>
      <c r="BC690" s="492"/>
      <c r="BD690" s="492"/>
      <c r="BE690" s="492"/>
      <c r="BF690" s="492"/>
      <c r="BG690" s="492"/>
      <c r="BH690" s="492"/>
      <c r="BI690" s="492"/>
      <c r="BJ690" s="492"/>
      <c r="BK690" s="492"/>
      <c r="BL690" s="492"/>
      <c r="BM690" s="492"/>
      <c r="BN690" s="492"/>
      <c r="BO690" s="492"/>
      <c r="BP690" s="492"/>
      <c r="BQ690" s="492"/>
      <c r="BR690" s="492"/>
      <c r="BS690" s="492"/>
      <c r="BT690" s="492"/>
      <c r="BU690" s="6"/>
      <c r="BV690" s="6"/>
      <c r="BW690" s="6"/>
      <c r="BX690" s="6"/>
      <c r="BY690" s="6"/>
      <c r="BZ690" s="6"/>
      <c r="CA690" s="6"/>
      <c r="CB690" s="6"/>
      <c r="CC690" s="6"/>
      <c r="CD690" s="6"/>
      <c r="CE690" s="6"/>
      <c r="CF690" s="6"/>
      <c r="CG690" s="6"/>
      <c r="CH690" s="6" t="str">
        <f>CH560</f>
        <v>a</v>
      </c>
    </row>
    <row r="691" spans="2:86" outlineLevel="1">
      <c r="B691" s="6" t="s">
        <v>758</v>
      </c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10"/>
      <c r="R691" s="10"/>
      <c r="S691" s="387">
        <v>315.836071</v>
      </c>
      <c r="T691" s="230"/>
      <c r="U691" s="230"/>
      <c r="V691" s="230"/>
      <c r="W691" s="230"/>
      <c r="X691" s="230"/>
      <c r="Y691" s="230"/>
      <c r="Z691" s="230"/>
      <c r="AA691" s="230"/>
      <c r="AB691" s="230"/>
      <c r="AC691" s="230"/>
      <c r="AD691" s="230"/>
      <c r="AE691" s="230"/>
      <c r="AF691" s="492"/>
      <c r="AG691" s="492"/>
      <c r="AH691" s="492"/>
      <c r="AI691" s="492"/>
      <c r="AJ691" s="492"/>
      <c r="AK691" s="492"/>
      <c r="AL691" s="492"/>
      <c r="AM691" s="492"/>
      <c r="AN691" s="492"/>
      <c r="AO691" s="492"/>
      <c r="AP691" s="492"/>
      <c r="AQ691" s="492"/>
      <c r="AR691" s="492"/>
      <c r="AS691" s="492"/>
      <c r="AT691" s="492"/>
      <c r="AU691" s="492"/>
      <c r="AV691" s="492"/>
      <c r="AW691" s="492"/>
      <c r="AX691" s="492"/>
      <c r="AY691" s="492"/>
      <c r="AZ691" s="492"/>
      <c r="BA691" s="492"/>
      <c r="BB691" s="492"/>
      <c r="BC691" s="492"/>
      <c r="BD691" s="492"/>
      <c r="BE691" s="492"/>
      <c r="BF691" s="492"/>
      <c r="BG691" s="492"/>
      <c r="BH691" s="492"/>
      <c r="BI691" s="492"/>
      <c r="BJ691" s="492"/>
      <c r="BK691" s="492"/>
      <c r="BL691" s="492"/>
      <c r="BM691" s="492"/>
      <c r="BN691" s="492"/>
      <c r="BO691" s="492"/>
      <c r="BP691" s="492"/>
      <c r="BQ691" s="492"/>
      <c r="BR691" s="492"/>
      <c r="BS691" s="492"/>
      <c r="BT691" s="492"/>
      <c r="BU691" s="6"/>
      <c r="BV691" s="6"/>
      <c r="BW691" s="6"/>
      <c r="BX691" s="6"/>
      <c r="BY691" s="6"/>
      <c r="BZ691" s="6"/>
      <c r="CA691" s="6"/>
      <c r="CB691" s="6"/>
      <c r="CC691" s="6"/>
      <c r="CD691" s="6"/>
      <c r="CE691" s="6"/>
      <c r="CF691" s="6"/>
      <c r="CG691" s="6"/>
      <c r="CH691" s="6"/>
    </row>
    <row r="692" spans="2:86" outlineLevel="1">
      <c r="B692" s="13" t="s">
        <v>563</v>
      </c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10">
        <v>0</v>
      </c>
      <c r="R692" s="10">
        <v>289.87545799999998</v>
      </c>
      <c r="S692" s="387">
        <v>315.80346300000002</v>
      </c>
      <c r="T692" s="230">
        <f t="shared" ref="T692:AD692" si="885">S692*1.1</f>
        <v>347.38380930000005</v>
      </c>
      <c r="U692" s="230">
        <f t="shared" si="885"/>
        <v>382.12219023000011</v>
      </c>
      <c r="V692" s="230">
        <f t="shared" si="885"/>
        <v>420.33440925300016</v>
      </c>
      <c r="W692" s="230">
        <f t="shared" si="885"/>
        <v>462.36785017830022</v>
      </c>
      <c r="X692" s="230">
        <f t="shared" si="885"/>
        <v>508.60463519613029</v>
      </c>
      <c r="Y692" s="230">
        <f t="shared" si="885"/>
        <v>559.46509871574335</v>
      </c>
      <c r="Z692" s="230">
        <f t="shared" si="885"/>
        <v>615.41160858731769</v>
      </c>
      <c r="AA692" s="230">
        <f t="shared" si="885"/>
        <v>676.9527694460495</v>
      </c>
      <c r="AB692" s="230">
        <f t="shared" si="885"/>
        <v>744.64804639065449</v>
      </c>
      <c r="AC692" s="230">
        <f t="shared" si="885"/>
        <v>819.11285102971999</v>
      </c>
      <c r="AD692" s="230">
        <f t="shared" si="885"/>
        <v>901.02413613269209</v>
      </c>
      <c r="AE692" s="230"/>
      <c r="AF692" s="492"/>
      <c r="AG692" s="492"/>
      <c r="AH692" s="492"/>
      <c r="AI692" s="492"/>
      <c r="AJ692" s="492"/>
      <c r="AK692" s="492"/>
      <c r="AL692" s="492"/>
      <c r="AM692" s="492"/>
      <c r="AN692" s="492"/>
      <c r="AO692" s="492"/>
      <c r="AP692" s="492"/>
      <c r="AQ692" s="492"/>
      <c r="AR692" s="492"/>
      <c r="AS692" s="492"/>
      <c r="AT692" s="492"/>
      <c r="AU692" s="492"/>
      <c r="AV692" s="492"/>
      <c r="AW692" s="492"/>
      <c r="AX692" s="492"/>
      <c r="AY692" s="492"/>
      <c r="AZ692" s="492"/>
      <c r="BA692" s="492"/>
      <c r="BB692" s="492"/>
      <c r="BC692" s="492"/>
      <c r="BD692" s="492"/>
      <c r="BE692" s="492"/>
      <c r="BF692" s="492"/>
      <c r="BG692" s="492"/>
      <c r="BH692" s="492"/>
      <c r="BI692" s="492"/>
      <c r="BJ692" s="492"/>
      <c r="BK692" s="492"/>
      <c r="BL692" s="492"/>
      <c r="BM692" s="492"/>
      <c r="BN692" s="492"/>
      <c r="BO692" s="492"/>
      <c r="BP692" s="492"/>
      <c r="BQ692" s="492"/>
      <c r="BR692" s="492"/>
      <c r="BS692" s="492"/>
      <c r="BT692" s="492"/>
      <c r="BU692" s="6"/>
      <c r="BV692" s="6"/>
      <c r="BW692" s="6"/>
      <c r="BX692" s="6"/>
      <c r="BY692" s="6"/>
      <c r="BZ692" s="6"/>
      <c r="CA692" s="6"/>
      <c r="CB692" s="6"/>
      <c r="CC692" s="6"/>
      <c r="CD692" s="6"/>
      <c r="CE692" s="6"/>
      <c r="CF692" s="5"/>
      <c r="CH692" s="6" t="str">
        <f>CH562</f>
        <v>a</v>
      </c>
    </row>
    <row r="693" spans="2:86" outlineLevel="1">
      <c r="B693" s="13" t="s">
        <v>651</v>
      </c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10">
        <v>136.89001099999999</v>
      </c>
      <c r="R693" s="10">
        <v>134.58645200000001</v>
      </c>
      <c r="S693" s="10">
        <v>133.00420099999999</v>
      </c>
      <c r="T693" s="17">
        <f t="shared" ref="T693:AD693" si="886">S693*0.9</f>
        <v>119.7037809</v>
      </c>
      <c r="U693" s="17">
        <f t="shared" si="886"/>
        <v>107.73340281</v>
      </c>
      <c r="V693" s="17">
        <f t="shared" si="886"/>
        <v>96.960062528999998</v>
      </c>
      <c r="W693" s="17">
        <f t="shared" si="886"/>
        <v>87.264056276100007</v>
      </c>
      <c r="X693" s="17">
        <f t="shared" si="886"/>
        <v>78.537650648490015</v>
      </c>
      <c r="Y693" s="17">
        <f t="shared" si="886"/>
        <v>70.683885583641015</v>
      </c>
      <c r="Z693" s="17">
        <f t="shared" si="886"/>
        <v>63.615497025276916</v>
      </c>
      <c r="AA693" s="17">
        <f t="shared" si="886"/>
        <v>57.253947322749227</v>
      </c>
      <c r="AB693" s="17">
        <f t="shared" si="886"/>
        <v>51.528552590474305</v>
      </c>
      <c r="AC693" s="17">
        <f t="shared" si="886"/>
        <v>46.375697331426878</v>
      </c>
      <c r="AD693" s="17">
        <f t="shared" si="886"/>
        <v>41.738127598284194</v>
      </c>
      <c r="AE693" s="17"/>
      <c r="AF693" s="492"/>
      <c r="AG693" s="492"/>
      <c r="AH693" s="492"/>
      <c r="AI693" s="492"/>
      <c r="AJ693" s="492"/>
      <c r="AK693" s="492"/>
      <c r="AL693" s="492"/>
      <c r="AM693" s="492"/>
      <c r="AN693" s="492"/>
      <c r="AO693" s="492"/>
      <c r="AP693" s="492"/>
      <c r="AQ693" s="492"/>
      <c r="AR693" s="492"/>
      <c r="AS693" s="492"/>
      <c r="AT693" s="492"/>
      <c r="AU693" s="492"/>
      <c r="AV693" s="492"/>
      <c r="AW693" s="492"/>
      <c r="AX693" s="492"/>
      <c r="AY693" s="492"/>
      <c r="AZ693" s="492"/>
      <c r="BA693" s="492"/>
      <c r="BB693" s="492"/>
      <c r="BC693" s="492"/>
      <c r="BD693" s="492"/>
      <c r="BE693" s="492"/>
      <c r="BF693" s="492"/>
      <c r="BG693" s="492"/>
      <c r="BH693" s="492"/>
      <c r="BI693" s="492"/>
      <c r="BJ693" s="492"/>
      <c r="BK693" s="492"/>
      <c r="BL693" s="492"/>
      <c r="BM693" s="492"/>
      <c r="BN693" s="492"/>
      <c r="BO693" s="492"/>
      <c r="BP693" s="492"/>
      <c r="BQ693" s="492"/>
      <c r="BR693" s="492"/>
      <c r="BS693" s="492"/>
      <c r="BT693" s="492"/>
      <c r="BU693" s="6"/>
      <c r="BV693" s="6"/>
      <c r="BW693" s="6"/>
      <c r="BX693" s="6"/>
      <c r="BY693" s="6"/>
      <c r="BZ693" s="6"/>
      <c r="CA693" s="6"/>
      <c r="CB693" s="6"/>
      <c r="CC693" s="6"/>
      <c r="CD693" s="6"/>
      <c r="CE693" s="6"/>
      <c r="CF693" s="5"/>
      <c r="CH693" s="5" t="s">
        <v>562</v>
      </c>
    </row>
    <row r="694" spans="2:86" outlineLevel="1" collapsed="1">
      <c r="B694" s="13" t="s">
        <v>652</v>
      </c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10">
        <v>125.44224</v>
      </c>
      <c r="R694" s="10">
        <v>262.76213200000001</v>
      </c>
      <c r="S694" s="387">
        <v>285.11098399999997</v>
      </c>
      <c r="T694" s="230">
        <f t="shared" ref="T694:AD694" si="887">S694*1.1</f>
        <v>313.62208240000001</v>
      </c>
      <c r="U694" s="230">
        <f t="shared" si="887"/>
        <v>344.98429064000004</v>
      </c>
      <c r="V694" s="230">
        <f t="shared" si="887"/>
        <v>379.48271970400009</v>
      </c>
      <c r="W694" s="230">
        <f t="shared" si="887"/>
        <v>417.4309916744001</v>
      </c>
      <c r="X694" s="230">
        <f t="shared" si="887"/>
        <v>459.17409084184015</v>
      </c>
      <c r="Y694" s="230">
        <f t="shared" si="887"/>
        <v>505.0914999260242</v>
      </c>
      <c r="Z694" s="230">
        <f t="shared" si="887"/>
        <v>555.60064991862669</v>
      </c>
      <c r="AA694" s="230">
        <f t="shared" si="887"/>
        <v>611.16071491048945</v>
      </c>
      <c r="AB694" s="230">
        <f t="shared" si="887"/>
        <v>672.2767864015384</v>
      </c>
      <c r="AC694" s="230">
        <f t="shared" si="887"/>
        <v>739.50446504169236</v>
      </c>
      <c r="AD694" s="230">
        <f t="shared" si="887"/>
        <v>813.45491154586171</v>
      </c>
      <c r="AE694" s="230"/>
      <c r="AF694" s="492"/>
      <c r="AG694" s="492"/>
      <c r="AH694" s="492"/>
      <c r="AI694" s="492"/>
      <c r="AJ694" s="492"/>
      <c r="AK694" s="492"/>
      <c r="AL694" s="492"/>
      <c r="AM694" s="492"/>
      <c r="AN694" s="492"/>
      <c r="AO694" s="492"/>
      <c r="AP694" s="492"/>
      <c r="AQ694" s="492"/>
      <c r="AR694" s="492"/>
      <c r="AS694" s="492"/>
      <c r="AT694" s="492"/>
      <c r="AU694" s="492"/>
      <c r="AV694" s="492"/>
      <c r="AW694" s="492"/>
      <c r="AX694" s="492"/>
      <c r="AY694" s="492"/>
      <c r="AZ694" s="492"/>
      <c r="BA694" s="492"/>
      <c r="BB694" s="492"/>
      <c r="BC694" s="492"/>
      <c r="BD694" s="492"/>
      <c r="BE694" s="492"/>
      <c r="BF694" s="492"/>
      <c r="BG694" s="492"/>
      <c r="BH694" s="492"/>
      <c r="BI694" s="492"/>
      <c r="BJ694" s="492"/>
      <c r="BK694" s="492"/>
      <c r="BL694" s="492"/>
      <c r="BM694" s="492"/>
      <c r="BN694" s="492"/>
      <c r="BO694" s="492"/>
      <c r="BP694" s="492"/>
      <c r="BQ694" s="492"/>
      <c r="BR694" s="492"/>
      <c r="BS694" s="492"/>
      <c r="BT694" s="492"/>
      <c r="BU694" s="6"/>
      <c r="BV694" s="6"/>
      <c r="BW694" s="6"/>
      <c r="BX694" s="6"/>
      <c r="BY694" s="6"/>
      <c r="BZ694" s="6"/>
      <c r="CA694" s="6"/>
      <c r="CB694" s="6"/>
      <c r="CC694" s="6"/>
      <c r="CD694" s="6"/>
      <c r="CE694" s="6"/>
      <c r="CF694" s="5"/>
      <c r="CH694" s="5" t="s">
        <v>562</v>
      </c>
    </row>
    <row r="695" spans="2:86" hidden="1" outlineLevel="2">
      <c r="B695" s="13" t="s">
        <v>489</v>
      </c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10">
        <v>21.475705000000001</v>
      </c>
      <c r="Q695" s="10">
        <v>22.769589</v>
      </c>
      <c r="R695" s="10">
        <v>23.707598999999998</v>
      </c>
      <c r="S695" s="10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492"/>
      <c r="AG695" s="492"/>
      <c r="AH695" s="492"/>
      <c r="AI695" s="492"/>
      <c r="AJ695" s="492"/>
      <c r="AK695" s="492"/>
      <c r="AL695" s="492"/>
      <c r="AM695" s="492"/>
      <c r="AN695" s="492"/>
      <c r="AO695" s="492"/>
      <c r="AP695" s="492"/>
      <c r="AQ695" s="492"/>
      <c r="AR695" s="492"/>
      <c r="AS695" s="492"/>
      <c r="AT695" s="492"/>
      <c r="AU695" s="492"/>
      <c r="AV695" s="492"/>
      <c r="AW695" s="492"/>
      <c r="AX695" s="492"/>
      <c r="AY695" s="492"/>
      <c r="AZ695" s="492"/>
      <c r="BA695" s="492"/>
      <c r="BB695" s="492"/>
      <c r="BC695" s="492"/>
      <c r="BD695" s="492"/>
      <c r="BE695" s="492"/>
      <c r="BF695" s="492"/>
      <c r="BG695" s="492"/>
      <c r="BH695" s="492"/>
      <c r="BI695" s="492"/>
      <c r="BJ695" s="492"/>
      <c r="BK695" s="492"/>
      <c r="BL695" s="492"/>
      <c r="BM695" s="492"/>
      <c r="BN695" s="492"/>
      <c r="BO695" s="492"/>
      <c r="BP695" s="492"/>
      <c r="BQ695" s="492"/>
      <c r="BR695" s="492"/>
      <c r="BS695" s="492"/>
      <c r="BT695" s="492"/>
      <c r="BU695" s="6"/>
      <c r="BV695" s="6"/>
      <c r="BW695" s="6"/>
      <c r="BX695" s="6"/>
      <c r="BY695" s="6"/>
      <c r="BZ695" s="6"/>
      <c r="CA695" s="6"/>
      <c r="CB695" s="6"/>
      <c r="CC695" s="6"/>
      <c r="CD695" s="6"/>
      <c r="CE695" s="6"/>
      <c r="CF695" s="5"/>
      <c r="CH695" s="5" t="s">
        <v>562</v>
      </c>
    </row>
    <row r="696" spans="2:86" hidden="1" outlineLevel="2">
      <c r="B696" s="13" t="s">
        <v>532</v>
      </c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10">
        <v>83.133600000000001</v>
      </c>
      <c r="Q696" s="10">
        <v>130.34357499999999</v>
      </c>
      <c r="R696" s="10">
        <v>0</v>
      </c>
      <c r="S696" s="10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492"/>
      <c r="AG696" s="492"/>
      <c r="AH696" s="492"/>
      <c r="AI696" s="492"/>
      <c r="AJ696" s="492"/>
      <c r="AK696" s="492"/>
      <c r="AL696" s="492"/>
      <c r="AM696" s="492"/>
      <c r="AN696" s="492"/>
      <c r="AO696" s="492"/>
      <c r="AP696" s="492"/>
      <c r="AQ696" s="492"/>
      <c r="AR696" s="492"/>
      <c r="AS696" s="492"/>
      <c r="AT696" s="492"/>
      <c r="AU696" s="492"/>
      <c r="AV696" s="492"/>
      <c r="AW696" s="492"/>
      <c r="AX696" s="492"/>
      <c r="AY696" s="492"/>
      <c r="AZ696" s="492"/>
      <c r="BA696" s="492"/>
      <c r="BB696" s="492"/>
      <c r="BC696" s="492"/>
      <c r="BD696" s="492"/>
      <c r="BE696" s="492"/>
      <c r="BF696" s="492"/>
      <c r="BG696" s="492"/>
      <c r="BH696" s="492"/>
      <c r="BI696" s="492"/>
      <c r="BJ696" s="492"/>
      <c r="BK696" s="492"/>
      <c r="BL696" s="492"/>
      <c r="BM696" s="492"/>
      <c r="BN696" s="492"/>
      <c r="BO696" s="492"/>
      <c r="BP696" s="492"/>
      <c r="BQ696" s="492"/>
      <c r="BR696" s="492"/>
      <c r="BS696" s="492"/>
      <c r="BT696" s="492"/>
      <c r="BU696" s="6"/>
      <c r="BV696" s="6"/>
      <c r="BW696" s="6"/>
      <c r="BX696" s="6"/>
      <c r="BY696" s="6"/>
      <c r="BZ696" s="6"/>
      <c r="CA696" s="6"/>
      <c r="CB696" s="6"/>
      <c r="CC696" s="6"/>
      <c r="CD696" s="6"/>
      <c r="CE696" s="6"/>
      <c r="CF696" s="5"/>
      <c r="CH696" s="5" t="s">
        <v>562</v>
      </c>
    </row>
    <row r="697" spans="2:86" outlineLevel="1">
      <c r="B697" s="13" t="s">
        <v>17</v>
      </c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10">
        <f>95.081123+P695+P696</f>
        <v>199.690428</v>
      </c>
      <c r="Q697" s="10">
        <f>65.397382+Q695+Q696</f>
        <v>218.51054599999998</v>
      </c>
      <c r="R697" s="10">
        <f>111.7548+R695+R696</f>
        <v>135.462399</v>
      </c>
      <c r="S697" s="10">
        <v>282.23757799999998</v>
      </c>
      <c r="T697" s="17">
        <f t="shared" ref="T697:AD697" si="888">S697*1.1</f>
        <v>310.46133580000003</v>
      </c>
      <c r="U697" s="17">
        <f t="shared" si="888"/>
        <v>341.50746938000003</v>
      </c>
      <c r="V697" s="17">
        <f t="shared" si="888"/>
        <v>375.65821631800009</v>
      </c>
      <c r="W697" s="17">
        <f t="shared" si="888"/>
        <v>413.22403794980011</v>
      </c>
      <c r="X697" s="17">
        <f t="shared" si="888"/>
        <v>454.54644174478017</v>
      </c>
      <c r="Y697" s="17">
        <f t="shared" si="888"/>
        <v>500.00108591925823</v>
      </c>
      <c r="Z697" s="17">
        <f t="shared" si="888"/>
        <v>550.00119451118405</v>
      </c>
      <c r="AA697" s="17">
        <f t="shared" si="888"/>
        <v>605.00131396230256</v>
      </c>
      <c r="AB697" s="17">
        <f t="shared" si="888"/>
        <v>665.50144535853292</v>
      </c>
      <c r="AC697" s="17">
        <f t="shared" si="888"/>
        <v>732.05158989438632</v>
      </c>
      <c r="AD697" s="17">
        <f t="shared" si="888"/>
        <v>805.25674888382503</v>
      </c>
      <c r="AE697" s="17"/>
      <c r="AF697" s="492"/>
      <c r="AG697" s="492"/>
      <c r="AH697" s="492"/>
      <c r="AI697" s="492"/>
      <c r="AJ697" s="492"/>
      <c r="AK697" s="492"/>
      <c r="AL697" s="492"/>
      <c r="AM697" s="492"/>
      <c r="AN697" s="492"/>
      <c r="AO697" s="492"/>
      <c r="AP697" s="492"/>
      <c r="AQ697" s="492"/>
      <c r="AR697" s="492"/>
      <c r="AS697" s="492"/>
      <c r="AT697" s="492"/>
      <c r="AU697" s="492"/>
      <c r="AV697" s="492"/>
      <c r="AW697" s="492"/>
      <c r="AX697" s="492"/>
      <c r="AY697" s="492"/>
      <c r="AZ697" s="492"/>
      <c r="BA697" s="492"/>
      <c r="BB697" s="492"/>
      <c r="BC697" s="492"/>
      <c r="BD697" s="492"/>
      <c r="BE697" s="492"/>
      <c r="BF697" s="492"/>
      <c r="BG697" s="492"/>
      <c r="BH697" s="492"/>
      <c r="BI697" s="492"/>
      <c r="BJ697" s="492"/>
      <c r="BK697" s="492"/>
      <c r="BL697" s="492"/>
      <c r="BM697" s="492"/>
      <c r="BN697" s="492"/>
      <c r="BO697" s="492"/>
      <c r="BP697" s="492"/>
      <c r="BQ697" s="492"/>
      <c r="BR697" s="492"/>
      <c r="BS697" s="492"/>
      <c r="BT697" s="492"/>
      <c r="BU697" s="6"/>
      <c r="BV697" s="6"/>
      <c r="BW697" s="6"/>
      <c r="BX697" s="6"/>
      <c r="BY697" s="6"/>
      <c r="BZ697" s="6"/>
      <c r="CA697" s="6"/>
      <c r="CB697" s="6"/>
      <c r="CC697" s="6"/>
      <c r="CD697" s="6"/>
      <c r="CE697" s="6"/>
      <c r="CF697" s="5"/>
      <c r="CH697" s="5" t="s">
        <v>562</v>
      </c>
    </row>
    <row r="698" spans="2:86" outlineLevel="1">
      <c r="B698" s="13" t="s">
        <v>125</v>
      </c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84">
        <f t="shared" ref="P698:AD698" si="889">SUM(P689:P697)</f>
        <v>304.299733</v>
      </c>
      <c r="Q698" s="84">
        <f t="shared" si="889"/>
        <v>1001.6614569999999</v>
      </c>
      <c r="R698" s="84">
        <f t="shared" si="889"/>
        <v>19157.905846000001</v>
      </c>
      <c r="S698" s="84">
        <f t="shared" si="889"/>
        <v>3983.9177920000002</v>
      </c>
      <c r="T698" s="84">
        <f t="shared" si="889"/>
        <v>4008.2890529000006</v>
      </c>
      <c r="U698" s="84">
        <f t="shared" si="889"/>
        <v>4385.1772020100007</v>
      </c>
      <c r="V698" s="84">
        <f t="shared" si="889"/>
        <v>4802.1482416490016</v>
      </c>
      <c r="W698" s="84">
        <f t="shared" si="889"/>
        <v>5262.9710533081025</v>
      </c>
      <c r="X698" s="84">
        <f t="shared" si="889"/>
        <v>5771.8153473836928</v>
      </c>
      <c r="Y698" s="84">
        <f t="shared" si="889"/>
        <v>6333.2893519923646</v>
      </c>
      <c r="Z698" s="84">
        <f t="shared" si="889"/>
        <v>6952.4815100748738</v>
      </c>
      <c r="AA698" s="84">
        <f t="shared" si="889"/>
        <v>7635.0065616773054</v>
      </c>
      <c r="AB698" s="84">
        <f t="shared" si="889"/>
        <v>8387.056428380487</v>
      </c>
      <c r="AC698" s="84">
        <f t="shared" si="889"/>
        <v>9215.456360700442</v>
      </c>
      <c r="AD698" s="84">
        <f t="shared" si="889"/>
        <v>10127.7268573042</v>
      </c>
      <c r="AE698" s="84"/>
      <c r="AF698" s="492"/>
      <c r="AG698" s="492"/>
      <c r="AH698" s="492"/>
      <c r="AI698" s="492"/>
      <c r="AJ698" s="492"/>
      <c r="AK698" s="492"/>
      <c r="AL698" s="492"/>
      <c r="AM698" s="492"/>
      <c r="AN698" s="492"/>
      <c r="AO698" s="492"/>
      <c r="AP698" s="492"/>
      <c r="AQ698" s="492"/>
      <c r="AR698" s="492"/>
      <c r="AS698" s="492"/>
      <c r="AT698" s="492"/>
      <c r="AU698" s="492"/>
      <c r="AV698" s="492"/>
      <c r="AW698" s="492"/>
      <c r="AX698" s="492"/>
      <c r="AY698" s="492"/>
      <c r="AZ698" s="492"/>
      <c r="BA698" s="492"/>
      <c r="BB698" s="492"/>
      <c r="BC698" s="492"/>
      <c r="BD698" s="492"/>
      <c r="BE698" s="492"/>
      <c r="BF698" s="492"/>
      <c r="BG698" s="492"/>
      <c r="BH698" s="492"/>
      <c r="BI698" s="492"/>
      <c r="BJ698" s="492"/>
      <c r="BK698" s="492"/>
      <c r="BL698" s="492"/>
      <c r="BM698" s="492"/>
      <c r="BN698" s="492"/>
      <c r="BO698" s="492"/>
      <c r="BP698" s="492"/>
      <c r="BQ698" s="492"/>
      <c r="BR698" s="492"/>
      <c r="BS698" s="492"/>
      <c r="BT698" s="492"/>
      <c r="BU698" s="6"/>
      <c r="BV698" s="6"/>
      <c r="BW698" s="6"/>
      <c r="BX698" s="6"/>
      <c r="BY698" s="6"/>
      <c r="BZ698" s="6"/>
      <c r="CA698" s="6"/>
      <c r="CB698" s="6"/>
      <c r="CC698" s="6"/>
      <c r="CD698" s="6"/>
      <c r="CE698" s="6"/>
      <c r="CF698" s="5"/>
      <c r="CH698" s="5" t="s">
        <v>562</v>
      </c>
    </row>
    <row r="699" spans="2:86" outlineLevel="1"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93"/>
      <c r="R699" s="93"/>
      <c r="S699" s="6"/>
      <c r="T699" s="6"/>
      <c r="U699" s="12"/>
      <c r="V699" s="12"/>
      <c r="W699" s="6"/>
      <c r="X699" s="12"/>
      <c r="Y699" s="12"/>
      <c r="Z699" s="6"/>
      <c r="AA699" s="6"/>
      <c r="AB699" s="6"/>
      <c r="AC699" s="6"/>
      <c r="AD699" s="6"/>
      <c r="AE699" s="6"/>
      <c r="AF699" s="492"/>
      <c r="AG699" s="492"/>
      <c r="AH699" s="492"/>
      <c r="AI699" s="492"/>
      <c r="AJ699" s="492"/>
      <c r="AK699" s="492"/>
      <c r="AL699" s="492"/>
      <c r="AM699" s="492"/>
      <c r="AN699" s="492"/>
      <c r="AO699" s="492"/>
      <c r="AP699" s="492"/>
      <c r="AQ699" s="492"/>
      <c r="AR699" s="492"/>
      <c r="AS699" s="492"/>
      <c r="AT699" s="492"/>
      <c r="AU699" s="492"/>
      <c r="AV699" s="492"/>
      <c r="AW699" s="492"/>
      <c r="AX699" s="492"/>
      <c r="AY699" s="492"/>
      <c r="AZ699" s="492"/>
      <c r="BA699" s="492"/>
      <c r="BB699" s="492"/>
      <c r="BC699" s="492"/>
      <c r="BD699" s="492"/>
      <c r="BE699" s="492"/>
      <c r="BF699" s="492"/>
      <c r="BG699" s="492"/>
      <c r="BH699" s="492"/>
      <c r="BI699" s="492"/>
      <c r="BJ699" s="492"/>
      <c r="BK699" s="492"/>
      <c r="BL699" s="492"/>
      <c r="BM699" s="492"/>
      <c r="BN699" s="492"/>
      <c r="BO699" s="492"/>
      <c r="BP699" s="492"/>
      <c r="BQ699" s="492"/>
      <c r="BR699" s="492"/>
      <c r="BS699" s="492"/>
      <c r="BT699" s="492"/>
      <c r="BU699" s="6"/>
      <c r="BV699" s="6"/>
      <c r="BW699" s="6"/>
      <c r="BX699" s="6"/>
      <c r="BY699" s="6"/>
      <c r="BZ699" s="6"/>
      <c r="CA699" s="6"/>
      <c r="CB699" s="6"/>
      <c r="CC699" s="6"/>
      <c r="CD699" s="6"/>
      <c r="CE699" s="6"/>
      <c r="CF699" s="5"/>
      <c r="CH699" s="5" t="s">
        <v>562</v>
      </c>
    </row>
    <row r="700" spans="2:86" outlineLevel="1">
      <c r="B700" s="20" t="s">
        <v>208</v>
      </c>
      <c r="C700" s="20">
        <f t="shared" ref="C700:T700" si="890">C557</f>
        <v>0</v>
      </c>
      <c r="D700" s="20">
        <f t="shared" si="890"/>
        <v>0</v>
      </c>
      <c r="E700" s="20">
        <f t="shared" si="890"/>
        <v>0</v>
      </c>
      <c r="F700" s="20">
        <f t="shared" si="890"/>
        <v>0</v>
      </c>
      <c r="G700" s="20">
        <f t="shared" si="890"/>
        <v>0</v>
      </c>
      <c r="H700" s="20">
        <f t="shared" si="890"/>
        <v>524.928856</v>
      </c>
      <c r="I700" s="20">
        <f t="shared" si="890"/>
        <v>627.46116800000004</v>
      </c>
      <c r="J700" s="20">
        <f t="shared" si="890"/>
        <v>791.33690999999999</v>
      </c>
      <c r="K700" s="20">
        <f t="shared" si="890"/>
        <v>967.687772</v>
      </c>
      <c r="L700" s="20">
        <f t="shared" si="890"/>
        <v>1219.8152500000001</v>
      </c>
      <c r="M700" s="20">
        <f t="shared" si="890"/>
        <v>3073.5510370000002</v>
      </c>
      <c r="N700" s="588">
        <f t="shared" si="890"/>
        <v>3465.9244239999998</v>
      </c>
      <c r="O700" s="588">
        <f t="shared" si="890"/>
        <v>3818.2562269999999</v>
      </c>
      <c r="P700" s="588">
        <f t="shared" si="890"/>
        <v>4088.484766</v>
      </c>
      <c r="Q700" s="588">
        <f t="shared" si="890"/>
        <v>4828.0218160000004</v>
      </c>
      <c r="R700" s="588">
        <f t="shared" si="890"/>
        <v>37991.678952000002</v>
      </c>
      <c r="S700" s="588">
        <f t="shared" si="890"/>
        <v>65819.998701000004</v>
      </c>
      <c r="T700" s="588">
        <f t="shared" si="890"/>
        <v>71341.098031999994</v>
      </c>
      <c r="U700" s="588">
        <f t="shared" ref="U700:AD700" ca="1" si="891">U712</f>
        <v>73674.070759538023</v>
      </c>
      <c r="V700" s="20">
        <f t="shared" ca="1" si="891"/>
        <v>76290.944637686393</v>
      </c>
      <c r="W700" s="20">
        <f t="shared" ca="1" si="891"/>
        <v>79445.071728508425</v>
      </c>
      <c r="X700" s="20">
        <f t="shared" ca="1" si="891"/>
        <v>83202.420061042299</v>
      </c>
      <c r="Y700" s="20">
        <f t="shared" ca="1" si="891"/>
        <v>87648.632824215107</v>
      </c>
      <c r="Z700" s="20">
        <f t="shared" ca="1" si="891"/>
        <v>92764.888909898029</v>
      </c>
      <c r="AA700" s="20">
        <f t="shared" ca="1" si="891"/>
        <v>98606.290851213969</v>
      </c>
      <c r="AB700" s="20">
        <f t="shared" ca="1" si="891"/>
        <v>105229.11472755217</v>
      </c>
      <c r="AC700" s="20">
        <f t="shared" ca="1" si="891"/>
        <v>112685.10681476785</v>
      </c>
      <c r="AD700" s="20">
        <f t="shared" ca="1" si="891"/>
        <v>120997.10518566523</v>
      </c>
      <c r="AE700" s="20"/>
      <c r="AF700" s="588">
        <f t="shared" ref="AF700:BU700" si="892">AF557</f>
        <v>0</v>
      </c>
      <c r="AG700" s="588">
        <f t="shared" si="892"/>
        <v>0</v>
      </c>
      <c r="AH700" s="588">
        <f t="shared" si="892"/>
        <v>0</v>
      </c>
      <c r="AI700" s="588">
        <f t="shared" si="892"/>
        <v>0</v>
      </c>
      <c r="AJ700" s="588">
        <f t="shared" si="892"/>
        <v>0</v>
      </c>
      <c r="AK700" s="588">
        <f t="shared" si="892"/>
        <v>0</v>
      </c>
      <c r="AL700" s="588">
        <f t="shared" si="892"/>
        <v>0</v>
      </c>
      <c r="AM700" s="588">
        <f t="shared" si="892"/>
        <v>0</v>
      </c>
      <c r="AN700" s="588">
        <f t="shared" si="892"/>
        <v>0</v>
      </c>
      <c r="AO700" s="588">
        <f t="shared" si="892"/>
        <v>0</v>
      </c>
      <c r="AP700" s="588">
        <f t="shared" si="892"/>
        <v>0</v>
      </c>
      <c r="AQ700" s="588">
        <f t="shared" si="892"/>
        <v>0</v>
      </c>
      <c r="AR700" s="588">
        <f t="shared" si="892"/>
        <v>0</v>
      </c>
      <c r="AS700" s="588">
        <f t="shared" si="892"/>
        <v>0</v>
      </c>
      <c r="AT700" s="588">
        <f t="shared" si="892"/>
        <v>0</v>
      </c>
      <c r="AU700" s="588">
        <f t="shared" si="892"/>
        <v>0</v>
      </c>
      <c r="AV700" s="588">
        <f t="shared" si="892"/>
        <v>0</v>
      </c>
      <c r="AW700" s="588">
        <f t="shared" si="892"/>
        <v>0</v>
      </c>
      <c r="AX700" s="588">
        <f t="shared" si="892"/>
        <v>0</v>
      </c>
      <c r="AY700" s="588">
        <f t="shared" si="892"/>
        <v>3465.9244239999998</v>
      </c>
      <c r="AZ700" s="588">
        <f t="shared" si="892"/>
        <v>0</v>
      </c>
      <c r="BA700" s="588">
        <f t="shared" si="892"/>
        <v>0</v>
      </c>
      <c r="BB700" s="588">
        <f t="shared" si="892"/>
        <v>0</v>
      </c>
      <c r="BC700" s="588">
        <f t="shared" si="892"/>
        <v>3818.2562269999999</v>
      </c>
      <c r="BD700" s="588">
        <f t="shared" si="892"/>
        <v>3945.6455129999999</v>
      </c>
      <c r="BE700" s="588">
        <f t="shared" si="892"/>
        <v>4120.6523530000004</v>
      </c>
      <c r="BF700" s="588">
        <f t="shared" si="892"/>
        <v>4307.3201859999999</v>
      </c>
      <c r="BG700" s="588">
        <f t="shared" si="892"/>
        <v>4088.484766</v>
      </c>
      <c r="BH700" s="588">
        <f t="shared" si="892"/>
        <v>4292.5514730000004</v>
      </c>
      <c r="BI700" s="588">
        <f t="shared" si="892"/>
        <v>4512.7528860000002</v>
      </c>
      <c r="BJ700" s="588">
        <f t="shared" si="892"/>
        <v>4680.2129859999995</v>
      </c>
      <c r="BK700" s="588">
        <f t="shared" si="892"/>
        <v>4828.0218160000004</v>
      </c>
      <c r="BL700" s="588">
        <f t="shared" si="892"/>
        <v>5073.4150529999997</v>
      </c>
      <c r="BM700" s="588">
        <f t="shared" si="892"/>
        <v>5000.430292</v>
      </c>
      <c r="BN700" s="588">
        <f t="shared" si="892"/>
        <v>5161.3122979999998</v>
      </c>
      <c r="BO700" s="588">
        <f t="shared" si="892"/>
        <v>37991.678952000002</v>
      </c>
      <c r="BP700" s="588">
        <f t="shared" si="892"/>
        <v>50701.098505000002</v>
      </c>
      <c r="BQ700" s="588">
        <f t="shared" si="892"/>
        <v>51920.013979000003</v>
      </c>
      <c r="BR700" s="588">
        <f t="shared" si="892"/>
        <v>63190.425364000002</v>
      </c>
      <c r="BS700" s="588">
        <f t="shared" si="892"/>
        <v>65819.998701000004</v>
      </c>
      <c r="BT700" s="588">
        <f t="shared" si="892"/>
        <v>67236.288327999995</v>
      </c>
      <c r="BU700" s="588">
        <f t="shared" si="892"/>
        <v>70425.644868999996</v>
      </c>
      <c r="BV700" s="20"/>
      <c r="BW700" s="20"/>
      <c r="BX700" s="20"/>
      <c r="BY700" s="20"/>
      <c r="BZ700" s="20"/>
      <c r="CA700" s="20"/>
      <c r="CB700" s="20"/>
      <c r="CC700" s="20"/>
      <c r="CD700" s="20"/>
      <c r="CE700" s="20"/>
      <c r="CF700" s="20"/>
      <c r="CG700" s="88"/>
      <c r="CH700" s="89" t="s">
        <v>562</v>
      </c>
    </row>
    <row r="701" spans="2:86" outlineLevel="1">
      <c r="B701" s="50" t="s">
        <v>658</v>
      </c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>
        <f t="shared" ref="Q701:AD701" si="893">P700</f>
        <v>4088.484766</v>
      </c>
      <c r="R701" s="6">
        <f t="shared" si="893"/>
        <v>4828.0218160000004</v>
      </c>
      <c r="S701" s="6">
        <f t="shared" si="893"/>
        <v>37991.678952000002</v>
      </c>
      <c r="T701" s="6">
        <f t="shared" si="893"/>
        <v>65819.998701000004</v>
      </c>
      <c r="U701" s="6">
        <f t="shared" si="893"/>
        <v>71341.098031999994</v>
      </c>
      <c r="V701" s="6">
        <f t="shared" ca="1" si="893"/>
        <v>73674.070759538023</v>
      </c>
      <c r="W701" s="6">
        <f t="shared" ca="1" si="893"/>
        <v>76290.944637686393</v>
      </c>
      <c r="X701" s="6">
        <f t="shared" ca="1" si="893"/>
        <v>79445.071728508425</v>
      </c>
      <c r="Y701" s="6">
        <f t="shared" ca="1" si="893"/>
        <v>83202.420061042299</v>
      </c>
      <c r="Z701" s="6">
        <f t="shared" ca="1" si="893"/>
        <v>87648.632824215107</v>
      </c>
      <c r="AA701" s="6">
        <f t="shared" ca="1" si="893"/>
        <v>92764.888909898029</v>
      </c>
      <c r="AB701" s="6">
        <f t="shared" ca="1" si="893"/>
        <v>98606.290851213969</v>
      </c>
      <c r="AC701" s="6">
        <f t="shared" ca="1" si="893"/>
        <v>105229.11472755217</v>
      </c>
      <c r="AD701" s="6">
        <f t="shared" ca="1" si="893"/>
        <v>112685.10681476785</v>
      </c>
      <c r="AE701" s="6"/>
      <c r="AF701" s="492"/>
      <c r="AG701" s="492"/>
      <c r="AH701" s="492"/>
      <c r="AI701" s="492"/>
      <c r="AJ701" s="492"/>
      <c r="AK701" s="492"/>
      <c r="AL701" s="492"/>
      <c r="AM701" s="492"/>
      <c r="AN701" s="492"/>
      <c r="AO701" s="492"/>
      <c r="AP701" s="492"/>
      <c r="AQ701" s="492"/>
      <c r="AR701" s="492"/>
      <c r="AS701" s="492"/>
      <c r="AT701" s="492"/>
      <c r="AU701" s="492"/>
      <c r="AV701" s="492"/>
      <c r="AW701" s="492"/>
      <c r="AX701" s="492"/>
      <c r="AY701" s="492"/>
      <c r="AZ701" s="492"/>
      <c r="BA701" s="492"/>
      <c r="BB701" s="492"/>
      <c r="BC701" s="492"/>
      <c r="BD701" s="492"/>
      <c r="BE701" s="492"/>
      <c r="BF701" s="492"/>
      <c r="BG701" s="492"/>
      <c r="BH701" s="492"/>
      <c r="BI701" s="492"/>
      <c r="BJ701" s="492"/>
      <c r="BK701" s="492"/>
      <c r="BL701" s="492"/>
      <c r="BM701" s="492"/>
      <c r="BN701" s="492"/>
      <c r="BO701" s="492"/>
      <c r="BP701" s="492"/>
      <c r="BQ701" s="492"/>
      <c r="BR701" s="492"/>
      <c r="BS701" s="492"/>
      <c r="BT701" s="492"/>
      <c r="BU701" s="6"/>
      <c r="BV701" s="6"/>
      <c r="BW701" s="6"/>
      <c r="BX701" s="6"/>
      <c r="BY701" s="6"/>
      <c r="BZ701" s="6"/>
      <c r="CA701" s="6"/>
      <c r="CB701" s="6"/>
      <c r="CC701" s="6"/>
      <c r="CD701" s="6"/>
      <c r="CE701" s="6"/>
      <c r="CF701" s="5"/>
      <c r="CH701" s="5" t="s">
        <v>562</v>
      </c>
    </row>
    <row r="702" spans="2:86" outlineLevel="1">
      <c r="B702" s="50" t="s">
        <v>659</v>
      </c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10">
        <v>221.53446500000001</v>
      </c>
      <c r="R702" s="10">
        <v>207.98024699999999</v>
      </c>
      <c r="S702" s="10">
        <v>197.628625</v>
      </c>
      <c r="T702" s="17">
        <f t="shared" ref="T702:AD702" si="894">S702</f>
        <v>197.628625</v>
      </c>
      <c r="U702" s="17">
        <f t="shared" si="894"/>
        <v>197.628625</v>
      </c>
      <c r="V702" s="17">
        <f t="shared" si="894"/>
        <v>197.628625</v>
      </c>
      <c r="W702" s="17">
        <f t="shared" si="894"/>
        <v>197.628625</v>
      </c>
      <c r="X702" s="17">
        <f t="shared" si="894"/>
        <v>197.628625</v>
      </c>
      <c r="Y702" s="17">
        <f t="shared" si="894"/>
        <v>197.628625</v>
      </c>
      <c r="Z702" s="17">
        <f t="shared" si="894"/>
        <v>197.628625</v>
      </c>
      <c r="AA702" s="17">
        <f t="shared" si="894"/>
        <v>197.628625</v>
      </c>
      <c r="AB702" s="17">
        <f t="shared" si="894"/>
        <v>197.628625</v>
      </c>
      <c r="AC702" s="17">
        <f t="shared" si="894"/>
        <v>197.628625</v>
      </c>
      <c r="AD702" s="17">
        <f t="shared" si="894"/>
        <v>197.628625</v>
      </c>
      <c r="AE702" s="17"/>
      <c r="AF702" s="492"/>
      <c r="AG702" s="492"/>
      <c r="AH702" s="492"/>
      <c r="AI702" s="492"/>
      <c r="AJ702" s="492"/>
      <c r="AK702" s="492"/>
      <c r="AL702" s="492"/>
      <c r="AM702" s="492"/>
      <c r="AN702" s="492"/>
      <c r="AO702" s="492"/>
      <c r="AP702" s="492"/>
      <c r="AQ702" s="492"/>
      <c r="AR702" s="492"/>
      <c r="AS702" s="492"/>
      <c r="AT702" s="492"/>
      <c r="AU702" s="492"/>
      <c r="AV702" s="492"/>
      <c r="AW702" s="492"/>
      <c r="AX702" s="492"/>
      <c r="AY702" s="492"/>
      <c r="AZ702" s="492"/>
      <c r="BA702" s="492"/>
      <c r="BB702" s="492"/>
      <c r="BC702" s="492"/>
      <c r="BD702" s="492"/>
      <c r="BE702" s="492"/>
      <c r="BF702" s="492"/>
      <c r="BG702" s="492"/>
      <c r="BH702" s="492"/>
      <c r="BI702" s="492"/>
      <c r="BJ702" s="492"/>
      <c r="BK702" s="492"/>
      <c r="BL702" s="492"/>
      <c r="BM702" s="492"/>
      <c r="BN702" s="492"/>
      <c r="BO702" s="492"/>
      <c r="BP702" s="492"/>
      <c r="BQ702" s="492"/>
      <c r="BR702" s="492"/>
      <c r="BS702" s="492"/>
      <c r="BT702" s="492"/>
      <c r="BU702" s="6"/>
      <c r="BV702" s="6"/>
      <c r="BW702" s="6"/>
      <c r="BX702" s="6"/>
      <c r="BY702" s="6"/>
      <c r="BZ702" s="6"/>
      <c r="CA702" s="6"/>
      <c r="CB702" s="6"/>
      <c r="CC702" s="6"/>
      <c r="CD702" s="6"/>
      <c r="CE702" s="6"/>
      <c r="CF702" s="5"/>
      <c r="CH702" s="5" t="s">
        <v>562</v>
      </c>
    </row>
    <row r="703" spans="2:86" outlineLevel="1">
      <c r="B703" s="50" t="s">
        <v>72</v>
      </c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232">
        <f>Model!N359</f>
        <v>342.791357</v>
      </c>
      <c r="O703" s="232">
        <f>Model!O359</f>
        <v>431.72132199999999</v>
      </c>
      <c r="P703" s="232">
        <f>Model!P359</f>
        <v>437.92947700000002</v>
      </c>
      <c r="Q703" s="232">
        <f>Model!Q359</f>
        <v>496.64348899999999</v>
      </c>
      <c r="R703" s="232">
        <f>Model!R359</f>
        <v>642.59647399999994</v>
      </c>
      <c r="S703" s="232">
        <f>Model!S359</f>
        <v>3559.7187059999997</v>
      </c>
      <c r="T703" s="232">
        <f>Model!T359</f>
        <v>1833.812105</v>
      </c>
      <c r="U703" s="232">
        <f ca="1">Model!U359</f>
        <v>2135.344102538028</v>
      </c>
      <c r="V703" s="232">
        <f ca="1">Model!V359</f>
        <v>2419.2452531483691</v>
      </c>
      <c r="W703" s="232">
        <f ca="1">Model!W359</f>
        <v>2956.4984658220355</v>
      </c>
      <c r="X703" s="232">
        <f ca="1">Model!X359</f>
        <v>3559.7197075338786</v>
      </c>
      <c r="Y703" s="232">
        <f ca="1">Model!Y359</f>
        <v>4248.5841381728096</v>
      </c>
      <c r="Z703" s="232">
        <f ca="1">Model!Z359</f>
        <v>4918.6274606829247</v>
      </c>
      <c r="AA703" s="232">
        <f ca="1">Model!AA359</f>
        <v>5643.7733163159401</v>
      </c>
      <c r="AB703" s="232">
        <f ca="1">Model!AB359</f>
        <v>6425.1952513381975</v>
      </c>
      <c r="AC703" s="232">
        <f ca="1">Model!AC359</f>
        <v>7258.3634622156778</v>
      </c>
      <c r="AD703" s="232">
        <f ca="1">Model!AD359</f>
        <v>8114.3697458973948</v>
      </c>
      <c r="AE703" s="232"/>
      <c r="AF703" s="492"/>
      <c r="AG703" s="492"/>
      <c r="AH703" s="492"/>
      <c r="AI703" s="492"/>
      <c r="AJ703" s="492"/>
      <c r="AK703" s="492"/>
      <c r="AL703" s="492"/>
      <c r="AM703" s="492"/>
      <c r="AN703" s="492"/>
      <c r="AO703" s="492"/>
      <c r="AP703" s="492"/>
      <c r="AQ703" s="492"/>
      <c r="AR703" s="492"/>
      <c r="AS703" s="492"/>
      <c r="AT703" s="492"/>
      <c r="AU703" s="492"/>
      <c r="AV703" s="492"/>
      <c r="AW703" s="492"/>
      <c r="AX703" s="492"/>
      <c r="AY703" s="492"/>
      <c r="AZ703" s="492"/>
      <c r="BA703" s="492"/>
      <c r="BB703" s="492"/>
      <c r="BC703" s="492"/>
      <c r="BD703" s="492"/>
      <c r="BE703" s="492"/>
      <c r="BF703" s="492"/>
      <c r="BG703" s="492"/>
      <c r="BH703" s="492"/>
      <c r="BI703" s="492"/>
      <c r="BJ703" s="492"/>
      <c r="BK703" s="492"/>
      <c r="BL703" s="492"/>
      <c r="BM703" s="492"/>
      <c r="BN703" s="492"/>
      <c r="BO703" s="492">
        <f>Model!BO359</f>
        <v>196.486223</v>
      </c>
      <c r="BP703" s="492">
        <f>Model!BP359</f>
        <v>1835.6360320000001</v>
      </c>
      <c r="BQ703" s="492">
        <f>Model!BQ359</f>
        <v>578.03915499999994</v>
      </c>
      <c r="BR703" s="492">
        <f>Model!BR359</f>
        <v>556.83323199999995</v>
      </c>
      <c r="BS703" s="492">
        <f>Model!BS359</f>
        <v>589.20988699999998</v>
      </c>
      <c r="BT703" s="492">
        <f>Model!BT359</f>
        <v>521.74118399999998</v>
      </c>
      <c r="BU703" s="492">
        <f>Model!BU359</f>
        <v>527.85876900000005</v>
      </c>
      <c r="BV703" s="6"/>
      <c r="BW703" s="6"/>
      <c r="BX703" s="6"/>
      <c r="BY703" s="6"/>
      <c r="BZ703" s="6"/>
      <c r="CA703" s="6"/>
      <c r="CB703" s="6"/>
      <c r="CC703" s="6"/>
      <c r="CD703" s="6"/>
      <c r="CE703" s="6"/>
      <c r="CF703" s="5"/>
      <c r="CH703" s="5" t="s">
        <v>562</v>
      </c>
    </row>
    <row r="704" spans="2:86" outlineLevel="1">
      <c r="B704" s="49" t="s">
        <v>660</v>
      </c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10">
        <v>8.9453390000000006</v>
      </c>
      <c r="R704" s="10">
        <v>13.979289</v>
      </c>
      <c r="S704" s="10">
        <v>29.400801999999999</v>
      </c>
      <c r="T704" s="6"/>
      <c r="U704" s="12"/>
      <c r="V704" s="12"/>
      <c r="W704" s="6"/>
      <c r="X704" s="12"/>
      <c r="Y704" s="12"/>
      <c r="Z704" s="6"/>
      <c r="AA704" s="6"/>
      <c r="AB704" s="6"/>
      <c r="AC704" s="6"/>
      <c r="AD704" s="6"/>
      <c r="AE704" s="6"/>
      <c r="AF704" s="492"/>
      <c r="AG704" s="492"/>
      <c r="AH704" s="492"/>
      <c r="AI704" s="492"/>
      <c r="AJ704" s="492"/>
      <c r="AK704" s="492"/>
      <c r="AL704" s="492"/>
      <c r="AM704" s="492"/>
      <c r="AN704" s="492"/>
      <c r="AO704" s="492"/>
      <c r="AP704" s="492"/>
      <c r="AQ704" s="492"/>
      <c r="AR704" s="492"/>
      <c r="AS704" s="492"/>
      <c r="AT704" s="492"/>
      <c r="AU704" s="492"/>
      <c r="AV704" s="492"/>
      <c r="AW704" s="492"/>
      <c r="AX704" s="492"/>
      <c r="AY704" s="492"/>
      <c r="AZ704" s="492"/>
      <c r="BA704" s="492"/>
      <c r="BB704" s="492"/>
      <c r="BC704" s="492"/>
      <c r="BD704" s="492"/>
      <c r="BE704" s="492"/>
      <c r="BF704" s="492"/>
      <c r="BG704" s="492"/>
      <c r="BH704" s="492"/>
      <c r="BI704" s="492"/>
      <c r="BJ704" s="492"/>
      <c r="BK704" s="492"/>
      <c r="BL704" s="492"/>
      <c r="BM704" s="492"/>
      <c r="BN704" s="492"/>
      <c r="BO704" s="492"/>
      <c r="BP704" s="492"/>
      <c r="BQ704" s="492"/>
      <c r="BR704" s="492"/>
      <c r="BS704" s="492"/>
      <c r="BT704" s="492"/>
      <c r="BU704" s="6"/>
      <c r="BV704" s="6"/>
      <c r="BW704" s="6"/>
      <c r="BX704" s="6"/>
      <c r="BY704" s="6"/>
      <c r="BZ704" s="6"/>
      <c r="CA704" s="6"/>
      <c r="CB704" s="6"/>
      <c r="CC704" s="6"/>
      <c r="CD704" s="6"/>
      <c r="CE704" s="6"/>
      <c r="CF704" s="5"/>
      <c r="CH704" s="5" t="s">
        <v>562</v>
      </c>
    </row>
    <row r="705" spans="2:86" outlineLevel="1">
      <c r="B705" s="49" t="s">
        <v>796</v>
      </c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10"/>
      <c r="R705" s="10"/>
      <c r="S705" s="10">
        <f>10652.275264+2438.050267</f>
        <v>13090.325531</v>
      </c>
      <c r="T705" s="6"/>
      <c r="U705" s="12"/>
      <c r="V705" s="12"/>
      <c r="W705" s="6"/>
      <c r="X705" s="12"/>
      <c r="Y705" s="12"/>
      <c r="Z705" s="6"/>
      <c r="AA705" s="6"/>
      <c r="AB705" s="6"/>
      <c r="AC705" s="6"/>
      <c r="AD705" s="6"/>
      <c r="AE705" s="6"/>
      <c r="AF705" s="492"/>
      <c r="AG705" s="492"/>
      <c r="AH705" s="492"/>
      <c r="AI705" s="492"/>
      <c r="AJ705" s="492"/>
      <c r="AK705" s="492"/>
      <c r="AL705" s="492"/>
      <c r="AM705" s="492"/>
      <c r="AN705" s="492"/>
      <c r="AO705" s="492"/>
      <c r="AP705" s="492"/>
      <c r="AQ705" s="492"/>
      <c r="AR705" s="492"/>
      <c r="AS705" s="492"/>
      <c r="AT705" s="492"/>
      <c r="AU705" s="492"/>
      <c r="AV705" s="492"/>
      <c r="AW705" s="492"/>
      <c r="AX705" s="492"/>
      <c r="AY705" s="492"/>
      <c r="AZ705" s="492"/>
      <c r="BA705" s="492"/>
      <c r="BB705" s="492"/>
      <c r="BC705" s="492"/>
      <c r="BD705" s="492"/>
      <c r="BE705" s="492"/>
      <c r="BF705" s="492"/>
      <c r="BG705" s="492"/>
      <c r="BH705" s="492"/>
      <c r="BI705" s="492"/>
      <c r="BJ705" s="492"/>
      <c r="BK705" s="492"/>
      <c r="BL705" s="492"/>
      <c r="BM705" s="492"/>
      <c r="BN705" s="492"/>
      <c r="BO705" s="492"/>
      <c r="BP705" s="492"/>
      <c r="BQ705" s="492"/>
      <c r="BR705" s="492"/>
      <c r="BS705" s="492"/>
      <c r="BT705" s="492"/>
      <c r="BU705" s="6"/>
      <c r="BV705" s="6"/>
      <c r="BW705" s="6"/>
      <c r="BX705" s="6"/>
      <c r="BY705" s="6"/>
      <c r="BZ705" s="6"/>
      <c r="CA705" s="6"/>
      <c r="CB705" s="6"/>
      <c r="CC705" s="6"/>
      <c r="CD705" s="6"/>
      <c r="CE705" s="6"/>
      <c r="CF705" s="5"/>
      <c r="CH705" s="5"/>
    </row>
    <row r="706" spans="2:86" outlineLevel="1">
      <c r="B706" s="50" t="s">
        <v>661</v>
      </c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10">
        <v>12.413757</v>
      </c>
      <c r="R706" s="10">
        <v>-10.078391999999999</v>
      </c>
      <c r="S706" s="10">
        <v>8969.1879690000005</v>
      </c>
      <c r="T706" s="6"/>
      <c r="U706" s="12"/>
      <c r="V706" s="12"/>
      <c r="W706" s="6"/>
      <c r="X706" s="12"/>
      <c r="Y706" s="12"/>
      <c r="Z706" s="6"/>
      <c r="AA706" s="6"/>
      <c r="AB706" s="6"/>
      <c r="AC706" s="6"/>
      <c r="AD706" s="6"/>
      <c r="AE706" s="6"/>
      <c r="AF706" s="492"/>
      <c r="AG706" s="492"/>
      <c r="AH706" s="492"/>
      <c r="AI706" s="492"/>
      <c r="AJ706" s="492"/>
      <c r="AK706" s="492"/>
      <c r="AL706" s="492"/>
      <c r="AM706" s="492"/>
      <c r="AN706" s="492"/>
      <c r="AO706" s="492"/>
      <c r="AP706" s="492"/>
      <c r="AQ706" s="492"/>
      <c r="AR706" s="492"/>
      <c r="AS706" s="492"/>
      <c r="AT706" s="492"/>
      <c r="AU706" s="492"/>
      <c r="AV706" s="492"/>
      <c r="AW706" s="492"/>
      <c r="AX706" s="492"/>
      <c r="AY706" s="492"/>
      <c r="AZ706" s="492"/>
      <c r="BA706" s="492"/>
      <c r="BB706" s="492"/>
      <c r="BC706" s="492"/>
      <c r="BD706" s="492"/>
      <c r="BE706" s="492"/>
      <c r="BF706" s="492"/>
      <c r="BG706" s="492"/>
      <c r="BH706" s="492"/>
      <c r="BI706" s="492"/>
      <c r="BJ706" s="492"/>
      <c r="BK706" s="492"/>
      <c r="BL706" s="492"/>
      <c r="BM706" s="492"/>
      <c r="BN706" s="492"/>
      <c r="BO706" s="492"/>
      <c r="BP706" s="492"/>
      <c r="BQ706" s="492"/>
      <c r="BR706" s="492"/>
      <c r="BS706" s="492"/>
      <c r="BT706" s="492"/>
      <c r="BU706" s="6"/>
      <c r="BV706" s="6"/>
      <c r="BW706" s="6"/>
      <c r="BX706" s="6"/>
      <c r="BY706" s="6"/>
      <c r="BZ706" s="6"/>
      <c r="CA706" s="6"/>
      <c r="CB706" s="6"/>
      <c r="CC706" s="6"/>
      <c r="CD706" s="6"/>
      <c r="CE706" s="6"/>
      <c r="CF706" s="5"/>
      <c r="CH706" s="5" t="s">
        <v>562</v>
      </c>
    </row>
    <row r="707" spans="2:86" outlineLevel="1">
      <c r="B707" s="50" t="s">
        <v>663</v>
      </c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5"/>
      <c r="R707" s="10">
        <v>-805.50400000000002</v>
      </c>
      <c r="S707" s="6"/>
      <c r="T707" s="6"/>
      <c r="U707" s="12"/>
      <c r="V707" s="12"/>
      <c r="W707" s="6"/>
      <c r="X707" s="12"/>
      <c r="Y707" s="12"/>
      <c r="Z707" s="6"/>
      <c r="AA707" s="6"/>
      <c r="AB707" s="6"/>
      <c r="AC707" s="6"/>
      <c r="AD707" s="6"/>
      <c r="AE707" s="6"/>
      <c r="AF707" s="492"/>
      <c r="AG707" s="492"/>
      <c r="AH707" s="492"/>
      <c r="AI707" s="492"/>
      <c r="AJ707" s="492"/>
      <c r="AK707" s="492"/>
      <c r="AL707" s="492"/>
      <c r="AM707" s="492"/>
      <c r="AN707" s="492"/>
      <c r="AO707" s="492"/>
      <c r="AP707" s="492"/>
      <c r="AQ707" s="492"/>
      <c r="AR707" s="492"/>
      <c r="AS707" s="492"/>
      <c r="AT707" s="492"/>
      <c r="AU707" s="492"/>
      <c r="AV707" s="492"/>
      <c r="AW707" s="492"/>
      <c r="AX707" s="492"/>
      <c r="AY707" s="492"/>
      <c r="AZ707" s="492"/>
      <c r="BA707" s="492"/>
      <c r="BB707" s="492"/>
      <c r="BC707" s="492"/>
      <c r="BD707" s="492"/>
      <c r="BE707" s="492"/>
      <c r="BF707" s="492"/>
      <c r="BG707" s="492"/>
      <c r="BH707" s="492"/>
      <c r="BI707" s="492"/>
      <c r="BJ707" s="492"/>
      <c r="BK707" s="492"/>
      <c r="BL707" s="492"/>
      <c r="BM707" s="492"/>
      <c r="BN707" s="492"/>
      <c r="BO707" s="492"/>
      <c r="BP707" s="492"/>
      <c r="BQ707" s="492"/>
      <c r="BR707" s="492"/>
      <c r="BS707" s="492"/>
      <c r="BT707" s="492"/>
      <c r="BU707" s="6"/>
      <c r="BV707" s="6"/>
      <c r="BW707" s="6"/>
      <c r="BX707" s="6"/>
      <c r="BY707" s="6"/>
      <c r="BZ707" s="6"/>
      <c r="CA707" s="6"/>
      <c r="CB707" s="6"/>
      <c r="CC707" s="6"/>
      <c r="CD707" s="6"/>
      <c r="CE707" s="6"/>
      <c r="CF707" s="5"/>
      <c r="CH707" s="5" t="s">
        <v>562</v>
      </c>
    </row>
    <row r="708" spans="2:86" outlineLevel="1">
      <c r="B708" s="231" t="s">
        <v>664</v>
      </c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5"/>
      <c r="R708" s="10">
        <v>523.404</v>
      </c>
      <c r="S708" s="6"/>
      <c r="T708" s="6"/>
      <c r="U708" s="12"/>
      <c r="V708" s="12"/>
      <c r="W708" s="6"/>
      <c r="X708" s="12"/>
      <c r="Y708" s="12"/>
      <c r="Z708" s="6"/>
      <c r="AA708" s="6"/>
      <c r="AB708" s="6"/>
      <c r="AC708" s="6"/>
      <c r="AD708" s="6"/>
      <c r="AE708" s="6"/>
      <c r="AF708" s="492"/>
      <c r="AG708" s="492"/>
      <c r="AH708" s="492"/>
      <c r="AI708" s="492"/>
      <c r="AJ708" s="492"/>
      <c r="AK708" s="492"/>
      <c r="AL708" s="492"/>
      <c r="AM708" s="492"/>
      <c r="AN708" s="492"/>
      <c r="AO708" s="492"/>
      <c r="AP708" s="492"/>
      <c r="AQ708" s="492"/>
      <c r="AR708" s="492"/>
      <c r="AS708" s="492"/>
      <c r="AT708" s="492"/>
      <c r="AU708" s="492"/>
      <c r="AV708" s="492"/>
      <c r="AW708" s="492"/>
      <c r="AX708" s="492"/>
      <c r="AY708" s="492"/>
      <c r="AZ708" s="492"/>
      <c r="BA708" s="492"/>
      <c r="BB708" s="492"/>
      <c r="BC708" s="492"/>
      <c r="BD708" s="492"/>
      <c r="BE708" s="492"/>
      <c r="BF708" s="492"/>
      <c r="BG708" s="492"/>
      <c r="BH708" s="492"/>
      <c r="BI708" s="492"/>
      <c r="BJ708" s="492"/>
      <c r="BK708" s="492"/>
      <c r="BL708" s="492"/>
      <c r="BM708" s="492"/>
      <c r="BN708" s="492"/>
      <c r="BO708" s="492"/>
      <c r="BP708" s="492"/>
      <c r="BQ708" s="492"/>
      <c r="BR708" s="492"/>
      <c r="BS708" s="492"/>
      <c r="BT708" s="492"/>
      <c r="BU708" s="6"/>
      <c r="BV708" s="6"/>
      <c r="BW708" s="6"/>
      <c r="BX708" s="6"/>
      <c r="BY708" s="6"/>
      <c r="BZ708" s="6"/>
      <c r="CA708" s="6"/>
      <c r="CB708" s="6"/>
      <c r="CC708" s="6"/>
      <c r="CD708" s="6"/>
      <c r="CE708" s="6"/>
      <c r="CF708" s="5"/>
      <c r="CH708" s="5" t="s">
        <v>562</v>
      </c>
    </row>
    <row r="709" spans="2:86" outlineLevel="1">
      <c r="B709" s="50" t="s">
        <v>665</v>
      </c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5"/>
      <c r="R709" s="10">
        <v>15.824133</v>
      </c>
      <c r="S709" s="6"/>
      <c r="T709" s="6"/>
      <c r="U709" s="12"/>
      <c r="V709" s="12"/>
      <c r="W709" s="6"/>
      <c r="X709" s="12"/>
      <c r="Y709" s="12"/>
      <c r="Z709" s="6"/>
      <c r="AA709" s="6"/>
      <c r="AB709" s="6"/>
      <c r="AC709" s="6"/>
      <c r="AD709" s="6"/>
      <c r="AE709" s="6"/>
      <c r="AF709" s="492"/>
      <c r="AG709" s="492"/>
      <c r="AH709" s="492"/>
      <c r="AI709" s="492"/>
      <c r="AJ709" s="492"/>
      <c r="AK709" s="492"/>
      <c r="AL709" s="492"/>
      <c r="AM709" s="492"/>
      <c r="AN709" s="492"/>
      <c r="AO709" s="492"/>
      <c r="AP709" s="492"/>
      <c r="AQ709" s="492"/>
      <c r="AR709" s="492"/>
      <c r="AS709" s="492"/>
      <c r="AT709" s="492"/>
      <c r="AU709" s="492"/>
      <c r="AV709" s="492"/>
      <c r="AW709" s="492"/>
      <c r="AX709" s="492"/>
      <c r="AY709" s="492"/>
      <c r="AZ709" s="492"/>
      <c r="BA709" s="492"/>
      <c r="BB709" s="492"/>
      <c r="BC709" s="492"/>
      <c r="BD709" s="492"/>
      <c r="BE709" s="492"/>
      <c r="BF709" s="492"/>
      <c r="BG709" s="492"/>
      <c r="BH709" s="492"/>
      <c r="BI709" s="492"/>
      <c r="BJ709" s="492"/>
      <c r="BK709" s="492"/>
      <c r="BL709" s="492"/>
      <c r="BM709" s="492"/>
      <c r="BN709" s="492"/>
      <c r="BO709" s="492"/>
      <c r="BP709" s="492"/>
      <c r="BQ709" s="492"/>
      <c r="BR709" s="492"/>
      <c r="BS709" s="492"/>
      <c r="BT709" s="492"/>
      <c r="BU709" s="6"/>
      <c r="BV709" s="6"/>
      <c r="BW709" s="6"/>
      <c r="BX709" s="6"/>
      <c r="BY709" s="6"/>
      <c r="BZ709" s="6"/>
      <c r="CA709" s="6"/>
      <c r="CB709" s="6"/>
      <c r="CC709" s="6"/>
      <c r="CD709" s="6"/>
      <c r="CE709" s="6"/>
      <c r="CF709" s="5"/>
      <c r="CH709" s="5" t="s">
        <v>562</v>
      </c>
    </row>
    <row r="710" spans="2:86" outlineLevel="1">
      <c r="B710" s="50" t="s">
        <v>666</v>
      </c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5"/>
      <c r="R710" s="10">
        <v>32540.379844999999</v>
      </c>
      <c r="S710" s="10">
        <v>1982.0581159999999</v>
      </c>
      <c r="T710" s="6"/>
      <c r="U710" s="12"/>
      <c r="V710" s="12"/>
      <c r="W710" s="6"/>
      <c r="X710" s="12"/>
      <c r="Y710" s="12"/>
      <c r="Z710" s="6"/>
      <c r="AA710" s="6"/>
      <c r="AB710" s="6"/>
      <c r="AC710" s="6"/>
      <c r="AD710" s="6"/>
      <c r="AE710" s="6"/>
      <c r="AF710" s="492"/>
      <c r="AG710" s="492"/>
      <c r="AH710" s="492"/>
      <c r="AI710" s="492"/>
      <c r="AJ710" s="492"/>
      <c r="AK710" s="492"/>
      <c r="AL710" s="492"/>
      <c r="AM710" s="492"/>
      <c r="AN710" s="492"/>
      <c r="AO710" s="492"/>
      <c r="AP710" s="492"/>
      <c r="AQ710" s="492"/>
      <c r="AR710" s="492"/>
      <c r="AS710" s="492"/>
      <c r="AT710" s="492"/>
      <c r="AU710" s="492"/>
      <c r="AV710" s="492"/>
      <c r="AW710" s="492"/>
      <c r="AX710" s="492"/>
      <c r="AY710" s="492"/>
      <c r="AZ710" s="492"/>
      <c r="BA710" s="492"/>
      <c r="BB710" s="492"/>
      <c r="BC710" s="492"/>
      <c r="BD710" s="492"/>
      <c r="BE710" s="492"/>
      <c r="BF710" s="492"/>
      <c r="BG710" s="492"/>
      <c r="BH710" s="492"/>
      <c r="BI710" s="492"/>
      <c r="BJ710" s="492"/>
      <c r="BK710" s="492"/>
      <c r="BL710" s="492"/>
      <c r="BM710" s="492"/>
      <c r="BN710" s="492"/>
      <c r="BO710" s="492"/>
      <c r="BP710" s="492"/>
      <c r="BQ710" s="492"/>
      <c r="BR710" s="492"/>
      <c r="BS710" s="492"/>
      <c r="BT710" s="492"/>
      <c r="BU710" s="6"/>
      <c r="BV710" s="6"/>
      <c r="BW710" s="6"/>
      <c r="BX710" s="6"/>
      <c r="BY710" s="6"/>
      <c r="BZ710" s="6"/>
      <c r="CA710" s="6"/>
      <c r="CB710" s="6"/>
      <c r="CC710" s="6"/>
      <c r="CD710" s="6"/>
      <c r="CE710" s="6"/>
      <c r="CF710" s="5"/>
      <c r="CH710" s="5" t="s">
        <v>562</v>
      </c>
    </row>
    <row r="711" spans="2:86" outlineLevel="1">
      <c r="B711" s="50" t="s">
        <v>667</v>
      </c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5"/>
      <c r="R711" s="10">
        <v>35.075539999999997</v>
      </c>
      <c r="S711" s="6"/>
      <c r="T711" s="6"/>
      <c r="U711" s="12"/>
      <c r="V711" s="12"/>
      <c r="W711" s="6"/>
      <c r="X711" s="12"/>
      <c r="Y711" s="12"/>
      <c r="Z711" s="6"/>
      <c r="AA711" s="6"/>
      <c r="AB711" s="6"/>
      <c r="AC711" s="6"/>
      <c r="AD711" s="6"/>
      <c r="AE711" s="6"/>
      <c r="AF711" s="492"/>
      <c r="AG711" s="492"/>
      <c r="AH711" s="492"/>
      <c r="AI711" s="492"/>
      <c r="AJ711" s="492"/>
      <c r="AK711" s="492"/>
      <c r="AL711" s="492"/>
      <c r="AM711" s="492"/>
      <c r="AN711" s="492"/>
      <c r="AO711" s="492"/>
      <c r="AP711" s="492"/>
      <c r="AQ711" s="492"/>
      <c r="AR711" s="492"/>
      <c r="AS711" s="492"/>
      <c r="AT711" s="492"/>
      <c r="AU711" s="492"/>
      <c r="AV711" s="492"/>
      <c r="AW711" s="492"/>
      <c r="AX711" s="492"/>
      <c r="AY711" s="492"/>
      <c r="AZ711" s="492"/>
      <c r="BA711" s="492"/>
      <c r="BB711" s="492"/>
      <c r="BC711" s="492"/>
      <c r="BD711" s="492"/>
      <c r="BE711" s="492"/>
      <c r="BF711" s="492"/>
      <c r="BG711" s="492"/>
      <c r="BH711" s="492"/>
      <c r="BI711" s="492"/>
      <c r="BJ711" s="492"/>
      <c r="BK711" s="492"/>
      <c r="BL711" s="492"/>
      <c r="BM711" s="492"/>
      <c r="BN711" s="492"/>
      <c r="BO711" s="492"/>
      <c r="BP711" s="492"/>
      <c r="BQ711" s="492"/>
      <c r="BR711" s="492"/>
      <c r="BS711" s="492"/>
      <c r="BT711" s="492"/>
      <c r="BU711" s="6"/>
      <c r="BV711" s="6"/>
      <c r="BW711" s="6"/>
      <c r="BX711" s="6"/>
      <c r="BY711" s="6"/>
      <c r="BZ711" s="6"/>
      <c r="CA711" s="6"/>
      <c r="CB711" s="6"/>
      <c r="CC711" s="6"/>
      <c r="CD711" s="6"/>
      <c r="CE711" s="6"/>
      <c r="CF711" s="5"/>
      <c r="CH711" s="5" t="s">
        <v>562</v>
      </c>
    </row>
    <row r="712" spans="2:86" outlineLevel="1">
      <c r="B712" s="13" t="s">
        <v>662</v>
      </c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84">
        <f>SUM(Q701:Q711)</f>
        <v>4828.0218160000004</v>
      </c>
      <c r="R712" s="84">
        <f>SUM(R701:R711)</f>
        <v>37991.678951999995</v>
      </c>
      <c r="S712" s="84">
        <f>SUM(S701:S711)</f>
        <v>65819.99870099999</v>
      </c>
      <c r="T712" s="84">
        <f t="shared" ref="T712:AD712" si="895">SUM(T701:T711)</f>
        <v>67851.439431000006</v>
      </c>
      <c r="U712" s="84">
        <f t="shared" ca="1" si="895"/>
        <v>73674.070759538023</v>
      </c>
      <c r="V712" s="84">
        <f t="shared" ca="1" si="895"/>
        <v>76290.944637686393</v>
      </c>
      <c r="W712" s="84">
        <f t="shared" ca="1" si="895"/>
        <v>79445.071728508425</v>
      </c>
      <c r="X712" s="84">
        <f t="shared" ca="1" si="895"/>
        <v>83202.420061042299</v>
      </c>
      <c r="Y712" s="84">
        <f t="shared" ca="1" si="895"/>
        <v>87648.632824215107</v>
      </c>
      <c r="Z712" s="84">
        <f t="shared" ca="1" si="895"/>
        <v>92764.888909898029</v>
      </c>
      <c r="AA712" s="84">
        <f t="shared" ca="1" si="895"/>
        <v>98606.290851213969</v>
      </c>
      <c r="AB712" s="84">
        <f t="shared" ca="1" si="895"/>
        <v>105229.11472755217</v>
      </c>
      <c r="AC712" s="84">
        <f t="shared" ca="1" si="895"/>
        <v>112685.10681476785</v>
      </c>
      <c r="AD712" s="84">
        <f t="shared" ca="1" si="895"/>
        <v>120997.10518566523</v>
      </c>
      <c r="AE712" s="84"/>
      <c r="AF712" s="492"/>
      <c r="AG712" s="492"/>
      <c r="AH712" s="492"/>
      <c r="AI712" s="492"/>
      <c r="AJ712" s="492"/>
      <c r="AK712" s="492"/>
      <c r="AL712" s="492"/>
      <c r="AM712" s="492"/>
      <c r="AN712" s="492"/>
      <c r="AO712" s="492"/>
      <c r="AP712" s="492"/>
      <c r="AQ712" s="492"/>
      <c r="AR712" s="492"/>
      <c r="AS712" s="492"/>
      <c r="AT712" s="492"/>
      <c r="AU712" s="492"/>
      <c r="AV712" s="492"/>
      <c r="AW712" s="492"/>
      <c r="AX712" s="492"/>
      <c r="AY712" s="492"/>
      <c r="AZ712" s="492"/>
      <c r="BA712" s="492"/>
      <c r="BB712" s="492"/>
      <c r="BC712" s="492"/>
      <c r="BD712" s="492"/>
      <c r="BE712" s="492"/>
      <c r="BF712" s="492"/>
      <c r="BG712" s="492"/>
      <c r="BH712" s="492"/>
      <c r="BI712" s="492"/>
      <c r="BJ712" s="492"/>
      <c r="BK712" s="492"/>
      <c r="BL712" s="492"/>
      <c r="BM712" s="492"/>
      <c r="BN712" s="492"/>
      <c r="BO712" s="492"/>
      <c r="BP712" s="492"/>
      <c r="BQ712" s="492"/>
      <c r="BR712" s="492"/>
      <c r="BS712" s="492"/>
      <c r="BT712" s="492"/>
      <c r="BU712" s="6"/>
      <c r="BV712" s="6"/>
      <c r="BW712" s="6"/>
      <c r="BX712" s="6"/>
      <c r="BY712" s="6"/>
      <c r="BZ712" s="6"/>
      <c r="CA712" s="6"/>
      <c r="CB712" s="6"/>
      <c r="CC712" s="6"/>
      <c r="CD712" s="6"/>
      <c r="CE712" s="6"/>
      <c r="CF712" s="5"/>
      <c r="CH712" s="5" t="s">
        <v>562</v>
      </c>
    </row>
    <row r="713" spans="2:86" outlineLevel="1"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93"/>
      <c r="R713" s="93"/>
      <c r="S713" s="6"/>
      <c r="T713" s="6"/>
      <c r="U713" s="12"/>
      <c r="V713" s="12"/>
      <c r="W713" s="6"/>
      <c r="X713" s="12"/>
      <c r="Y713" s="12"/>
      <c r="Z713" s="6"/>
      <c r="AA713" s="6"/>
      <c r="AB713" s="6"/>
      <c r="AC713" s="6"/>
      <c r="AD713" s="6"/>
      <c r="AE713" s="6"/>
      <c r="AF713" s="492"/>
      <c r="AG713" s="492"/>
      <c r="AH713" s="492"/>
      <c r="AI713" s="492"/>
      <c r="AJ713" s="492"/>
      <c r="AK713" s="492"/>
      <c r="AL713" s="492"/>
      <c r="AM713" s="492"/>
      <c r="AN713" s="492"/>
      <c r="AO713" s="492"/>
      <c r="AP713" s="492"/>
      <c r="AQ713" s="492"/>
      <c r="AR713" s="492"/>
      <c r="AS713" s="492"/>
      <c r="AT713" s="492"/>
      <c r="AU713" s="492"/>
      <c r="AV713" s="492"/>
      <c r="AW713" s="492"/>
      <c r="AX713" s="492"/>
      <c r="AY713" s="492"/>
      <c r="AZ713" s="492"/>
      <c r="BA713" s="492"/>
      <c r="BB713" s="492"/>
      <c r="BC713" s="492"/>
      <c r="BD713" s="492"/>
      <c r="BE713" s="492"/>
      <c r="BF713" s="492"/>
      <c r="BG713" s="492"/>
      <c r="BH713" s="492"/>
      <c r="BI713" s="492"/>
      <c r="BJ713" s="492"/>
      <c r="BK713" s="492"/>
      <c r="BL713" s="492"/>
      <c r="BM713" s="492"/>
      <c r="BN713" s="492"/>
      <c r="BO713" s="492"/>
      <c r="BP713" s="492"/>
      <c r="BQ713" s="492"/>
      <c r="BR713" s="492"/>
      <c r="BS713" s="492"/>
      <c r="BT713" s="492"/>
      <c r="BU713" s="6"/>
      <c r="BV713" s="6"/>
      <c r="BW713" s="6"/>
      <c r="BX713" s="6"/>
      <c r="BY713" s="6"/>
      <c r="BZ713" s="6"/>
      <c r="CA713" s="6"/>
      <c r="CB713" s="6"/>
      <c r="CC713" s="6"/>
      <c r="CD713" s="6"/>
      <c r="CE713" s="6"/>
      <c r="CF713" s="5"/>
      <c r="CH713" s="5" t="s">
        <v>562</v>
      </c>
    </row>
    <row r="714" spans="2:86" outlineLevel="1">
      <c r="B714" s="20" t="s">
        <v>212</v>
      </c>
      <c r="C714" s="588">
        <f t="shared" ref="C714:T714" si="896">C560</f>
        <v>0</v>
      </c>
      <c r="D714" s="588">
        <f t="shared" si="896"/>
        <v>0</v>
      </c>
      <c r="E714" s="588">
        <f t="shared" si="896"/>
        <v>0</v>
      </c>
      <c r="F714" s="588">
        <f t="shared" si="896"/>
        <v>0</v>
      </c>
      <c r="G714" s="588">
        <f t="shared" si="896"/>
        <v>0</v>
      </c>
      <c r="H714" s="588">
        <f t="shared" si="896"/>
        <v>203.46998300000001</v>
      </c>
      <c r="I714" s="588">
        <f t="shared" si="896"/>
        <v>359.84624500000001</v>
      </c>
      <c r="J714" s="588">
        <f t="shared" si="896"/>
        <v>631.59083799999996</v>
      </c>
      <c r="K714" s="588">
        <f t="shared" si="896"/>
        <v>1060.6202579999999</v>
      </c>
      <c r="L714" s="588">
        <f t="shared" si="896"/>
        <v>1707.6845960000001</v>
      </c>
      <c r="M714" s="588">
        <f t="shared" si="896"/>
        <v>2734.8586100000002</v>
      </c>
      <c r="N714" s="588">
        <f t="shared" si="896"/>
        <v>3806.6087470000002</v>
      </c>
      <c r="O714" s="588">
        <f t="shared" si="896"/>
        <v>4515.8417669999999</v>
      </c>
      <c r="P714" s="588">
        <f t="shared" si="896"/>
        <v>5498.9347330000001</v>
      </c>
      <c r="Q714" s="588">
        <f t="shared" si="896"/>
        <v>5726.0249970000004</v>
      </c>
      <c r="R714" s="588">
        <f t="shared" si="896"/>
        <v>8198.8386589999991</v>
      </c>
      <c r="S714" s="588">
        <f t="shared" si="896"/>
        <v>6699.5806130000001</v>
      </c>
      <c r="T714" s="588">
        <f t="shared" si="896"/>
        <v>8695.4423929999994</v>
      </c>
      <c r="U714" s="20">
        <f t="shared" ref="U714:AD714" ca="1" si="897">U718</f>
        <v>10825.787061878802</v>
      </c>
      <c r="V714" s="20">
        <f t="shared" ca="1" si="897"/>
        <v>15527.001529658726</v>
      </c>
      <c r="W714" s="20">
        <f t="shared" ca="1" si="897"/>
        <v>22116.757831811883</v>
      </c>
      <c r="X714" s="20">
        <f t="shared" ca="1" si="897"/>
        <v>30968.847541680436</v>
      </c>
      <c r="Y714" s="20">
        <f t="shared" ca="1" si="897"/>
        <v>42620.956377607887</v>
      </c>
      <c r="Z714" s="20">
        <f t="shared" ca="1" si="897"/>
        <v>56869.696298248877</v>
      </c>
      <c r="AA714" s="20">
        <f t="shared" ca="1" si="897"/>
        <v>73944.266997057348</v>
      </c>
      <c r="AB714" s="20">
        <f t="shared" ca="1" si="897"/>
        <v>94203.549118876079</v>
      </c>
      <c r="AC714" s="20">
        <f t="shared" ca="1" si="897"/>
        <v>117111.75064578146</v>
      </c>
      <c r="AD714" s="20">
        <f t="shared" ca="1" si="897"/>
        <v>142741.48142226358</v>
      </c>
      <c r="AE714" s="20"/>
      <c r="AF714" s="588">
        <f t="shared" ref="AF714:BU714" si="898">AF560</f>
        <v>0</v>
      </c>
      <c r="AG714" s="588">
        <f t="shared" si="898"/>
        <v>0</v>
      </c>
      <c r="AH714" s="588">
        <f t="shared" si="898"/>
        <v>0</v>
      </c>
      <c r="AI714" s="588">
        <f t="shared" si="898"/>
        <v>0</v>
      </c>
      <c r="AJ714" s="588">
        <f t="shared" si="898"/>
        <v>0</v>
      </c>
      <c r="AK714" s="588">
        <f t="shared" si="898"/>
        <v>0</v>
      </c>
      <c r="AL714" s="588">
        <f t="shared" si="898"/>
        <v>0</v>
      </c>
      <c r="AM714" s="588">
        <f t="shared" si="898"/>
        <v>0</v>
      </c>
      <c r="AN714" s="588">
        <f t="shared" si="898"/>
        <v>0</v>
      </c>
      <c r="AO714" s="588">
        <f t="shared" si="898"/>
        <v>0</v>
      </c>
      <c r="AP714" s="588">
        <f t="shared" si="898"/>
        <v>0</v>
      </c>
      <c r="AQ714" s="588">
        <f t="shared" si="898"/>
        <v>0</v>
      </c>
      <c r="AR714" s="588">
        <f t="shared" si="898"/>
        <v>0</v>
      </c>
      <c r="AS714" s="588">
        <f t="shared" si="898"/>
        <v>0</v>
      </c>
      <c r="AT714" s="588">
        <f t="shared" si="898"/>
        <v>0</v>
      </c>
      <c r="AU714" s="588">
        <f t="shared" si="898"/>
        <v>0</v>
      </c>
      <c r="AV714" s="588">
        <f t="shared" si="898"/>
        <v>0</v>
      </c>
      <c r="AW714" s="588">
        <f t="shared" si="898"/>
        <v>0</v>
      </c>
      <c r="AX714" s="588">
        <f t="shared" si="898"/>
        <v>0</v>
      </c>
      <c r="AY714" s="588">
        <f t="shared" si="898"/>
        <v>3806.6087470000002</v>
      </c>
      <c r="AZ714" s="588">
        <f t="shared" si="898"/>
        <v>0</v>
      </c>
      <c r="BA714" s="588">
        <f t="shared" si="898"/>
        <v>0</v>
      </c>
      <c r="BB714" s="588">
        <f t="shared" si="898"/>
        <v>0</v>
      </c>
      <c r="BC714" s="588">
        <f t="shared" si="898"/>
        <v>4515.8417669999999</v>
      </c>
      <c r="BD714" s="588">
        <f t="shared" si="898"/>
        <v>4669.3132400000004</v>
      </c>
      <c r="BE714" s="588">
        <f t="shared" si="898"/>
        <v>4879.6943339999998</v>
      </c>
      <c r="BF714" s="588">
        <f t="shared" si="898"/>
        <v>5252.6820500000003</v>
      </c>
      <c r="BG714" s="588">
        <f t="shared" si="898"/>
        <v>5498.9347330000001</v>
      </c>
      <c r="BH714" s="588">
        <f t="shared" si="898"/>
        <v>5614.286486</v>
      </c>
      <c r="BI714" s="588">
        <f t="shared" si="898"/>
        <v>5749.1746659999999</v>
      </c>
      <c r="BJ714" s="588">
        <f t="shared" si="898"/>
        <v>5966.0992200000001</v>
      </c>
      <c r="BK714" s="588">
        <f t="shared" si="898"/>
        <v>5726.0249970000004</v>
      </c>
      <c r="BL714" s="588">
        <f t="shared" si="898"/>
        <v>5600.0383160000001</v>
      </c>
      <c r="BM714" s="588">
        <f t="shared" si="898"/>
        <v>5742.8167380000004</v>
      </c>
      <c r="BN714" s="588">
        <f t="shared" si="898"/>
        <v>8157.9530189999996</v>
      </c>
      <c r="BO714" s="588">
        <f t="shared" si="898"/>
        <v>8198.8386589999991</v>
      </c>
      <c r="BP714" s="588">
        <f t="shared" si="898"/>
        <v>6620.1545679999999</v>
      </c>
      <c r="BQ714" s="588">
        <f t="shared" si="898"/>
        <v>6098.9020339999997</v>
      </c>
      <c r="BR714" s="588">
        <f t="shared" si="898"/>
        <v>6122.8194759999997</v>
      </c>
      <c r="BS714" s="588">
        <f t="shared" si="898"/>
        <v>6699.5806130000001</v>
      </c>
      <c r="BT714" s="588">
        <f t="shared" si="898"/>
        <v>6782.0285940000003</v>
      </c>
      <c r="BU714" s="588">
        <f t="shared" si="898"/>
        <v>7108.9006630000003</v>
      </c>
      <c r="BV714" s="40"/>
      <c r="BW714" s="40"/>
      <c r="BX714" s="40"/>
      <c r="BY714" s="40"/>
      <c r="BZ714" s="40"/>
      <c r="CA714" s="40"/>
      <c r="CB714" s="40"/>
      <c r="CC714" s="40"/>
      <c r="CD714" s="40"/>
      <c r="CE714" s="40"/>
      <c r="CF714" s="40"/>
      <c r="CG714" s="90"/>
      <c r="CH714" s="47" t="s">
        <v>562</v>
      </c>
    </row>
    <row r="715" spans="2:86" outlineLevel="1">
      <c r="B715" s="13" t="s">
        <v>658</v>
      </c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>
        <f t="shared" ref="N715:AD715" si="899">M714</f>
        <v>2734.8586100000002</v>
      </c>
      <c r="O715" s="6">
        <f t="shared" si="899"/>
        <v>3806.6087470000002</v>
      </c>
      <c r="P715" s="6">
        <f t="shared" si="899"/>
        <v>4515.8417669999999</v>
      </c>
      <c r="Q715" s="6">
        <f t="shared" si="899"/>
        <v>5498.9347330000001</v>
      </c>
      <c r="R715" s="6">
        <f t="shared" si="899"/>
        <v>5726.0249970000004</v>
      </c>
      <c r="S715" s="6">
        <f t="shared" si="899"/>
        <v>8198.8386589999991</v>
      </c>
      <c r="T715" s="6">
        <f t="shared" si="899"/>
        <v>6699.5806130000001</v>
      </c>
      <c r="U715" s="6">
        <f t="shared" si="899"/>
        <v>8695.4423929999994</v>
      </c>
      <c r="V715" s="6">
        <f t="shared" ca="1" si="899"/>
        <v>10825.787061878802</v>
      </c>
      <c r="W715" s="6">
        <f t="shared" ca="1" si="899"/>
        <v>15527.001529658726</v>
      </c>
      <c r="X715" s="6">
        <f t="shared" ca="1" si="899"/>
        <v>22116.757831811883</v>
      </c>
      <c r="Y715" s="6">
        <f t="shared" ca="1" si="899"/>
        <v>30968.847541680436</v>
      </c>
      <c r="Z715" s="6">
        <f t="shared" ca="1" si="899"/>
        <v>42620.956377607887</v>
      </c>
      <c r="AA715" s="6">
        <f t="shared" ca="1" si="899"/>
        <v>56869.696298248877</v>
      </c>
      <c r="AB715" s="6">
        <f t="shared" ca="1" si="899"/>
        <v>73944.266997057348</v>
      </c>
      <c r="AC715" s="6">
        <f t="shared" ca="1" si="899"/>
        <v>94203.549118876079</v>
      </c>
      <c r="AD715" s="6">
        <f t="shared" ca="1" si="899"/>
        <v>117111.75064578146</v>
      </c>
      <c r="AE715" s="6"/>
      <c r="AF715" s="492"/>
      <c r="AG715" s="492"/>
      <c r="AH715" s="492"/>
      <c r="AI715" s="492"/>
      <c r="AJ715" s="492"/>
      <c r="AK715" s="492"/>
      <c r="AL715" s="492"/>
      <c r="AM715" s="492"/>
      <c r="AN715" s="492"/>
      <c r="AO715" s="492"/>
      <c r="AP715" s="492"/>
      <c r="AQ715" s="492"/>
      <c r="AR715" s="492"/>
      <c r="AS715" s="492"/>
      <c r="AT715" s="492"/>
      <c r="AU715" s="492"/>
      <c r="AV715" s="492"/>
      <c r="AW715" s="492"/>
      <c r="AX715" s="492"/>
      <c r="AY715" s="492"/>
      <c r="AZ715" s="492"/>
      <c r="BA715" s="492"/>
      <c r="BB715" s="492"/>
      <c r="BC715" s="492"/>
      <c r="BD715" s="492"/>
      <c r="BE715" s="492"/>
      <c r="BF715" s="492"/>
      <c r="BG715" s="492"/>
      <c r="BH715" s="492"/>
      <c r="BI715" s="492"/>
      <c r="BJ715" s="492"/>
      <c r="BK715" s="492"/>
      <c r="BL715" s="492"/>
      <c r="BM715" s="492"/>
      <c r="BN715" s="492"/>
      <c r="BO715" s="492"/>
      <c r="BP715" s="492"/>
      <c r="BQ715" s="492"/>
      <c r="BR715" s="492"/>
      <c r="BS715" s="492"/>
      <c r="BT715" s="492"/>
      <c r="BU715" s="6"/>
      <c r="BV715" s="6"/>
      <c r="BW715" s="6"/>
      <c r="BX715" s="6"/>
      <c r="BY715" s="6"/>
      <c r="BZ715" s="6"/>
      <c r="CA715" s="6"/>
      <c r="CB715" s="6"/>
      <c r="CC715" s="6"/>
      <c r="CD715" s="6"/>
      <c r="CE715" s="6"/>
      <c r="CF715" s="5"/>
      <c r="CH715" s="5" t="s">
        <v>562</v>
      </c>
    </row>
    <row r="716" spans="2:86" outlineLevel="1">
      <c r="B716" s="13" t="s">
        <v>668</v>
      </c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48">
        <v>-4.6647600000000002</v>
      </c>
      <c r="O716" s="48">
        <v>-5.1728440000000004</v>
      </c>
      <c r="P716" s="48">
        <v>-15.226718</v>
      </c>
      <c r="Q716" s="48">
        <v>-15.649516999999999</v>
      </c>
      <c r="R716" s="48">
        <v>-34.842222</v>
      </c>
      <c r="S716" s="48">
        <v>-68.554850999999999</v>
      </c>
      <c r="T716" s="152">
        <f t="shared" ref="T716:AD716" si="900">S716</f>
        <v>-68.554850999999999</v>
      </c>
      <c r="U716" s="152">
        <f t="shared" si="900"/>
        <v>-68.554850999999999</v>
      </c>
      <c r="V716" s="152">
        <f t="shared" si="900"/>
        <v>-68.554850999999999</v>
      </c>
      <c r="W716" s="152">
        <f t="shared" si="900"/>
        <v>-68.554850999999999</v>
      </c>
      <c r="X716" s="152">
        <f t="shared" si="900"/>
        <v>-68.554850999999999</v>
      </c>
      <c r="Y716" s="152">
        <f t="shared" si="900"/>
        <v>-68.554850999999999</v>
      </c>
      <c r="Z716" s="152">
        <f t="shared" si="900"/>
        <v>-68.554850999999999</v>
      </c>
      <c r="AA716" s="152">
        <f t="shared" si="900"/>
        <v>-68.554850999999999</v>
      </c>
      <c r="AB716" s="152">
        <f t="shared" si="900"/>
        <v>-68.554850999999999</v>
      </c>
      <c r="AC716" s="152">
        <f t="shared" si="900"/>
        <v>-68.554850999999999</v>
      </c>
      <c r="AD716" s="152">
        <f t="shared" si="900"/>
        <v>-68.554850999999999</v>
      </c>
      <c r="AE716" s="152"/>
      <c r="AF716" s="492"/>
      <c r="AG716" s="492"/>
      <c r="AH716" s="492"/>
      <c r="AI716" s="492"/>
      <c r="AJ716" s="492"/>
      <c r="AK716" s="492"/>
      <c r="AL716" s="492"/>
      <c r="AM716" s="492"/>
      <c r="AN716" s="492"/>
      <c r="AO716" s="492"/>
      <c r="AP716" s="492"/>
      <c r="AQ716" s="492"/>
      <c r="AR716" s="492"/>
      <c r="AS716" s="492"/>
      <c r="AT716" s="492"/>
      <c r="AU716" s="492"/>
      <c r="AV716" s="492"/>
      <c r="AW716" s="492"/>
      <c r="AX716" s="492"/>
      <c r="AY716" s="492"/>
      <c r="AZ716" s="492"/>
      <c r="BA716" s="492"/>
      <c r="BB716" s="492"/>
      <c r="BC716" s="492"/>
      <c r="BD716" s="492"/>
      <c r="BE716" s="492"/>
      <c r="BF716" s="492"/>
      <c r="BG716" s="492"/>
      <c r="BH716" s="492"/>
      <c r="BI716" s="492"/>
      <c r="BJ716" s="492"/>
      <c r="BK716" s="492"/>
      <c r="BL716" s="492"/>
      <c r="BM716" s="492"/>
      <c r="BN716" s="492"/>
      <c r="BO716" s="492"/>
      <c r="BP716" s="492"/>
      <c r="BQ716" s="492"/>
      <c r="BR716" s="492"/>
      <c r="BS716" s="492"/>
      <c r="BT716" s="492"/>
      <c r="BU716" s="6"/>
      <c r="BV716" s="6"/>
      <c r="BW716" s="6"/>
      <c r="BX716" s="6"/>
      <c r="BY716" s="6"/>
      <c r="BZ716" s="6"/>
      <c r="CA716" s="6"/>
      <c r="CB716" s="6"/>
      <c r="CC716" s="6"/>
      <c r="CD716" s="6"/>
      <c r="CE716" s="6"/>
      <c r="CF716" s="5"/>
      <c r="CH716" s="5" t="s">
        <v>562</v>
      </c>
    </row>
    <row r="717" spans="2:86" outlineLevel="1">
      <c r="B717" s="6" t="s">
        <v>42</v>
      </c>
      <c r="C717" s="6">
        <f>Model!C324</f>
        <v>-23.977444999999996</v>
      </c>
      <c r="D717" s="6">
        <f>Model!D324</f>
        <v>-15.261413000000006</v>
      </c>
      <c r="E717" s="6">
        <f>Model!E324</f>
        <v>14.193533</v>
      </c>
      <c r="F717" s="6">
        <f>Model!F324</f>
        <v>53.813514999999988</v>
      </c>
      <c r="G717" s="6">
        <f>Model!G324</f>
        <v>133.12629000000001</v>
      </c>
      <c r="H717" s="6">
        <f>Model!H324</f>
        <v>224.24559999999994</v>
      </c>
      <c r="I717" s="6">
        <f>Model!I324</f>
        <v>240.56384699999998</v>
      </c>
      <c r="J717" s="6">
        <f>Model!J324</f>
        <v>398.32360999999992</v>
      </c>
      <c r="K717" s="6">
        <f>Model!K324</f>
        <v>443.92746700000026</v>
      </c>
      <c r="L717" s="6">
        <f>Model!L324</f>
        <v>658.9734420000002</v>
      </c>
      <c r="M717" s="6">
        <f>Model!M324</f>
        <v>1048.0597399999995</v>
      </c>
      <c r="N717" s="6">
        <f>Model!N324</f>
        <v>1076.4148969999999</v>
      </c>
      <c r="O717" s="6">
        <f>Model!O324</f>
        <v>714.40586399999961</v>
      </c>
      <c r="P717" s="6">
        <f>Model!P324</f>
        <v>998.31968400000005</v>
      </c>
      <c r="Q717" s="6">
        <f>Model!Q324</f>
        <v>242.73978100000176</v>
      </c>
      <c r="R717" s="6">
        <f>Model!R324</f>
        <v>2507.6558840000021</v>
      </c>
      <c r="S717" s="6">
        <f>Model!S324</f>
        <v>-1430.7031950000001</v>
      </c>
      <c r="T717" s="6">
        <f>Model!T324</f>
        <v>2142.0115370000003</v>
      </c>
      <c r="U717" s="6">
        <f ca="1">Model!U324</f>
        <v>2198.8995198788039</v>
      </c>
      <c r="V717" s="6">
        <f ca="1">Model!V324</f>
        <v>4769.769318779925</v>
      </c>
      <c r="W717" s="6">
        <f ca="1">Model!W324</f>
        <v>6658.3111531531576</v>
      </c>
      <c r="X717" s="6">
        <f ca="1">Model!X324</f>
        <v>8920.6445608685553</v>
      </c>
      <c r="Y717" s="6">
        <f ca="1">Model!Y324</f>
        <v>11720.663686927455</v>
      </c>
      <c r="Z717" s="6">
        <f ca="1">Model!Z324</f>
        <v>14317.294771640994</v>
      </c>
      <c r="AA717" s="6">
        <f ca="1">Model!AA324</f>
        <v>17143.125549808472</v>
      </c>
      <c r="AB717" s="6">
        <f ca="1">Model!AB324</f>
        <v>20327.836972818732</v>
      </c>
      <c r="AC717" s="6">
        <f ca="1">Model!AC324</f>
        <v>22976.756377905367</v>
      </c>
      <c r="AD717" s="6">
        <f ca="1">Model!AD324</f>
        <v>25698.285627482102</v>
      </c>
      <c r="AE717" s="6"/>
      <c r="AF717" s="492">
        <f>Model!AF324</f>
        <v>64.922370999999998</v>
      </c>
      <c r="AG717" s="492">
        <f>Model!AG324</f>
        <v>88.227753999999976</v>
      </c>
      <c r="AH717" s="492">
        <f>Model!AH324</f>
        <v>109.69841599999994</v>
      </c>
      <c r="AI717" s="492">
        <f>Model!AI324</f>
        <v>135.495069</v>
      </c>
      <c r="AJ717" s="492">
        <f>Model!AJ324</f>
        <v>98.849438000000021</v>
      </c>
      <c r="AK717" s="492">
        <f>Model!AK324</f>
        <v>119.31554100000008</v>
      </c>
      <c r="AL717" s="492">
        <f>Model!AL324</f>
        <v>104.49544200000003</v>
      </c>
      <c r="AM717" s="492">
        <f>Model!AM324</f>
        <v>121.44745199999993</v>
      </c>
      <c r="AN717" s="492">
        <f>Model!AN324</f>
        <v>121.39228000000006</v>
      </c>
      <c r="AO717" s="492">
        <f>Model!AO324</f>
        <v>158.85880799999998</v>
      </c>
      <c r="AP717" s="492">
        <f>Model!AP324</f>
        <v>188.51672100000005</v>
      </c>
      <c r="AQ717" s="492">
        <f>Model!AQ324</f>
        <v>190.20581300000001</v>
      </c>
      <c r="AR717" s="492">
        <f>Model!AR324</f>
        <v>190.44543100000007</v>
      </c>
      <c r="AS717" s="492">
        <f>Model!AS324</f>
        <v>235.21141299999999</v>
      </c>
      <c r="AT717" s="492">
        <f>Model!AT324</f>
        <v>320.13916099999989</v>
      </c>
      <c r="AU717" s="492">
        <f>Model!AU324</f>
        <v>302.27373500000004</v>
      </c>
      <c r="AV717" s="492">
        <f>Model!AV324</f>
        <v>234.908333</v>
      </c>
      <c r="AW717" s="492">
        <f>Model!AW324</f>
        <v>263.70237200000008</v>
      </c>
      <c r="AX717" s="492">
        <f>Model!AX324</f>
        <v>325.28029800000013</v>
      </c>
      <c r="AY717" s="492">
        <f>Model!AY324</f>
        <v>252.52389399999993</v>
      </c>
      <c r="AZ717" s="492">
        <f>Model!AZ324</f>
        <v>208.36734200000004</v>
      </c>
      <c r="BA717" s="492">
        <f>Model!BA324</f>
        <v>119.66973899999999</v>
      </c>
      <c r="BB717" s="492">
        <f>Model!BB324</f>
        <v>193.81679699999995</v>
      </c>
      <c r="BC717" s="492">
        <f>Model!BC324</f>
        <v>192.55202600000001</v>
      </c>
      <c r="BD717" s="492">
        <f>Model!BD324</f>
        <v>153.47147299999969</v>
      </c>
      <c r="BE717" s="492">
        <f>Model!BE324</f>
        <v>210.3810940000003</v>
      </c>
      <c r="BF717" s="492">
        <f>Model!BF324</f>
        <v>372.98771599999969</v>
      </c>
      <c r="BG717" s="492">
        <f>Model!BG324</f>
        <v>261.47940100000005</v>
      </c>
      <c r="BH717" s="492">
        <f>Model!BH324</f>
        <v>115.35175300000013</v>
      </c>
      <c r="BI717" s="492">
        <f>Model!BI324</f>
        <v>134.88818000000015</v>
      </c>
      <c r="BJ717" s="492">
        <f>Model!BJ324</f>
        <v>216.92455400000037</v>
      </c>
      <c r="BK717" s="492">
        <f>Model!BK324</f>
        <v>-224.42470600000013</v>
      </c>
      <c r="BL717" s="492">
        <f>Model!BL324</f>
        <v>-125.98668100000073</v>
      </c>
      <c r="BM717" s="492">
        <f>Model!BM324</f>
        <v>142.77842200000043</v>
      </c>
      <c r="BN717" s="492">
        <f>Model!BN324</f>
        <v>2415.1362810000001</v>
      </c>
      <c r="BO717" s="492">
        <f>Model!BO324</f>
        <v>75.727861999999988</v>
      </c>
      <c r="BP717" s="492">
        <f>Model!BP324</f>
        <v>-1578.684091000001</v>
      </c>
      <c r="BQ717" s="492">
        <f>Model!BQ324</f>
        <v>-521.25253399999849</v>
      </c>
      <c r="BR717" s="492">
        <f>Model!BR324</f>
        <v>23.917442000000154</v>
      </c>
      <c r="BS717" s="492">
        <f>Model!BS324</f>
        <v>645.31598799999949</v>
      </c>
      <c r="BT717" s="492">
        <f>Model!BT324</f>
        <v>82.447981000000269</v>
      </c>
      <c r="BU717" s="6">
        <f>Model!BU324</f>
        <v>326.87206899999927</v>
      </c>
      <c r="BV717" s="6">
        <f>Model!BV324</f>
        <v>1229.1177869999999</v>
      </c>
      <c r="BW717" s="6">
        <f>Model!BW324</f>
        <v>503.57370000000026</v>
      </c>
      <c r="BX717" s="6"/>
      <c r="BY717" s="6"/>
      <c r="BZ717" s="6"/>
      <c r="CA717" s="6"/>
      <c r="CB717" s="6"/>
      <c r="CC717" s="6"/>
      <c r="CD717" s="6"/>
      <c r="CE717" s="6"/>
      <c r="CF717" s="6"/>
      <c r="CH717" s="5" t="s">
        <v>562</v>
      </c>
    </row>
    <row r="718" spans="2:86" outlineLevel="1">
      <c r="B718" s="116" t="s">
        <v>662</v>
      </c>
      <c r="C718" s="84"/>
      <c r="D718" s="84"/>
      <c r="E718" s="84"/>
      <c r="F718" s="84"/>
      <c r="G718" s="84"/>
      <c r="H718" s="84"/>
      <c r="I718" s="84"/>
      <c r="J718" s="84"/>
      <c r="K718" s="84"/>
      <c r="L718" s="84"/>
      <c r="M718" s="84"/>
      <c r="N718" s="84">
        <f t="shared" ref="N718:AD718" si="901">SUM(N715:N717)</f>
        <v>3806.6087470000002</v>
      </c>
      <c r="O718" s="84">
        <f t="shared" si="901"/>
        <v>4515.8417669999999</v>
      </c>
      <c r="P718" s="84">
        <f t="shared" si="901"/>
        <v>5498.9347330000001</v>
      </c>
      <c r="Q718" s="84">
        <f t="shared" si="901"/>
        <v>5726.0249970000023</v>
      </c>
      <c r="R718" s="84">
        <f t="shared" si="901"/>
        <v>8198.8386590000027</v>
      </c>
      <c r="S718" s="84">
        <f t="shared" si="901"/>
        <v>6699.5806129999992</v>
      </c>
      <c r="T718" s="84">
        <f>SUM(T715:T717)</f>
        <v>8773.0372989999996</v>
      </c>
      <c r="U718" s="84">
        <f t="shared" ca="1" si="901"/>
        <v>10825.787061878802</v>
      </c>
      <c r="V718" s="84">
        <f t="shared" ca="1" si="901"/>
        <v>15527.001529658726</v>
      </c>
      <c r="W718" s="84">
        <f t="shared" ca="1" si="901"/>
        <v>22116.757831811883</v>
      </c>
      <c r="X718" s="84">
        <f t="shared" ca="1" si="901"/>
        <v>30968.847541680436</v>
      </c>
      <c r="Y718" s="84">
        <f t="shared" ca="1" si="901"/>
        <v>42620.956377607887</v>
      </c>
      <c r="Z718" s="84">
        <f t="shared" ca="1" si="901"/>
        <v>56869.696298248877</v>
      </c>
      <c r="AA718" s="84">
        <f t="shared" ca="1" si="901"/>
        <v>73944.266997057348</v>
      </c>
      <c r="AB718" s="84">
        <f t="shared" ca="1" si="901"/>
        <v>94203.549118876079</v>
      </c>
      <c r="AC718" s="84">
        <f t="shared" ca="1" si="901"/>
        <v>117111.75064578146</v>
      </c>
      <c r="AD718" s="84">
        <f t="shared" ca="1" si="901"/>
        <v>142741.48142226358</v>
      </c>
      <c r="AE718" s="84"/>
      <c r="AF718" s="566"/>
      <c r="AG718" s="566"/>
      <c r="AH718" s="566"/>
      <c r="AI718" s="566"/>
      <c r="AJ718" s="566"/>
      <c r="AK718" s="566"/>
      <c r="AL718" s="566"/>
      <c r="AM718" s="566"/>
      <c r="AN718" s="566"/>
      <c r="AO718" s="566"/>
      <c r="AP718" s="566"/>
      <c r="AQ718" s="566"/>
      <c r="AR718" s="566"/>
      <c r="AS718" s="566"/>
      <c r="AT718" s="566"/>
      <c r="AU718" s="566"/>
      <c r="AV718" s="566"/>
      <c r="AW718" s="566"/>
      <c r="AX718" s="566"/>
      <c r="AY718" s="566"/>
      <c r="AZ718" s="566"/>
      <c r="BA718" s="566"/>
      <c r="BB718" s="566"/>
      <c r="BC718" s="566"/>
      <c r="BD718" s="566"/>
      <c r="BE718" s="566"/>
      <c r="BF718" s="566"/>
      <c r="BG718" s="566"/>
      <c r="BH718" s="566"/>
      <c r="BI718" s="566"/>
      <c r="BJ718" s="566"/>
      <c r="BK718" s="566"/>
      <c r="BL718" s="566"/>
      <c r="BM718" s="566"/>
      <c r="BN718" s="566"/>
      <c r="BO718" s="566"/>
      <c r="BP718" s="566"/>
      <c r="BQ718" s="566"/>
      <c r="BR718" s="566"/>
      <c r="BS718" s="566"/>
      <c r="BT718" s="566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22"/>
      <c r="CH718" s="5" t="s">
        <v>562</v>
      </c>
    </row>
    <row r="719" spans="2:86" outlineLevel="1"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93"/>
      <c r="R719" s="93"/>
      <c r="S719" s="6"/>
      <c r="T719" s="6"/>
      <c r="U719" s="12"/>
      <c r="V719" s="12"/>
      <c r="W719" s="6"/>
      <c r="X719" s="12"/>
      <c r="Y719" s="12"/>
      <c r="Z719" s="6"/>
      <c r="AA719" s="6"/>
      <c r="AB719" s="6"/>
      <c r="AC719" s="6"/>
      <c r="AD719" s="6"/>
      <c r="AE719" s="6"/>
      <c r="AF719" s="492"/>
      <c r="AG719" s="492"/>
      <c r="AH719" s="492"/>
      <c r="AI719" s="492"/>
      <c r="AJ719" s="492"/>
      <c r="AK719" s="492"/>
      <c r="AL719" s="492"/>
      <c r="AM719" s="492"/>
      <c r="AN719" s="492"/>
      <c r="AO719" s="492"/>
      <c r="AP719" s="492"/>
      <c r="AQ719" s="492"/>
      <c r="AR719" s="492"/>
      <c r="AS719" s="492"/>
      <c r="AT719" s="492"/>
      <c r="AU719" s="492"/>
      <c r="AV719" s="492"/>
      <c r="AW719" s="492"/>
      <c r="AX719" s="492"/>
      <c r="AY719" s="492"/>
      <c r="AZ719" s="492"/>
      <c r="BA719" s="492"/>
      <c r="BB719" s="492"/>
      <c r="BC719" s="492"/>
      <c r="BD719" s="492"/>
      <c r="BE719" s="492"/>
      <c r="BF719" s="492"/>
      <c r="BG719" s="492"/>
      <c r="BH719" s="492"/>
      <c r="BI719" s="492"/>
      <c r="BJ719" s="492"/>
      <c r="BK719" s="492"/>
      <c r="BL719" s="492"/>
      <c r="BM719" s="492"/>
      <c r="BN719" s="492"/>
      <c r="BO719" s="492"/>
      <c r="BP719" s="492"/>
      <c r="BQ719" s="492"/>
      <c r="BR719" s="492"/>
      <c r="BS719" s="492"/>
      <c r="BT719" s="492"/>
      <c r="BU719" s="6"/>
      <c r="BV719" s="6"/>
      <c r="BW719" s="6"/>
      <c r="BX719" s="6"/>
      <c r="BY719" s="6"/>
      <c r="BZ719" s="6"/>
      <c r="CA719" s="6"/>
      <c r="CB719" s="6"/>
      <c r="CC719" s="6"/>
      <c r="CD719" s="6"/>
      <c r="CE719" s="6"/>
      <c r="CF719" s="5"/>
      <c r="CH719" s="5" t="s">
        <v>562</v>
      </c>
    </row>
    <row r="720" spans="2:86" outlineLevel="1">
      <c r="B720" s="20" t="s">
        <v>654</v>
      </c>
      <c r="C720" s="588">
        <f t="shared" ref="C720:S720" si="902">C561</f>
        <v>0</v>
      </c>
      <c r="D720" s="588">
        <f t="shared" si="902"/>
        <v>0</v>
      </c>
      <c r="E720" s="588">
        <f t="shared" si="902"/>
        <v>0</v>
      </c>
      <c r="F720" s="588">
        <f t="shared" si="902"/>
        <v>0</v>
      </c>
      <c r="G720" s="588">
        <f t="shared" si="902"/>
        <v>0</v>
      </c>
      <c r="H720" s="588">
        <f t="shared" si="902"/>
        <v>0</v>
      </c>
      <c r="I720" s="588">
        <f t="shared" si="902"/>
        <v>0</v>
      </c>
      <c r="J720" s="588">
        <f t="shared" si="902"/>
        <v>0</v>
      </c>
      <c r="K720" s="588">
        <f t="shared" si="902"/>
        <v>0</v>
      </c>
      <c r="L720" s="588">
        <f t="shared" si="902"/>
        <v>0</v>
      </c>
      <c r="M720" s="588">
        <f t="shared" si="902"/>
        <v>0</v>
      </c>
      <c r="N720" s="588">
        <f t="shared" si="902"/>
        <v>-158.761225</v>
      </c>
      <c r="O720" s="588">
        <f t="shared" si="902"/>
        <v>-1891.8888999999999</v>
      </c>
      <c r="P720" s="588">
        <f t="shared" si="902"/>
        <v>-1551.1412680000001</v>
      </c>
      <c r="Q720" s="588">
        <f t="shared" si="902"/>
        <v>-1605.630913</v>
      </c>
      <c r="R720" s="588">
        <f t="shared" si="902"/>
        <v>-2372.9273720000001</v>
      </c>
      <c r="S720" s="588">
        <f t="shared" si="902"/>
        <v>-2235.5745099999999</v>
      </c>
      <c r="T720" s="588">
        <f>T561</f>
        <v>-2110.8206230000001</v>
      </c>
      <c r="U720" s="19">
        <f t="shared" ref="U720:AD720" ca="1" si="903">U724</f>
        <v>-2427.0703305508991</v>
      </c>
      <c r="V720" s="19">
        <f t="shared" ca="1" si="903"/>
        <v>-3014.4896847230243</v>
      </c>
      <c r="W720" s="19">
        <f t="shared" ca="1" si="903"/>
        <v>-3640.0753089620493</v>
      </c>
      <c r="X720" s="19">
        <f t="shared" ca="1" si="903"/>
        <v>-4382.7683200291749</v>
      </c>
      <c r="Y720" s="19">
        <f t="shared" ca="1" si="903"/>
        <v>-5230.9062217323572</v>
      </c>
      <c r="Z720" s="19">
        <f t="shared" ca="1" si="903"/>
        <v>-5982.9090506346793</v>
      </c>
      <c r="AA720" s="19">
        <f t="shared" ca="1" si="903"/>
        <v>-6864.9603418488796</v>
      </c>
      <c r="AB720" s="19">
        <f t="shared" ca="1" si="903"/>
        <v>-7815.464604426229</v>
      </c>
      <c r="AC720" s="19">
        <f t="shared" ca="1" si="903"/>
        <v>-8828.9118860928666</v>
      </c>
      <c r="AD720" s="19">
        <f t="shared" ca="1" si="903"/>
        <v>-9870.1388915893167</v>
      </c>
      <c r="AE720" s="19"/>
      <c r="AF720" s="588">
        <f t="shared" ref="AF720:BU720" si="904">AF561</f>
        <v>0</v>
      </c>
      <c r="AG720" s="588">
        <f t="shared" si="904"/>
        <v>0</v>
      </c>
      <c r="AH720" s="588">
        <f t="shared" si="904"/>
        <v>0</v>
      </c>
      <c r="AI720" s="588">
        <f t="shared" si="904"/>
        <v>0</v>
      </c>
      <c r="AJ720" s="588">
        <f t="shared" si="904"/>
        <v>0</v>
      </c>
      <c r="AK720" s="588">
        <f t="shared" si="904"/>
        <v>0</v>
      </c>
      <c r="AL720" s="588">
        <f t="shared" si="904"/>
        <v>0</v>
      </c>
      <c r="AM720" s="588">
        <f t="shared" si="904"/>
        <v>0</v>
      </c>
      <c r="AN720" s="588">
        <f t="shared" si="904"/>
        <v>0</v>
      </c>
      <c r="AO720" s="588">
        <f t="shared" si="904"/>
        <v>0</v>
      </c>
      <c r="AP720" s="588">
        <f t="shared" si="904"/>
        <v>0</v>
      </c>
      <c r="AQ720" s="588">
        <f t="shared" si="904"/>
        <v>0</v>
      </c>
      <c r="AR720" s="588">
        <f t="shared" si="904"/>
        <v>0</v>
      </c>
      <c r="AS720" s="588">
        <f t="shared" si="904"/>
        <v>0</v>
      </c>
      <c r="AT720" s="588">
        <f t="shared" si="904"/>
        <v>0</v>
      </c>
      <c r="AU720" s="588">
        <f t="shared" si="904"/>
        <v>0</v>
      </c>
      <c r="AV720" s="588">
        <f t="shared" si="904"/>
        <v>0</v>
      </c>
      <c r="AW720" s="588">
        <f t="shared" si="904"/>
        <v>0</v>
      </c>
      <c r="AX720" s="588">
        <f t="shared" si="904"/>
        <v>0</v>
      </c>
      <c r="AY720" s="588">
        <f t="shared" si="904"/>
        <v>-158.761225</v>
      </c>
      <c r="AZ720" s="588">
        <f t="shared" si="904"/>
        <v>0</v>
      </c>
      <c r="BA720" s="588">
        <f t="shared" si="904"/>
        <v>0</v>
      </c>
      <c r="BB720" s="588">
        <f t="shared" si="904"/>
        <v>0</v>
      </c>
      <c r="BC720" s="588">
        <f t="shared" si="904"/>
        <v>-1891.8888999999999</v>
      </c>
      <c r="BD720" s="588">
        <f t="shared" si="904"/>
        <v>-1891.8888999999999</v>
      </c>
      <c r="BE720" s="588">
        <f t="shared" si="904"/>
        <v>-1891.8888999999999</v>
      </c>
      <c r="BF720" s="588">
        <f t="shared" si="904"/>
        <v>-1891.8888999999999</v>
      </c>
      <c r="BG720" s="588">
        <f t="shared" si="904"/>
        <v>-1551.1412680000001</v>
      </c>
      <c r="BH720" s="588">
        <f t="shared" si="904"/>
        <v>-1654.8516709999999</v>
      </c>
      <c r="BI720" s="588">
        <f t="shared" si="904"/>
        <v>-1997.296415</v>
      </c>
      <c r="BJ720" s="588">
        <f t="shared" si="904"/>
        <v>-1883.002778</v>
      </c>
      <c r="BK720" s="588">
        <f t="shared" si="904"/>
        <v>-1605.630913</v>
      </c>
      <c r="BL720" s="588">
        <f t="shared" si="904"/>
        <v>-1605.630913</v>
      </c>
      <c r="BM720" s="588">
        <f t="shared" si="904"/>
        <v>-2071.1469990000001</v>
      </c>
      <c r="BN720" s="588">
        <f t="shared" si="904"/>
        <v>-2416.2738869999998</v>
      </c>
      <c r="BO720" s="588">
        <f t="shared" si="904"/>
        <v>-2372.9273720000001</v>
      </c>
      <c r="BP720" s="588">
        <f t="shared" si="904"/>
        <v>-2287.4156849999999</v>
      </c>
      <c r="BQ720" s="588">
        <f t="shared" si="904"/>
        <v>-2287.4156849999999</v>
      </c>
      <c r="BR720" s="588">
        <f t="shared" si="904"/>
        <v>-2287.4156849999999</v>
      </c>
      <c r="BS720" s="588">
        <f t="shared" si="904"/>
        <v>-2235.5745099999999</v>
      </c>
      <c r="BT720" s="588">
        <f t="shared" si="904"/>
        <v>-2235.5745099999999</v>
      </c>
      <c r="BU720" s="588">
        <f t="shared" si="904"/>
        <v>-2214.9661259999998</v>
      </c>
      <c r="BV720" s="40"/>
      <c r="BW720" s="40"/>
      <c r="BX720" s="40"/>
      <c r="BY720" s="40"/>
      <c r="BZ720" s="40"/>
      <c r="CA720" s="40"/>
      <c r="CB720" s="40"/>
      <c r="CC720" s="40"/>
      <c r="CD720" s="40"/>
      <c r="CE720" s="40"/>
      <c r="CF720" s="40"/>
      <c r="CG720" s="88"/>
      <c r="CH720" s="89" t="s">
        <v>562</v>
      </c>
    </row>
    <row r="721" spans="1:96" outlineLevel="1">
      <c r="B721" s="13" t="s">
        <v>658</v>
      </c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>
        <f t="shared" ref="N721:T721" si="905">M720</f>
        <v>0</v>
      </c>
      <c r="O721" s="6">
        <f t="shared" si="905"/>
        <v>-158.761225</v>
      </c>
      <c r="P721" s="6">
        <f t="shared" si="905"/>
        <v>-1891.8888999999999</v>
      </c>
      <c r="Q721" s="6">
        <f t="shared" si="905"/>
        <v>-1551.1412680000001</v>
      </c>
      <c r="R721" s="6">
        <f t="shared" si="905"/>
        <v>-1605.630913</v>
      </c>
      <c r="S721" s="6">
        <f t="shared" si="905"/>
        <v>-2372.9273720000001</v>
      </c>
      <c r="T721" s="6">
        <f t="shared" si="905"/>
        <v>-2235.5745099999999</v>
      </c>
      <c r="U721" s="12"/>
      <c r="V721" s="12"/>
      <c r="W721" s="6"/>
      <c r="X721" s="12"/>
      <c r="Y721" s="12"/>
      <c r="Z721" s="6"/>
      <c r="AA721" s="6"/>
      <c r="AB721" s="6"/>
      <c r="AC721" s="6"/>
      <c r="AD721" s="6"/>
      <c r="AE721" s="6"/>
      <c r="AF721" s="492"/>
      <c r="AG721" s="492"/>
      <c r="AH721" s="492"/>
      <c r="AI721" s="492"/>
      <c r="AJ721" s="492"/>
      <c r="AK721" s="492"/>
      <c r="AL721" s="492"/>
      <c r="AM721" s="492"/>
      <c r="AN721" s="492"/>
      <c r="AO721" s="492"/>
      <c r="AP721" s="492"/>
      <c r="AQ721" s="492"/>
      <c r="AR721" s="492"/>
      <c r="AS721" s="492"/>
      <c r="AT721" s="492"/>
      <c r="AU721" s="492"/>
      <c r="AV721" s="492"/>
      <c r="AW721" s="492"/>
      <c r="AX721" s="492"/>
      <c r="AY721" s="492"/>
      <c r="AZ721" s="492"/>
      <c r="BA721" s="492"/>
      <c r="BB721" s="492"/>
      <c r="BC721" s="492"/>
      <c r="BD721" s="492"/>
      <c r="BE721" s="492"/>
      <c r="BF721" s="492"/>
      <c r="BG721" s="492"/>
      <c r="BH721" s="492"/>
      <c r="BI721" s="492"/>
      <c r="BJ721" s="492"/>
      <c r="BK721" s="492"/>
      <c r="BL721" s="492"/>
      <c r="BM721" s="492"/>
      <c r="BN721" s="492"/>
      <c r="BO721" s="492"/>
      <c r="BP721" s="492"/>
      <c r="BQ721" s="492"/>
      <c r="BR721" s="492"/>
      <c r="BS721" s="492"/>
      <c r="BT721" s="492"/>
      <c r="BU721" s="6"/>
      <c r="BV721" s="6"/>
      <c r="BW721" s="6"/>
      <c r="BX721" s="6"/>
      <c r="BY721" s="6"/>
      <c r="BZ721" s="6"/>
      <c r="CA721" s="6"/>
      <c r="CB721" s="6"/>
      <c r="CC721" s="6"/>
      <c r="CD721" s="6"/>
      <c r="CE721" s="6"/>
      <c r="CF721" s="5"/>
      <c r="CH721" s="5" t="s">
        <v>562</v>
      </c>
    </row>
    <row r="722" spans="1:96" outlineLevel="1">
      <c r="B722" s="13" t="s">
        <v>669</v>
      </c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10">
        <v>-1733.127675</v>
      </c>
      <c r="P722" s="10">
        <v>0</v>
      </c>
      <c r="Q722" s="10">
        <v>-446.155147</v>
      </c>
      <c r="R722" s="10">
        <v>-872.29089099999999</v>
      </c>
      <c r="S722" s="6"/>
      <c r="T722" s="6"/>
      <c r="U722" s="12"/>
      <c r="V722" s="12"/>
      <c r="W722" s="6"/>
      <c r="X722" s="12"/>
      <c r="Y722" s="12"/>
      <c r="Z722" s="6"/>
      <c r="AA722" s="6"/>
      <c r="AB722" s="6"/>
      <c r="AC722" s="6"/>
      <c r="AD722" s="6"/>
      <c r="AE722" s="6"/>
      <c r="AF722" s="492"/>
      <c r="AG722" s="492"/>
      <c r="AH722" s="492"/>
      <c r="AI722" s="492"/>
      <c r="AJ722" s="492"/>
      <c r="AK722" s="492"/>
      <c r="AL722" s="492"/>
      <c r="AM722" s="492"/>
      <c r="AN722" s="492"/>
      <c r="AO722" s="492"/>
      <c r="AP722" s="492"/>
      <c r="AQ722" s="492"/>
      <c r="AR722" s="492"/>
      <c r="AS722" s="492"/>
      <c r="AT722" s="492"/>
      <c r="AU722" s="492"/>
      <c r="AV722" s="492"/>
      <c r="AW722" s="492"/>
      <c r="AX722" s="492"/>
      <c r="AY722" s="492"/>
      <c r="AZ722" s="492"/>
      <c r="BA722" s="492"/>
      <c r="BB722" s="492"/>
      <c r="BC722" s="492"/>
      <c r="BD722" s="492"/>
      <c r="BE722" s="492"/>
      <c r="BF722" s="492"/>
      <c r="BG722" s="492"/>
      <c r="BH722" s="492"/>
      <c r="BI722" s="492"/>
      <c r="BJ722" s="492"/>
      <c r="BK722" s="492"/>
      <c r="BL722" s="492"/>
      <c r="BM722" s="492"/>
      <c r="BN722" s="492"/>
      <c r="BO722" s="492"/>
      <c r="BP722" s="492"/>
      <c r="BQ722" s="492"/>
      <c r="BR722" s="492"/>
      <c r="BS722" s="492"/>
      <c r="BT722" s="492"/>
      <c r="BU722" s="6"/>
      <c r="BV722" s="6"/>
      <c r="BW722" s="6"/>
      <c r="BX722" s="6"/>
      <c r="BY722" s="6"/>
      <c r="BZ722" s="6"/>
      <c r="CA722" s="6"/>
      <c r="CB722" s="6"/>
      <c r="CC722" s="6"/>
      <c r="CD722" s="6"/>
      <c r="CE722" s="6"/>
      <c r="CF722" s="5"/>
      <c r="CH722" s="5" t="s">
        <v>562</v>
      </c>
    </row>
    <row r="723" spans="1:96" outlineLevel="1">
      <c r="B723" s="13" t="s">
        <v>670</v>
      </c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10">
        <v>0</v>
      </c>
      <c r="P723" s="10">
        <v>340.74763200000001</v>
      </c>
      <c r="Q723" s="10">
        <v>391.665502</v>
      </c>
      <c r="R723" s="10">
        <v>104.994432</v>
      </c>
      <c r="S723" s="6">
        <v>137.35286199999999</v>
      </c>
      <c r="T723" s="6">
        <v>138.35286199999999</v>
      </c>
      <c r="U723" s="12"/>
      <c r="V723" s="12"/>
      <c r="W723" s="6"/>
      <c r="X723" s="12"/>
      <c r="Y723" s="12"/>
      <c r="Z723" s="6"/>
      <c r="AA723" s="6"/>
      <c r="AB723" s="6"/>
      <c r="AC723" s="6"/>
      <c r="AD723" s="6"/>
      <c r="AE723" s="6"/>
      <c r="AF723" s="492"/>
      <c r="AG723" s="492"/>
      <c r="AH723" s="492"/>
      <c r="AI723" s="492"/>
      <c r="AJ723" s="492"/>
      <c r="AK723" s="492"/>
      <c r="AL723" s="492"/>
      <c r="AM723" s="492"/>
      <c r="AN723" s="492"/>
      <c r="AO723" s="492"/>
      <c r="AP723" s="492"/>
      <c r="AQ723" s="492"/>
      <c r="AR723" s="492"/>
      <c r="AS723" s="492"/>
      <c r="AT723" s="492"/>
      <c r="AU723" s="492"/>
      <c r="AV723" s="492"/>
      <c r="AW723" s="492"/>
      <c r="AX723" s="492"/>
      <c r="AY723" s="492"/>
      <c r="AZ723" s="492"/>
      <c r="BA723" s="492"/>
      <c r="BB723" s="492"/>
      <c r="BC723" s="492"/>
      <c r="BD723" s="492"/>
      <c r="BE723" s="492"/>
      <c r="BF723" s="492"/>
      <c r="BG723" s="492"/>
      <c r="BH723" s="492"/>
      <c r="BI723" s="492"/>
      <c r="BJ723" s="492"/>
      <c r="BK723" s="492"/>
      <c r="BL723" s="492"/>
      <c r="BM723" s="492"/>
      <c r="BN723" s="492"/>
      <c r="BO723" s="492"/>
      <c r="BP723" s="492"/>
      <c r="BQ723" s="492"/>
      <c r="BR723" s="492"/>
      <c r="BS723" s="492"/>
      <c r="BT723" s="492"/>
      <c r="BU723" s="6"/>
      <c r="BV723" s="6"/>
      <c r="BW723" s="6"/>
      <c r="BX723" s="6"/>
      <c r="BY723" s="6"/>
      <c r="BZ723" s="6"/>
      <c r="CA723" s="6"/>
      <c r="CB723" s="6"/>
      <c r="CC723" s="6"/>
      <c r="CD723" s="6"/>
      <c r="CE723" s="6"/>
      <c r="CF723" s="5"/>
      <c r="CH723" s="5" t="s">
        <v>562</v>
      </c>
    </row>
    <row r="724" spans="1:96" outlineLevel="1">
      <c r="B724" s="13" t="s">
        <v>662</v>
      </c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>
        <f t="shared" ref="O724:T724" si="906">SUM(O721:O723)</f>
        <v>-1891.8888999999999</v>
      </c>
      <c r="P724" s="6">
        <f t="shared" si="906"/>
        <v>-1551.1412679999999</v>
      </c>
      <c r="Q724" s="6">
        <f t="shared" si="906"/>
        <v>-1605.630913</v>
      </c>
      <c r="R724" s="6">
        <f t="shared" si="906"/>
        <v>-2372.9273720000001</v>
      </c>
      <c r="S724" s="6">
        <f t="shared" si="906"/>
        <v>-2235.5745099999999</v>
      </c>
      <c r="T724" s="6">
        <f t="shared" si="906"/>
        <v>-2097.2216479999997</v>
      </c>
      <c r="U724" s="6">
        <f ca="1">U725*Model!U308</f>
        <v>-2427.0703305508991</v>
      </c>
      <c r="V724" s="6">
        <f ca="1">V725*Model!V308</f>
        <v>-3014.4896847230243</v>
      </c>
      <c r="W724" s="6">
        <f ca="1">W725*Model!W308</f>
        <v>-3640.0753089620493</v>
      </c>
      <c r="X724" s="6">
        <f ca="1">X725*Model!X308</f>
        <v>-4382.7683200291749</v>
      </c>
      <c r="Y724" s="6">
        <f ca="1">Y725*Model!Y308</f>
        <v>-5230.9062217323572</v>
      </c>
      <c r="Z724" s="6">
        <f ca="1">Z725*Model!Z308</f>
        <v>-5982.9090506346793</v>
      </c>
      <c r="AA724" s="6">
        <f ca="1">AA725*Model!AA308</f>
        <v>-6864.9603418488796</v>
      </c>
      <c r="AB724" s="6">
        <f ca="1">AB725*Model!AB308</f>
        <v>-7815.464604426229</v>
      </c>
      <c r="AC724" s="6">
        <f ca="1">AC725*Model!AC308</f>
        <v>-8828.9118860928666</v>
      </c>
      <c r="AD724" s="6">
        <f ca="1">AD725*Model!AD308</f>
        <v>-9870.1388915893167</v>
      </c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  <c r="BL724" s="6"/>
      <c r="BM724" s="6"/>
      <c r="BN724" s="6"/>
      <c r="BO724" s="6"/>
      <c r="BP724" s="6"/>
      <c r="BQ724" s="6"/>
      <c r="BR724" s="6"/>
      <c r="BS724" s="6"/>
      <c r="BT724" s="6"/>
      <c r="BU724" s="6"/>
      <c r="BV724" s="6"/>
      <c r="BW724" s="6"/>
      <c r="BX724" s="6"/>
      <c r="BY724" s="6"/>
      <c r="BZ724" s="6"/>
      <c r="CA724" s="6"/>
      <c r="CB724" s="6"/>
      <c r="CC724" s="6"/>
      <c r="CD724" s="6"/>
      <c r="CE724" s="6"/>
      <c r="CF724" s="5"/>
      <c r="CH724" s="5" t="s">
        <v>562</v>
      </c>
    </row>
    <row r="725" spans="1:96" outlineLevel="1">
      <c r="B725" s="13" t="s">
        <v>671</v>
      </c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323">
        <f>O724/Model!O308</f>
        <v>1.8229958926810714</v>
      </c>
      <c r="P725" s="323">
        <f>P724/Model!P308</f>
        <v>1.1185305051666616</v>
      </c>
      <c r="Q725" s="323">
        <f>Q724/Model!Q308</f>
        <v>0.76436542469986279</v>
      </c>
      <c r="R725" s="323">
        <f>R724/Model!R308</f>
        <v>0.77968598464998917</v>
      </c>
      <c r="S725" s="323">
        <f>S724/Model!S308</f>
        <v>0.47266228008855476</v>
      </c>
      <c r="T725" s="323">
        <f>T724/Model!T308</f>
        <v>0.4482958332613034</v>
      </c>
      <c r="U725" s="42">
        <f t="shared" ref="U725:AD725" si="907">T725</f>
        <v>0.4482958332613034</v>
      </c>
      <c r="V725" s="42">
        <f t="shared" si="907"/>
        <v>0.4482958332613034</v>
      </c>
      <c r="W725" s="42">
        <f t="shared" si="907"/>
        <v>0.4482958332613034</v>
      </c>
      <c r="X725" s="42">
        <f t="shared" si="907"/>
        <v>0.4482958332613034</v>
      </c>
      <c r="Y725" s="42">
        <f t="shared" si="907"/>
        <v>0.4482958332613034</v>
      </c>
      <c r="Z725" s="42">
        <f t="shared" si="907"/>
        <v>0.4482958332613034</v>
      </c>
      <c r="AA725" s="42">
        <f t="shared" si="907"/>
        <v>0.4482958332613034</v>
      </c>
      <c r="AB725" s="42">
        <f t="shared" si="907"/>
        <v>0.4482958332613034</v>
      </c>
      <c r="AC725" s="42">
        <f t="shared" si="907"/>
        <v>0.4482958332613034</v>
      </c>
      <c r="AD725" s="42">
        <f t="shared" si="907"/>
        <v>0.4482958332613034</v>
      </c>
      <c r="AE725" s="42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  <c r="BH725" s="6"/>
      <c r="BI725" s="6"/>
      <c r="BJ725" s="6"/>
      <c r="BK725" s="6"/>
      <c r="BL725" s="6"/>
      <c r="BM725" s="6"/>
      <c r="BN725" s="6"/>
      <c r="BO725" s="6"/>
      <c r="BP725" s="6"/>
      <c r="BQ725" s="6"/>
      <c r="BR725" s="6"/>
      <c r="BS725" s="6"/>
      <c r="BT725" s="6"/>
      <c r="BU725" s="6"/>
      <c r="BV725" s="6"/>
      <c r="BW725" s="6"/>
      <c r="BX725" s="6"/>
      <c r="BY725" s="6"/>
      <c r="BZ725" s="6"/>
      <c r="CA725" s="6"/>
      <c r="CB725" s="6"/>
      <c r="CC725" s="6"/>
      <c r="CD725" s="6"/>
      <c r="CE725" s="6"/>
      <c r="CF725" s="5"/>
      <c r="CH725" s="5" t="s">
        <v>562</v>
      </c>
    </row>
    <row r="726" spans="1:96" outlineLevel="1"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93"/>
      <c r="R726" s="93"/>
      <c r="S726" s="6"/>
      <c r="T726" s="6"/>
      <c r="U726" s="12"/>
      <c r="V726" s="12"/>
      <c r="W726" s="6"/>
      <c r="X726" s="12"/>
      <c r="Y726" s="12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  <c r="BH726" s="6"/>
      <c r="BI726" s="6"/>
      <c r="BJ726" s="6"/>
      <c r="BK726" s="6"/>
      <c r="BL726" s="6"/>
      <c r="BM726" s="6"/>
      <c r="BN726" s="6"/>
      <c r="BO726" s="6"/>
      <c r="BP726" s="6"/>
      <c r="BQ726" s="6"/>
      <c r="BR726" s="6"/>
      <c r="BS726" s="6"/>
      <c r="BT726" s="6"/>
      <c r="BU726" s="6"/>
      <c r="BV726" s="6"/>
      <c r="BW726" s="6"/>
      <c r="BX726" s="6"/>
      <c r="BY726" s="6"/>
      <c r="BZ726" s="6"/>
      <c r="CA726" s="6"/>
      <c r="CB726" s="6"/>
      <c r="CC726" s="6"/>
      <c r="CD726" s="6"/>
      <c r="CE726" s="6"/>
      <c r="CF726" s="5"/>
      <c r="CH726" s="5" t="s">
        <v>562</v>
      </c>
    </row>
    <row r="727" spans="1:96" outlineLevel="1">
      <c r="B727" s="47" t="s">
        <v>210</v>
      </c>
      <c r="C727" s="47">
        <f t="shared" ref="C727:S727" si="908">C559</f>
        <v>0</v>
      </c>
      <c r="D727" s="47">
        <f t="shared" si="908"/>
        <v>0</v>
      </c>
      <c r="E727" s="47">
        <f t="shared" si="908"/>
        <v>0</v>
      </c>
      <c r="F727" s="47">
        <f t="shared" si="908"/>
        <v>0</v>
      </c>
      <c r="G727" s="47">
        <f t="shared" si="908"/>
        <v>0</v>
      </c>
      <c r="H727" s="47">
        <f t="shared" si="908"/>
        <v>-8.1048580000001404</v>
      </c>
      <c r="I727" s="47">
        <f t="shared" si="908"/>
        <v>-16.099263000000001</v>
      </c>
      <c r="J727" s="47">
        <f t="shared" si="908"/>
        <v>-36.420706000000003</v>
      </c>
      <c r="K727" s="47">
        <f t="shared" si="908"/>
        <v>-95.046426999999994</v>
      </c>
      <c r="L727" s="47">
        <f t="shared" si="908"/>
        <v>-77.742442999999994</v>
      </c>
      <c r="M727" s="47">
        <f t="shared" si="908"/>
        <v>198.972084</v>
      </c>
      <c r="N727" s="591">
        <f t="shared" si="908"/>
        <v>-172.46627699999999</v>
      </c>
      <c r="O727" s="591">
        <f t="shared" si="908"/>
        <v>-58.778675</v>
      </c>
      <c r="P727" s="591">
        <f t="shared" si="908"/>
        <v>372.63458000000003</v>
      </c>
      <c r="Q727" s="591">
        <f t="shared" si="908"/>
        <v>443.57937600000002</v>
      </c>
      <c r="R727" s="591">
        <f t="shared" si="908"/>
        <v>560.07728099999997</v>
      </c>
      <c r="S727" s="591">
        <f t="shared" si="908"/>
        <v>1010.373732</v>
      </c>
      <c r="T727" s="591">
        <f>T559</f>
        <v>6379.2968659999997</v>
      </c>
      <c r="U727" s="20">
        <f t="shared" ref="U727:AD727" si="909">U731</f>
        <v>6379.2968659999997</v>
      </c>
      <c r="V727" s="20">
        <f t="shared" si="909"/>
        <v>6379.2968659999997</v>
      </c>
      <c r="W727" s="20">
        <f t="shared" si="909"/>
        <v>6379.2968659999997</v>
      </c>
      <c r="X727" s="20">
        <f t="shared" si="909"/>
        <v>6379.2968659999997</v>
      </c>
      <c r="Y727" s="20">
        <f t="shared" si="909"/>
        <v>6379.2968659999997</v>
      </c>
      <c r="Z727" s="20">
        <f t="shared" si="909"/>
        <v>6379.2968659999997</v>
      </c>
      <c r="AA727" s="20">
        <f t="shared" si="909"/>
        <v>6379.2968659999997</v>
      </c>
      <c r="AB727" s="20">
        <f t="shared" si="909"/>
        <v>6379.2968659999997</v>
      </c>
      <c r="AC727" s="20">
        <f t="shared" si="909"/>
        <v>6379.2968659999997</v>
      </c>
      <c r="AD727" s="20">
        <f t="shared" si="909"/>
        <v>6379.2968659999997</v>
      </c>
      <c r="AE727" s="20"/>
      <c r="AF727" s="47">
        <f t="shared" ref="AF727:BU727" si="910">AF559</f>
        <v>0</v>
      </c>
      <c r="AG727" s="47">
        <f t="shared" si="910"/>
        <v>0</v>
      </c>
      <c r="AH727" s="47">
        <f t="shared" si="910"/>
        <v>0</v>
      </c>
      <c r="AI727" s="47">
        <f t="shared" si="910"/>
        <v>0</v>
      </c>
      <c r="AJ727" s="47">
        <f t="shared" si="910"/>
        <v>0</v>
      </c>
      <c r="AK727" s="47">
        <f t="shared" si="910"/>
        <v>0</v>
      </c>
      <c r="AL727" s="47">
        <f t="shared" si="910"/>
        <v>0</v>
      </c>
      <c r="AM727" s="47">
        <f t="shared" si="910"/>
        <v>0</v>
      </c>
      <c r="AN727" s="47">
        <f t="shared" si="910"/>
        <v>0</v>
      </c>
      <c r="AO727" s="47">
        <f t="shared" si="910"/>
        <v>0</v>
      </c>
      <c r="AP727" s="47">
        <f t="shared" si="910"/>
        <v>0</v>
      </c>
      <c r="AQ727" s="47">
        <f t="shared" si="910"/>
        <v>0</v>
      </c>
      <c r="AR727" s="47">
        <f t="shared" si="910"/>
        <v>0</v>
      </c>
      <c r="AS727" s="47">
        <f t="shared" si="910"/>
        <v>0</v>
      </c>
      <c r="AT727" s="47">
        <f t="shared" si="910"/>
        <v>0</v>
      </c>
      <c r="AU727" s="47">
        <f t="shared" si="910"/>
        <v>0</v>
      </c>
      <c r="AV727" s="47">
        <f t="shared" si="910"/>
        <v>0</v>
      </c>
      <c r="AW727" s="47">
        <f t="shared" si="910"/>
        <v>0</v>
      </c>
      <c r="AX727" s="47">
        <f t="shared" si="910"/>
        <v>0</v>
      </c>
      <c r="AY727" s="47">
        <f t="shared" si="910"/>
        <v>-172.46627699999999</v>
      </c>
      <c r="AZ727" s="47">
        <f t="shared" si="910"/>
        <v>0</v>
      </c>
      <c r="BA727" s="47">
        <f t="shared" si="910"/>
        <v>0</v>
      </c>
      <c r="BB727" s="47">
        <f t="shared" si="910"/>
        <v>0</v>
      </c>
      <c r="BC727" s="47">
        <f t="shared" si="910"/>
        <v>-58.778675</v>
      </c>
      <c r="BD727" s="47">
        <f t="shared" si="910"/>
        <v>-82.154163999999994</v>
      </c>
      <c r="BE727" s="47">
        <f t="shared" si="910"/>
        <v>-84.377950999999996</v>
      </c>
      <c r="BF727" s="47">
        <f t="shared" si="910"/>
        <v>-14.238203</v>
      </c>
      <c r="BG727" s="47">
        <f t="shared" si="910"/>
        <v>372.63458000000003</v>
      </c>
      <c r="BH727" s="47">
        <f t="shared" si="910"/>
        <v>76.881359000000003</v>
      </c>
      <c r="BI727" s="47">
        <f t="shared" si="910"/>
        <v>202.73412300000001</v>
      </c>
      <c r="BJ727" s="47">
        <f t="shared" si="910"/>
        <v>541.74921400000005</v>
      </c>
      <c r="BK727" s="47">
        <f t="shared" si="910"/>
        <v>443.57937600000002</v>
      </c>
      <c r="BL727" s="47">
        <f t="shared" si="910"/>
        <v>323.89927399999999</v>
      </c>
      <c r="BM727" s="47">
        <f t="shared" si="910"/>
        <v>889.95987700000001</v>
      </c>
      <c r="BN727" s="47">
        <f t="shared" si="910"/>
        <v>781.67173100000002</v>
      </c>
      <c r="BO727" s="47">
        <f t="shared" si="910"/>
        <v>560.07728099999997</v>
      </c>
      <c r="BP727" s="47">
        <f t="shared" si="910"/>
        <v>648.86655699999994</v>
      </c>
      <c r="BQ727" s="47">
        <f t="shared" si="910"/>
        <v>173.17746199999999</v>
      </c>
      <c r="BR727" s="47">
        <f t="shared" si="910"/>
        <v>378.782826</v>
      </c>
      <c r="BS727" s="47">
        <f t="shared" si="910"/>
        <v>1010.373732</v>
      </c>
      <c r="BT727" s="47">
        <f t="shared" si="910"/>
        <v>2161.0379379999999</v>
      </c>
      <c r="BU727" s="47">
        <f t="shared" si="910"/>
        <v>2746.834574</v>
      </c>
      <c r="BV727" s="47"/>
      <c r="BW727" s="47"/>
      <c r="BX727" s="47"/>
      <c r="BY727" s="47"/>
      <c r="BZ727" s="47"/>
      <c r="CA727" s="47"/>
      <c r="CB727" s="47"/>
      <c r="CC727" s="47"/>
      <c r="CD727" s="47"/>
      <c r="CE727" s="47"/>
      <c r="CF727" s="47"/>
      <c r="CG727" s="90"/>
      <c r="CH727" s="5" t="s">
        <v>562</v>
      </c>
    </row>
    <row r="728" spans="1:96" outlineLevel="1">
      <c r="B728" s="12" t="s">
        <v>653</v>
      </c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>
        <f t="shared" ref="N728:AD728" si="911">M727</f>
        <v>198.972084</v>
      </c>
      <c r="O728" s="6">
        <f t="shared" si="911"/>
        <v>-172.46627699999999</v>
      </c>
      <c r="P728" s="6">
        <f t="shared" si="911"/>
        <v>-58.778675</v>
      </c>
      <c r="Q728" s="6">
        <f t="shared" si="911"/>
        <v>372.63458000000003</v>
      </c>
      <c r="R728" s="6">
        <f t="shared" si="911"/>
        <v>443.57937600000002</v>
      </c>
      <c r="S728" s="6">
        <f t="shared" si="911"/>
        <v>560.07728099999997</v>
      </c>
      <c r="T728" s="6">
        <f t="shared" si="911"/>
        <v>1010.373732</v>
      </c>
      <c r="U728" s="6">
        <f t="shared" si="911"/>
        <v>6379.2968659999997</v>
      </c>
      <c r="V728" s="6">
        <f t="shared" si="911"/>
        <v>6379.2968659999997</v>
      </c>
      <c r="W728" s="6">
        <f t="shared" si="911"/>
        <v>6379.2968659999997</v>
      </c>
      <c r="X728" s="6">
        <f t="shared" si="911"/>
        <v>6379.2968659999997</v>
      </c>
      <c r="Y728" s="6">
        <f t="shared" si="911"/>
        <v>6379.2968659999997</v>
      </c>
      <c r="Z728" s="6">
        <f t="shared" si="911"/>
        <v>6379.2968659999997</v>
      </c>
      <c r="AA728" s="6">
        <f t="shared" si="911"/>
        <v>6379.2968659999997</v>
      </c>
      <c r="AB728" s="6">
        <f t="shared" si="911"/>
        <v>6379.2968659999997</v>
      </c>
      <c r="AC728" s="6">
        <f t="shared" si="911"/>
        <v>6379.2968659999997</v>
      </c>
      <c r="AD728" s="6">
        <f t="shared" si="911"/>
        <v>6379.2968659999997</v>
      </c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  <c r="BH728" s="6"/>
      <c r="BI728" s="6"/>
      <c r="BJ728" s="6"/>
      <c r="BK728" s="6"/>
      <c r="BL728" s="6"/>
      <c r="BM728" s="6"/>
      <c r="BN728" s="6"/>
      <c r="BO728" s="6"/>
      <c r="BP728" s="6"/>
      <c r="BQ728" s="6"/>
      <c r="BR728" s="6"/>
      <c r="BS728" s="6"/>
      <c r="BT728" s="6"/>
      <c r="BU728" s="6"/>
      <c r="BV728" s="6"/>
      <c r="BW728" s="6"/>
      <c r="BX728" s="6"/>
      <c r="BY728" s="6"/>
      <c r="BZ728" s="6"/>
      <c r="CA728" s="6"/>
      <c r="CB728" s="6"/>
      <c r="CC728" s="6"/>
      <c r="CD728" s="6"/>
      <c r="CE728" s="6"/>
      <c r="CF728" s="5"/>
      <c r="CH728" s="5" t="s">
        <v>562</v>
      </c>
    </row>
    <row r="729" spans="1:96" outlineLevel="1">
      <c r="B729" s="50" t="s">
        <v>35</v>
      </c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492">
        <f>Model!N327</f>
        <v>-94.851410999999999</v>
      </c>
      <c r="O729" s="492">
        <f>Model!O327</f>
        <v>21.039743999999999</v>
      </c>
      <c r="P729" s="492">
        <f>Model!P327</f>
        <v>-14.167524</v>
      </c>
      <c r="Q729" s="492">
        <f>Model!Q327</f>
        <v>-66.759799000000001</v>
      </c>
      <c r="R729" s="492">
        <f>Model!R327</f>
        <v>-489.91791699999999</v>
      </c>
      <c r="S729" s="492">
        <f>Model!S327</f>
        <v>-323.58159899999998</v>
      </c>
      <c r="T729" s="492">
        <f>Model!T327</f>
        <v>0</v>
      </c>
      <c r="U729" s="152">
        <f>Model!U327</f>
        <v>0</v>
      </c>
      <c r="V729" s="152">
        <f>Model!V327</f>
        <v>0</v>
      </c>
      <c r="W729" s="152">
        <f>Model!W327</f>
        <v>0</v>
      </c>
      <c r="X729" s="152">
        <f>Model!X327</f>
        <v>0</v>
      </c>
      <c r="Y729" s="152">
        <f>Model!Y327</f>
        <v>0</v>
      </c>
      <c r="Z729" s="152">
        <f>Model!Z327</f>
        <v>0</v>
      </c>
      <c r="AA729" s="152">
        <f>Model!AA327</f>
        <v>0</v>
      </c>
      <c r="AB729" s="152">
        <f>Model!AB327</f>
        <v>0</v>
      </c>
      <c r="AC729" s="152">
        <f>Model!AC327</f>
        <v>0</v>
      </c>
      <c r="AD729" s="152">
        <f>Model!AD327</f>
        <v>0</v>
      </c>
      <c r="AE729" s="152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  <c r="BH729" s="6"/>
      <c r="BI729" s="6"/>
      <c r="BJ729" s="6"/>
      <c r="BK729" s="6"/>
      <c r="BL729" s="6"/>
      <c r="BM729" s="6"/>
      <c r="BN729" s="6"/>
      <c r="BO729" s="6"/>
      <c r="BP729" s="6"/>
      <c r="BQ729" s="6"/>
      <c r="BR729" s="6"/>
      <c r="BS729" s="6"/>
      <c r="BT729" s="6"/>
      <c r="BU729" s="6"/>
      <c r="BV729" s="6"/>
      <c r="BW729" s="6"/>
      <c r="BX729" s="6"/>
      <c r="BY729" s="6"/>
      <c r="BZ729" s="6"/>
      <c r="CA729" s="6"/>
      <c r="CB729" s="6"/>
      <c r="CC729" s="6"/>
      <c r="CD729" s="6"/>
      <c r="CE729" s="6"/>
      <c r="CF729" s="5"/>
      <c r="CH729" s="5" t="s">
        <v>562</v>
      </c>
    </row>
    <row r="730" spans="1:96" outlineLevel="1">
      <c r="B730" s="50" t="s">
        <v>655</v>
      </c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492">
        <f>Model!N328</f>
        <v>-276.58695</v>
      </c>
      <c r="O730" s="492">
        <f>Model!O328</f>
        <v>92.647857999999999</v>
      </c>
      <c r="P730" s="492">
        <f>Model!P328</f>
        <v>445.58077900000001</v>
      </c>
      <c r="Q730" s="492">
        <f>Model!Q328</f>
        <v>137.70459500000001</v>
      </c>
      <c r="R730" s="492">
        <f>Model!R328</f>
        <v>606.41582200000005</v>
      </c>
      <c r="S730" s="492">
        <f>Model!S328</f>
        <v>914.529809</v>
      </c>
      <c r="T730" s="492">
        <f>Model!T328</f>
        <v>0</v>
      </c>
      <c r="U730" s="152">
        <f>Model!U328</f>
        <v>0</v>
      </c>
      <c r="V730" s="152">
        <f>Model!V328</f>
        <v>0</v>
      </c>
      <c r="W730" s="152">
        <f>Model!W328</f>
        <v>0</v>
      </c>
      <c r="X730" s="152">
        <f>Model!X328</f>
        <v>0</v>
      </c>
      <c r="Y730" s="152">
        <f>Model!Y328</f>
        <v>0</v>
      </c>
      <c r="Z730" s="152">
        <f>Model!Z328</f>
        <v>0</v>
      </c>
      <c r="AA730" s="152">
        <f>Model!AA328</f>
        <v>0</v>
      </c>
      <c r="AB730" s="152">
        <f>Model!AB328</f>
        <v>0</v>
      </c>
      <c r="AC730" s="152">
        <f>Model!AC328</f>
        <v>0</v>
      </c>
      <c r="AD730" s="152">
        <f>Model!AD328</f>
        <v>0</v>
      </c>
      <c r="AE730" s="152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  <c r="BH730" s="6"/>
      <c r="BI730" s="6"/>
      <c r="BJ730" s="6"/>
      <c r="BK730" s="6"/>
      <c r="BL730" s="6"/>
      <c r="BM730" s="6"/>
      <c r="BN730" s="6"/>
      <c r="BO730" s="6"/>
      <c r="BP730" s="6"/>
      <c r="BQ730" s="6"/>
      <c r="BR730" s="6"/>
      <c r="BS730" s="6"/>
      <c r="BT730" s="6"/>
      <c r="BU730" s="6"/>
      <c r="BV730" s="6"/>
      <c r="BW730" s="6"/>
      <c r="BX730" s="6"/>
      <c r="BY730" s="6"/>
      <c r="BZ730" s="6"/>
      <c r="CA730" s="6"/>
      <c r="CB730" s="6"/>
      <c r="CC730" s="6"/>
      <c r="CD730" s="6"/>
      <c r="CE730" s="6"/>
      <c r="CF730" s="5"/>
      <c r="CH730" s="5" t="s">
        <v>562</v>
      </c>
    </row>
    <row r="731" spans="1:96" outlineLevel="1">
      <c r="B731" s="12" t="s">
        <v>656</v>
      </c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>
        <f t="shared" ref="N731:AD731" si="912">SUM(N728:N730)</f>
        <v>-172.46627699999999</v>
      </c>
      <c r="O731" s="6">
        <f t="shared" si="912"/>
        <v>-58.778675000000007</v>
      </c>
      <c r="P731" s="6">
        <f t="shared" si="912"/>
        <v>372.63458000000003</v>
      </c>
      <c r="Q731" s="6">
        <f t="shared" si="912"/>
        <v>443.57937600000002</v>
      </c>
      <c r="R731" s="6">
        <f t="shared" si="912"/>
        <v>560.07728100000008</v>
      </c>
      <c r="S731" s="6">
        <f t="shared" si="912"/>
        <v>1151.0254909999999</v>
      </c>
      <c r="T731" s="6">
        <f>SUM(T728:T730)</f>
        <v>1010.373732</v>
      </c>
      <c r="U731" s="6">
        <f t="shared" si="912"/>
        <v>6379.2968659999997</v>
      </c>
      <c r="V731" s="6">
        <f t="shared" si="912"/>
        <v>6379.2968659999997</v>
      </c>
      <c r="W731" s="6">
        <f t="shared" si="912"/>
        <v>6379.2968659999997</v>
      </c>
      <c r="X731" s="6">
        <f t="shared" si="912"/>
        <v>6379.2968659999997</v>
      </c>
      <c r="Y731" s="6">
        <f t="shared" si="912"/>
        <v>6379.2968659999997</v>
      </c>
      <c r="Z731" s="6">
        <f t="shared" si="912"/>
        <v>6379.2968659999997</v>
      </c>
      <c r="AA731" s="6">
        <f t="shared" si="912"/>
        <v>6379.2968659999997</v>
      </c>
      <c r="AB731" s="6">
        <f t="shared" si="912"/>
        <v>6379.2968659999997</v>
      </c>
      <c r="AC731" s="6">
        <f t="shared" si="912"/>
        <v>6379.2968659999997</v>
      </c>
      <c r="AD731" s="6">
        <f t="shared" si="912"/>
        <v>6379.2968659999997</v>
      </c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  <c r="BH731" s="6"/>
      <c r="BI731" s="6"/>
      <c r="BJ731" s="6"/>
      <c r="BK731" s="6"/>
      <c r="BL731" s="6"/>
      <c r="BM731" s="6"/>
      <c r="BN731" s="6"/>
      <c r="BO731" s="6"/>
      <c r="BP731" s="6"/>
      <c r="BQ731" s="6"/>
      <c r="BR731" s="6"/>
      <c r="BS731" s="6"/>
      <c r="BT731" s="6"/>
      <c r="BU731" s="6"/>
      <c r="BV731" s="6"/>
      <c r="BW731" s="6"/>
      <c r="BX731" s="6"/>
      <c r="BY731" s="6"/>
      <c r="BZ731" s="6"/>
      <c r="CA731" s="6"/>
      <c r="CB731" s="6"/>
      <c r="CC731" s="6"/>
      <c r="CD731" s="6"/>
      <c r="CE731" s="6"/>
      <c r="CF731" s="5"/>
      <c r="CH731" s="5" t="s">
        <v>562</v>
      </c>
    </row>
    <row r="732" spans="1:96"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  <c r="BH732" s="6"/>
      <c r="BI732" s="6"/>
      <c r="BJ732" s="6"/>
      <c r="BK732" s="6"/>
      <c r="BL732" s="6"/>
      <c r="BM732" s="6"/>
      <c r="BN732" s="6"/>
      <c r="BO732" s="6"/>
      <c r="BP732" s="6"/>
      <c r="BQ732" s="6"/>
      <c r="BR732" s="6"/>
      <c r="BS732" s="6"/>
      <c r="BT732" s="6"/>
      <c r="BU732" s="6"/>
      <c r="BV732" s="6"/>
      <c r="BW732" s="6"/>
      <c r="BX732" s="6"/>
      <c r="BY732" s="6"/>
      <c r="BZ732" s="6"/>
      <c r="CA732" s="6"/>
      <c r="CB732" s="6"/>
      <c r="CC732" s="6"/>
      <c r="CD732" s="6"/>
      <c r="CE732" s="6"/>
      <c r="CF732" s="5"/>
      <c r="CH732" s="5" t="s">
        <v>562</v>
      </c>
    </row>
    <row r="733" spans="1:96"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  <c r="BH733" s="6"/>
      <c r="BI733" s="6"/>
      <c r="BJ733" s="6"/>
      <c r="BK733" s="6"/>
      <c r="BL733" s="6"/>
      <c r="BM733" s="6"/>
      <c r="BN733" s="6"/>
      <c r="BO733" s="6"/>
      <c r="BP733" s="6"/>
      <c r="BQ733" s="6"/>
      <c r="BR733" s="6"/>
      <c r="BS733" s="6"/>
      <c r="BT733" s="6"/>
      <c r="BU733" s="6"/>
      <c r="BV733" s="6"/>
      <c r="BW733" s="6"/>
      <c r="BX733" s="6"/>
      <c r="BY733" s="6"/>
      <c r="BZ733" s="6"/>
      <c r="CA733" s="6"/>
      <c r="CB733" s="6"/>
      <c r="CC733" s="6"/>
      <c r="CD733" s="6"/>
      <c r="CE733" s="6"/>
      <c r="CF733" s="5"/>
      <c r="CH733" s="5" t="s">
        <v>562</v>
      </c>
    </row>
    <row r="734" spans="1:96" s="9" customFormat="1">
      <c r="A734" s="3"/>
      <c r="B734" s="485" t="s">
        <v>599</v>
      </c>
      <c r="C734" s="486"/>
      <c r="D734" s="486"/>
      <c r="E734" s="486"/>
      <c r="F734" s="486"/>
      <c r="G734" s="486"/>
      <c r="H734" s="486"/>
      <c r="I734" s="486"/>
      <c r="J734" s="486"/>
      <c r="K734" s="486"/>
      <c r="L734" s="486"/>
      <c r="M734" s="486"/>
      <c r="N734" s="486"/>
      <c r="O734" s="486"/>
      <c r="P734" s="486"/>
      <c r="Q734" s="486"/>
      <c r="R734" s="486"/>
      <c r="S734" s="487"/>
      <c r="T734" s="487"/>
      <c r="U734" s="487"/>
      <c r="V734" s="487"/>
      <c r="W734" s="487"/>
      <c r="X734" s="487"/>
      <c r="Y734" s="487"/>
      <c r="Z734" s="487"/>
      <c r="AA734" s="487"/>
      <c r="AB734" s="487"/>
      <c r="AC734" s="487"/>
      <c r="AD734" s="487"/>
      <c r="AE734" s="487"/>
      <c r="AF734" s="486"/>
      <c r="AG734" s="486"/>
      <c r="AH734" s="486"/>
      <c r="AI734" s="486"/>
      <c r="AJ734" s="486"/>
      <c r="AK734" s="486"/>
      <c r="AL734" s="486"/>
      <c r="AM734" s="486"/>
      <c r="AN734" s="486"/>
      <c r="AO734" s="486"/>
      <c r="AP734" s="486"/>
      <c r="AQ734" s="486"/>
      <c r="AR734" s="486"/>
      <c r="AS734" s="486"/>
      <c r="AT734" s="486"/>
      <c r="AU734" s="486"/>
      <c r="AV734" s="486"/>
      <c r="AW734" s="486"/>
      <c r="AX734" s="486"/>
      <c r="AY734" s="486"/>
      <c r="AZ734" s="486"/>
      <c r="BA734" s="486"/>
      <c r="BB734" s="486"/>
      <c r="BC734" s="486"/>
      <c r="BD734" s="486"/>
      <c r="BE734" s="486"/>
      <c r="BF734" s="486"/>
      <c r="BG734" s="486"/>
      <c r="BH734" s="486"/>
      <c r="BI734" s="486"/>
      <c r="BJ734" s="486"/>
      <c r="BK734" s="486"/>
      <c r="BL734" s="486"/>
      <c r="BM734" s="486"/>
      <c r="BN734" s="486"/>
      <c r="BO734" s="486"/>
      <c r="BP734" s="486"/>
      <c r="BQ734" s="486"/>
      <c r="BR734" s="487"/>
      <c r="BS734" s="487"/>
      <c r="BT734" s="486"/>
      <c r="BU734" s="486"/>
      <c r="BV734" s="487"/>
      <c r="BW734" s="487"/>
      <c r="BX734" s="488"/>
      <c r="BY734" s="488"/>
      <c r="BZ734" s="488"/>
      <c r="CA734" s="488"/>
      <c r="CB734" s="488"/>
      <c r="CC734" s="488"/>
      <c r="CD734" s="488"/>
      <c r="CE734" s="488"/>
      <c r="CF734" s="490"/>
      <c r="CH734" s="5" t="s">
        <v>562</v>
      </c>
      <c r="CI734" s="10"/>
      <c r="CJ734"/>
      <c r="CK734"/>
      <c r="CL734"/>
      <c r="CM734"/>
      <c r="CN734"/>
      <c r="CO734"/>
      <c r="CP734" s="10"/>
      <c r="CQ734" s="10"/>
      <c r="CR734" s="10"/>
    </row>
    <row r="735" spans="1:96" outlineLevel="1">
      <c r="B735" s="94" t="s">
        <v>215</v>
      </c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  <c r="BH735" s="6"/>
      <c r="BI735" s="6"/>
      <c r="BJ735" s="6"/>
      <c r="BK735" s="6"/>
      <c r="BL735" s="6"/>
      <c r="BM735" s="6"/>
      <c r="BN735" s="6"/>
      <c r="BO735" s="6"/>
      <c r="BP735" s="6"/>
      <c r="BQ735" s="6"/>
      <c r="BR735" s="6"/>
      <c r="BS735" s="6"/>
      <c r="BT735" s="6"/>
      <c r="BU735" s="6"/>
      <c r="BV735" s="6"/>
      <c r="BW735" s="6"/>
      <c r="BX735" s="6"/>
      <c r="BY735" s="6"/>
      <c r="BZ735" s="6"/>
      <c r="CA735" s="6"/>
      <c r="CB735" s="6"/>
      <c r="CC735" s="6"/>
      <c r="CD735" s="6"/>
      <c r="CE735" s="6"/>
      <c r="CF735" s="5"/>
      <c r="CH735" s="5" t="s">
        <v>562</v>
      </c>
    </row>
    <row r="736" spans="1:96" outlineLevel="1">
      <c r="A736" s="3" t="s">
        <v>540</v>
      </c>
      <c r="B736" s="6" t="s">
        <v>216</v>
      </c>
      <c r="C736" s="10">
        <f>Model!C324</f>
        <v>-23.977444999999996</v>
      </c>
      <c r="D736" s="10">
        <f>Model!D324</f>
        <v>-15.261413000000006</v>
      </c>
      <c r="E736" s="10">
        <f>Model!E324</f>
        <v>14.193533</v>
      </c>
      <c r="F736" s="10">
        <f>Model!F324</f>
        <v>53.813514999999988</v>
      </c>
      <c r="G736" s="10">
        <f>Model!G324</f>
        <v>133.12629000000001</v>
      </c>
      <c r="H736" s="10">
        <f>Model!H324</f>
        <v>224.24559999999994</v>
      </c>
      <c r="I736" s="10">
        <f>Model!I324</f>
        <v>240.56384699999998</v>
      </c>
      <c r="J736" s="10">
        <f>Model!J324</f>
        <v>398.32360999999992</v>
      </c>
      <c r="K736" s="10">
        <f>Model!K324</f>
        <v>443.92746700000026</v>
      </c>
      <c r="L736" s="10">
        <f>Model!L324</f>
        <v>658.9734420000002</v>
      </c>
      <c r="M736" s="10">
        <f>Model!M324</f>
        <v>1048.0597399999995</v>
      </c>
      <c r="N736" s="10">
        <f>Model!N324</f>
        <v>1076.4148969999999</v>
      </c>
      <c r="O736" s="10">
        <f>Model!O324</f>
        <v>714.40586399999961</v>
      </c>
      <c r="P736" s="10">
        <f>Model!P324</f>
        <v>998.31968400000005</v>
      </c>
      <c r="Q736" s="10">
        <f>Model!Q324</f>
        <v>242.73978100000176</v>
      </c>
      <c r="R736" s="10">
        <f>Model!R324</f>
        <v>2507.6558840000021</v>
      </c>
      <c r="S736" s="9">
        <f>Model!S324</f>
        <v>-1430.7031950000001</v>
      </c>
      <c r="T736" s="6">
        <f>Model!T324</f>
        <v>2142.0115370000003</v>
      </c>
      <c r="U736" s="6">
        <f ca="1">Model!U324</f>
        <v>2198.8995198788039</v>
      </c>
      <c r="V736" s="6">
        <f ca="1">Model!V324</f>
        <v>4769.769318779925</v>
      </c>
      <c r="W736" s="6">
        <f ca="1">Model!W324</f>
        <v>6658.3111531531576</v>
      </c>
      <c r="X736" s="6">
        <f ca="1">Model!X324</f>
        <v>8920.6445608685553</v>
      </c>
      <c r="Y736" s="6">
        <f ca="1">Model!Y324</f>
        <v>11720.663686927455</v>
      </c>
      <c r="Z736" s="6">
        <f ca="1">Model!Z324</f>
        <v>14317.294771640994</v>
      </c>
      <c r="AA736" s="6">
        <f ca="1">Model!AA324</f>
        <v>17143.125549808472</v>
      </c>
      <c r="AB736" s="6">
        <f ca="1">Model!AB324</f>
        <v>20327.836972818732</v>
      </c>
      <c r="AC736" s="6">
        <f ca="1">Model!AC324</f>
        <v>22976.756377905367</v>
      </c>
      <c r="AD736" s="6">
        <f ca="1">Model!AD324</f>
        <v>25698.285627482102</v>
      </c>
      <c r="AE736" s="6"/>
      <c r="AF736" s="6">
        <f t="shared" ref="AF736:BW736" si="913">NP</f>
        <v>64.922370999999998</v>
      </c>
      <c r="AG736" s="6">
        <f t="shared" si="913"/>
        <v>88.227753999999976</v>
      </c>
      <c r="AH736" s="6">
        <f t="shared" si="913"/>
        <v>109.69841599999994</v>
      </c>
      <c r="AI736" s="6">
        <f t="shared" si="913"/>
        <v>135.495069</v>
      </c>
      <c r="AJ736" s="6">
        <f t="shared" si="913"/>
        <v>98.849438000000021</v>
      </c>
      <c r="AK736" s="6">
        <f t="shared" si="913"/>
        <v>119.31554100000008</v>
      </c>
      <c r="AL736" s="6">
        <f t="shared" si="913"/>
        <v>104.49544200000003</v>
      </c>
      <c r="AM736" s="6">
        <f t="shared" si="913"/>
        <v>121.44745199999993</v>
      </c>
      <c r="AN736" s="6">
        <f t="shared" si="913"/>
        <v>121.39228000000006</v>
      </c>
      <c r="AO736" s="6">
        <f t="shared" si="913"/>
        <v>158.85880799999998</v>
      </c>
      <c r="AP736" s="6">
        <f t="shared" si="913"/>
        <v>188.51672100000005</v>
      </c>
      <c r="AQ736" s="6">
        <f t="shared" si="913"/>
        <v>190.20581300000001</v>
      </c>
      <c r="AR736" s="6">
        <f t="shared" si="913"/>
        <v>190.44543100000007</v>
      </c>
      <c r="AS736" s="6">
        <f t="shared" si="913"/>
        <v>235.21141299999999</v>
      </c>
      <c r="AT736" s="6">
        <f t="shared" si="913"/>
        <v>320.13916099999989</v>
      </c>
      <c r="AU736" s="6">
        <f t="shared" si="913"/>
        <v>302.27373500000004</v>
      </c>
      <c r="AV736" s="6">
        <f t="shared" si="913"/>
        <v>234.908333</v>
      </c>
      <c r="AW736" s="6">
        <f t="shared" si="913"/>
        <v>263.70237200000008</v>
      </c>
      <c r="AX736" s="6">
        <f t="shared" si="913"/>
        <v>325.28029800000013</v>
      </c>
      <c r="AY736" s="6">
        <f t="shared" si="913"/>
        <v>252.52389399999993</v>
      </c>
      <c r="AZ736" s="6">
        <f t="shared" si="913"/>
        <v>208.36734200000004</v>
      </c>
      <c r="BA736" s="6">
        <f t="shared" si="913"/>
        <v>119.66973899999999</v>
      </c>
      <c r="BB736" s="6">
        <f t="shared" si="913"/>
        <v>193.81679699999995</v>
      </c>
      <c r="BC736" s="6">
        <f t="shared" si="913"/>
        <v>192.55202600000001</v>
      </c>
      <c r="BD736" s="6">
        <f t="shared" si="913"/>
        <v>153.47147299999969</v>
      </c>
      <c r="BE736" s="6">
        <f t="shared" si="913"/>
        <v>210.3810940000003</v>
      </c>
      <c r="BF736" s="6">
        <f t="shared" si="913"/>
        <v>372.98771599999969</v>
      </c>
      <c r="BG736" s="6">
        <f t="shared" si="913"/>
        <v>261.47940100000005</v>
      </c>
      <c r="BH736" s="6">
        <f t="shared" si="913"/>
        <v>115.35175300000013</v>
      </c>
      <c r="BI736" s="6">
        <f t="shared" si="913"/>
        <v>134.88818000000015</v>
      </c>
      <c r="BJ736" s="6">
        <f t="shared" si="913"/>
        <v>216.92455400000037</v>
      </c>
      <c r="BK736" s="6">
        <f t="shared" si="913"/>
        <v>-224.42470600000013</v>
      </c>
      <c r="BL736" s="6">
        <f t="shared" si="913"/>
        <v>-125.98668100000073</v>
      </c>
      <c r="BM736" s="6">
        <f t="shared" si="913"/>
        <v>142.77842200000043</v>
      </c>
      <c r="BN736" s="6">
        <f t="shared" si="913"/>
        <v>2415.1362810000001</v>
      </c>
      <c r="BO736" s="6">
        <f t="shared" si="913"/>
        <v>75.727861999999988</v>
      </c>
      <c r="BP736" s="6">
        <f t="shared" si="913"/>
        <v>-1578.684091000001</v>
      </c>
      <c r="BQ736" s="6">
        <f t="shared" si="913"/>
        <v>-521.25253399999849</v>
      </c>
      <c r="BR736" s="6">
        <f t="shared" si="913"/>
        <v>23.917442000000154</v>
      </c>
      <c r="BS736" s="6">
        <f t="shared" si="913"/>
        <v>645.31598799999949</v>
      </c>
      <c r="BT736" s="6">
        <f t="shared" si="913"/>
        <v>82.447981000000269</v>
      </c>
      <c r="BU736" s="6">
        <f t="shared" si="913"/>
        <v>326.87206899999927</v>
      </c>
      <c r="BV736" s="6">
        <f t="shared" si="913"/>
        <v>1229.1177869999999</v>
      </c>
      <c r="BW736" s="6">
        <f t="shared" si="913"/>
        <v>503.57370000000026</v>
      </c>
      <c r="BX736" s="6"/>
      <c r="BY736" s="6"/>
      <c r="BZ736" s="6"/>
      <c r="CA736" s="6"/>
      <c r="CB736" s="6"/>
      <c r="CC736" s="6"/>
      <c r="CD736" s="6"/>
      <c r="CE736" s="6"/>
      <c r="CF736" s="5"/>
      <c r="CH736" s="5" t="s">
        <v>562</v>
      </c>
    </row>
    <row r="737" spans="1:96" outlineLevel="1">
      <c r="B737" s="6" t="s">
        <v>217</v>
      </c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5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  <c r="BH737" s="6"/>
      <c r="BI737" s="6"/>
      <c r="BJ737" s="6"/>
      <c r="BK737" s="6"/>
      <c r="BL737" s="6"/>
      <c r="BM737" s="6"/>
      <c r="BN737" s="6"/>
      <c r="BO737" s="6"/>
      <c r="BP737" s="6"/>
      <c r="BQ737" s="6"/>
      <c r="BR737" s="6"/>
      <c r="BS737" s="6"/>
      <c r="BT737" s="6"/>
      <c r="BU737" s="6"/>
      <c r="BV737" s="6"/>
      <c r="BW737" s="6"/>
      <c r="BX737" s="6"/>
      <c r="BY737" s="6"/>
      <c r="BZ737" s="6"/>
      <c r="CA737" s="6"/>
      <c r="CB737" s="6"/>
      <c r="CC737" s="6"/>
      <c r="CD737" s="6"/>
      <c r="CE737" s="6"/>
      <c r="CF737" s="5"/>
      <c r="CH737" s="5" t="s">
        <v>562</v>
      </c>
    </row>
    <row r="738" spans="1:96" outlineLevel="1">
      <c r="B738" s="95" t="s">
        <v>72</v>
      </c>
      <c r="C738" s="6">
        <f>SBC</f>
        <v>0</v>
      </c>
      <c r="D738" s="6">
        <f>SBC</f>
        <v>0</v>
      </c>
      <c r="E738" s="6">
        <f>SBC</f>
        <v>0</v>
      </c>
      <c r="F738" s="6"/>
      <c r="G738" s="10"/>
      <c r="H738" s="10">
        <f>Model!H359</f>
        <v>1.7768520000000001</v>
      </c>
      <c r="I738" s="10">
        <f>Model!I359</f>
        <v>54.682027000000005</v>
      </c>
      <c r="J738" s="10">
        <f>Model!J359</f>
        <v>86.913884999999993</v>
      </c>
      <c r="K738" s="10">
        <f>Model!K359</f>
        <v>128.51747499999999</v>
      </c>
      <c r="L738" s="10">
        <f>Model!L359</f>
        <v>130.52882699999998</v>
      </c>
      <c r="M738" s="10">
        <f>Model!M359</f>
        <v>242.56145800000002</v>
      </c>
      <c r="N738" s="10">
        <f>Model!N359</f>
        <v>342.791357</v>
      </c>
      <c r="O738" s="10">
        <f>Model!O359</f>
        <v>431.72132199999999</v>
      </c>
      <c r="P738" s="10">
        <f>Model!P359</f>
        <v>437.92947700000002</v>
      </c>
      <c r="Q738" s="10">
        <f>Model!Q359</f>
        <v>496.64348899999999</v>
      </c>
      <c r="R738" s="10">
        <f>Model!R359</f>
        <v>642.59647399999994</v>
      </c>
      <c r="S738" s="9">
        <f>Model!S359</f>
        <v>3559.7187059999997</v>
      </c>
      <c r="T738" s="6">
        <f>Model!T359</f>
        <v>1833.812105</v>
      </c>
      <c r="U738" s="6">
        <f ca="1">Model!U359</f>
        <v>2135.344102538028</v>
      </c>
      <c r="V738" s="6">
        <f ca="1">Model!V359</f>
        <v>2419.2452531483691</v>
      </c>
      <c r="W738" s="6">
        <f ca="1">Model!W359</f>
        <v>2956.4984658220355</v>
      </c>
      <c r="X738" s="6">
        <f ca="1">Model!X359</f>
        <v>3559.7197075338786</v>
      </c>
      <c r="Y738" s="6">
        <f ca="1">Model!Y359</f>
        <v>4248.5841381728096</v>
      </c>
      <c r="Z738" s="6">
        <f ca="1">Model!Z359</f>
        <v>4918.6274606829247</v>
      </c>
      <c r="AA738" s="6">
        <f ca="1">Model!AA359</f>
        <v>5643.7733163159401</v>
      </c>
      <c r="AB738" s="6">
        <f ca="1">Model!AB359</f>
        <v>6425.1952513381975</v>
      </c>
      <c r="AC738" s="6">
        <f ca="1">Model!AC359</f>
        <v>7258.3634622156778</v>
      </c>
      <c r="AD738" s="6">
        <f ca="1">Model!AD359</f>
        <v>8114.3697458973948</v>
      </c>
      <c r="AE738" s="6"/>
      <c r="AF738" s="6">
        <f t="shared" ref="AF738:BW738" si="914">SBC</f>
        <v>18.588477999999999</v>
      </c>
      <c r="AG738" s="6">
        <f t="shared" si="914"/>
        <v>23.098433</v>
      </c>
      <c r="AH738" s="6">
        <f t="shared" si="914"/>
        <v>22.855075999999997</v>
      </c>
      <c r="AI738" s="6">
        <f t="shared" si="914"/>
        <v>22.371797999999998</v>
      </c>
      <c r="AJ738" s="6">
        <f t="shared" si="914"/>
        <v>33.455654000000003</v>
      </c>
      <c r="AK738" s="6">
        <f t="shared" si="914"/>
        <v>31.283684000000001</v>
      </c>
      <c r="AL738" s="6">
        <f t="shared" si="914"/>
        <v>31.285170999999998</v>
      </c>
      <c r="AM738" s="6">
        <f t="shared" si="914"/>
        <v>32.492965999999996</v>
      </c>
      <c r="AN738" s="6">
        <f t="shared" si="914"/>
        <v>26.974502000000001</v>
      </c>
      <c r="AO738" s="6">
        <f t="shared" si="914"/>
        <v>26.981698000000002</v>
      </c>
      <c r="AP738" s="6">
        <f t="shared" si="914"/>
        <v>26.966712999999999</v>
      </c>
      <c r="AQ738" s="6">
        <f t="shared" si="914"/>
        <v>49.605913000000001</v>
      </c>
      <c r="AR738" s="6">
        <f t="shared" si="914"/>
        <v>64.223038000000003</v>
      </c>
      <c r="AS738" s="6">
        <f t="shared" si="914"/>
        <v>58.225892000000002</v>
      </c>
      <c r="AT738" s="6">
        <f t="shared" si="914"/>
        <v>60.243667000000002</v>
      </c>
      <c r="AU738" s="6">
        <f t="shared" si="914"/>
        <v>59.868861000000003</v>
      </c>
      <c r="AV738" s="6">
        <f t="shared" si="914"/>
        <v>70.368330999999998</v>
      </c>
      <c r="AW738" s="6">
        <f t="shared" si="914"/>
        <v>87.200028000000003</v>
      </c>
      <c r="AX738" s="6">
        <f t="shared" si="914"/>
        <v>90.506768999999991</v>
      </c>
      <c r="AY738" s="6">
        <f t="shared" si="914"/>
        <v>94.716228999999998</v>
      </c>
      <c r="AZ738" s="6">
        <f t="shared" si="914"/>
        <v>100.67846499999999</v>
      </c>
      <c r="BA738" s="6">
        <f t="shared" si="914"/>
        <v>108.813816</v>
      </c>
      <c r="BB738" s="6">
        <f t="shared" si="914"/>
        <v>108.48953900000001</v>
      </c>
      <c r="BC738" s="6">
        <f t="shared" si="914"/>
        <v>113.739502</v>
      </c>
      <c r="BD738" s="6">
        <f t="shared" si="914"/>
        <v>111.588071</v>
      </c>
      <c r="BE738" s="6">
        <f t="shared" si="914"/>
        <v>111.167445</v>
      </c>
      <c r="BF738" s="6">
        <f t="shared" si="914"/>
        <v>108.89917800000001</v>
      </c>
      <c r="BG738" s="6">
        <f t="shared" si="914"/>
        <v>106.274783</v>
      </c>
      <c r="BH738" s="6">
        <f t="shared" si="914"/>
        <v>121.64424299999999</v>
      </c>
      <c r="BI738" s="6">
        <f t="shared" si="914"/>
        <v>111.337828</v>
      </c>
      <c r="BJ738" s="6">
        <f t="shared" si="914"/>
        <v>137.053718</v>
      </c>
      <c r="BK738" s="6">
        <f t="shared" si="914"/>
        <v>126.60770000000001</v>
      </c>
      <c r="BL738" s="6">
        <f t="shared" si="914"/>
        <v>158.910698</v>
      </c>
      <c r="BM738" s="6">
        <f t="shared" si="914"/>
        <v>153.09394500000002</v>
      </c>
      <c r="BN738" s="6">
        <f t="shared" si="914"/>
        <v>134.10560799999999</v>
      </c>
      <c r="BO738" s="6">
        <f t="shared" si="914"/>
        <v>196.486223</v>
      </c>
      <c r="BP738" s="6">
        <f t="shared" si="914"/>
        <v>1835.6360320000001</v>
      </c>
      <c r="BQ738" s="6">
        <f t="shared" si="914"/>
        <v>578.03915499999994</v>
      </c>
      <c r="BR738" s="6">
        <f t="shared" si="914"/>
        <v>556.83323199999995</v>
      </c>
      <c r="BS738" s="6">
        <f t="shared" si="914"/>
        <v>589.20988699999998</v>
      </c>
      <c r="BT738" s="6">
        <f t="shared" si="914"/>
        <v>521.74118399999998</v>
      </c>
      <c r="BU738" s="6">
        <f t="shared" si="914"/>
        <v>527.85876900000005</v>
      </c>
      <c r="BV738" s="6">
        <f t="shared" si="914"/>
        <v>384.03362099999998</v>
      </c>
      <c r="BW738" s="6">
        <f t="shared" si="914"/>
        <v>400.17853100000002</v>
      </c>
      <c r="BX738" s="6"/>
      <c r="BY738" s="6"/>
      <c r="BZ738" s="6"/>
      <c r="CA738" s="6"/>
      <c r="CB738" s="6"/>
      <c r="CC738" s="6"/>
      <c r="CD738" s="6"/>
      <c r="CE738" s="6"/>
      <c r="CF738" s="6"/>
      <c r="CH738" s="5" t="s">
        <v>562</v>
      </c>
    </row>
    <row r="739" spans="1:96" outlineLevel="1">
      <c r="B739" s="95" t="s">
        <v>313</v>
      </c>
      <c r="C739" s="10"/>
      <c r="D739" s="10"/>
      <c r="E739" s="10"/>
      <c r="F739" s="10"/>
      <c r="G739" s="10"/>
      <c r="H739" s="15">
        <v>8.4137070000000005</v>
      </c>
      <c r="I739" s="15">
        <v>12.25408</v>
      </c>
      <c r="J739" s="15">
        <v>24.773734999999999</v>
      </c>
      <c r="K739" s="15">
        <v>35.574685000000002</v>
      </c>
      <c r="L739" s="15">
        <v>45.196677999999999</v>
      </c>
      <c r="M739" s="15">
        <v>62.929541</v>
      </c>
      <c r="N739" s="15">
        <v>78.809866999999997</v>
      </c>
      <c r="O739" s="15">
        <v>88.462806999999998</v>
      </c>
      <c r="P739" s="15">
        <v>110.494928</v>
      </c>
      <c r="Q739" s="15">
        <v>173.78697299999999</v>
      </c>
      <c r="R739" s="16">
        <v>255.966352</v>
      </c>
      <c r="S739" s="9">
        <v>461.39114699999999</v>
      </c>
      <c r="T739" s="6">
        <f t="shared" ref="T739:AD739" si="915">Dep_Expenses</f>
        <v>516.14634683456586</v>
      </c>
      <c r="U739" s="6">
        <f t="shared" ca="1" si="915"/>
        <v>581.34829785496879</v>
      </c>
      <c r="V739" s="6">
        <f t="shared" ca="1" si="915"/>
        <v>665.01134563071003</v>
      </c>
      <c r="W739" s="6">
        <f t="shared" ca="1" si="915"/>
        <v>766.20476306591752</v>
      </c>
      <c r="X739" s="6">
        <f t="shared" ca="1" si="915"/>
        <v>565.61928158613784</v>
      </c>
      <c r="Y739" s="6">
        <f t="shared" ca="1" si="915"/>
        <v>657.4796086559835</v>
      </c>
      <c r="Z739" s="6">
        <f t="shared" ca="1" si="915"/>
        <v>762.55259109474298</v>
      </c>
      <c r="AA739" s="6">
        <f t="shared" ca="1" si="915"/>
        <v>882.67951597739204</v>
      </c>
      <c r="AB739" s="6">
        <f t="shared" ca="1" si="915"/>
        <v>1018.9976403543785</v>
      </c>
      <c r="AC739" s="6">
        <f t="shared" ca="1" si="915"/>
        <v>1172.4965917074669</v>
      </c>
      <c r="AD739" s="6">
        <f t="shared" ca="1" si="915"/>
        <v>1343.3440494622319</v>
      </c>
      <c r="AE739" s="6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  <c r="AY739" s="10"/>
      <c r="AZ739" s="10"/>
      <c r="BA739" s="10"/>
      <c r="BB739" s="10"/>
      <c r="BC739" s="10"/>
      <c r="BD739" s="15"/>
      <c r="BE739" s="15"/>
      <c r="BF739" s="15"/>
      <c r="BG739" s="15"/>
      <c r="BH739" s="15"/>
      <c r="BI739" s="15"/>
      <c r="BJ739" s="15"/>
      <c r="BK739" s="15"/>
      <c r="BL739" s="6"/>
      <c r="BM739" s="6"/>
      <c r="BN739" s="6"/>
      <c r="BO739" s="6"/>
      <c r="BP739" s="6"/>
      <c r="BQ739" s="6"/>
      <c r="BR739" s="6"/>
      <c r="BS739" s="6"/>
      <c r="BT739" s="6"/>
      <c r="BU739" s="6"/>
      <c r="BV739" s="6"/>
      <c r="BW739" s="6"/>
      <c r="BX739" s="6"/>
      <c r="BY739" s="6"/>
      <c r="BZ739" s="6"/>
      <c r="CA739" s="6"/>
      <c r="CB739" s="6"/>
      <c r="CC739" s="6"/>
      <c r="CD739" s="6"/>
      <c r="CE739" s="6"/>
      <c r="CF739" s="5"/>
      <c r="CG739" s="5"/>
      <c r="CH739" s="5" t="s">
        <v>562</v>
      </c>
      <c r="CI739" s="6"/>
      <c r="CP739" s="6"/>
      <c r="CQ739" s="6"/>
      <c r="CR739" s="6"/>
    </row>
    <row r="740" spans="1:96" outlineLevel="1">
      <c r="B740" s="95" t="s">
        <v>252</v>
      </c>
      <c r="C740" s="10"/>
      <c r="D740" s="10"/>
      <c r="E740" s="10"/>
      <c r="F740" s="10"/>
      <c r="G740" s="10"/>
      <c r="H740" s="15">
        <v>0.26878999999999997</v>
      </c>
      <c r="I740" s="15">
        <v>0.22137399999999999</v>
      </c>
      <c r="J740" s="15">
        <v>-4.0130000000000001E-3</v>
      </c>
      <c r="K740" s="15">
        <v>0.230291</v>
      </c>
      <c r="L740" s="15">
        <v>7.7976859999999997</v>
      </c>
      <c r="M740" s="15">
        <v>3.9219590000000002</v>
      </c>
      <c r="N740" s="15">
        <v>8.5452580000000005</v>
      </c>
      <c r="O740" s="15">
        <v>-23.895101</v>
      </c>
      <c r="P740" s="15">
        <v>-91.917098999999993</v>
      </c>
      <c r="Q740" s="10">
        <f>-Model!Q323</f>
        <v>-151.117436</v>
      </c>
      <c r="R740" s="10">
        <f>-Model!R323</f>
        <v>-108.260637</v>
      </c>
      <c r="S740" s="9">
        <f>-Model!S323</f>
        <v>-205.52766</v>
      </c>
      <c r="T740" s="6">
        <f>Model!T332</f>
        <v>0</v>
      </c>
      <c r="U740" s="6">
        <f>Model!U332</f>
        <v>0</v>
      </c>
      <c r="V740" s="6">
        <f>Model!V332</f>
        <v>0</v>
      </c>
      <c r="W740" s="6">
        <f>Model!W332</f>
        <v>0</v>
      </c>
      <c r="X740" s="6">
        <f>Model!X332</f>
        <v>0</v>
      </c>
      <c r="Y740" s="6">
        <f>Model!Y332</f>
        <v>0</v>
      </c>
      <c r="Z740" s="6">
        <f>Model!Z332</f>
        <v>0</v>
      </c>
      <c r="AA740" s="6">
        <f>Model!AA332</f>
        <v>0</v>
      </c>
      <c r="AB740" s="6">
        <f>Model!AB332</f>
        <v>0</v>
      </c>
      <c r="AC740" s="6">
        <f>Model!AC332</f>
        <v>0</v>
      </c>
      <c r="AD740" s="6">
        <f>Model!AD332</f>
        <v>0</v>
      </c>
      <c r="AE740" s="6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  <c r="AY740" s="10"/>
      <c r="AZ740" s="10"/>
      <c r="BA740" s="10"/>
      <c r="BB740" s="10"/>
      <c r="BC740" s="10"/>
      <c r="BD740" s="15"/>
      <c r="BE740" s="15"/>
      <c r="BF740" s="15"/>
      <c r="BG740" s="15"/>
      <c r="BH740" s="15"/>
      <c r="BI740" s="15"/>
      <c r="BJ740" s="15"/>
      <c r="BK740" s="15"/>
      <c r="BL740" s="6"/>
      <c r="BM740" s="6"/>
      <c r="BN740" s="6"/>
      <c r="BO740" s="6"/>
      <c r="BP740" s="6"/>
      <c r="BQ740" s="6"/>
      <c r="BR740" s="6"/>
      <c r="BS740" s="6"/>
      <c r="BT740" s="6"/>
      <c r="BU740" s="6"/>
      <c r="BV740" s="6"/>
      <c r="BW740" s="6"/>
      <c r="BX740" s="6"/>
      <c r="BY740" s="6"/>
      <c r="BZ740" s="6"/>
      <c r="CA740" s="6"/>
      <c r="CB740" s="6"/>
      <c r="CC740" s="6"/>
      <c r="CD740" s="6"/>
      <c r="CE740" s="6"/>
      <c r="CF740" s="5"/>
      <c r="CH740" s="5" t="s">
        <v>562</v>
      </c>
    </row>
    <row r="741" spans="1:96" outlineLevel="1">
      <c r="A741" s="3" t="s">
        <v>323</v>
      </c>
      <c r="B741" s="95" t="s">
        <v>268</v>
      </c>
      <c r="C741" s="10"/>
      <c r="D741" s="10"/>
      <c r="E741" s="10"/>
      <c r="F741" s="10"/>
      <c r="G741" s="10"/>
      <c r="H741" s="15">
        <v>0.41930299999999998</v>
      </c>
      <c r="I741" s="15">
        <v>1.9601820000000001</v>
      </c>
      <c r="J741" s="15">
        <v>1.50505</v>
      </c>
      <c r="K741" s="15">
        <v>2.6259679999999999</v>
      </c>
      <c r="L741" s="15">
        <v>8.1356350000000006</v>
      </c>
      <c r="M741" s="15">
        <v>9.7424750000000007</v>
      </c>
      <c r="N741" s="15">
        <v>11.066656</v>
      </c>
      <c r="O741" s="15">
        <v>10.538382</v>
      </c>
      <c r="P741" s="15">
        <v>10.545854</v>
      </c>
      <c r="Q741" s="15">
        <v>8.334028</v>
      </c>
      <c r="R741" s="16">
        <v>60.247658000000001</v>
      </c>
      <c r="S741" s="9">
        <v>257.44457299999999</v>
      </c>
      <c r="T741" s="6">
        <f>Amort_Land+Amort_Int</f>
        <v>385.91418199999998</v>
      </c>
      <c r="U741" s="6">
        <f t="shared" ref="U741:AD741" si="916">Amort_Land+Amort_Int</f>
        <v>385.60934799999995</v>
      </c>
      <c r="V741" s="6">
        <f t="shared" si="916"/>
        <v>379.406182</v>
      </c>
      <c r="W741" s="6">
        <f t="shared" si="916"/>
        <v>362.45768299999997</v>
      </c>
      <c r="X741" s="6">
        <f t="shared" si="916"/>
        <v>205.41382000000002</v>
      </c>
      <c r="Y741" s="6">
        <f t="shared" ca="1" si="916"/>
        <v>206.98764377619455</v>
      </c>
      <c r="Z741" s="6">
        <f t="shared" ca="1" si="916"/>
        <v>208.78783721413049</v>
      </c>
      <c r="AA741" s="6">
        <f t="shared" ca="1" si="916"/>
        <v>210.84594670026041</v>
      </c>
      <c r="AB741" s="6">
        <f t="shared" ca="1" si="916"/>
        <v>213.18145662183537</v>
      </c>
      <c r="AC741" s="6">
        <f t="shared" ca="1" si="916"/>
        <v>215.81132205957465</v>
      </c>
      <c r="AD741" s="6">
        <f t="shared" ca="1" si="916"/>
        <v>218.73841583001587</v>
      </c>
      <c r="AE741" s="6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  <c r="AY741" s="10"/>
      <c r="AZ741" s="10"/>
      <c r="BA741" s="10"/>
      <c r="BB741" s="10"/>
      <c r="BC741" s="10"/>
      <c r="BD741" s="15"/>
      <c r="BE741" s="15"/>
      <c r="BF741" s="15"/>
      <c r="BG741" s="15"/>
      <c r="BH741" s="15"/>
      <c r="BI741" s="15"/>
      <c r="BJ741" s="15"/>
      <c r="BK741" s="15"/>
      <c r="BL741" s="6"/>
      <c r="BM741" s="6"/>
      <c r="BN741" s="6"/>
      <c r="BO741" s="6"/>
      <c r="BP741" s="6"/>
      <c r="BQ741" s="6"/>
      <c r="BR741" s="6"/>
      <c r="BS741" s="6"/>
      <c r="BT741" s="6"/>
      <c r="BU741" s="6"/>
      <c r="BV741" s="6"/>
      <c r="BW741" s="6"/>
      <c r="BX741" s="6"/>
      <c r="BY741" s="6"/>
      <c r="BZ741" s="6"/>
      <c r="CA741" s="6"/>
      <c r="CB741" s="6"/>
      <c r="CC741" s="6"/>
      <c r="CD741" s="6"/>
      <c r="CE741" s="6"/>
      <c r="CF741" s="5"/>
      <c r="CH741" s="5" t="s">
        <v>562</v>
      </c>
    </row>
    <row r="742" spans="1:96" outlineLevel="1">
      <c r="B742" s="95" t="s">
        <v>32</v>
      </c>
      <c r="C742" s="10"/>
      <c r="D742" s="10"/>
      <c r="E742" s="10"/>
      <c r="F742" s="10"/>
      <c r="G742" s="10"/>
      <c r="H742" s="15">
        <v>0</v>
      </c>
      <c r="I742" s="15">
        <v>0</v>
      </c>
      <c r="J742" s="15">
        <v>0</v>
      </c>
      <c r="K742" s="15">
        <v>0</v>
      </c>
      <c r="L742" s="15">
        <v>-32.869416999999999</v>
      </c>
      <c r="M742" s="15">
        <v>-66.171992000000003</v>
      </c>
      <c r="N742" s="15">
        <v>-57.525829999999999</v>
      </c>
      <c r="O742" s="15">
        <v>-34.343000000000004</v>
      </c>
      <c r="P742" s="15">
        <v>-55.554071999999998</v>
      </c>
      <c r="Q742" s="15">
        <v>-187.19114099999999</v>
      </c>
      <c r="R742" s="16">
        <v>135.78031200000001</v>
      </c>
      <c r="S742" s="9">
        <v>-601.88317900000004</v>
      </c>
      <c r="T742" s="17">
        <f t="shared" ref="T742:AD742" si="917">+S742</f>
        <v>-601.88317900000004</v>
      </c>
      <c r="U742" s="17">
        <f t="shared" si="917"/>
        <v>-601.88317900000004</v>
      </c>
      <c r="V742" s="17">
        <f t="shared" si="917"/>
        <v>-601.88317900000004</v>
      </c>
      <c r="W742" s="17">
        <f t="shared" si="917"/>
        <v>-601.88317900000004</v>
      </c>
      <c r="X742" s="17">
        <f t="shared" si="917"/>
        <v>-601.88317900000004</v>
      </c>
      <c r="Y742" s="17">
        <f t="shared" si="917"/>
        <v>-601.88317900000004</v>
      </c>
      <c r="Z742" s="17">
        <f t="shared" si="917"/>
        <v>-601.88317900000004</v>
      </c>
      <c r="AA742" s="17">
        <f t="shared" si="917"/>
        <v>-601.88317900000004</v>
      </c>
      <c r="AB742" s="17">
        <f t="shared" si="917"/>
        <v>-601.88317900000004</v>
      </c>
      <c r="AC742" s="17">
        <f t="shared" si="917"/>
        <v>-601.88317900000004</v>
      </c>
      <c r="AD742" s="17">
        <f t="shared" si="917"/>
        <v>-601.88317900000004</v>
      </c>
      <c r="AE742" s="17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  <c r="AY742" s="10"/>
      <c r="AZ742" s="10"/>
      <c r="BA742" s="10"/>
      <c r="BB742" s="10"/>
      <c r="BC742" s="10"/>
      <c r="BD742" s="15"/>
      <c r="BE742" s="15"/>
      <c r="BF742" s="15"/>
      <c r="BG742" s="15"/>
      <c r="BH742" s="15"/>
      <c r="BI742" s="15"/>
      <c r="BJ742" s="15"/>
      <c r="BK742" s="15"/>
      <c r="BL742" s="6"/>
      <c r="BM742" s="6"/>
      <c r="BN742" s="6"/>
      <c r="BO742" s="6"/>
      <c r="BP742" s="6"/>
      <c r="BQ742" s="6"/>
      <c r="BR742" s="6"/>
      <c r="BS742" s="6"/>
      <c r="BT742" s="6"/>
      <c r="BU742" s="6"/>
      <c r="BV742" s="6"/>
      <c r="BW742" s="6"/>
      <c r="BX742" s="6"/>
      <c r="BY742" s="6"/>
      <c r="BZ742" s="6"/>
      <c r="CA742" s="6"/>
      <c r="CB742" s="6"/>
      <c r="CC742" s="6"/>
      <c r="CD742" s="6"/>
      <c r="CE742" s="6"/>
      <c r="CF742" s="5"/>
      <c r="CG742" s="5"/>
      <c r="CH742" s="5" t="s">
        <v>562</v>
      </c>
    </row>
    <row r="743" spans="1:96" outlineLevel="1">
      <c r="B743" s="95" t="s">
        <v>253</v>
      </c>
      <c r="C743" s="10"/>
      <c r="D743" s="10"/>
      <c r="E743" s="10"/>
      <c r="F743" s="10"/>
      <c r="G743" s="10"/>
      <c r="H743" s="15">
        <v>9.5716999999999997E-2</v>
      </c>
      <c r="I743" s="15">
        <v>0.68049400000000004</v>
      </c>
      <c r="J743" s="15">
        <v>1.1646099999999999</v>
      </c>
      <c r="K743" s="15">
        <v>0.369589</v>
      </c>
      <c r="L743" s="15">
        <v>0.46135799999999999</v>
      </c>
      <c r="M743" s="15">
        <v>1.534119</v>
      </c>
      <c r="N743" s="15">
        <v>3.3794490000000001</v>
      </c>
      <c r="O743" s="15">
        <v>0</v>
      </c>
      <c r="P743" s="15">
        <v>7.3388719999999994</v>
      </c>
      <c r="Q743" s="15">
        <f>3.751452+1.529046+33</f>
        <v>38.280498000000001</v>
      </c>
      <c r="R743" s="16">
        <v>33.986559999999997</v>
      </c>
      <c r="S743" s="9">
        <f>8.871987-149.066258-140.651759+47.986882</f>
        <v>-232.85914800000003</v>
      </c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  <c r="AY743" s="10"/>
      <c r="AZ743" s="10"/>
      <c r="BA743" s="10"/>
      <c r="BB743" s="10"/>
      <c r="BC743" s="10"/>
      <c r="BD743" s="15"/>
      <c r="BE743" s="15"/>
      <c r="BF743" s="15"/>
      <c r="BG743" s="15"/>
      <c r="BH743" s="15"/>
      <c r="BI743" s="15"/>
      <c r="BJ743" s="15"/>
      <c r="BK743" s="15"/>
      <c r="BL743" s="6"/>
      <c r="BM743" s="6"/>
      <c r="BN743" s="6"/>
      <c r="BO743" s="6"/>
      <c r="BP743" s="6"/>
      <c r="BQ743" s="6"/>
      <c r="BR743" s="6"/>
      <c r="BS743" s="6"/>
      <c r="BT743" s="6"/>
      <c r="BU743" s="6"/>
      <c r="BV743" s="6"/>
      <c r="BW743" s="6"/>
      <c r="BX743" s="6"/>
      <c r="BY743" s="6"/>
      <c r="BZ743" s="6"/>
      <c r="CA743" s="6"/>
      <c r="CB743" s="6"/>
      <c r="CC743" s="6"/>
      <c r="CD743" s="6"/>
      <c r="CE743" s="6"/>
      <c r="CF743" s="5"/>
      <c r="CH743" s="5" t="s">
        <v>562</v>
      </c>
    </row>
    <row r="744" spans="1:96" outlineLevel="1">
      <c r="B744" s="95" t="s">
        <v>254</v>
      </c>
      <c r="C744" s="10"/>
      <c r="D744" s="10"/>
      <c r="E744" s="10"/>
      <c r="F744" s="10"/>
      <c r="G744" s="10"/>
      <c r="H744" s="15">
        <v>0</v>
      </c>
      <c r="I744" s="15">
        <v>0</v>
      </c>
      <c r="J744" s="15">
        <v>0</v>
      </c>
      <c r="K744" s="15">
        <v>0</v>
      </c>
      <c r="L744" s="15">
        <v>0</v>
      </c>
      <c r="M744" s="15">
        <v>0</v>
      </c>
      <c r="N744" s="15">
        <v>0</v>
      </c>
      <c r="O744" s="15">
        <v>-44.432051999999999</v>
      </c>
      <c r="P744" s="15">
        <v>0</v>
      </c>
      <c r="Q744" s="15">
        <v>-0.78919300000000003</v>
      </c>
      <c r="R744" s="16">
        <v>-2294.4517019999998</v>
      </c>
      <c r="S744" s="402">
        <v>-0.252</v>
      </c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  <c r="AY744" s="10"/>
      <c r="AZ744" s="10"/>
      <c r="BA744" s="10"/>
      <c r="BB744" s="10"/>
      <c r="BC744" s="10"/>
      <c r="BD744" s="15"/>
      <c r="BE744" s="15"/>
      <c r="BF744" s="15"/>
      <c r="BG744" s="15"/>
      <c r="BH744" s="15"/>
      <c r="BI744" s="15"/>
      <c r="BJ744" s="15"/>
      <c r="BK744" s="15"/>
      <c r="BL744" s="6"/>
      <c r="BM744" s="6"/>
      <c r="BN744" s="6"/>
      <c r="BO744" s="6"/>
      <c r="BP744" s="6"/>
      <c r="BQ744" s="6"/>
      <c r="BR744" s="6"/>
      <c r="BS744" s="6"/>
      <c r="BT744" s="6"/>
      <c r="BU744" s="6"/>
      <c r="BV744" s="6"/>
      <c r="BW744" s="6"/>
      <c r="BX744" s="6"/>
      <c r="BY744" s="6"/>
      <c r="BZ744" s="6"/>
      <c r="CA744" s="6"/>
      <c r="CB744" s="6"/>
      <c r="CC744" s="6"/>
      <c r="CD744" s="6"/>
      <c r="CE744" s="6"/>
      <c r="CF744" s="5"/>
      <c r="CH744" s="5" t="s">
        <v>562</v>
      </c>
    </row>
    <row r="745" spans="1:96" outlineLevel="1">
      <c r="B745" s="95" t="s">
        <v>772</v>
      </c>
      <c r="C745" s="10"/>
      <c r="D745" s="10"/>
      <c r="E745" s="10"/>
      <c r="F745" s="10"/>
      <c r="G745" s="10"/>
      <c r="H745" s="15"/>
      <c r="I745" s="15"/>
      <c r="J745" s="15"/>
      <c r="K745" s="15"/>
      <c r="L745" s="15"/>
      <c r="M745" s="15"/>
      <c r="N745" s="15"/>
      <c r="O745" s="15"/>
      <c r="P745" s="15"/>
      <c r="Q745" s="15">
        <v>11.737579999999999</v>
      </c>
      <c r="R745" s="16">
        <v>32.080786000000003</v>
      </c>
      <c r="S745" s="402">
        <v>32.339616999999997</v>
      </c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  <c r="AY745" s="10"/>
      <c r="AZ745" s="10"/>
      <c r="BA745" s="10"/>
      <c r="BB745" s="10"/>
      <c r="BC745" s="10"/>
      <c r="BD745" s="15"/>
      <c r="BE745" s="15"/>
      <c r="BF745" s="15"/>
      <c r="BG745" s="15"/>
      <c r="BH745" s="15"/>
      <c r="BI745" s="15"/>
      <c r="BJ745" s="15"/>
      <c r="BK745" s="15"/>
      <c r="BL745" s="6"/>
      <c r="BM745" s="6"/>
      <c r="BN745" s="6"/>
      <c r="BO745" s="6"/>
      <c r="BP745" s="6"/>
      <c r="BQ745" s="6"/>
      <c r="BR745" s="6"/>
      <c r="BS745" s="6"/>
      <c r="BT745" s="6"/>
      <c r="BU745" s="6"/>
      <c r="BV745" s="6"/>
      <c r="BW745" s="6"/>
      <c r="BX745" s="6"/>
      <c r="BY745" s="6"/>
      <c r="BZ745" s="6"/>
      <c r="CA745" s="6"/>
      <c r="CB745" s="6"/>
      <c r="CC745" s="6"/>
      <c r="CD745" s="6"/>
      <c r="CE745" s="6"/>
      <c r="CF745" s="5"/>
      <c r="CH745" s="5" t="s">
        <v>562</v>
      </c>
    </row>
    <row r="746" spans="1:96" outlineLevel="1">
      <c r="B746" s="95" t="s">
        <v>773</v>
      </c>
      <c r="C746" s="10"/>
      <c r="D746" s="10"/>
      <c r="E746" s="10"/>
      <c r="F746" s="10"/>
      <c r="G746" s="10"/>
      <c r="H746" s="15">
        <v>0</v>
      </c>
      <c r="I746" s="15">
        <v>0</v>
      </c>
      <c r="J746" s="15">
        <v>0</v>
      </c>
      <c r="K746" s="15">
        <v>-16.773145</v>
      </c>
      <c r="L746" s="15">
        <v>0</v>
      </c>
      <c r="M746" s="15">
        <v>0</v>
      </c>
      <c r="N746" s="15">
        <v>0</v>
      </c>
      <c r="O746" s="15">
        <v>0</v>
      </c>
      <c r="P746" s="15">
        <v>0</v>
      </c>
      <c r="Q746" s="15">
        <v>-97.573997000000006</v>
      </c>
      <c r="R746" s="96">
        <v>86.464692999999997</v>
      </c>
      <c r="S746" s="9">
        <v>23.475428000000001</v>
      </c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  <c r="AY746" s="10"/>
      <c r="AZ746" s="10"/>
      <c r="BA746" s="10"/>
      <c r="BB746" s="10"/>
      <c r="BC746" s="10"/>
      <c r="BD746" s="15"/>
      <c r="BE746" s="15"/>
      <c r="BF746" s="15"/>
      <c r="BG746" s="15"/>
      <c r="BH746" s="15"/>
      <c r="BI746" s="15"/>
      <c r="BJ746" s="15"/>
      <c r="BK746" s="15"/>
      <c r="BL746" s="6"/>
      <c r="BM746" s="6"/>
      <c r="BN746" s="6"/>
      <c r="BO746" s="6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H746" s="5" t="s">
        <v>562</v>
      </c>
    </row>
    <row r="747" spans="1:96" outlineLevel="1">
      <c r="A747" s="3" t="s">
        <v>330</v>
      </c>
      <c r="B747" s="97" t="s">
        <v>328</v>
      </c>
      <c r="C747" s="98"/>
      <c r="D747" s="98"/>
      <c r="E747" s="98"/>
      <c r="F747" s="98"/>
      <c r="G747" s="98"/>
      <c r="H747" s="99"/>
      <c r="I747" s="97">
        <f t="shared" ref="I747:AD747" si="918">SUM(I748:I760)</f>
        <v>37.52998599999998</v>
      </c>
      <c r="J747" s="97">
        <f t="shared" si="918"/>
        <v>-27.096136999999999</v>
      </c>
      <c r="K747" s="97">
        <f t="shared" si="918"/>
        <v>-3.7738640000000032</v>
      </c>
      <c r="L747" s="97">
        <f t="shared" si="918"/>
        <v>209.36379400000004</v>
      </c>
      <c r="M747" s="97">
        <f t="shared" si="918"/>
        <v>247.63053199999999</v>
      </c>
      <c r="N747" s="97">
        <f t="shared" si="918"/>
        <v>387.83325299999996</v>
      </c>
      <c r="O747" s="97">
        <f t="shared" si="918"/>
        <v>511.256393</v>
      </c>
      <c r="P747" s="97">
        <f t="shared" si="918"/>
        <v>1035.6697080000001</v>
      </c>
      <c r="Q747" s="97">
        <f t="shared" si="918"/>
        <v>1423.7532739999997</v>
      </c>
      <c r="R747" s="97">
        <f t="shared" si="918"/>
        <v>1696.7435359999999</v>
      </c>
      <c r="S747" s="468">
        <f t="shared" si="918"/>
        <v>3409.586202</v>
      </c>
      <c r="T747" s="97">
        <f t="shared" si="918"/>
        <v>2950.2474040000006</v>
      </c>
      <c r="U747" s="97">
        <f t="shared" ca="1" si="918"/>
        <v>-2600.9591960407561</v>
      </c>
      <c r="V747" s="97">
        <f t="shared" ca="1" si="918"/>
        <v>1962.9128897828755</v>
      </c>
      <c r="W747" s="97">
        <f t="shared" ca="1" si="918"/>
        <v>1246.258199298087</v>
      </c>
      <c r="X747" s="97">
        <f t="shared" ca="1" si="918"/>
        <v>1950.2365004374942</v>
      </c>
      <c r="Y747" s="97">
        <f t="shared" ca="1" si="918"/>
        <v>2017.7282650021705</v>
      </c>
      <c r="Z747" s="97">
        <f t="shared" ca="1" si="918"/>
        <v>1733.9784824358762</v>
      </c>
      <c r="AA747" s="97">
        <f t="shared" ca="1" si="918"/>
        <v>1991.2167229630736</v>
      </c>
      <c r="AB747" s="97">
        <f t="shared" ca="1" si="918"/>
        <v>1947.5409787865788</v>
      </c>
      <c r="AC747" s="97">
        <f t="shared" ca="1" si="918"/>
        <v>2337.016912538847</v>
      </c>
      <c r="AD747" s="97">
        <f t="shared" ca="1" si="918"/>
        <v>2255.8049221989677</v>
      </c>
      <c r="AE747" s="97"/>
      <c r="AF747" s="97"/>
      <c r="AG747" s="97"/>
      <c r="AH747" s="97"/>
      <c r="AI747" s="97"/>
      <c r="AJ747" s="97"/>
      <c r="AK747" s="97"/>
      <c r="AL747" s="97"/>
      <c r="AM747" s="97"/>
      <c r="AN747" s="97"/>
      <c r="AO747" s="97"/>
      <c r="AP747" s="97"/>
      <c r="AQ747" s="97"/>
      <c r="AR747" s="97"/>
      <c r="AS747" s="97"/>
      <c r="AT747" s="97"/>
      <c r="AU747" s="97"/>
      <c r="AV747" s="97"/>
      <c r="AW747" s="97"/>
      <c r="AX747" s="97"/>
      <c r="AY747" s="97"/>
      <c r="AZ747" s="97"/>
      <c r="BA747" s="97"/>
      <c r="BB747" s="97"/>
      <c r="BC747" s="97"/>
      <c r="BD747" s="97"/>
      <c r="BE747" s="97"/>
      <c r="BF747" s="97"/>
      <c r="BG747" s="97"/>
      <c r="BH747" s="98"/>
      <c r="BI747" s="98"/>
      <c r="BJ747" s="98"/>
      <c r="BK747" s="98"/>
      <c r="BL747" s="97"/>
      <c r="BM747" s="97"/>
      <c r="BN747" s="97"/>
      <c r="BO747" s="97"/>
      <c r="BP747" s="97"/>
      <c r="BQ747" s="97"/>
      <c r="BR747" s="97"/>
      <c r="BS747" s="97"/>
      <c r="BT747" s="97"/>
      <c r="BU747" s="97"/>
      <c r="BV747" s="97"/>
      <c r="BW747" s="97"/>
      <c r="BX747" s="84"/>
      <c r="BY747" s="84"/>
      <c r="BZ747" s="84"/>
      <c r="CA747" s="84"/>
      <c r="CB747" s="84"/>
      <c r="CC747" s="84"/>
      <c r="CD747" s="84"/>
      <c r="CE747" s="84"/>
      <c r="CF747" s="22"/>
      <c r="CH747" s="5" t="s">
        <v>562</v>
      </c>
    </row>
    <row r="748" spans="1:96" outlineLevel="1">
      <c r="B748" s="95" t="s">
        <v>255</v>
      </c>
      <c r="C748" s="10"/>
      <c r="D748" s="10"/>
      <c r="E748" s="10"/>
      <c r="F748" s="10"/>
      <c r="G748" s="10"/>
      <c r="H748" s="15">
        <v>-6.6</v>
      </c>
      <c r="I748" s="15">
        <v>0</v>
      </c>
      <c r="J748" s="15">
        <v>0</v>
      </c>
      <c r="K748" s="15">
        <v>0</v>
      </c>
      <c r="L748" s="15">
        <v>0</v>
      </c>
      <c r="M748" s="15">
        <v>0</v>
      </c>
      <c r="N748" s="15">
        <v>0</v>
      </c>
      <c r="O748" s="15">
        <v>0</v>
      </c>
      <c r="P748" s="15">
        <v>0</v>
      </c>
      <c r="Q748" s="15">
        <v>0</v>
      </c>
      <c r="R748" s="6"/>
      <c r="S748" s="5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  <c r="AY748" s="10"/>
      <c r="AZ748" s="10"/>
      <c r="BA748" s="10"/>
      <c r="BB748" s="10"/>
      <c r="BC748" s="10"/>
      <c r="BD748" s="15"/>
      <c r="BE748" s="15"/>
      <c r="BF748" s="15"/>
      <c r="BG748" s="15"/>
      <c r="BH748" s="15"/>
      <c r="BI748" s="15"/>
      <c r="BJ748" s="15"/>
      <c r="BK748" s="15"/>
      <c r="BL748" s="6"/>
      <c r="BM748" s="6"/>
      <c r="BN748" s="6"/>
      <c r="BO748" s="6"/>
      <c r="BP748" s="6"/>
      <c r="BQ748" s="6"/>
      <c r="BR748" s="6"/>
      <c r="BS748" s="6"/>
      <c r="BT748" s="6"/>
      <c r="BU748" s="6"/>
      <c r="BV748" s="6"/>
      <c r="BW748" s="6"/>
      <c r="BX748" s="6"/>
      <c r="BY748" s="6"/>
      <c r="BZ748" s="6"/>
      <c r="CA748" s="6"/>
      <c r="CB748" s="6"/>
      <c r="CC748" s="6"/>
      <c r="CD748" s="6"/>
      <c r="CE748" s="6"/>
      <c r="CF748" s="5"/>
      <c r="CH748" s="5" t="s">
        <v>562</v>
      </c>
    </row>
    <row r="749" spans="1:96" outlineLevel="1">
      <c r="B749" s="95" t="s">
        <v>256</v>
      </c>
      <c r="C749" s="10"/>
      <c r="D749" s="10"/>
      <c r="E749" s="10"/>
      <c r="F749" s="10"/>
      <c r="G749" s="10"/>
      <c r="H749" s="15">
        <v>-28.021737999999999</v>
      </c>
      <c r="I749" s="15">
        <v>-77.414794000000001</v>
      </c>
      <c r="J749" s="15">
        <v>-133.53316599999999</v>
      </c>
      <c r="K749" s="15">
        <v>-9.6580790000000007</v>
      </c>
      <c r="L749" s="15">
        <v>-139.24637899999999</v>
      </c>
      <c r="M749" s="15">
        <v>-176.98649800000001</v>
      </c>
      <c r="N749" s="15">
        <v>-166.48299600000001</v>
      </c>
      <c r="O749" s="15">
        <v>-193.49867400000002</v>
      </c>
      <c r="P749" s="15">
        <v>-484.60357599999998</v>
      </c>
      <c r="Q749" s="15">
        <v>-261.97318200000001</v>
      </c>
      <c r="R749" s="24">
        <v>-1002.5313190000001</v>
      </c>
      <c r="S749" s="9">
        <v>-1332.3770489999999</v>
      </c>
      <c r="T749" s="6">
        <f t="shared" ref="T749:AD749" si="919">S528-T528</f>
        <v>65.765621000000465</v>
      </c>
      <c r="U749" s="6">
        <f t="shared" ca="1" si="919"/>
        <v>-1857.2901563189207</v>
      </c>
      <c r="V749" s="6">
        <f t="shared" ca="1" si="919"/>
        <v>-1647.8079865089776</v>
      </c>
      <c r="W749" s="6">
        <f t="shared" ca="1" si="919"/>
        <v>-1790.8440422455551</v>
      </c>
      <c r="X749" s="6">
        <f t="shared" ca="1" si="919"/>
        <v>-2010.7374723728099</v>
      </c>
      <c r="Y749" s="6">
        <f t="shared" ca="1" si="919"/>
        <v>-2296.2147687964389</v>
      </c>
      <c r="Z749" s="6">
        <f t="shared" ca="1" si="919"/>
        <v>-2233.4777417003806</v>
      </c>
      <c r="AA749" s="6">
        <f t="shared" ca="1" si="919"/>
        <v>-2417.1528521100518</v>
      </c>
      <c r="AB749" s="6">
        <f t="shared" ca="1" si="919"/>
        <v>-2604.7397834075273</v>
      </c>
      <c r="AC749" s="6">
        <f t="shared" ca="1" si="919"/>
        <v>-2777.227369591601</v>
      </c>
      <c r="AD749" s="6">
        <f t="shared" ca="1" si="919"/>
        <v>-2853.3542789390558</v>
      </c>
      <c r="AE749" s="6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  <c r="AY749" s="10"/>
      <c r="AZ749" s="10"/>
      <c r="BA749" s="10"/>
      <c r="BB749" s="10"/>
      <c r="BC749" s="10"/>
      <c r="BD749" s="15"/>
      <c r="BE749" s="15"/>
      <c r="BF749" s="15"/>
      <c r="BG749" s="15"/>
      <c r="BH749" s="15"/>
      <c r="BI749" s="15"/>
      <c r="BJ749" s="15"/>
      <c r="BK749" s="15"/>
      <c r="BL749" s="6"/>
      <c r="BM749" s="6"/>
      <c r="BN749" s="6"/>
      <c r="BO749" s="6"/>
      <c r="BP749" s="6"/>
      <c r="BQ749" s="6"/>
      <c r="BR749" s="6"/>
      <c r="BS749" s="6"/>
      <c r="BT749" s="6"/>
      <c r="BU749" s="6"/>
      <c r="BV749" s="6"/>
      <c r="BW749" s="6"/>
      <c r="BX749" s="6"/>
      <c r="BY749" s="6"/>
      <c r="BZ749" s="6"/>
      <c r="CA749" s="6"/>
      <c r="CB749" s="6"/>
      <c r="CC749" s="6"/>
      <c r="CD749" s="6"/>
      <c r="CE749" s="6"/>
      <c r="CF749" s="5"/>
      <c r="CH749" s="5" t="s">
        <v>562</v>
      </c>
    </row>
    <row r="750" spans="1:96" outlineLevel="1">
      <c r="B750" s="95" t="s">
        <v>257</v>
      </c>
      <c r="C750" s="10"/>
      <c r="D750" s="10"/>
      <c r="E750" s="10"/>
      <c r="F750" s="10"/>
      <c r="G750" s="10"/>
      <c r="H750" s="15">
        <v>-0.54279100000000002</v>
      </c>
      <c r="I750" s="15">
        <v>-0.28875099999999998</v>
      </c>
      <c r="J750" s="15">
        <v>-1.1999470000000001</v>
      </c>
      <c r="K750" s="15">
        <v>-0.87307599999999996</v>
      </c>
      <c r="L750" s="15">
        <v>0.72405799999999998</v>
      </c>
      <c r="M750" s="15">
        <v>1.21641</v>
      </c>
      <c r="N750" s="15">
        <v>-1.7328870000000001</v>
      </c>
      <c r="O750" s="15">
        <v>-0.33361000000000002</v>
      </c>
      <c r="P750" s="15">
        <v>-12.363165</v>
      </c>
      <c r="Q750" s="15">
        <v>2.352014</v>
      </c>
      <c r="R750" s="24">
        <v>-81.376345000000001</v>
      </c>
      <c r="S750" s="9">
        <v>-601.60191799999996</v>
      </c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  <c r="AY750" s="10"/>
      <c r="AZ750" s="10"/>
      <c r="BA750" s="10"/>
      <c r="BB750" s="10"/>
      <c r="BC750" s="10"/>
      <c r="BD750" s="15"/>
      <c r="BE750" s="15"/>
      <c r="BF750" s="15"/>
      <c r="BG750" s="15"/>
      <c r="BH750" s="15"/>
      <c r="BI750" s="15"/>
      <c r="BJ750" s="15"/>
      <c r="BK750" s="15"/>
      <c r="BL750" s="6"/>
      <c r="BM750" s="6"/>
      <c r="BN750" s="6"/>
      <c r="BO750" s="6"/>
      <c r="BP750" s="6"/>
      <c r="BQ750" s="6"/>
      <c r="BR750" s="6"/>
      <c r="BS750" s="6"/>
      <c r="BT750" s="6"/>
      <c r="BU750" s="6"/>
      <c r="BV750" s="6"/>
      <c r="BW750" s="6"/>
      <c r="BX750" s="6"/>
      <c r="BY750" s="6"/>
      <c r="BZ750" s="6"/>
      <c r="CA750" s="6"/>
      <c r="CB750" s="6"/>
      <c r="CC750" s="6"/>
      <c r="CD750" s="6"/>
      <c r="CE750" s="6"/>
      <c r="CF750" s="5"/>
      <c r="CH750" s="5" t="s">
        <v>562</v>
      </c>
    </row>
    <row r="751" spans="1:96" outlineLevel="1">
      <c r="B751" s="95" t="s">
        <v>258</v>
      </c>
      <c r="C751" s="10"/>
      <c r="D751" s="10"/>
      <c r="E751" s="10"/>
      <c r="F751" s="10"/>
      <c r="G751" s="10"/>
      <c r="H751" s="15">
        <v>-20.570031</v>
      </c>
      <c r="I751" s="15">
        <v>-14.526301</v>
      </c>
      <c r="J751" s="15">
        <v>-18.098226</v>
      </c>
      <c r="K751" s="15">
        <v>-18.836058999999999</v>
      </c>
      <c r="L751" s="15">
        <v>-13.532621000000001</v>
      </c>
      <c r="M751" s="15">
        <v>-61.770468000000001</v>
      </c>
      <c r="N751" s="15">
        <v>-203.69440299999999</v>
      </c>
      <c r="O751" s="15">
        <v>-118.239096</v>
      </c>
      <c r="P751" s="15">
        <v>-398.01586200000003</v>
      </c>
      <c r="Q751" s="15">
        <v>-1218.273146</v>
      </c>
      <c r="R751" s="24">
        <v>-2224.0534910000001</v>
      </c>
      <c r="S751" s="9">
        <v>591.42551400000002</v>
      </c>
      <c r="T751" s="6">
        <f t="shared" ref="T751:AD751" si="920">S530-T530</f>
        <v>448.548452</v>
      </c>
      <c r="U751" s="6">
        <f t="shared" ca="1" si="920"/>
        <v>-1238.6767726223034</v>
      </c>
      <c r="V751" s="6">
        <f t="shared" ca="1" si="920"/>
        <v>-1999.2261582984138</v>
      </c>
      <c r="W751" s="6">
        <f t="shared" ca="1" si="920"/>
        <v>-2172.7666597097614</v>
      </c>
      <c r="X751" s="6">
        <f t="shared" ca="1" si="920"/>
        <v>-2439.5554489058504</v>
      </c>
      <c r="Y751" s="6">
        <f t="shared" ca="1" si="920"/>
        <v>-2785.9147840244877</v>
      </c>
      <c r="Z751" s="6">
        <f t="shared" ca="1" si="920"/>
        <v>-2709.7982057027366</v>
      </c>
      <c r="AA751" s="6">
        <f t="shared" ca="1" si="920"/>
        <v>-2932.644610360192</v>
      </c>
      <c r="AB751" s="6">
        <f t="shared" ca="1" si="920"/>
        <v>-3160.2370865924277</v>
      </c>
      <c r="AC751" s="6">
        <f t="shared" ca="1" si="920"/>
        <v>-3369.510070522756</v>
      </c>
      <c r="AD751" s="6">
        <f t="shared" ca="1" si="920"/>
        <v>-3461.8721113454085</v>
      </c>
      <c r="AE751" s="6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  <c r="AY751" s="10"/>
      <c r="AZ751" s="10"/>
      <c r="BA751" s="10"/>
      <c r="BB751" s="10"/>
      <c r="BC751" s="10"/>
      <c r="BD751" s="15"/>
      <c r="BE751" s="15"/>
      <c r="BF751" s="15"/>
      <c r="BG751" s="15"/>
      <c r="BH751" s="15"/>
      <c r="BI751" s="15"/>
      <c r="BJ751" s="15"/>
      <c r="BK751" s="15"/>
      <c r="BL751" s="6"/>
      <c r="BM751" s="6"/>
      <c r="BN751" s="6"/>
      <c r="BO751" s="6"/>
      <c r="BP751" s="6"/>
      <c r="BQ751" s="6"/>
      <c r="BR751" s="6"/>
      <c r="BS751" s="6"/>
      <c r="BT751" s="6"/>
      <c r="BU751" s="6"/>
      <c r="BV751" s="6"/>
      <c r="BW751" s="6"/>
      <c r="BX751" s="6"/>
      <c r="BY751" s="6"/>
      <c r="BZ751" s="6"/>
      <c r="CA751" s="6"/>
      <c r="CB751" s="6"/>
      <c r="CC751" s="6"/>
      <c r="CD751" s="6"/>
      <c r="CE751" s="6"/>
      <c r="CF751" s="5"/>
      <c r="CH751" s="5" t="s">
        <v>562</v>
      </c>
    </row>
    <row r="752" spans="1:96" outlineLevel="1">
      <c r="B752" s="95" t="s">
        <v>259</v>
      </c>
      <c r="C752" s="10"/>
      <c r="D752" s="10"/>
      <c r="E752" s="10"/>
      <c r="F752" s="10"/>
      <c r="G752" s="10"/>
      <c r="H752" s="15">
        <v>-27.569254000000001</v>
      </c>
      <c r="I752" s="15">
        <v>-25.890183</v>
      </c>
      <c r="J752" s="15">
        <v>-66.918006000000005</v>
      </c>
      <c r="K752" s="15">
        <v>1.5929880000000001</v>
      </c>
      <c r="L752" s="15">
        <v>7.5461159999999996</v>
      </c>
      <c r="M752" s="15">
        <v>-12.583994000000001</v>
      </c>
      <c r="N752" s="15">
        <v>0.49613000000000002</v>
      </c>
      <c r="O752" s="15">
        <v>-7.4796639999999996</v>
      </c>
      <c r="P752" s="15">
        <v>19.406141000000002</v>
      </c>
      <c r="Q752" s="15">
        <v>-27.406656999999999</v>
      </c>
      <c r="R752" s="24">
        <v>-381.45810499999999</v>
      </c>
      <c r="S752" s="9">
        <v>75.371313999999998</v>
      </c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  <c r="AY752" s="10"/>
      <c r="AZ752" s="10"/>
      <c r="BA752" s="10"/>
      <c r="BB752" s="10"/>
      <c r="BC752" s="10"/>
      <c r="BD752" s="15"/>
      <c r="BE752" s="15"/>
      <c r="BF752" s="15"/>
      <c r="BG752" s="15"/>
      <c r="BH752" s="15"/>
      <c r="BI752" s="15"/>
      <c r="BJ752" s="15"/>
      <c r="BK752" s="15"/>
      <c r="BL752" s="6"/>
      <c r="BM752" s="6"/>
      <c r="BN752" s="6"/>
      <c r="BO752" s="6"/>
      <c r="BP752" s="6"/>
      <c r="BQ752" s="6"/>
      <c r="BR752" s="6"/>
      <c r="BS752" s="6"/>
      <c r="BT752" s="6"/>
      <c r="BU752" s="6"/>
      <c r="BV752" s="6"/>
      <c r="BW752" s="6"/>
      <c r="BX752" s="6"/>
      <c r="BY752" s="6"/>
      <c r="BZ752" s="6"/>
      <c r="CA752" s="6"/>
      <c r="CB752" s="6"/>
      <c r="CC752" s="6"/>
      <c r="CD752" s="6"/>
      <c r="CE752" s="6"/>
      <c r="CF752" s="5"/>
      <c r="CH752" s="5" t="s">
        <v>562</v>
      </c>
    </row>
    <row r="753" spans="1:93" outlineLevel="1">
      <c r="B753" s="95" t="s">
        <v>260</v>
      </c>
      <c r="C753" s="10"/>
      <c r="D753" s="10"/>
      <c r="E753" s="10"/>
      <c r="F753" s="10"/>
      <c r="G753" s="10"/>
      <c r="H753" s="15">
        <v>-1.1257680000000001</v>
      </c>
      <c r="I753" s="15">
        <v>-0.78098000000000001</v>
      </c>
      <c r="J753" s="15">
        <v>-8.3596160000000008</v>
      </c>
      <c r="K753" s="15">
        <v>2.8029000000000002</v>
      </c>
      <c r="L753" s="15">
        <v>-14.343474000000001</v>
      </c>
      <c r="M753" s="15">
        <v>-18.127579999999998</v>
      </c>
      <c r="N753" s="15">
        <v>-3.3885350000000001</v>
      </c>
      <c r="O753" s="15">
        <v>-22.757864000000001</v>
      </c>
      <c r="P753" s="15">
        <v>-35.871972</v>
      </c>
      <c r="Q753" s="15"/>
      <c r="R753" s="16"/>
      <c r="S753" s="5"/>
      <c r="T753" s="6">
        <f t="shared" ref="T753:AD753" si="921">S531-T531</f>
        <v>0</v>
      </c>
      <c r="U753" s="6">
        <f t="shared" si="921"/>
        <v>0</v>
      </c>
      <c r="V753" s="6">
        <f t="shared" si="921"/>
        <v>0</v>
      </c>
      <c r="W753" s="6">
        <f t="shared" si="921"/>
        <v>0</v>
      </c>
      <c r="X753" s="6">
        <f t="shared" si="921"/>
        <v>0</v>
      </c>
      <c r="Y753" s="6">
        <f t="shared" si="921"/>
        <v>0</v>
      </c>
      <c r="Z753" s="6">
        <f t="shared" si="921"/>
        <v>0</v>
      </c>
      <c r="AA753" s="6">
        <f t="shared" si="921"/>
        <v>0</v>
      </c>
      <c r="AB753" s="6">
        <f t="shared" si="921"/>
        <v>0</v>
      </c>
      <c r="AC753" s="6">
        <f t="shared" si="921"/>
        <v>0</v>
      </c>
      <c r="AD753" s="6">
        <f t="shared" si="921"/>
        <v>0</v>
      </c>
      <c r="AE753" s="6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  <c r="AY753" s="10"/>
      <c r="AZ753" s="10"/>
      <c r="BA753" s="10"/>
      <c r="BB753" s="10"/>
      <c r="BC753" s="10"/>
      <c r="BD753" s="15"/>
      <c r="BE753" s="15"/>
      <c r="BF753" s="15"/>
      <c r="BG753" s="15"/>
      <c r="BH753" s="15"/>
      <c r="BI753" s="15"/>
      <c r="BJ753" s="15"/>
      <c r="BK753" s="15"/>
      <c r="BL753" s="6"/>
      <c r="BM753" s="6"/>
      <c r="BN753" s="6"/>
      <c r="BO753" s="6"/>
      <c r="BP753" s="6"/>
      <c r="BQ753" s="6"/>
      <c r="BR753" s="6"/>
      <c r="BS753" s="6"/>
      <c r="BT753" s="6"/>
      <c r="BU753" s="6"/>
      <c r="BV753" s="6"/>
      <c r="BW753" s="6"/>
      <c r="BX753" s="6"/>
      <c r="BY753" s="6"/>
      <c r="BZ753" s="6"/>
      <c r="CA753" s="6"/>
      <c r="CB753" s="6"/>
      <c r="CC753" s="6"/>
      <c r="CD753" s="6"/>
      <c r="CE753" s="6"/>
      <c r="CF753" s="5"/>
      <c r="CH753" s="5" t="s">
        <v>562</v>
      </c>
    </row>
    <row r="754" spans="1:93" outlineLevel="1">
      <c r="B754" s="95" t="s">
        <v>261</v>
      </c>
      <c r="C754" s="10"/>
      <c r="D754" s="10"/>
      <c r="E754" s="10"/>
      <c r="F754" s="10"/>
      <c r="G754" s="10"/>
      <c r="H754" s="15">
        <v>42.203088999999999</v>
      </c>
      <c r="I754" s="15">
        <v>79.054805999999999</v>
      </c>
      <c r="J754" s="15">
        <v>79.496364</v>
      </c>
      <c r="K754" s="15">
        <v>-92.578543999999994</v>
      </c>
      <c r="L754" s="15">
        <v>111.326932</v>
      </c>
      <c r="M754" s="15">
        <v>186.29482400000001</v>
      </c>
      <c r="N754" s="15">
        <v>166.395703</v>
      </c>
      <c r="O754" s="15">
        <v>255.16085100000001</v>
      </c>
      <c r="P754" s="15">
        <v>537.669487</v>
      </c>
      <c r="Q754" s="15">
        <v>585.95375899999999</v>
      </c>
      <c r="R754" s="16">
        <v>2098.1446780000001</v>
      </c>
      <c r="S754" s="9">
        <v>1251.267578</v>
      </c>
      <c r="T754" s="6">
        <f t="shared" ref="T754:AD754" si="922">T543-S543</f>
        <v>180.41217000000051</v>
      </c>
      <c r="U754" s="6">
        <f t="shared" ca="1" si="922"/>
        <v>-1774.5110063930351</v>
      </c>
      <c r="V754" s="6">
        <f t="shared" ca="1" si="922"/>
        <v>367.20588718103318</v>
      </c>
      <c r="W754" s="6">
        <f t="shared" ca="1" si="922"/>
        <v>37.956555043189837</v>
      </c>
      <c r="X754" s="6">
        <f t="shared" ca="1" si="922"/>
        <v>264.87626582113171</v>
      </c>
      <c r="Y754" s="6">
        <f t="shared" ca="1" si="922"/>
        <v>296.27118637764215</v>
      </c>
      <c r="Z754" s="6">
        <f t="shared" ca="1" si="922"/>
        <v>155.40423146345529</v>
      </c>
      <c r="AA754" s="6">
        <f t="shared" ca="1" si="922"/>
        <v>84.650659659801931</v>
      </c>
      <c r="AB754" s="6">
        <f t="shared" ca="1" si="922"/>
        <v>-91.905735116996766</v>
      </c>
      <c r="AC754" s="6">
        <f t="shared" ca="1" si="922"/>
        <v>93.884353330006888</v>
      </c>
      <c r="AD754" s="6">
        <f t="shared" ca="1" si="922"/>
        <v>-67.759058831379662</v>
      </c>
      <c r="AE754" s="6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  <c r="AY754" s="10"/>
      <c r="AZ754" s="10"/>
      <c r="BA754" s="10"/>
      <c r="BB754" s="10"/>
      <c r="BC754" s="10"/>
      <c r="BD754" s="15"/>
      <c r="BE754" s="15"/>
      <c r="BF754" s="15"/>
      <c r="BG754" s="15"/>
      <c r="BH754" s="15"/>
      <c r="BI754" s="15"/>
      <c r="BJ754" s="15"/>
      <c r="BK754" s="15"/>
      <c r="BL754" s="6"/>
      <c r="BM754" s="6"/>
      <c r="BN754" s="6"/>
      <c r="BO754" s="6"/>
      <c r="BP754" s="6"/>
      <c r="BQ754" s="6"/>
      <c r="BR754" s="6"/>
      <c r="BS754" s="6"/>
      <c r="BT754" s="6"/>
      <c r="BU754" s="6"/>
      <c r="BV754" s="6"/>
      <c r="BW754" s="6"/>
      <c r="BX754" s="6"/>
      <c r="BY754" s="6"/>
      <c r="BZ754" s="6"/>
      <c r="CA754" s="6"/>
      <c r="CB754" s="6"/>
      <c r="CC754" s="6"/>
      <c r="CD754" s="6"/>
      <c r="CE754" s="6"/>
      <c r="CF754" s="5"/>
      <c r="CH754" s="5" t="s">
        <v>562</v>
      </c>
    </row>
    <row r="755" spans="1:93" outlineLevel="1">
      <c r="B755" s="95" t="s">
        <v>262</v>
      </c>
      <c r="C755" s="10"/>
      <c r="D755" s="10"/>
      <c r="E755" s="10"/>
      <c r="F755" s="10"/>
      <c r="G755" s="10"/>
      <c r="H755" s="15">
        <v>0.28904299999999999</v>
      </c>
      <c r="I755" s="15">
        <v>-0.68334399999999995</v>
      </c>
      <c r="J755" s="15">
        <v>-0.157218</v>
      </c>
      <c r="K755" s="15">
        <v>0</v>
      </c>
      <c r="L755" s="15">
        <v>0.215172</v>
      </c>
      <c r="M755" s="15">
        <v>8.3766339999999992</v>
      </c>
      <c r="N755" s="15">
        <v>-5.0259039999999997</v>
      </c>
      <c r="O755" s="15">
        <v>1.6776580000000001</v>
      </c>
      <c r="P755" s="15">
        <v>0.58323400000000003</v>
      </c>
      <c r="Q755" s="15">
        <v>6.0576809999999996</v>
      </c>
      <c r="R755" s="16">
        <v>236.77981</v>
      </c>
      <c r="S755" s="9">
        <v>583.47988899999996</v>
      </c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  <c r="AY755" s="10"/>
      <c r="AZ755" s="10"/>
      <c r="BA755" s="10"/>
      <c r="BB755" s="10"/>
      <c r="BC755" s="10"/>
      <c r="BD755" s="15"/>
      <c r="BE755" s="15"/>
      <c r="BF755" s="15"/>
      <c r="BG755" s="15"/>
      <c r="BH755" s="15"/>
      <c r="BI755" s="15"/>
      <c r="BJ755" s="15"/>
      <c r="BK755" s="15"/>
      <c r="BL755" s="6"/>
      <c r="BM755" s="6"/>
      <c r="BN755" s="6"/>
      <c r="BO755" s="6"/>
      <c r="BP755" s="6"/>
      <c r="BQ755" s="6"/>
      <c r="BR755" s="6"/>
      <c r="BS755" s="6"/>
      <c r="BT755" s="6"/>
      <c r="BU755" s="6"/>
      <c r="BV755" s="6"/>
      <c r="BW755" s="6"/>
      <c r="BX755" s="6"/>
      <c r="BY755" s="6"/>
      <c r="BZ755" s="6"/>
      <c r="CA755" s="6"/>
      <c r="CB755" s="6"/>
      <c r="CC755" s="6"/>
      <c r="CD755" s="6"/>
      <c r="CE755" s="6"/>
      <c r="CF755" s="5"/>
      <c r="CH755" s="5" t="s">
        <v>562</v>
      </c>
    </row>
    <row r="756" spans="1:93" outlineLevel="1">
      <c r="B756" s="95" t="s">
        <v>263</v>
      </c>
      <c r="C756" s="10"/>
      <c r="D756" s="10"/>
      <c r="E756" s="10"/>
      <c r="F756" s="10"/>
      <c r="G756" s="10"/>
      <c r="H756" s="15">
        <v>7.2331709999999996</v>
      </c>
      <c r="I756" s="15">
        <v>11.434208999999999</v>
      </c>
      <c r="J756" s="15">
        <v>32.719031999999999</v>
      </c>
      <c r="K756" s="15">
        <v>-2.5852170000000001</v>
      </c>
      <c r="L756" s="15">
        <v>57.185868999999997</v>
      </c>
      <c r="M756" s="15">
        <v>5.6024969999999996</v>
      </c>
      <c r="N756" s="15">
        <v>-14.021957</v>
      </c>
      <c r="O756" s="15">
        <v>85.511673999999999</v>
      </c>
      <c r="P756" s="15">
        <v>25.720555000000001</v>
      </c>
      <c r="Q756" s="15">
        <v>259.44008300000002</v>
      </c>
      <c r="R756" s="16">
        <v>271.78321099999999</v>
      </c>
      <c r="S756" s="9">
        <v>1259.13372</v>
      </c>
      <c r="T756" s="6">
        <f t="shared" ref="T756:AD756" si="923">T545-S545</f>
        <v>956.26131600000008</v>
      </c>
      <c r="U756" s="6">
        <f t="shared" ca="1" si="923"/>
        <v>-25.214411792425835</v>
      </c>
      <c r="V756" s="6">
        <f t="shared" ca="1" si="923"/>
        <v>681.57678159568104</v>
      </c>
      <c r="W756" s="6">
        <f t="shared" ca="1" si="923"/>
        <v>786.04774421059847</v>
      </c>
      <c r="X756" s="6">
        <f t="shared" ca="1" si="923"/>
        <v>859.8603244007445</v>
      </c>
      <c r="Y756" s="6">
        <f t="shared" ca="1" si="923"/>
        <v>947.30217275007908</v>
      </c>
      <c r="Z756" s="6">
        <f t="shared" ca="1" si="923"/>
        <v>941.72182265144693</v>
      </c>
      <c r="AA756" s="6">
        <f t="shared" ca="1" si="923"/>
        <v>1016.660878732805</v>
      </c>
      <c r="AB756" s="6">
        <f t="shared" ca="1" si="923"/>
        <v>1073.2280181502683</v>
      </c>
      <c r="AC756" s="6">
        <f t="shared" ca="1" si="923"/>
        <v>1263.7675986334816</v>
      </c>
      <c r="AD756" s="6">
        <f t="shared" ca="1" si="923"/>
        <v>1298.4088824083719</v>
      </c>
      <c r="AE756" s="6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  <c r="AY756" s="10"/>
      <c r="AZ756" s="10"/>
      <c r="BA756" s="10"/>
      <c r="BB756" s="10"/>
      <c r="BC756" s="10"/>
      <c r="BD756" s="15"/>
      <c r="BE756" s="15"/>
      <c r="BF756" s="15"/>
      <c r="BG756" s="15"/>
      <c r="BH756" s="15"/>
      <c r="BI756" s="15"/>
      <c r="BJ756" s="15"/>
      <c r="BK756" s="15"/>
      <c r="BL756" s="6"/>
      <c r="BM756" s="6"/>
      <c r="BN756" s="6"/>
      <c r="BO756" s="6"/>
      <c r="BP756" s="6"/>
      <c r="BQ756" s="6"/>
      <c r="BR756" s="6"/>
      <c r="BS756" s="6"/>
      <c r="BT756" s="6"/>
      <c r="BU756" s="6"/>
      <c r="BV756" s="6"/>
      <c r="BW756" s="6"/>
      <c r="BX756" s="6"/>
      <c r="BY756" s="6"/>
      <c r="BZ756" s="6"/>
      <c r="CA756" s="6"/>
      <c r="CB756" s="6"/>
      <c r="CC756" s="6"/>
      <c r="CD756" s="6"/>
      <c r="CE756" s="6"/>
      <c r="CF756" s="5"/>
      <c r="CH756" s="5" t="s">
        <v>562</v>
      </c>
    </row>
    <row r="757" spans="1:93" outlineLevel="1">
      <c r="B757" s="95" t="s">
        <v>264</v>
      </c>
      <c r="C757" s="10"/>
      <c r="D757" s="10"/>
      <c r="E757" s="10"/>
      <c r="F757" s="10"/>
      <c r="G757" s="10"/>
      <c r="H757" s="15">
        <v>-7.3712249999999999</v>
      </c>
      <c r="I757" s="15">
        <v>18.86336</v>
      </c>
      <c r="J757" s="15">
        <v>14.165756999999999</v>
      </c>
      <c r="K757" s="15">
        <v>4.7395379999999996</v>
      </c>
      <c r="L757" s="15">
        <v>84.356470000000002</v>
      </c>
      <c r="M757" s="15">
        <v>14.903513</v>
      </c>
      <c r="N757" s="15">
        <v>60.282018999999998</v>
      </c>
      <c r="O757" s="15">
        <v>-3.0547680000000001</v>
      </c>
      <c r="P757" s="15">
        <v>98.025836999999996</v>
      </c>
      <c r="Q757" s="15">
        <v>23.797376</v>
      </c>
      <c r="R757" s="16">
        <v>281.47225600000002</v>
      </c>
      <c r="S757" s="9">
        <v>-778.28044399999999</v>
      </c>
      <c r="T757" s="6">
        <f t="shared" ref="T757:AD757" si="924">T546-S546</f>
        <v>-156.77833999999996</v>
      </c>
      <c r="U757" s="6">
        <f t="shared" ca="1" si="924"/>
        <v>-480.45484902356583</v>
      </c>
      <c r="V757" s="6">
        <f t="shared" ca="1" si="924"/>
        <v>364.61997982022007</v>
      </c>
      <c r="W757" s="6">
        <f t="shared" ca="1" si="924"/>
        <v>-135.79710448133847</v>
      </c>
      <c r="X757" s="6">
        <f t="shared" ca="1" si="924"/>
        <v>75.88926475706387</v>
      </c>
      <c r="Y757" s="6">
        <f t="shared" ca="1" si="924"/>
        <v>-81.882771146490427</v>
      </c>
      <c r="Z757" s="6">
        <f t="shared" ca="1" si="924"/>
        <v>26.998305036758779</v>
      </c>
      <c r="AA757" s="6">
        <f t="shared" ca="1" si="924"/>
        <v>21.627650612704883</v>
      </c>
      <c r="AB757" s="6">
        <f t="shared" ca="1" si="924"/>
        <v>30.55712442800052</v>
      </c>
      <c r="AC757" s="6">
        <f t="shared" ca="1" si="924"/>
        <v>-18.25673703635016</v>
      </c>
      <c r="AD757" s="6">
        <f t="shared" ca="1" si="924"/>
        <v>0.18747414498955095</v>
      </c>
      <c r="AE757" s="6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  <c r="AY757" s="10"/>
      <c r="AZ757" s="10"/>
      <c r="BA757" s="10"/>
      <c r="BB757" s="10"/>
      <c r="BC757" s="10"/>
      <c r="BD757" s="15"/>
      <c r="BE757" s="15"/>
      <c r="BF757" s="15"/>
      <c r="BG757" s="15"/>
      <c r="BH757" s="15"/>
      <c r="BI757" s="15"/>
      <c r="BJ757" s="15"/>
      <c r="BK757" s="15"/>
      <c r="BL757" s="6"/>
      <c r="BM757" s="6"/>
      <c r="BN757" s="6"/>
      <c r="BO757" s="6"/>
      <c r="BP757" s="6"/>
      <c r="BQ757" s="6"/>
      <c r="BR757" s="6"/>
      <c r="BS757" s="6"/>
      <c r="BT757" s="6"/>
      <c r="BU757" s="6"/>
      <c r="BV757" s="6"/>
      <c r="BW757" s="6"/>
      <c r="BX757" s="6"/>
      <c r="BY757" s="6"/>
      <c r="BZ757" s="6"/>
      <c r="CA757" s="6"/>
      <c r="CB757" s="6"/>
      <c r="CC757" s="6"/>
      <c r="CD757" s="6"/>
      <c r="CE757" s="6"/>
      <c r="CF757" s="5"/>
      <c r="CH757" s="5" t="s">
        <v>562</v>
      </c>
    </row>
    <row r="758" spans="1:93" outlineLevel="1">
      <c r="B758" s="95" t="s">
        <v>265</v>
      </c>
      <c r="C758" s="10"/>
      <c r="D758" s="10"/>
      <c r="E758" s="10"/>
      <c r="F758" s="10"/>
      <c r="G758" s="10"/>
      <c r="H758" s="15">
        <v>21.646104000000001</v>
      </c>
      <c r="I758" s="15">
        <v>10.861281999999999</v>
      </c>
      <c r="J758" s="15">
        <v>58.493474999999997</v>
      </c>
      <c r="K758" s="15">
        <v>83.892009999999999</v>
      </c>
      <c r="L758" s="15">
        <v>51.780875000000002</v>
      </c>
      <c r="M758" s="15">
        <v>232.19228100000001</v>
      </c>
      <c r="N758" s="15">
        <v>487.01043099999998</v>
      </c>
      <c r="O758" s="15">
        <v>310.49759</v>
      </c>
      <c r="P758" s="15">
        <v>1001.717032</v>
      </c>
      <c r="Q758" s="15">
        <v>1469.4141549999999</v>
      </c>
      <c r="R758" s="16">
        <v>2056.5000060000002</v>
      </c>
      <c r="S758" s="9">
        <v>2270.9921939999999</v>
      </c>
      <c r="T758" s="6">
        <f t="shared" ref="T758:AD758" si="925">T547-S547</f>
        <v>-323.30752800000027</v>
      </c>
      <c r="U758" s="6">
        <f t="shared" ca="1" si="925"/>
        <v>1488.7363941045751</v>
      </c>
      <c r="V758" s="6">
        <f t="shared" ca="1" si="925"/>
        <v>2402.8227602942698</v>
      </c>
      <c r="W758" s="6">
        <f t="shared" ca="1" si="925"/>
        <v>2611.396995326777</v>
      </c>
      <c r="X758" s="6">
        <f t="shared" ca="1" si="925"/>
        <v>2932.0441478316825</v>
      </c>
      <c r="Y758" s="6">
        <f t="shared" ca="1" si="925"/>
        <v>3348.3252625064706</v>
      </c>
      <c r="Z758" s="6">
        <f t="shared" ca="1" si="925"/>
        <v>3256.842542521008</v>
      </c>
      <c r="AA758" s="6">
        <f t="shared" ca="1" si="925"/>
        <v>3524.6763795974584</v>
      </c>
      <c r="AB758" s="6">
        <f t="shared" ca="1" si="925"/>
        <v>3798.2144081454644</v>
      </c>
      <c r="AC758" s="6">
        <f t="shared" ca="1" si="925"/>
        <v>4049.7346710308193</v>
      </c>
      <c r="AD758" s="6">
        <f t="shared" ca="1" si="925"/>
        <v>4160.7424291849966</v>
      </c>
      <c r="AE758" s="6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  <c r="AY758" s="10"/>
      <c r="AZ758" s="10"/>
      <c r="BA758" s="10"/>
      <c r="BB758" s="10"/>
      <c r="BC758" s="10"/>
      <c r="BD758" s="15"/>
      <c r="BE758" s="15"/>
      <c r="BF758" s="15"/>
      <c r="BG758" s="15"/>
      <c r="BH758" s="15"/>
      <c r="BI758" s="15"/>
      <c r="BJ758" s="15"/>
      <c r="BK758" s="15"/>
      <c r="BL758" s="6"/>
      <c r="BM758" s="6"/>
      <c r="BN758" s="6"/>
      <c r="BO758" s="6"/>
      <c r="BP758" s="6"/>
      <c r="BQ758" s="6"/>
      <c r="BR758" s="6"/>
      <c r="BS758" s="6"/>
      <c r="BT758" s="6"/>
      <c r="BU758" s="6"/>
      <c r="BV758" s="6"/>
      <c r="BW758" s="6"/>
      <c r="BX758" s="6"/>
      <c r="BY758" s="6"/>
      <c r="BZ758" s="6"/>
      <c r="CA758" s="6"/>
      <c r="CB758" s="6"/>
      <c r="CC758" s="6"/>
      <c r="CD758" s="6"/>
      <c r="CE758" s="6"/>
      <c r="CF758" s="5"/>
      <c r="CH758" s="5" t="s">
        <v>562</v>
      </c>
    </row>
    <row r="759" spans="1:93" outlineLevel="1">
      <c r="B759" s="95" t="s">
        <v>266</v>
      </c>
      <c r="C759" s="10"/>
      <c r="D759" s="10"/>
      <c r="E759" s="10"/>
      <c r="F759" s="10"/>
      <c r="G759" s="10"/>
      <c r="H759" s="15">
        <v>9.3140900000000002</v>
      </c>
      <c r="I759" s="15">
        <v>9.7905189999999997</v>
      </c>
      <c r="J759" s="15">
        <v>15.092945</v>
      </c>
      <c r="K759" s="15">
        <v>13.386405</v>
      </c>
      <c r="L759" s="15">
        <v>28.529275999999999</v>
      </c>
      <c r="M759" s="15">
        <v>33.064306000000002</v>
      </c>
      <c r="N759" s="15">
        <v>40.51923</v>
      </c>
      <c r="O759" s="15">
        <v>55.805114000000003</v>
      </c>
      <c r="P759" s="15">
        <v>67.120782000000005</v>
      </c>
      <c r="Q759" s="15">
        <v>146.18397300000001</v>
      </c>
      <c r="R759" s="16">
        <v>162.493908</v>
      </c>
      <c r="S759" s="9">
        <v>64.823864</v>
      </c>
      <c r="T759" s="6">
        <f t="shared" ref="T759:AD759" si="926">T548-S548</f>
        <v>-48.549036999999998</v>
      </c>
      <c r="U759" s="6">
        <f t="shared" ca="1" si="926"/>
        <v>419.03695382411752</v>
      </c>
      <c r="V759" s="6">
        <f t="shared" ca="1" si="926"/>
        <v>248.96434232001548</v>
      </c>
      <c r="W759" s="6">
        <f t="shared" ca="1" si="926"/>
        <v>265.1402484397679</v>
      </c>
      <c r="X759" s="6">
        <f t="shared" ca="1" si="926"/>
        <v>314.77355271446959</v>
      </c>
      <c r="Y759" s="6">
        <f t="shared" ca="1" si="926"/>
        <v>359.46397304495008</v>
      </c>
      <c r="Z759" s="6">
        <f t="shared" ca="1" si="926"/>
        <v>318.71930740912921</v>
      </c>
      <c r="AA759" s="6">
        <f t="shared" ca="1" si="926"/>
        <v>373.83739240113164</v>
      </c>
      <c r="AB759" s="6">
        <f t="shared" ca="1" si="926"/>
        <v>402.849628505091</v>
      </c>
      <c r="AC759" s="6">
        <f t="shared" ca="1" si="926"/>
        <v>429.52659656870901</v>
      </c>
      <c r="AD759" s="6">
        <f t="shared" ca="1" si="926"/>
        <v>441.30040113268751</v>
      </c>
      <c r="AE759" s="6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  <c r="AY759" s="10"/>
      <c r="AZ759" s="10"/>
      <c r="BA759" s="10"/>
      <c r="BB759" s="10"/>
      <c r="BC759" s="10"/>
      <c r="BD759" s="15"/>
      <c r="BE759" s="15"/>
      <c r="BF759" s="15"/>
      <c r="BG759" s="15"/>
      <c r="BH759" s="15"/>
      <c r="BI759" s="15"/>
      <c r="BJ759" s="15"/>
      <c r="BK759" s="15"/>
      <c r="BL759" s="6"/>
      <c r="BM759" s="6"/>
      <c r="BN759" s="6"/>
      <c r="BO759" s="6"/>
      <c r="BP759" s="6"/>
      <c r="BQ759" s="6"/>
      <c r="BR759" s="6"/>
      <c r="BS759" s="6"/>
      <c r="BT759" s="6"/>
      <c r="BU759" s="6"/>
      <c r="BV759" s="6"/>
      <c r="BW759" s="6"/>
      <c r="BX759" s="6"/>
      <c r="BY759" s="6"/>
      <c r="BZ759" s="6"/>
      <c r="CA759" s="6"/>
      <c r="CB759" s="6"/>
      <c r="CC759" s="6"/>
      <c r="CD759" s="6"/>
      <c r="CE759" s="6"/>
      <c r="CF759" s="5"/>
      <c r="CH759" s="5" t="s">
        <v>562</v>
      </c>
    </row>
    <row r="760" spans="1:93" outlineLevel="1">
      <c r="B760" s="95" t="s">
        <v>267</v>
      </c>
      <c r="C760" s="10"/>
      <c r="D760" s="10"/>
      <c r="E760" s="10"/>
      <c r="F760" s="10"/>
      <c r="G760" s="10"/>
      <c r="H760" s="10">
        <v>7.2591200000000002</v>
      </c>
      <c r="I760" s="10">
        <v>27.110163</v>
      </c>
      <c r="J760" s="10">
        <v>1.202469</v>
      </c>
      <c r="K760" s="10">
        <v>14.34327</v>
      </c>
      <c r="L760" s="10">
        <v>34.8215</v>
      </c>
      <c r="M760" s="10">
        <v>35.448607000000003</v>
      </c>
      <c r="N760" s="10">
        <v>27.476421999999999</v>
      </c>
      <c r="O760" s="10">
        <v>147.96718200000001</v>
      </c>
      <c r="P760" s="10">
        <v>216.281215</v>
      </c>
      <c r="Q760" s="10">
        <v>438.20721800000001</v>
      </c>
      <c r="R760" s="16">
        <v>278.98892699999999</v>
      </c>
      <c r="S760" s="9">
        <v>25.35154</v>
      </c>
      <c r="T760" s="6">
        <f t="shared" ref="T760:AD760" si="927">T549-S549</f>
        <v>1827.8947499999999</v>
      </c>
      <c r="U760" s="6">
        <f t="shared" ca="1" si="927"/>
        <v>867.41465218080248</v>
      </c>
      <c r="V760" s="6">
        <f t="shared" ca="1" si="927"/>
        <v>1544.7572833790473</v>
      </c>
      <c r="W760" s="6">
        <f t="shared" ca="1" si="927"/>
        <v>1645.1244627144088</v>
      </c>
      <c r="X760" s="6">
        <f t="shared" ca="1" si="927"/>
        <v>1953.0858661910625</v>
      </c>
      <c r="Y760" s="6">
        <f t="shared" ca="1" si="927"/>
        <v>2230.3779942904457</v>
      </c>
      <c r="Z760" s="6">
        <f t="shared" ca="1" si="927"/>
        <v>1977.5682207571954</v>
      </c>
      <c r="AA760" s="6">
        <f t="shared" ca="1" si="927"/>
        <v>2319.5612244294152</v>
      </c>
      <c r="AB760" s="6">
        <f t="shared" ca="1" si="927"/>
        <v>2499.5744046747059</v>
      </c>
      <c r="AC760" s="6">
        <f t="shared" ca="1" si="927"/>
        <v>2665.0978701265376</v>
      </c>
      <c r="AD760" s="6">
        <f t="shared" ca="1" si="927"/>
        <v>2738.1511844437664</v>
      </c>
      <c r="AE760" s="6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  <c r="AY760" s="10"/>
      <c r="AZ760" s="10"/>
      <c r="BA760" s="10"/>
      <c r="BB760" s="10"/>
      <c r="BC760" s="10"/>
      <c r="BD760" s="10"/>
      <c r="BE760" s="10"/>
      <c r="BF760" s="10"/>
      <c r="BG760" s="10"/>
      <c r="BH760" s="10"/>
      <c r="BI760" s="10"/>
      <c r="BJ760" s="10"/>
      <c r="BK760" s="10"/>
      <c r="BL760" s="6"/>
      <c r="BM760" s="6"/>
      <c r="BN760" s="6"/>
      <c r="BO760" s="6"/>
      <c r="BP760" s="6"/>
      <c r="BQ760" s="6"/>
      <c r="BR760" s="6"/>
      <c r="BS760" s="6"/>
      <c r="BT760" s="6"/>
      <c r="BU760" s="6"/>
      <c r="BV760" s="6"/>
      <c r="BW760" s="6"/>
      <c r="BX760" s="6"/>
      <c r="BY760" s="6"/>
      <c r="BZ760" s="6"/>
      <c r="CA760" s="6"/>
      <c r="CB760" s="6"/>
      <c r="CC760" s="6"/>
      <c r="CD760" s="6"/>
      <c r="CE760" s="6"/>
      <c r="CF760" s="5"/>
      <c r="CH760" s="5" t="s">
        <v>562</v>
      </c>
    </row>
    <row r="761" spans="1:93" outlineLevel="1">
      <c r="A761" s="3" t="s">
        <v>218</v>
      </c>
      <c r="B761" s="20" t="s">
        <v>219</v>
      </c>
      <c r="C761" s="19"/>
      <c r="D761" s="19"/>
      <c r="E761" s="19"/>
      <c r="F761" s="19"/>
      <c r="G761" s="19"/>
      <c r="H761" s="20">
        <f>SUM(H736:H760)</f>
        <v>231.36377899999994</v>
      </c>
      <c r="I761" s="20">
        <f t="shared" ref="I761:AD761" si="928">SUM(I736:I747)</f>
        <v>347.89198999999996</v>
      </c>
      <c r="J761" s="20">
        <f t="shared" si="928"/>
        <v>485.58073999999988</v>
      </c>
      <c r="K761" s="20">
        <f t="shared" si="928"/>
        <v>590.69846600000028</v>
      </c>
      <c r="L761" s="20">
        <f t="shared" si="928"/>
        <v>1027.5880030000003</v>
      </c>
      <c r="M761" s="20">
        <f t="shared" si="928"/>
        <v>1550.2078319999991</v>
      </c>
      <c r="N761" s="20">
        <f t="shared" si="928"/>
        <v>1851.3149069999999</v>
      </c>
      <c r="O761" s="20">
        <f t="shared" si="928"/>
        <v>1653.7146149999994</v>
      </c>
      <c r="P761" s="20">
        <f t="shared" si="928"/>
        <v>2452.8273520000002</v>
      </c>
      <c r="Q761" s="20">
        <f t="shared" si="928"/>
        <v>1958.6038560000015</v>
      </c>
      <c r="R761" s="20">
        <f t="shared" si="928"/>
        <v>3048.8099160000015</v>
      </c>
      <c r="S761" s="47">
        <f t="shared" si="928"/>
        <v>5272.7304909999993</v>
      </c>
      <c r="T761" s="20">
        <f t="shared" si="928"/>
        <v>7226.2483958345665</v>
      </c>
      <c r="U761" s="20">
        <f t="shared" ca="1" si="928"/>
        <v>2098.3588932310449</v>
      </c>
      <c r="V761" s="20">
        <f t="shared" ca="1" si="928"/>
        <v>9594.4618103418798</v>
      </c>
      <c r="W761" s="20">
        <f t="shared" ca="1" si="928"/>
        <v>11387.847085339197</v>
      </c>
      <c r="X761" s="20">
        <f t="shared" ca="1" si="928"/>
        <v>14599.750691426067</v>
      </c>
      <c r="Y761" s="20">
        <f t="shared" ca="1" si="928"/>
        <v>18249.560163534614</v>
      </c>
      <c r="Z761" s="20">
        <f t="shared" ca="1" si="928"/>
        <v>21339.357964068669</v>
      </c>
      <c r="AA761" s="20">
        <f t="shared" ca="1" si="928"/>
        <v>25269.757872765138</v>
      </c>
      <c r="AB761" s="20">
        <f t="shared" ca="1" si="928"/>
        <v>29330.86912091972</v>
      </c>
      <c r="AC761" s="20">
        <f t="shared" ca="1" si="928"/>
        <v>33358.56148742693</v>
      </c>
      <c r="AD761" s="20">
        <f t="shared" ca="1" si="928"/>
        <v>37028.659581870728</v>
      </c>
      <c r="AE761" s="20"/>
      <c r="AF761" s="20">
        <f>SUM(AF736:CF747)</f>
        <v>17134.073410999998</v>
      </c>
      <c r="AG761" s="20">
        <f>SUM(AG736:AJ747)</f>
        <v>534.05163799999991</v>
      </c>
      <c r="AH761" s="20">
        <f>SUM(AH736:AK747)</f>
        <v>573.32467600000007</v>
      </c>
      <c r="AI761" s="20">
        <f>SUM(AI736:AL747)</f>
        <v>576.55179700000008</v>
      </c>
      <c r="AJ761" s="20">
        <f>SUM(AJ736:CF747)</f>
        <v>16648.816016000001</v>
      </c>
      <c r="AK761" s="20">
        <f>SUM(AK736:AN747)</f>
        <v>588.68703800000014</v>
      </c>
      <c r="AL761" s="20">
        <f>SUM(AL736:AO747)</f>
        <v>623.9283190000001</v>
      </c>
      <c r="AM761" s="20">
        <f>SUM(AM736:AP747)</f>
        <v>703.63114000000019</v>
      </c>
      <c r="AN761" s="20">
        <f>SUM(AN736:CF747)</f>
        <v>16076.190668000003</v>
      </c>
      <c r="AO761" s="20">
        <f>SUM(AO736:AR747)</f>
        <v>895.8041350000002</v>
      </c>
      <c r="AP761" s="20">
        <f>SUM(AP736:AS747)</f>
        <v>1003.4009340000001</v>
      </c>
      <c r="AQ761" s="20">
        <f>SUM(AQ736:AT747)</f>
        <v>1168.3003279999998</v>
      </c>
      <c r="AR761" s="20"/>
      <c r="AS761" s="20"/>
      <c r="AT761" s="20"/>
      <c r="AU761" s="20"/>
      <c r="AV761" s="20"/>
      <c r="AW761" s="20"/>
      <c r="AX761" s="20"/>
      <c r="AY761" s="20"/>
      <c r="AZ761" s="20"/>
      <c r="BA761" s="20"/>
      <c r="BB761" s="20"/>
      <c r="BC761" s="20"/>
      <c r="BD761" s="20"/>
      <c r="BE761" s="20"/>
      <c r="BF761" s="20"/>
      <c r="BG761" s="20"/>
      <c r="BH761" s="20"/>
      <c r="BI761" s="20"/>
      <c r="BJ761" s="20"/>
      <c r="BK761" s="20"/>
      <c r="BL761" s="20"/>
      <c r="BM761" s="20"/>
      <c r="BN761" s="20"/>
      <c r="BO761" s="20"/>
      <c r="BP761" s="20"/>
      <c r="BQ761" s="20"/>
      <c r="BR761" s="20"/>
      <c r="BS761" s="20"/>
      <c r="BT761" s="20"/>
      <c r="BU761" s="20"/>
      <c r="BV761" s="20"/>
      <c r="BW761" s="20"/>
      <c r="BX761" s="84"/>
      <c r="BY761" s="84"/>
      <c r="BZ761" s="84"/>
      <c r="CA761" s="84"/>
      <c r="CB761" s="84"/>
      <c r="CC761" s="84"/>
      <c r="CD761" s="84"/>
      <c r="CE761" s="84"/>
      <c r="CF761" s="22"/>
      <c r="CH761" s="5" t="s">
        <v>562</v>
      </c>
    </row>
    <row r="762" spans="1:93" s="100" customFormat="1" outlineLevel="1">
      <c r="A762" s="3"/>
      <c r="C762" s="103"/>
      <c r="D762" s="103"/>
      <c r="E762" s="103"/>
      <c r="F762" s="103"/>
      <c r="G762" s="103"/>
      <c r="H762" s="101"/>
      <c r="I762" s="101"/>
      <c r="J762" s="101"/>
      <c r="K762" s="101"/>
      <c r="L762" s="101"/>
      <c r="M762" s="101"/>
      <c r="N762" s="101"/>
      <c r="O762" s="101"/>
      <c r="P762" s="101"/>
      <c r="Q762" s="101"/>
      <c r="R762" s="101"/>
      <c r="S762" s="102"/>
      <c r="T762" s="101"/>
      <c r="U762" s="101"/>
      <c r="V762" s="101"/>
      <c r="W762" s="101"/>
      <c r="X762" s="101"/>
      <c r="Y762" s="101"/>
      <c r="Z762" s="101"/>
      <c r="AA762" s="101"/>
      <c r="AB762" s="101"/>
      <c r="AC762" s="101"/>
      <c r="AD762" s="101"/>
      <c r="AE762" s="101"/>
      <c r="AF762" s="101"/>
      <c r="AG762" s="101"/>
      <c r="AH762" s="101"/>
      <c r="AI762" s="101"/>
      <c r="AJ762" s="101"/>
      <c r="AK762" s="101"/>
      <c r="AL762" s="101"/>
      <c r="AM762" s="101"/>
      <c r="AN762" s="101"/>
      <c r="AO762" s="101"/>
      <c r="AP762" s="101"/>
      <c r="AQ762" s="101"/>
      <c r="AR762" s="101"/>
      <c r="AS762" s="101"/>
      <c r="AT762" s="101"/>
      <c r="AU762" s="101"/>
      <c r="AV762" s="101"/>
      <c r="AW762" s="101"/>
      <c r="AX762" s="101"/>
      <c r="AY762" s="101"/>
      <c r="AZ762" s="101"/>
      <c r="BA762" s="101"/>
      <c r="BB762" s="101"/>
      <c r="BC762" s="101"/>
      <c r="BD762" s="101"/>
      <c r="BE762" s="101"/>
      <c r="BF762" s="101"/>
      <c r="BG762" s="101"/>
      <c r="BH762" s="101"/>
      <c r="BI762" s="101"/>
      <c r="BJ762" s="101"/>
      <c r="BK762" s="101"/>
      <c r="BL762" s="101"/>
      <c r="BM762" s="101"/>
      <c r="BN762" s="101"/>
      <c r="BO762" s="101"/>
      <c r="BP762" s="101"/>
      <c r="BQ762" s="101"/>
      <c r="BR762" s="101"/>
      <c r="BS762" s="101"/>
      <c r="BT762" s="101"/>
      <c r="BU762" s="101"/>
      <c r="BV762" s="101"/>
      <c r="BW762" s="101"/>
      <c r="BX762" s="101"/>
      <c r="BY762" s="101"/>
      <c r="BZ762" s="101"/>
      <c r="CA762" s="101"/>
      <c r="CB762" s="101"/>
      <c r="CC762" s="101"/>
      <c r="CD762" s="101"/>
      <c r="CE762" s="101"/>
      <c r="CF762" s="102"/>
      <c r="CG762" s="102"/>
      <c r="CH762" s="5" t="s">
        <v>562</v>
      </c>
      <c r="CJ762"/>
      <c r="CK762"/>
      <c r="CL762"/>
      <c r="CM762"/>
      <c r="CN762"/>
      <c r="CO762"/>
    </row>
    <row r="763" spans="1:93" outlineLevel="1">
      <c r="B763" s="94" t="s">
        <v>220</v>
      </c>
      <c r="S763" s="12"/>
      <c r="CH763" s="5" t="s">
        <v>562</v>
      </c>
    </row>
    <row r="764" spans="1:93" outlineLevel="1">
      <c r="B764" s="6" t="s">
        <v>221</v>
      </c>
      <c r="C764" s="10"/>
      <c r="D764" s="10"/>
      <c r="E764" s="10"/>
      <c r="F764" s="10"/>
      <c r="G764" s="10"/>
      <c r="H764" s="15">
        <v>-31.885162999999999</v>
      </c>
      <c r="I764" s="10">
        <v>-96.572815000000006</v>
      </c>
      <c r="J764" s="10">
        <v>-126.84634800000001</v>
      </c>
      <c r="K764" s="10">
        <v>-115.372416</v>
      </c>
      <c r="L764" s="10">
        <v>-175.94681600000001</v>
      </c>
      <c r="M764" s="10">
        <v>-162.37884500000001</v>
      </c>
      <c r="N764" s="10">
        <v>-205.212492</v>
      </c>
      <c r="O764" s="10">
        <v>-543.12330899999995</v>
      </c>
      <c r="P764" s="10">
        <v>-651.76521700000001</v>
      </c>
      <c r="Q764" s="10">
        <v>-4788.6763709999996</v>
      </c>
      <c r="R764" s="96">
        <v>-638.13342999999998</v>
      </c>
      <c r="S764" s="9">
        <v>-682.83131000000003</v>
      </c>
      <c r="T764" s="5">
        <f t="shared" ref="T764:AD764" si="929">CAPEX</f>
        <v>-809.30956391999996</v>
      </c>
      <c r="U764" s="5">
        <f t="shared" ca="1" si="929"/>
        <v>-962.451428597838</v>
      </c>
      <c r="V764" s="5">
        <f t="shared" ca="1" si="929"/>
        <v>-1209.6226265741846</v>
      </c>
      <c r="W764" s="5">
        <f t="shared" ca="1" si="929"/>
        <v>-1478.2492329110178</v>
      </c>
      <c r="X764" s="5">
        <f t="shared" ca="1" si="929"/>
        <v>-1779.8598537669393</v>
      </c>
      <c r="Y764" s="5">
        <f t="shared" ca="1" si="929"/>
        <v>-2124.2920690864048</v>
      </c>
      <c r="Z764" s="5">
        <f t="shared" ca="1" si="929"/>
        <v>-2459.3137303414624</v>
      </c>
      <c r="AA764" s="5">
        <f t="shared" ca="1" si="929"/>
        <v>-2821.88665815797</v>
      </c>
      <c r="AB764" s="5">
        <f t="shared" ca="1" si="929"/>
        <v>-3212.5976256690988</v>
      </c>
      <c r="AC764" s="5">
        <f t="shared" ca="1" si="929"/>
        <v>-3629.1817311078389</v>
      </c>
      <c r="AD764" s="5">
        <f t="shared" ca="1" si="929"/>
        <v>-4057.1848729486974</v>
      </c>
      <c r="AE764" s="5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  <c r="AY764" s="10"/>
      <c r="AZ764" s="10"/>
      <c r="BA764" s="10"/>
      <c r="BB764" s="10"/>
      <c r="BC764" s="10"/>
      <c r="BD764" s="10"/>
      <c r="BE764" s="10"/>
      <c r="BF764" s="10"/>
      <c r="BG764" s="10"/>
      <c r="BH764" s="10"/>
      <c r="BI764" s="10"/>
      <c r="BJ764" s="10"/>
      <c r="BK764" s="10"/>
      <c r="BL764" s="6"/>
      <c r="BM764" s="6"/>
      <c r="BN764" s="6"/>
      <c r="BO764" s="6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H764" s="5" t="s">
        <v>562</v>
      </c>
    </row>
    <row r="765" spans="1:93" outlineLevel="1">
      <c r="B765" s="6" t="s">
        <v>222</v>
      </c>
      <c r="C765" s="10"/>
      <c r="D765" s="10"/>
      <c r="E765" s="10"/>
      <c r="F765" s="10"/>
      <c r="G765" s="10"/>
      <c r="H765" s="15">
        <v>-41.430515</v>
      </c>
      <c r="I765" s="15">
        <v>-26.839219</v>
      </c>
      <c r="J765" s="15">
        <v>0</v>
      </c>
      <c r="K765" s="15">
        <v>-48.912728999999999</v>
      </c>
      <c r="L765" s="15">
        <v>0</v>
      </c>
      <c r="M765" s="15">
        <v>0</v>
      </c>
      <c r="N765" s="15">
        <v>-9.7477999999999998</v>
      </c>
      <c r="O765" s="15">
        <v>0</v>
      </c>
      <c r="P765" s="15">
        <v>0</v>
      </c>
      <c r="Q765" s="15">
        <v>0</v>
      </c>
      <c r="R765" s="10">
        <v>0</v>
      </c>
      <c r="S765" s="5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  <c r="AY765" s="10"/>
      <c r="AZ765" s="10"/>
      <c r="BA765" s="10"/>
      <c r="BB765" s="10"/>
      <c r="BC765" s="10"/>
      <c r="BD765" s="15"/>
      <c r="BE765" s="15"/>
      <c r="BF765" s="15"/>
      <c r="BG765" s="15"/>
      <c r="BH765" s="15"/>
      <c r="BI765" s="15"/>
      <c r="BJ765" s="15"/>
      <c r="BK765" s="15"/>
      <c r="BL765" s="6"/>
      <c r="BM765" s="6"/>
      <c r="BN765" s="6"/>
      <c r="BO765" s="6"/>
      <c r="BP765" s="6"/>
      <c r="BQ765" s="6"/>
      <c r="BR765" s="6"/>
      <c r="BS765" s="6"/>
      <c r="BT765" s="6"/>
      <c r="BU765" s="6"/>
      <c r="BV765" s="6"/>
      <c r="BW765" s="6"/>
      <c r="BX765" s="6"/>
      <c r="BY765" s="6"/>
      <c r="BZ765" s="6"/>
      <c r="CA765" s="6"/>
      <c r="CB765" s="6"/>
      <c r="CC765" s="6"/>
      <c r="CD765" s="6"/>
      <c r="CE765" s="6"/>
      <c r="CF765" s="5"/>
      <c r="CH765" s="5" t="s">
        <v>562</v>
      </c>
    </row>
    <row r="766" spans="1:93" outlineLevel="1">
      <c r="A766" s="3" t="s">
        <v>320</v>
      </c>
      <c r="B766" s="6" t="s">
        <v>223</v>
      </c>
      <c r="C766" s="10"/>
      <c r="D766" s="10"/>
      <c r="E766" s="10"/>
      <c r="F766" s="10"/>
      <c r="G766" s="10"/>
      <c r="H766" s="15">
        <v>0</v>
      </c>
      <c r="I766" s="15">
        <v>-2.3950710000000002</v>
      </c>
      <c r="J766" s="15">
        <v>0</v>
      </c>
      <c r="K766" s="15">
        <v>-1</v>
      </c>
      <c r="L766" s="15">
        <v>-2.2000000000000002</v>
      </c>
      <c r="M766" s="15">
        <v>-3.5832000000000002</v>
      </c>
      <c r="N766" s="15">
        <v>-3.2338499999999999</v>
      </c>
      <c r="O766" s="15">
        <v>0</v>
      </c>
      <c r="P766" s="15">
        <v>0</v>
      </c>
      <c r="Q766" s="15">
        <v>-9</v>
      </c>
      <c r="R766" s="16">
        <v>-20</v>
      </c>
      <c r="S766" s="9">
        <v>-6.2106510000000004</v>
      </c>
      <c r="T766" s="6">
        <f t="shared" ref="T766:AD766" si="930">Purchase_intangible</f>
        <v>-31.237193350093193</v>
      </c>
      <c r="U766" s="6">
        <f t="shared" ca="1" si="930"/>
        <v>-37.148061391445417</v>
      </c>
      <c r="V766" s="6">
        <f t="shared" ca="1" si="930"/>
        <v>-46.68821122529134</v>
      </c>
      <c r="W766" s="6">
        <f t="shared" ca="1" si="930"/>
        <v>-57.056482669507815</v>
      </c>
      <c r="X766" s="6">
        <f t="shared" ca="1" si="930"/>
        <v>-68.697849212223446</v>
      </c>
      <c r="Y766" s="6">
        <f t="shared" ca="1" si="930"/>
        <v>-81.992015234211323</v>
      </c>
      <c r="Z766" s="6">
        <f t="shared" ca="1" si="930"/>
        <v>-94.922958936895796</v>
      </c>
      <c r="AA766" s="6">
        <f t="shared" ca="1" si="930"/>
        <v>-108.91730813852365</v>
      </c>
      <c r="AB766" s="6">
        <f t="shared" ca="1" si="930"/>
        <v>-123.99771071900463</v>
      </c>
      <c r="AC766" s="6">
        <f t="shared" ca="1" si="930"/>
        <v>-140.07674750331708</v>
      </c>
      <c r="AD766" s="6">
        <f t="shared" ca="1" si="930"/>
        <v>-156.59652867502683</v>
      </c>
      <c r="AE766" s="6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  <c r="AY766" s="10"/>
      <c r="AZ766" s="10"/>
      <c r="BA766" s="10"/>
      <c r="BB766" s="10"/>
      <c r="BC766" s="10"/>
      <c r="BD766" s="15"/>
      <c r="BE766" s="15"/>
      <c r="BF766" s="15"/>
      <c r="BG766" s="15"/>
      <c r="BH766" s="15"/>
      <c r="BI766" s="15"/>
      <c r="BJ766" s="15"/>
      <c r="BK766" s="15"/>
      <c r="BL766" s="6"/>
      <c r="BM766" s="6"/>
      <c r="BN766" s="6"/>
      <c r="BO766" s="6"/>
      <c r="BP766" s="6"/>
      <c r="BQ766" s="6"/>
      <c r="BR766" s="6"/>
      <c r="BS766" s="6"/>
      <c r="BT766" s="6"/>
      <c r="BU766" s="6"/>
      <c r="BV766" s="6"/>
      <c r="BW766" s="6"/>
      <c r="BX766" s="6"/>
      <c r="BY766" s="6"/>
      <c r="BZ766" s="6"/>
      <c r="CA766" s="6"/>
      <c r="CB766" s="6"/>
      <c r="CC766" s="6"/>
      <c r="CD766" s="6"/>
      <c r="CE766" s="6"/>
      <c r="CF766" s="5"/>
      <c r="CH766" s="5" t="s">
        <v>562</v>
      </c>
    </row>
    <row r="767" spans="1:93" outlineLevel="1">
      <c r="B767" s="6" t="s">
        <v>224</v>
      </c>
      <c r="C767" s="10"/>
      <c r="D767" s="10"/>
      <c r="E767" s="10"/>
      <c r="F767" s="10"/>
      <c r="G767" s="10"/>
      <c r="H767" s="15">
        <v>0.5</v>
      </c>
      <c r="I767" s="15">
        <v>0</v>
      </c>
      <c r="J767" s="15">
        <v>0</v>
      </c>
      <c r="K767" s="15">
        <v>0</v>
      </c>
      <c r="L767" s="15">
        <v>0</v>
      </c>
      <c r="M767" s="15">
        <v>0</v>
      </c>
      <c r="N767" s="15">
        <v>0</v>
      </c>
      <c r="O767" s="15">
        <v>0</v>
      </c>
      <c r="P767" s="15">
        <v>-178.584102</v>
      </c>
      <c r="Q767" s="15">
        <v>0</v>
      </c>
      <c r="R767" s="16"/>
      <c r="S767" s="37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  <c r="AY767" s="10"/>
      <c r="AZ767" s="10"/>
      <c r="BA767" s="10"/>
      <c r="BB767" s="10"/>
      <c r="BC767" s="10"/>
      <c r="BD767" s="15"/>
      <c r="BE767" s="15"/>
      <c r="BF767" s="15"/>
      <c r="BG767" s="15"/>
      <c r="BH767" s="15"/>
      <c r="BI767" s="15"/>
      <c r="BJ767" s="15"/>
      <c r="BK767" s="15"/>
      <c r="BL767" s="6"/>
      <c r="BM767" s="6"/>
      <c r="BN767" s="6"/>
      <c r="BO767" s="6"/>
      <c r="BP767" s="6"/>
      <c r="BQ767" s="6"/>
      <c r="BR767" s="6"/>
      <c r="BS767" s="6"/>
      <c r="BT767" s="6"/>
      <c r="BU767" s="6"/>
      <c r="BV767" s="6"/>
      <c r="BW767" s="6"/>
      <c r="BX767" s="6"/>
      <c r="BY767" s="6"/>
      <c r="BZ767" s="6"/>
      <c r="CA767" s="6"/>
      <c r="CB767" s="6"/>
      <c r="CC767" s="6"/>
      <c r="CD767" s="6"/>
      <c r="CE767" s="6"/>
      <c r="CF767" s="5"/>
      <c r="CH767" s="5" t="s">
        <v>562</v>
      </c>
    </row>
    <row r="768" spans="1:93" outlineLevel="1">
      <c r="B768" s="6" t="s">
        <v>225</v>
      </c>
      <c r="C768" s="10"/>
      <c r="D768" s="10"/>
      <c r="E768" s="10"/>
      <c r="F768" s="10"/>
      <c r="G768" s="10"/>
      <c r="H768" s="15">
        <v>0</v>
      </c>
      <c r="I768" s="15">
        <v>0</v>
      </c>
      <c r="J768" s="15">
        <v>0</v>
      </c>
      <c r="K768" s="15">
        <v>0</v>
      </c>
      <c r="L768" s="15">
        <v>0</v>
      </c>
      <c r="M768" s="15">
        <v>0</v>
      </c>
      <c r="N768" s="15">
        <v>0</v>
      </c>
      <c r="O768" s="15">
        <v>-556.59228299999995</v>
      </c>
      <c r="P768" s="15">
        <v>31.954414</v>
      </c>
      <c r="Q768" s="15">
        <v>-94.988241000000002</v>
      </c>
      <c r="R768" s="16">
        <v>-760.87346200000002</v>
      </c>
      <c r="S768" s="9">
        <v>525.25026700000001</v>
      </c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  <c r="AY768" s="10"/>
      <c r="AZ768" s="10"/>
      <c r="BA768" s="10"/>
      <c r="BB768" s="10"/>
      <c r="BC768" s="10"/>
      <c r="BD768" s="15"/>
      <c r="BE768" s="15"/>
      <c r="BF768" s="15"/>
      <c r="BG768" s="15"/>
      <c r="BH768" s="15"/>
      <c r="BI768" s="15"/>
      <c r="BJ768" s="15"/>
      <c r="BK768" s="15"/>
      <c r="BL768" s="6"/>
      <c r="BM768" s="6"/>
      <c r="BN768" s="6"/>
      <c r="BO768" s="6"/>
      <c r="BP768" s="6"/>
      <c r="BQ768" s="6"/>
      <c r="BR768" s="6"/>
      <c r="BS768" s="6"/>
      <c r="BT768" s="6"/>
      <c r="BU768" s="6"/>
      <c r="BV768" s="6"/>
      <c r="BW768" s="6"/>
      <c r="BX768" s="6"/>
      <c r="BY768" s="6"/>
      <c r="BZ768" s="6"/>
      <c r="CA768" s="6"/>
      <c r="CB768" s="6"/>
      <c r="CC768" s="6"/>
      <c r="CD768" s="6"/>
      <c r="CE768" s="6"/>
      <c r="CF768" s="5"/>
      <c r="CH768" s="5" t="s">
        <v>562</v>
      </c>
    </row>
    <row r="769" spans="1:86" outlineLevel="1">
      <c r="B769" s="6" t="s">
        <v>226</v>
      </c>
      <c r="C769" s="10"/>
      <c r="D769" s="10"/>
      <c r="E769" s="10"/>
      <c r="F769" s="10"/>
      <c r="G769" s="10"/>
      <c r="H769" s="15">
        <v>0</v>
      </c>
      <c r="I769" s="15">
        <v>-0.75</v>
      </c>
      <c r="J769" s="15">
        <v>-1.5625</v>
      </c>
      <c r="K769" s="15">
        <v>0</v>
      </c>
      <c r="L769" s="15">
        <v>0</v>
      </c>
      <c r="M769" s="15">
        <v>0</v>
      </c>
      <c r="N769" s="15">
        <v>0</v>
      </c>
      <c r="O769" s="15">
        <v>14.556965999999999</v>
      </c>
      <c r="P769" s="15">
        <v>17.352846</v>
      </c>
      <c r="Q769" s="15">
        <v>38.195799999999998</v>
      </c>
      <c r="R769" s="10">
        <v>-1502.561561</v>
      </c>
      <c r="S769" s="9">
        <v>-90.331000000000003</v>
      </c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  <c r="AY769" s="10"/>
      <c r="AZ769" s="10"/>
      <c r="BA769" s="10"/>
      <c r="BB769" s="10"/>
      <c r="BC769" s="10"/>
      <c r="BD769" s="15"/>
      <c r="BE769" s="15"/>
      <c r="BF769" s="15"/>
      <c r="BG769" s="15"/>
      <c r="BH769" s="15"/>
      <c r="BI769" s="15"/>
      <c r="BJ769" s="15"/>
      <c r="BK769" s="15"/>
      <c r="BL769" s="6"/>
      <c r="BM769" s="6"/>
      <c r="BN769" s="6"/>
      <c r="BO769" s="6"/>
      <c r="BP769" s="6"/>
      <c r="BQ769" s="6"/>
      <c r="BR769" s="6"/>
      <c r="BS769" s="6"/>
      <c r="BT769" s="6"/>
      <c r="BU769" s="6"/>
      <c r="BV769" s="6"/>
      <c r="BW769" s="6"/>
      <c r="BX769" s="6"/>
      <c r="BY769" s="6"/>
      <c r="BZ769" s="6"/>
      <c r="CA769" s="6"/>
      <c r="CB769" s="6"/>
      <c r="CC769" s="6"/>
      <c r="CD769" s="6"/>
      <c r="CE769" s="6"/>
      <c r="CF769" s="5"/>
      <c r="CH769" s="5" t="s">
        <v>562</v>
      </c>
    </row>
    <row r="770" spans="1:86" outlineLevel="1">
      <c r="B770" s="6" t="s">
        <v>227</v>
      </c>
      <c r="C770" s="10"/>
      <c r="D770" s="10"/>
      <c r="E770" s="10"/>
      <c r="F770" s="10"/>
      <c r="G770" s="10"/>
      <c r="H770" s="15">
        <v>0</v>
      </c>
      <c r="I770" s="15">
        <v>0</v>
      </c>
      <c r="J770" s="15">
        <v>0</v>
      </c>
      <c r="K770" s="15">
        <v>0</v>
      </c>
      <c r="L770" s="15">
        <v>0</v>
      </c>
      <c r="M770" s="15">
        <v>0</v>
      </c>
      <c r="N770" s="15">
        <v>-27.532356</v>
      </c>
      <c r="O770" s="15">
        <v>-29.018885000000001</v>
      </c>
      <c r="P770" s="15">
        <v>-119.73960700000001</v>
      </c>
      <c r="Q770" s="15">
        <v>-130.12425099999999</v>
      </c>
      <c r="R770" s="16">
        <v>4112.9602050000003</v>
      </c>
      <c r="S770" s="9">
        <v>-9157.3910699999997</v>
      </c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  <c r="AY770" s="10"/>
      <c r="AZ770" s="10"/>
      <c r="BA770" s="10"/>
      <c r="BB770" s="10"/>
      <c r="BC770" s="10"/>
      <c r="BD770" s="15"/>
      <c r="BE770" s="15"/>
      <c r="BF770" s="15"/>
      <c r="BG770" s="15"/>
      <c r="BH770" s="15"/>
      <c r="BI770" s="15"/>
      <c r="BJ770" s="15"/>
      <c r="BK770" s="15"/>
      <c r="BL770" s="6"/>
      <c r="BM770" s="6"/>
      <c r="BN770" s="6"/>
      <c r="BO770" s="6"/>
      <c r="BP770" s="6"/>
      <c r="BQ770" s="6"/>
      <c r="BR770" s="6"/>
      <c r="BS770" s="6"/>
      <c r="BT770" s="6"/>
      <c r="BU770" s="6"/>
      <c r="BV770" s="6"/>
      <c r="BW770" s="6"/>
      <c r="BX770" s="6"/>
      <c r="BY770" s="6"/>
      <c r="BZ770" s="6"/>
      <c r="CA770" s="6"/>
      <c r="CB770" s="6"/>
      <c r="CC770" s="6"/>
      <c r="CD770" s="6"/>
      <c r="CE770" s="6"/>
      <c r="CF770" s="5"/>
      <c r="CH770" s="5" t="s">
        <v>562</v>
      </c>
    </row>
    <row r="771" spans="1:86" outlineLevel="1">
      <c r="B771" s="6" t="s">
        <v>228</v>
      </c>
      <c r="C771" s="10"/>
      <c r="D771" s="10"/>
      <c r="E771" s="10"/>
      <c r="F771" s="10"/>
      <c r="G771" s="10"/>
      <c r="H771" s="15">
        <v>0</v>
      </c>
      <c r="I771" s="15">
        <v>0</v>
      </c>
      <c r="J771" s="15">
        <v>0</v>
      </c>
      <c r="K771" s="15">
        <v>0</v>
      </c>
      <c r="L771" s="15">
        <v>0</v>
      </c>
      <c r="M771" s="15">
        <v>0</v>
      </c>
      <c r="N771" s="15">
        <v>0</v>
      </c>
      <c r="O771" s="15">
        <v>0</v>
      </c>
      <c r="P771" s="15">
        <v>-965.42139899999995</v>
      </c>
      <c r="Q771" s="15">
        <v>-2078.3788070000001</v>
      </c>
      <c r="R771" s="16">
        <v>-4232.3669129999998</v>
      </c>
      <c r="S771" s="9">
        <v>-5408.4714599999998</v>
      </c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  <c r="AY771" s="10"/>
      <c r="AZ771" s="10"/>
      <c r="BA771" s="10"/>
      <c r="BB771" s="10"/>
      <c r="BC771" s="10"/>
      <c r="BD771" s="15"/>
      <c r="BE771" s="15"/>
      <c r="BF771" s="15"/>
      <c r="BG771" s="15"/>
      <c r="BH771" s="15"/>
      <c r="BI771" s="15"/>
      <c r="BJ771" s="15"/>
      <c r="BK771" s="15"/>
      <c r="BL771" s="6"/>
      <c r="BM771" s="6"/>
      <c r="BN771" s="6"/>
      <c r="BO771" s="6"/>
      <c r="BP771" s="6"/>
      <c r="BQ771" s="6"/>
      <c r="BR771" s="6"/>
      <c r="BS771" s="6"/>
      <c r="BT771" s="6"/>
      <c r="BU771" s="6"/>
      <c r="BV771" s="6"/>
      <c r="BW771" s="6"/>
      <c r="BX771" s="6"/>
      <c r="BY771" s="6"/>
      <c r="BZ771" s="6"/>
      <c r="CA771" s="6"/>
      <c r="CB771" s="6"/>
      <c r="CC771" s="6"/>
      <c r="CD771" s="6"/>
      <c r="CE771" s="6"/>
      <c r="CF771" s="5"/>
      <c r="CH771" s="5" t="s">
        <v>562</v>
      </c>
    </row>
    <row r="772" spans="1:86" outlineLevel="1">
      <c r="B772" s="6" t="s">
        <v>229</v>
      </c>
      <c r="C772" s="10"/>
      <c r="D772" s="10"/>
      <c r="E772" s="10"/>
      <c r="F772" s="10"/>
      <c r="G772" s="10"/>
      <c r="H772" s="15">
        <v>0</v>
      </c>
      <c r="I772" s="15">
        <v>0</v>
      </c>
      <c r="J772" s="15">
        <v>-141.174094</v>
      </c>
      <c r="K772" s="15">
        <v>-333.44179200000002</v>
      </c>
      <c r="L772" s="15">
        <v>0</v>
      </c>
      <c r="M772" s="15">
        <v>0</v>
      </c>
      <c r="N772" s="15">
        <v>-94.647971999999996</v>
      </c>
      <c r="O772" s="15">
        <v>-123.69869199999999</v>
      </c>
      <c r="P772" s="15">
        <v>-2219.9406650000001</v>
      </c>
      <c r="Q772" s="15">
        <v>-2799.8070280000002</v>
      </c>
      <c r="R772" s="16">
        <v>-1447.58617</v>
      </c>
      <c r="S772" s="96">
        <v>-5934.9194829999997</v>
      </c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  <c r="AY772" s="10"/>
      <c r="AZ772" s="10"/>
      <c r="BA772" s="10"/>
      <c r="BB772" s="10"/>
      <c r="BC772" s="10"/>
      <c r="BD772" s="15"/>
      <c r="BE772" s="15"/>
      <c r="BF772" s="15"/>
      <c r="BG772" s="15"/>
      <c r="BH772" s="15"/>
      <c r="BI772" s="15"/>
      <c r="BJ772" s="15"/>
      <c r="BK772" s="15"/>
      <c r="BL772" s="6"/>
      <c r="BM772" s="6"/>
      <c r="BN772" s="6"/>
      <c r="BO772" s="6"/>
      <c r="CH772" s="5" t="s">
        <v>562</v>
      </c>
    </row>
    <row r="773" spans="1:86" outlineLevel="1">
      <c r="B773" s="6" t="s">
        <v>230</v>
      </c>
      <c r="C773" s="10"/>
      <c r="D773" s="10"/>
      <c r="E773" s="10"/>
      <c r="F773" s="10"/>
      <c r="G773" s="10"/>
      <c r="H773" s="10">
        <v>0</v>
      </c>
      <c r="I773" s="10">
        <v>-80.416250000000005</v>
      </c>
      <c r="J773" s="10">
        <v>0</v>
      </c>
      <c r="K773" s="10">
        <v>0</v>
      </c>
      <c r="L773" s="10">
        <v>-584.22030500000005</v>
      </c>
      <c r="M773" s="10">
        <v>-2274.4384489999998</v>
      </c>
      <c r="N773" s="10">
        <v>0.42720799999995052</v>
      </c>
      <c r="O773" s="10">
        <v>-2.0282650000001468</v>
      </c>
      <c r="P773" s="10">
        <v>0</v>
      </c>
      <c r="Q773" s="10">
        <v>496.36799999999999</v>
      </c>
      <c r="R773" s="16">
        <f>-872.2+872.2+61.98</f>
        <v>61.98</v>
      </c>
      <c r="S773" s="9">
        <f>212.217989+17.665162+317.155061+382.387499</f>
        <v>929.42571099999986</v>
      </c>
      <c r="T773" s="6">
        <f t="shared" ref="T773:AD773" si="931">T774-SUM(T764:T772)</f>
        <v>-6577.3912025644731</v>
      </c>
      <c r="U773" s="6">
        <f t="shared" ca="1" si="931"/>
        <v>2259.2664772875946</v>
      </c>
      <c r="V773" s="6">
        <f t="shared" ca="1" si="931"/>
        <v>-3013.4471380494506</v>
      </c>
      <c r="W773" s="6">
        <f t="shared" ca="1" si="931"/>
        <v>-1513.9234999585694</v>
      </c>
      <c r="X773" s="6">
        <f t="shared" ca="1" si="931"/>
        <v>-3023.4914533954407</v>
      </c>
      <c r="Y773" s="6">
        <f t="shared" ca="1" si="931"/>
        <v>-3279.9822410494467</v>
      </c>
      <c r="Z773" s="6">
        <f t="shared" ca="1" si="931"/>
        <v>-2347.6244602280854</v>
      </c>
      <c r="AA773" s="6">
        <f t="shared" ca="1" si="931"/>
        <v>-4108.3920021212298</v>
      </c>
      <c r="AB773" s="6">
        <f t="shared" ca="1" si="931"/>
        <v>-4443.8955179379282</v>
      </c>
      <c r="AC773" s="6">
        <f t="shared" ca="1" si="931"/>
        <v>-4672.8354697177037</v>
      </c>
      <c r="AD773" s="6">
        <f t="shared" ca="1" si="931"/>
        <v>-4544.9545480504457</v>
      </c>
      <c r="AE773" s="6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  <c r="AY773" s="10"/>
      <c r="AZ773" s="10"/>
      <c r="BA773" s="10"/>
      <c r="BB773" s="10"/>
      <c r="BC773" s="10"/>
      <c r="BD773" s="10"/>
      <c r="BE773" s="10"/>
      <c r="BF773" s="10"/>
      <c r="BG773" s="10"/>
      <c r="BH773" s="10"/>
      <c r="BI773" s="10"/>
      <c r="BJ773" s="10"/>
      <c r="BK773" s="10"/>
      <c r="BL773" s="6"/>
      <c r="BM773" s="6"/>
      <c r="BN773" s="6"/>
      <c r="BO773" s="6"/>
      <c r="BP773" s="6"/>
      <c r="BQ773" s="6"/>
      <c r="BR773" s="6"/>
      <c r="BS773" s="6"/>
      <c r="BT773" s="6"/>
      <c r="BU773" s="6"/>
      <c r="BV773" s="6"/>
      <c r="BW773" s="6"/>
      <c r="BX773" s="6"/>
      <c r="BY773" s="6"/>
      <c r="BZ773" s="6"/>
      <c r="CA773" s="6"/>
      <c r="CB773" s="6"/>
      <c r="CC773" s="6"/>
      <c r="CD773" s="6"/>
      <c r="CE773" s="6"/>
      <c r="CF773" s="5"/>
      <c r="CH773" s="5" t="s">
        <v>562</v>
      </c>
    </row>
    <row r="774" spans="1:86" outlineLevel="1">
      <c r="A774" s="3" t="s">
        <v>231</v>
      </c>
      <c r="B774" s="20" t="s">
        <v>232</v>
      </c>
      <c r="C774" s="19"/>
      <c r="D774" s="19"/>
      <c r="E774" s="19"/>
      <c r="F774" s="19"/>
      <c r="G774" s="19"/>
      <c r="H774" s="20">
        <f t="shared" ref="H774:Q774" si="932">SUM(H764:H773)</f>
        <v>-72.815677999999991</v>
      </c>
      <c r="I774" s="20">
        <f t="shared" si="932"/>
        <v>-206.97335500000003</v>
      </c>
      <c r="J774" s="20">
        <f t="shared" si="932"/>
        <v>-269.582942</v>
      </c>
      <c r="K774" s="20">
        <f t="shared" si="932"/>
        <v>-498.72693700000002</v>
      </c>
      <c r="L774" s="20">
        <f t="shared" si="932"/>
        <v>-762.367121</v>
      </c>
      <c r="M774" s="20">
        <f t="shared" si="932"/>
        <v>-2440.400494</v>
      </c>
      <c r="N774" s="20">
        <f t="shared" si="932"/>
        <v>-339.94726200000002</v>
      </c>
      <c r="O774" s="20">
        <f t="shared" si="932"/>
        <v>-1239.904468</v>
      </c>
      <c r="P774" s="20">
        <f t="shared" si="932"/>
        <v>-4086.1437299999998</v>
      </c>
      <c r="Q774" s="20">
        <f t="shared" si="932"/>
        <v>-9366.4108980000001</v>
      </c>
      <c r="R774" s="20">
        <f t="shared" ref="R774:AD774" si="933">R793-R792-R791-R761</f>
        <v>-4426.3904969999985</v>
      </c>
      <c r="S774" s="47">
        <f t="shared" si="933"/>
        <v>-19825.478995999998</v>
      </c>
      <c r="T774" s="20">
        <f t="shared" si="933"/>
        <v>-7417.9379598345668</v>
      </c>
      <c r="U774" s="20">
        <f t="shared" ca="1" si="933"/>
        <v>1259.6669872983111</v>
      </c>
      <c r="V774" s="20">
        <f t="shared" ca="1" si="933"/>
        <v>-4269.7579758489264</v>
      </c>
      <c r="W774" s="20">
        <f t="shared" ca="1" si="933"/>
        <v>-3049.2292155390951</v>
      </c>
      <c r="X774" s="20">
        <f t="shared" ca="1" si="933"/>
        <v>-4872.0491563746036</v>
      </c>
      <c r="Y774" s="20">
        <f t="shared" ca="1" si="933"/>
        <v>-5486.266325370063</v>
      </c>
      <c r="Z774" s="20">
        <f t="shared" ca="1" si="933"/>
        <v>-4901.8611495064433</v>
      </c>
      <c r="AA774" s="20">
        <f t="shared" ca="1" si="933"/>
        <v>-7039.1959684177236</v>
      </c>
      <c r="AB774" s="20">
        <f t="shared" ca="1" si="933"/>
        <v>-7780.4908543260317</v>
      </c>
      <c r="AC774" s="20">
        <f t="shared" ca="1" si="933"/>
        <v>-8442.0939483288603</v>
      </c>
      <c r="AD774" s="20">
        <f t="shared" ca="1" si="933"/>
        <v>-8758.7359496741701</v>
      </c>
      <c r="AE774" s="20"/>
      <c r="AF774" s="19"/>
      <c r="AG774" s="19"/>
      <c r="AH774" s="19"/>
      <c r="AI774" s="19"/>
      <c r="AJ774" s="19"/>
      <c r="AK774" s="19"/>
      <c r="AL774" s="19"/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  <c r="AW774" s="19"/>
      <c r="AX774" s="19"/>
      <c r="AY774" s="19"/>
      <c r="AZ774" s="19"/>
      <c r="BA774" s="19"/>
      <c r="BB774" s="19"/>
      <c r="BC774" s="19"/>
      <c r="BD774" s="104"/>
      <c r="BE774" s="104"/>
      <c r="BF774" s="104"/>
      <c r="BG774" s="104"/>
      <c r="BH774" s="104"/>
      <c r="BI774" s="104"/>
      <c r="BJ774" s="104"/>
      <c r="BK774" s="104"/>
      <c r="BL774" s="19"/>
      <c r="BM774" s="19"/>
      <c r="BN774" s="19"/>
      <c r="BO774" s="19"/>
      <c r="BP774" s="20"/>
      <c r="BQ774" s="20"/>
      <c r="BR774" s="20"/>
      <c r="BS774" s="20"/>
      <c r="BT774" s="20"/>
      <c r="BU774" s="20"/>
      <c r="BV774" s="20"/>
      <c r="BW774" s="20"/>
      <c r="BX774" s="84"/>
      <c r="BY774" s="84"/>
      <c r="BZ774" s="84"/>
      <c r="CA774" s="84"/>
      <c r="CB774" s="84"/>
      <c r="CC774" s="84"/>
      <c r="CD774" s="84"/>
      <c r="CE774" s="84"/>
      <c r="CF774" s="22"/>
      <c r="CH774" s="5" t="s">
        <v>562</v>
      </c>
    </row>
    <row r="775" spans="1:86" outlineLevel="1">
      <c r="B775" s="105"/>
      <c r="C775" s="6"/>
      <c r="D775" s="6"/>
      <c r="E775" s="6"/>
      <c r="F775" s="6"/>
      <c r="G775" s="6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84"/>
      <c r="S775" s="5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23"/>
      <c r="BE775" s="23"/>
      <c r="BF775" s="23"/>
      <c r="BG775" s="23"/>
      <c r="BH775" s="23"/>
      <c r="BI775" s="23"/>
      <c r="BJ775" s="23"/>
      <c r="BK775" s="23"/>
      <c r="BL775" s="6"/>
      <c r="BM775" s="6"/>
      <c r="BN775" s="6"/>
      <c r="BO775" s="6"/>
      <c r="BP775" s="6"/>
      <c r="BQ775" s="6"/>
      <c r="BR775" s="6"/>
      <c r="BS775" s="6"/>
      <c r="BT775" s="6"/>
      <c r="BU775" s="6"/>
      <c r="BV775" s="6"/>
      <c r="BW775" s="6"/>
      <c r="BX775" s="6"/>
      <c r="BY775" s="6"/>
      <c r="BZ775" s="6"/>
      <c r="CA775" s="6"/>
      <c r="CB775" s="6"/>
      <c r="CC775" s="6"/>
      <c r="CD775" s="6"/>
      <c r="CE775" s="6"/>
      <c r="CF775" s="5"/>
      <c r="CH775" s="5" t="s">
        <v>562</v>
      </c>
    </row>
    <row r="776" spans="1:86" outlineLevel="1">
      <c r="B776" s="94" t="s">
        <v>233</v>
      </c>
      <c r="S776" s="12"/>
      <c r="CH776" s="5" t="s">
        <v>562</v>
      </c>
    </row>
    <row r="777" spans="1:86" outlineLevel="1">
      <c r="B777" s="6" t="s">
        <v>774</v>
      </c>
      <c r="C777" s="10"/>
      <c r="D777" s="10"/>
      <c r="E777" s="10"/>
      <c r="F777" s="10"/>
      <c r="G777" s="10"/>
      <c r="H777" s="15">
        <v>0</v>
      </c>
      <c r="I777" s="15">
        <v>0</v>
      </c>
      <c r="J777" s="15"/>
      <c r="K777" s="15">
        <v>0</v>
      </c>
      <c r="L777" s="15">
        <v>0</v>
      </c>
      <c r="M777" s="15">
        <v>0</v>
      </c>
      <c r="N777" s="15">
        <v>0</v>
      </c>
      <c r="O777" s="15">
        <v>453.47862800000001</v>
      </c>
      <c r="P777" s="15">
        <v>321.12071300000002</v>
      </c>
      <c r="Q777" s="15">
        <v>2325.6949719999998</v>
      </c>
      <c r="R777" s="16">
        <v>644.41154400000005</v>
      </c>
      <c r="S777" s="9">
        <f>1979.869005+2550</f>
        <v>4529.8690050000005</v>
      </c>
      <c r="T777" s="6">
        <v>0</v>
      </c>
      <c r="U777" s="6">
        <v>0</v>
      </c>
      <c r="V777" s="6">
        <v>0</v>
      </c>
      <c r="W777" s="6">
        <v>0</v>
      </c>
      <c r="X777" s="6">
        <v>0</v>
      </c>
      <c r="Y777" s="6">
        <v>0</v>
      </c>
      <c r="Z777" s="6">
        <v>0</v>
      </c>
      <c r="AA777" s="6">
        <v>0</v>
      </c>
      <c r="AB777" s="6">
        <v>0</v>
      </c>
      <c r="AC777" s="6">
        <v>0</v>
      </c>
      <c r="AD777" s="6">
        <v>0</v>
      </c>
      <c r="AE777" s="6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  <c r="AY777" s="10"/>
      <c r="AZ777" s="10"/>
      <c r="BA777" s="10"/>
      <c r="BB777" s="10"/>
      <c r="BC777" s="10"/>
      <c r="BD777" s="15"/>
      <c r="BE777" s="15"/>
      <c r="BF777" s="15"/>
      <c r="BG777" s="15"/>
      <c r="BH777" s="15"/>
      <c r="BI777" s="15"/>
      <c r="BJ777" s="15"/>
      <c r="BK777" s="15"/>
      <c r="BL777" s="6"/>
      <c r="BM777" s="6"/>
      <c r="BN777" s="6"/>
      <c r="BO777" s="6"/>
      <c r="BP777" s="6"/>
      <c r="BQ777" s="6"/>
      <c r="BR777" s="6"/>
      <c r="BS777" s="6"/>
      <c r="BT777" s="6"/>
      <c r="BU777" s="6"/>
      <c r="BV777" s="6"/>
      <c r="BW777" s="6"/>
      <c r="BX777" s="6"/>
      <c r="BY777" s="6"/>
      <c r="BZ777" s="6"/>
      <c r="CA777" s="6"/>
      <c r="CB777" s="6"/>
      <c r="CC777" s="6"/>
      <c r="CD777" s="6"/>
      <c r="CE777" s="6"/>
      <c r="CF777" s="5"/>
      <c r="CH777" s="5" t="s">
        <v>562</v>
      </c>
    </row>
    <row r="778" spans="1:86" outlineLevel="1">
      <c r="B778" s="6" t="s">
        <v>234</v>
      </c>
      <c r="C778" s="10"/>
      <c r="D778" s="10"/>
      <c r="E778" s="10"/>
      <c r="F778" s="10"/>
      <c r="G778" s="10"/>
      <c r="H778" s="15">
        <v>9.5977599999999992</v>
      </c>
      <c r="I778" s="15">
        <v>40.143700000000003</v>
      </c>
      <c r="J778" s="15">
        <v>88.045824999999994</v>
      </c>
      <c r="K778" s="15">
        <v>40.178626000000001</v>
      </c>
      <c r="L778" s="15">
        <v>96.857641000000001</v>
      </c>
      <c r="M778" s="15">
        <v>60.994078000000002</v>
      </c>
      <c r="N778" s="15">
        <v>54.416536000000001</v>
      </c>
      <c r="O778" s="15">
        <v>81.911153999999996</v>
      </c>
      <c r="P778" s="15">
        <v>180.26109</v>
      </c>
      <c r="Q778" s="15">
        <v>184.579173</v>
      </c>
      <c r="R778" s="16">
        <v>52.117597000000004</v>
      </c>
      <c r="S778" s="9">
        <v>211.72024200000001</v>
      </c>
      <c r="T778" s="6">
        <v>0</v>
      </c>
      <c r="U778" s="6">
        <v>0</v>
      </c>
      <c r="V778" s="6">
        <v>0</v>
      </c>
      <c r="W778" s="6">
        <v>0</v>
      </c>
      <c r="X778" s="6">
        <v>0</v>
      </c>
      <c r="Y778" s="6">
        <v>0</v>
      </c>
      <c r="Z778" s="6">
        <v>0</v>
      </c>
      <c r="AA778" s="6">
        <v>0</v>
      </c>
      <c r="AB778" s="6">
        <v>0</v>
      </c>
      <c r="AC778" s="6">
        <v>0</v>
      </c>
      <c r="AD778" s="6">
        <v>0</v>
      </c>
      <c r="AE778" s="6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  <c r="AY778" s="10"/>
      <c r="AZ778" s="10"/>
      <c r="BA778" s="10"/>
      <c r="BB778" s="10"/>
      <c r="BC778" s="10"/>
      <c r="BD778" s="15"/>
      <c r="BE778" s="15"/>
      <c r="BF778" s="15"/>
      <c r="BG778" s="15"/>
      <c r="BH778" s="15"/>
      <c r="BI778" s="15"/>
      <c r="BJ778" s="15"/>
      <c r="BK778" s="15"/>
      <c r="BL778" s="6"/>
      <c r="BM778" s="6"/>
      <c r="BN778" s="6"/>
      <c r="BO778" s="6"/>
      <c r="BP778" s="6"/>
      <c r="BQ778" s="6"/>
      <c r="BR778" s="6"/>
      <c r="BS778" s="6"/>
      <c r="BT778" s="6"/>
      <c r="BU778" s="6"/>
      <c r="BV778" s="6"/>
      <c r="BW778" s="6"/>
      <c r="BX778" s="6"/>
      <c r="BY778" s="6"/>
      <c r="BZ778" s="6"/>
      <c r="CA778" s="6"/>
      <c r="CB778" s="6"/>
      <c r="CC778" s="6"/>
      <c r="CD778" s="6"/>
      <c r="CE778" s="6"/>
      <c r="CF778" s="5"/>
      <c r="CH778" s="5" t="s">
        <v>562</v>
      </c>
    </row>
    <row r="779" spans="1:86" outlineLevel="1">
      <c r="B779" s="6" t="s">
        <v>235</v>
      </c>
      <c r="C779" s="10"/>
      <c r="D779" s="10"/>
      <c r="E779" s="10"/>
      <c r="F779" s="10"/>
      <c r="G779" s="10"/>
      <c r="H779" s="15">
        <v>0</v>
      </c>
      <c r="I779" s="15">
        <v>0</v>
      </c>
      <c r="J779" s="15">
        <v>0</v>
      </c>
      <c r="K779" s="15">
        <v>0</v>
      </c>
      <c r="L779" s="15">
        <v>0</v>
      </c>
      <c r="M779" s="15">
        <v>0</v>
      </c>
      <c r="N779" s="15">
        <v>-158.761225</v>
      </c>
      <c r="O779" s="15">
        <v>-1733.127675</v>
      </c>
      <c r="P779" s="15">
        <v>0</v>
      </c>
      <c r="Q779" s="15">
        <v>-446.155147</v>
      </c>
      <c r="R779" s="16">
        <v>-872.29089099999999</v>
      </c>
      <c r="S779" s="9">
        <v>0</v>
      </c>
      <c r="T779" s="6">
        <v>0</v>
      </c>
      <c r="U779" s="6">
        <v>0</v>
      </c>
      <c r="V779" s="6">
        <v>0</v>
      </c>
      <c r="W779" s="6">
        <v>0</v>
      </c>
      <c r="X779" s="6">
        <v>0</v>
      </c>
      <c r="Y779" s="6">
        <v>0</v>
      </c>
      <c r="Z779" s="6">
        <v>0</v>
      </c>
      <c r="AA779" s="6">
        <v>0</v>
      </c>
      <c r="AB779" s="6">
        <v>0</v>
      </c>
      <c r="AC779" s="6">
        <v>0</v>
      </c>
      <c r="AD779" s="6">
        <v>0</v>
      </c>
      <c r="AE779" s="6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  <c r="AY779" s="10"/>
      <c r="AZ779" s="10"/>
      <c r="BA779" s="10"/>
      <c r="BB779" s="10"/>
      <c r="BC779" s="10"/>
      <c r="BD779" s="15"/>
      <c r="BE779" s="15"/>
      <c r="BF779" s="15"/>
      <c r="BG779" s="15"/>
      <c r="BH779" s="15"/>
      <c r="BI779" s="15"/>
      <c r="BJ779" s="15"/>
      <c r="BK779" s="15"/>
      <c r="BL779" s="6"/>
      <c r="BM779" s="6"/>
      <c r="BN779" s="6"/>
      <c r="BO779" s="6"/>
      <c r="BP779" s="6"/>
      <c r="BQ779" s="6"/>
      <c r="BR779" s="6"/>
      <c r="BS779" s="6"/>
      <c r="BT779" s="6"/>
      <c r="BU779" s="6"/>
      <c r="BV779" s="6"/>
      <c r="BW779" s="6"/>
      <c r="BX779" s="6"/>
      <c r="BY779" s="6"/>
      <c r="BZ779" s="6"/>
      <c r="CA779" s="6"/>
      <c r="CB779" s="6"/>
      <c r="CC779" s="6"/>
      <c r="CD779" s="6"/>
      <c r="CE779" s="6"/>
      <c r="CF779" s="5"/>
      <c r="CH779" s="5" t="s">
        <v>562</v>
      </c>
    </row>
    <row r="780" spans="1:86" outlineLevel="1">
      <c r="B780" s="6" t="s">
        <v>236</v>
      </c>
      <c r="C780" s="10"/>
      <c r="D780" s="10"/>
      <c r="E780" s="10"/>
      <c r="F780" s="10"/>
      <c r="G780" s="10"/>
      <c r="H780" s="15">
        <v>0</v>
      </c>
      <c r="I780" s="15">
        <v>0</v>
      </c>
      <c r="J780" s="15">
        <v>0.49</v>
      </c>
      <c r="K780" s="15">
        <v>0</v>
      </c>
      <c r="L780" s="15">
        <v>0</v>
      </c>
      <c r="M780" s="15">
        <v>0.15</v>
      </c>
      <c r="N780" s="15">
        <v>-10.404358999999999</v>
      </c>
      <c r="O780" s="15">
        <v>-40.289731000000003</v>
      </c>
      <c r="P780" s="15">
        <v>-8.2142999999999994E-2</v>
      </c>
      <c r="Q780" s="15">
        <v>-36.792354000000003</v>
      </c>
      <c r="R780" s="16">
        <v>-46.236902000000001</v>
      </c>
      <c r="S780" s="9">
        <v>-6532.152666</v>
      </c>
      <c r="T780" s="6">
        <v>0</v>
      </c>
      <c r="U780" s="6">
        <v>0</v>
      </c>
      <c r="V780" s="6">
        <v>0</v>
      </c>
      <c r="W780" s="6">
        <v>0</v>
      </c>
      <c r="X780" s="6">
        <v>0</v>
      </c>
      <c r="Y780" s="6">
        <v>0</v>
      </c>
      <c r="Z780" s="6">
        <v>0</v>
      </c>
      <c r="AA780" s="6">
        <v>0</v>
      </c>
      <c r="AB780" s="6">
        <v>0</v>
      </c>
      <c r="AC780" s="6">
        <v>0</v>
      </c>
      <c r="AD780" s="6">
        <v>0</v>
      </c>
      <c r="AE780" s="6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  <c r="AY780" s="10"/>
      <c r="AZ780" s="10"/>
      <c r="BA780" s="10"/>
      <c r="BB780" s="10"/>
      <c r="BC780" s="10"/>
      <c r="BD780" s="15"/>
      <c r="BE780" s="15"/>
      <c r="BF780" s="15"/>
      <c r="BG780" s="15"/>
      <c r="BH780" s="15"/>
      <c r="BI780" s="15"/>
      <c r="BJ780" s="15"/>
      <c r="BK780" s="15"/>
      <c r="BL780" s="6"/>
      <c r="BM780" s="6"/>
      <c r="BN780" s="6"/>
      <c r="BO780" s="6"/>
      <c r="BP780" s="6"/>
      <c r="BQ780" s="6"/>
      <c r="BR780" s="6"/>
      <c r="BS780" s="6"/>
      <c r="BT780" s="6"/>
      <c r="BU780" s="6"/>
      <c r="BV780" s="6"/>
      <c r="BW780" s="6"/>
      <c r="BX780" s="6"/>
      <c r="BY780" s="6"/>
      <c r="BZ780" s="6"/>
      <c r="CA780" s="6"/>
      <c r="CB780" s="6"/>
      <c r="CC780" s="6"/>
      <c r="CD780" s="6"/>
      <c r="CE780" s="6"/>
      <c r="CF780" s="5"/>
      <c r="CH780" s="5" t="s">
        <v>562</v>
      </c>
    </row>
    <row r="781" spans="1:86" outlineLevel="1">
      <c r="B781" s="6" t="s">
        <v>237</v>
      </c>
      <c r="C781" s="10"/>
      <c r="D781" s="10"/>
      <c r="E781" s="10"/>
      <c r="F781" s="10"/>
      <c r="G781" s="10"/>
      <c r="H781" s="15">
        <v>0</v>
      </c>
      <c r="I781" s="15">
        <v>0</v>
      </c>
      <c r="J781" s="15">
        <v>0</v>
      </c>
      <c r="K781" s="15">
        <v>0</v>
      </c>
      <c r="L781" s="15">
        <v>0</v>
      </c>
      <c r="M781" s="15">
        <v>0</v>
      </c>
      <c r="N781" s="15">
        <v>0</v>
      </c>
      <c r="O781" s="15">
        <v>63.709828000000002</v>
      </c>
      <c r="P781" s="15">
        <v>132.70998900000001</v>
      </c>
      <c r="Q781" s="15">
        <v>186.47564</v>
      </c>
      <c r="R781" s="16">
        <v>725.51251300000001</v>
      </c>
      <c r="S781" s="5">
        <v>0</v>
      </c>
      <c r="T781" s="6">
        <v>0</v>
      </c>
      <c r="U781" s="6">
        <v>0</v>
      </c>
      <c r="V781" s="6">
        <v>0</v>
      </c>
      <c r="W781" s="6">
        <v>0</v>
      </c>
      <c r="X781" s="6">
        <v>0</v>
      </c>
      <c r="Y781" s="6">
        <v>0</v>
      </c>
      <c r="Z781" s="6">
        <v>0</v>
      </c>
      <c r="AA781" s="6">
        <v>0</v>
      </c>
      <c r="AB781" s="6">
        <v>0</v>
      </c>
      <c r="AC781" s="6">
        <v>0</v>
      </c>
      <c r="AD781" s="6">
        <v>0</v>
      </c>
      <c r="AE781" s="6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  <c r="AY781" s="10"/>
      <c r="AZ781" s="10"/>
      <c r="BA781" s="10"/>
      <c r="BB781" s="10"/>
      <c r="BC781" s="10"/>
      <c r="BD781" s="15"/>
      <c r="BE781" s="15"/>
      <c r="BF781" s="15"/>
      <c r="BG781" s="15"/>
      <c r="BH781" s="15"/>
      <c r="BI781" s="15"/>
      <c r="BJ781" s="15"/>
      <c r="BK781" s="15"/>
      <c r="BL781" s="6"/>
      <c r="BM781" s="6"/>
      <c r="BN781" s="6"/>
      <c r="BO781" s="6"/>
      <c r="BP781" s="6"/>
      <c r="BQ781" s="6"/>
      <c r="BR781" s="6"/>
      <c r="BS781" s="6"/>
      <c r="BT781" s="6"/>
      <c r="BU781" s="6"/>
      <c r="BV781" s="6"/>
      <c r="BW781" s="6"/>
      <c r="BX781" s="6"/>
      <c r="BY781" s="6"/>
      <c r="BZ781" s="6"/>
      <c r="CA781" s="6"/>
      <c r="CB781" s="6"/>
      <c r="CC781" s="6"/>
      <c r="CD781" s="6"/>
      <c r="CE781" s="6"/>
      <c r="CF781" s="5"/>
      <c r="CH781" s="5" t="s">
        <v>562</v>
      </c>
    </row>
    <row r="782" spans="1:86" outlineLevel="1">
      <c r="B782" s="6" t="s">
        <v>238</v>
      </c>
      <c r="C782" s="10"/>
      <c r="D782" s="10"/>
      <c r="E782" s="10"/>
      <c r="F782" s="10"/>
      <c r="G782" s="10"/>
      <c r="H782" s="15">
        <v>0</v>
      </c>
      <c r="I782" s="15">
        <v>0</v>
      </c>
      <c r="J782" s="15">
        <v>0</v>
      </c>
      <c r="K782" s="15">
        <v>0</v>
      </c>
      <c r="L782" s="15">
        <v>0</v>
      </c>
      <c r="M782" s="15">
        <v>0</v>
      </c>
      <c r="N782" s="15">
        <v>0</v>
      </c>
      <c r="O782" s="15">
        <v>1097.1954000000001</v>
      </c>
      <c r="P782" s="15">
        <v>4723.5117200000004</v>
      </c>
      <c r="Q782" s="15">
        <v>3069</v>
      </c>
      <c r="R782" s="16">
        <v>14736.2</v>
      </c>
      <c r="S782" s="9">
        <v>6544.9660359999998</v>
      </c>
      <c r="T782" s="6">
        <v>0</v>
      </c>
      <c r="U782" s="6">
        <v>0</v>
      </c>
      <c r="V782" s="6">
        <v>0</v>
      </c>
      <c r="W782" s="6">
        <v>0</v>
      </c>
      <c r="X782" s="6">
        <v>0</v>
      </c>
      <c r="Y782" s="6">
        <v>0</v>
      </c>
      <c r="Z782" s="6">
        <v>0</v>
      </c>
      <c r="AA782" s="6">
        <v>0</v>
      </c>
      <c r="AB782" s="6">
        <v>0</v>
      </c>
      <c r="AC782" s="6">
        <v>0</v>
      </c>
      <c r="AD782" s="6">
        <v>0</v>
      </c>
      <c r="AE782" s="6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  <c r="AY782" s="10"/>
      <c r="AZ782" s="10"/>
      <c r="BA782" s="10"/>
      <c r="BB782" s="10"/>
      <c r="BC782" s="10"/>
      <c r="BD782" s="15"/>
      <c r="BE782" s="15"/>
      <c r="BF782" s="15"/>
      <c r="BG782" s="15"/>
      <c r="BH782" s="15"/>
      <c r="BI782" s="15"/>
      <c r="BJ782" s="15"/>
      <c r="BK782" s="15"/>
      <c r="BL782" s="6"/>
      <c r="BM782" s="6"/>
      <c r="BN782" s="6"/>
      <c r="BO782" s="6"/>
      <c r="BP782" s="6"/>
      <c r="BQ782" s="6"/>
      <c r="BR782" s="6"/>
      <c r="BS782" s="6"/>
      <c r="BT782" s="6"/>
      <c r="BU782" s="6"/>
      <c r="BV782" s="6"/>
      <c r="BW782" s="6"/>
      <c r="BX782" s="6"/>
      <c r="BY782" s="6"/>
      <c r="BZ782" s="6"/>
      <c r="CA782" s="6"/>
      <c r="CB782" s="6"/>
      <c r="CC782" s="6"/>
      <c r="CD782" s="6"/>
      <c r="CE782" s="6"/>
      <c r="CF782" s="5"/>
      <c r="CH782" s="5" t="s">
        <v>562</v>
      </c>
    </row>
    <row r="783" spans="1:86" outlineLevel="1">
      <c r="B783" s="6" t="s">
        <v>239</v>
      </c>
      <c r="C783" s="10"/>
      <c r="D783" s="10"/>
      <c r="E783" s="10"/>
      <c r="F783" s="10"/>
      <c r="G783" s="10"/>
      <c r="H783" s="15">
        <v>0</v>
      </c>
      <c r="I783" s="15">
        <v>0</v>
      </c>
      <c r="J783" s="15">
        <v>0</v>
      </c>
      <c r="K783" s="15">
        <v>0</v>
      </c>
      <c r="L783" s="15">
        <v>0</v>
      </c>
      <c r="M783" s="15">
        <v>0</v>
      </c>
      <c r="N783" s="15">
        <v>0</v>
      </c>
      <c r="O783" s="15">
        <v>167.50395</v>
      </c>
      <c r="P783" s="15">
        <v>470.83890400000001</v>
      </c>
      <c r="Q783" s="15">
        <v>0</v>
      </c>
      <c r="R783" s="16">
        <v>523.404</v>
      </c>
      <c r="S783" s="5">
        <v>0</v>
      </c>
      <c r="T783" s="6">
        <v>0</v>
      </c>
      <c r="U783" s="6">
        <v>0</v>
      </c>
      <c r="V783" s="6">
        <v>0</v>
      </c>
      <c r="W783" s="6">
        <v>0</v>
      </c>
      <c r="X783" s="6">
        <v>0</v>
      </c>
      <c r="Y783" s="6">
        <v>0</v>
      </c>
      <c r="Z783" s="6">
        <v>0</v>
      </c>
      <c r="AA783" s="6">
        <v>0</v>
      </c>
      <c r="AB783" s="6">
        <v>0</v>
      </c>
      <c r="AC783" s="6">
        <v>0</v>
      </c>
      <c r="AD783" s="6">
        <v>0</v>
      </c>
      <c r="AE783" s="6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  <c r="AY783" s="10"/>
      <c r="AZ783" s="10"/>
      <c r="BA783" s="10"/>
      <c r="BB783" s="10"/>
      <c r="BC783" s="10"/>
      <c r="BD783" s="15"/>
      <c r="BE783" s="15"/>
      <c r="BF783" s="15"/>
      <c r="BG783" s="15"/>
      <c r="BH783" s="15"/>
      <c r="BI783" s="15"/>
      <c r="BJ783" s="15"/>
      <c r="BK783" s="15"/>
      <c r="BL783" s="6"/>
      <c r="BM783" s="6"/>
      <c r="BN783" s="6"/>
      <c r="BO783" s="6"/>
      <c r="BP783" s="6"/>
      <c r="BQ783" s="6"/>
      <c r="BR783" s="6"/>
      <c r="BS783" s="6"/>
      <c r="BT783" s="6"/>
      <c r="BU783" s="6"/>
      <c r="BV783" s="6"/>
      <c r="BW783" s="6"/>
      <c r="BX783" s="6"/>
      <c r="BY783" s="6"/>
      <c r="BZ783" s="6"/>
      <c r="CA783" s="6"/>
      <c r="CB783" s="6"/>
      <c r="CC783" s="6"/>
      <c r="CD783" s="6"/>
      <c r="CE783" s="6"/>
      <c r="CF783" s="5"/>
      <c r="CH783" s="5" t="s">
        <v>562</v>
      </c>
    </row>
    <row r="784" spans="1:86" outlineLevel="1">
      <c r="B784" s="6" t="s">
        <v>240</v>
      </c>
      <c r="C784" s="10"/>
      <c r="D784" s="10"/>
      <c r="E784" s="10"/>
      <c r="F784" s="10"/>
      <c r="G784" s="10"/>
      <c r="H784" s="15">
        <v>0</v>
      </c>
      <c r="I784" s="15">
        <v>0</v>
      </c>
      <c r="J784" s="15">
        <v>0</v>
      </c>
      <c r="K784" s="15">
        <v>0</v>
      </c>
      <c r="L784" s="15">
        <v>0</v>
      </c>
      <c r="M784" s="15">
        <v>0</v>
      </c>
      <c r="N784" s="15">
        <v>0</v>
      </c>
      <c r="O784" s="15">
        <v>-346.00922200000002</v>
      </c>
      <c r="P784" s="15">
        <v>-842.69494399999996</v>
      </c>
      <c r="Q784" s="15">
        <v>0</v>
      </c>
      <c r="R784" s="16">
        <v>0</v>
      </c>
      <c r="S784" s="5">
        <v>0</v>
      </c>
      <c r="T784" s="6">
        <v>0</v>
      </c>
      <c r="U784" s="6">
        <v>0</v>
      </c>
      <c r="V784" s="6">
        <v>0</v>
      </c>
      <c r="W784" s="6">
        <v>0</v>
      </c>
      <c r="X784" s="6">
        <v>0</v>
      </c>
      <c r="Y784" s="6">
        <v>0</v>
      </c>
      <c r="Z784" s="6">
        <v>0</v>
      </c>
      <c r="AA784" s="6">
        <v>0</v>
      </c>
      <c r="AB784" s="6">
        <v>0</v>
      </c>
      <c r="AC784" s="6">
        <v>0</v>
      </c>
      <c r="AD784" s="6">
        <v>0</v>
      </c>
      <c r="AE784" s="6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  <c r="AY784" s="10"/>
      <c r="AZ784" s="10"/>
      <c r="BA784" s="10"/>
      <c r="BB784" s="10"/>
      <c r="BC784" s="10"/>
      <c r="BD784" s="15"/>
      <c r="BE784" s="15"/>
      <c r="BF784" s="15"/>
      <c r="BG784" s="15"/>
      <c r="BH784" s="15"/>
      <c r="BI784" s="15"/>
      <c r="BJ784" s="15"/>
      <c r="BK784" s="15"/>
      <c r="BL784" s="6"/>
      <c r="BM784" s="6"/>
      <c r="BN784" s="6"/>
      <c r="BO784" s="6"/>
      <c r="BP784" s="6"/>
      <c r="BQ784" s="6"/>
      <c r="BR784" s="6"/>
      <c r="BS784" s="6"/>
      <c r="BT784" s="6"/>
      <c r="BU784" s="6"/>
      <c r="BV784" s="6"/>
      <c r="BW784" s="6"/>
      <c r="BX784" s="6"/>
      <c r="BY784" s="6"/>
      <c r="BZ784" s="6"/>
      <c r="CA784" s="6"/>
      <c r="CB784" s="6"/>
      <c r="CC784" s="6"/>
      <c r="CD784" s="6"/>
      <c r="CE784" s="6"/>
      <c r="CF784" s="5"/>
      <c r="CH784" s="5" t="s">
        <v>562</v>
      </c>
    </row>
    <row r="785" spans="1:96" outlineLevel="1">
      <c r="B785" s="6" t="s">
        <v>241</v>
      </c>
      <c r="C785" s="10"/>
      <c r="D785" s="10"/>
      <c r="E785" s="10"/>
      <c r="F785" s="10"/>
      <c r="G785" s="10"/>
      <c r="H785" s="15">
        <v>0</v>
      </c>
      <c r="I785" s="15">
        <v>0</v>
      </c>
      <c r="J785" s="15">
        <v>0</v>
      </c>
      <c r="K785" s="15">
        <v>0</v>
      </c>
      <c r="L785" s="15">
        <v>0</v>
      </c>
      <c r="M785" s="15">
        <v>0</v>
      </c>
      <c r="N785" s="15">
        <v>0</v>
      </c>
      <c r="O785" s="15">
        <v>-259.93585300000001</v>
      </c>
      <c r="P785" s="15">
        <v>264.745135</v>
      </c>
      <c r="Q785" s="15">
        <v>0</v>
      </c>
      <c r="R785" s="16">
        <v>0</v>
      </c>
      <c r="S785" s="5">
        <v>0</v>
      </c>
      <c r="T785" s="6">
        <v>0</v>
      </c>
      <c r="U785" s="6">
        <v>0</v>
      </c>
      <c r="V785" s="6">
        <v>0</v>
      </c>
      <c r="W785" s="6">
        <v>0</v>
      </c>
      <c r="X785" s="6">
        <v>0</v>
      </c>
      <c r="Y785" s="6">
        <v>0</v>
      </c>
      <c r="Z785" s="6">
        <v>0</v>
      </c>
      <c r="AA785" s="6">
        <v>0</v>
      </c>
      <c r="AB785" s="6">
        <v>0</v>
      </c>
      <c r="AC785" s="6">
        <v>0</v>
      </c>
      <c r="AD785" s="6">
        <v>0</v>
      </c>
      <c r="AE785" s="6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  <c r="AY785" s="10"/>
      <c r="AZ785" s="10"/>
      <c r="BA785" s="10"/>
      <c r="BB785" s="10"/>
      <c r="BC785" s="10"/>
      <c r="BD785" s="15"/>
      <c r="BE785" s="15"/>
      <c r="BF785" s="15"/>
      <c r="BG785" s="15"/>
      <c r="BH785" s="15"/>
      <c r="BI785" s="15"/>
      <c r="BJ785" s="15"/>
      <c r="BK785" s="15"/>
      <c r="BL785" s="6"/>
      <c r="BM785" s="6"/>
      <c r="BN785" s="6"/>
      <c r="BO785" s="6"/>
      <c r="BP785" s="6"/>
      <c r="BQ785" s="6"/>
      <c r="BR785" s="6"/>
      <c r="BS785" s="6"/>
      <c r="BT785" s="6"/>
      <c r="BU785" s="6"/>
      <c r="BV785" s="6"/>
      <c r="BW785" s="6"/>
      <c r="BX785" s="6"/>
      <c r="BY785" s="6"/>
      <c r="BZ785" s="6"/>
      <c r="CA785" s="6"/>
      <c r="CB785" s="6"/>
      <c r="CC785" s="6"/>
      <c r="CD785" s="6"/>
      <c r="CE785" s="6"/>
      <c r="CF785" s="5"/>
      <c r="CH785" s="5" t="s">
        <v>562</v>
      </c>
    </row>
    <row r="786" spans="1:96" outlineLevel="1">
      <c r="B786" s="6" t="s">
        <v>242</v>
      </c>
      <c r="C786" s="10"/>
      <c r="D786" s="10"/>
      <c r="E786" s="10"/>
      <c r="F786" s="10"/>
      <c r="G786" s="10"/>
      <c r="H786" s="15">
        <v>0</v>
      </c>
      <c r="I786" s="15">
        <v>0</v>
      </c>
      <c r="J786" s="15">
        <v>0</v>
      </c>
      <c r="K786" s="15">
        <v>0</v>
      </c>
      <c r="L786" s="15">
        <v>0</v>
      </c>
      <c r="M786" s="15">
        <v>0</v>
      </c>
      <c r="N786" s="15">
        <v>0</v>
      </c>
      <c r="O786" s="15">
        <v>0</v>
      </c>
      <c r="P786" s="15">
        <v>70.270919000000006</v>
      </c>
      <c r="Q786" s="15">
        <v>0</v>
      </c>
      <c r="R786" s="16">
        <v>-805.50400000000002</v>
      </c>
      <c r="S786" s="5">
        <v>0</v>
      </c>
      <c r="T786" s="6">
        <v>0</v>
      </c>
      <c r="U786" s="6">
        <v>0</v>
      </c>
      <c r="V786" s="6">
        <v>0</v>
      </c>
      <c r="W786" s="6">
        <v>0</v>
      </c>
      <c r="X786" s="6">
        <v>0</v>
      </c>
      <c r="Y786" s="6">
        <v>0</v>
      </c>
      <c r="Z786" s="6">
        <v>0</v>
      </c>
      <c r="AA786" s="6">
        <v>0</v>
      </c>
      <c r="AB786" s="6">
        <v>0</v>
      </c>
      <c r="AC786" s="6">
        <v>0</v>
      </c>
      <c r="AD786" s="6">
        <v>0</v>
      </c>
      <c r="AE786" s="6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  <c r="AY786" s="10"/>
      <c r="AZ786" s="10"/>
      <c r="BA786" s="10"/>
      <c r="BB786" s="10"/>
      <c r="BC786" s="10"/>
      <c r="BD786" s="15"/>
      <c r="BE786" s="15"/>
      <c r="BF786" s="15"/>
      <c r="BG786" s="15"/>
      <c r="BH786" s="15"/>
      <c r="BI786" s="15"/>
      <c r="BJ786" s="15"/>
      <c r="BK786" s="15"/>
      <c r="BL786" s="6"/>
      <c r="BM786" s="6"/>
      <c r="BN786" s="6"/>
      <c r="BO786" s="6"/>
      <c r="BP786" s="6"/>
      <c r="BQ786" s="6"/>
      <c r="BR786" s="6"/>
      <c r="BS786" s="6"/>
      <c r="BT786" s="6"/>
      <c r="BU786" s="6"/>
      <c r="BV786" s="6"/>
      <c r="BW786" s="6"/>
      <c r="BX786" s="6"/>
      <c r="BY786" s="6"/>
      <c r="BZ786" s="6"/>
      <c r="CA786" s="6"/>
      <c r="CB786" s="6"/>
      <c r="CC786" s="6"/>
      <c r="CD786" s="6"/>
      <c r="CE786" s="6"/>
      <c r="CF786" s="5"/>
      <c r="CH786" s="5" t="s">
        <v>562</v>
      </c>
    </row>
    <row r="787" spans="1:96" outlineLevel="1">
      <c r="B787" s="6" t="s">
        <v>243</v>
      </c>
      <c r="C787" s="10"/>
      <c r="D787" s="10"/>
      <c r="E787" s="10"/>
      <c r="F787" s="10"/>
      <c r="G787" s="10"/>
      <c r="H787" s="15">
        <v>0</v>
      </c>
      <c r="I787" s="15">
        <v>0</v>
      </c>
      <c r="J787" s="15">
        <v>0</v>
      </c>
      <c r="K787" s="15">
        <v>0</v>
      </c>
      <c r="L787" s="15">
        <v>0</v>
      </c>
      <c r="M787" s="15">
        <v>0</v>
      </c>
      <c r="N787" s="15">
        <v>0</v>
      </c>
      <c r="O787" s="15">
        <v>0</v>
      </c>
      <c r="P787" s="15">
        <v>-4.7064190000000004</v>
      </c>
      <c r="Q787" s="15">
        <v>0</v>
      </c>
      <c r="R787" s="16">
        <v>0</v>
      </c>
      <c r="S787" s="9">
        <v>-2033.967447</v>
      </c>
      <c r="T787" s="6">
        <v>0</v>
      </c>
      <c r="U787" s="6">
        <v>0</v>
      </c>
      <c r="V787" s="6">
        <v>0</v>
      </c>
      <c r="W787" s="6">
        <v>0</v>
      </c>
      <c r="X787" s="6">
        <v>0</v>
      </c>
      <c r="Y787" s="6">
        <v>0</v>
      </c>
      <c r="Z787" s="6">
        <v>0</v>
      </c>
      <c r="AA787" s="6">
        <v>0</v>
      </c>
      <c r="AB787" s="6">
        <v>0</v>
      </c>
      <c r="AC787" s="6">
        <v>0</v>
      </c>
      <c r="AD787" s="6">
        <v>0</v>
      </c>
      <c r="AE787" s="6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  <c r="AY787" s="10"/>
      <c r="AZ787" s="10"/>
      <c r="BA787" s="10"/>
      <c r="BB787" s="10"/>
      <c r="BC787" s="10"/>
      <c r="BD787" s="15"/>
      <c r="BE787" s="15"/>
      <c r="BF787" s="15"/>
      <c r="BG787" s="15"/>
      <c r="BH787" s="15"/>
      <c r="BI787" s="15"/>
      <c r="BJ787" s="15"/>
      <c r="BK787" s="15"/>
      <c r="BL787" s="6"/>
      <c r="BM787" s="6"/>
      <c r="BN787" s="6"/>
      <c r="BO787" s="6"/>
      <c r="BP787" s="6"/>
      <c r="BQ787" s="6"/>
      <c r="BR787" s="6"/>
      <c r="BS787" s="6"/>
      <c r="BT787" s="6"/>
      <c r="BU787" s="6"/>
      <c r="BV787" s="6"/>
      <c r="BW787" s="6"/>
      <c r="BX787" s="6"/>
      <c r="BY787" s="6"/>
      <c r="BZ787" s="6"/>
      <c r="CA787" s="6"/>
      <c r="CB787" s="6"/>
      <c r="CC787" s="6"/>
      <c r="CD787" s="6"/>
      <c r="CE787" s="6"/>
      <c r="CF787" s="5"/>
      <c r="CH787" s="5" t="s">
        <v>562</v>
      </c>
    </row>
    <row r="788" spans="1:96" outlineLevel="1">
      <c r="B788" s="6" t="s">
        <v>775</v>
      </c>
      <c r="C788" s="10"/>
      <c r="D788" s="10"/>
      <c r="E788" s="10"/>
      <c r="F788" s="10"/>
      <c r="G788" s="10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6"/>
      <c r="S788" s="9">
        <v>10652.571135</v>
      </c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  <c r="AY788" s="10"/>
      <c r="AZ788" s="10"/>
      <c r="BA788" s="10"/>
      <c r="BB788" s="10"/>
      <c r="BC788" s="10"/>
      <c r="BD788" s="15"/>
      <c r="BE788" s="15"/>
      <c r="BF788" s="15"/>
      <c r="BG788" s="15"/>
      <c r="BH788" s="15"/>
      <c r="BI788" s="15"/>
      <c r="BJ788" s="15"/>
      <c r="BK788" s="15"/>
      <c r="BL788" s="6"/>
      <c r="BM788" s="6"/>
      <c r="BN788" s="6"/>
      <c r="BO788" s="6"/>
      <c r="BP788" s="6"/>
      <c r="BQ788" s="6"/>
      <c r="BR788" s="6"/>
      <c r="BS788" s="6"/>
      <c r="BT788" s="6"/>
      <c r="BU788" s="6"/>
      <c r="BV788" s="6"/>
      <c r="BW788" s="6"/>
      <c r="BX788" s="6"/>
      <c r="BY788" s="6"/>
      <c r="BZ788" s="6"/>
      <c r="CA788" s="6"/>
      <c r="CB788" s="6"/>
      <c r="CC788" s="6"/>
      <c r="CD788" s="6"/>
      <c r="CE788" s="6"/>
      <c r="CF788" s="5"/>
      <c r="CH788" s="5" t="s">
        <v>562</v>
      </c>
    </row>
    <row r="789" spans="1:96" outlineLevel="1">
      <c r="B789" s="6" t="s">
        <v>776</v>
      </c>
      <c r="C789" s="10"/>
      <c r="D789" s="10"/>
      <c r="E789" s="10"/>
      <c r="F789" s="10"/>
      <c r="G789" s="10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6"/>
      <c r="S789" s="9">
        <f>-1820.911519+651.053394</f>
        <v>-1169.858125</v>
      </c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  <c r="AY789" s="10"/>
      <c r="AZ789" s="10"/>
      <c r="BA789" s="10"/>
      <c r="BB789" s="10"/>
      <c r="BC789" s="10"/>
      <c r="BD789" s="15"/>
      <c r="BE789" s="15"/>
      <c r="BF789" s="15"/>
      <c r="BG789" s="15"/>
      <c r="BH789" s="15"/>
      <c r="BI789" s="15"/>
      <c r="BJ789" s="15"/>
      <c r="BK789" s="15"/>
      <c r="BL789" s="6"/>
      <c r="BM789" s="6"/>
      <c r="BN789" s="6"/>
      <c r="BO789" s="6"/>
      <c r="BP789" s="6"/>
      <c r="BQ789" s="6"/>
      <c r="BR789" s="6"/>
      <c r="BS789" s="6"/>
      <c r="BT789" s="6"/>
      <c r="BU789" s="6"/>
      <c r="BV789" s="6"/>
      <c r="BW789" s="6"/>
      <c r="BX789" s="6"/>
      <c r="BY789" s="6"/>
      <c r="BZ789" s="6"/>
      <c r="CA789" s="6"/>
      <c r="CB789" s="6"/>
      <c r="CC789" s="6"/>
      <c r="CD789" s="6"/>
      <c r="CE789" s="6"/>
      <c r="CF789" s="5"/>
      <c r="CH789" s="5" t="s">
        <v>562</v>
      </c>
    </row>
    <row r="790" spans="1:96" outlineLevel="1">
      <c r="B790" s="6" t="s">
        <v>244</v>
      </c>
      <c r="C790" s="10"/>
      <c r="D790" s="10"/>
      <c r="E790" s="10"/>
      <c r="F790" s="10"/>
      <c r="G790" s="10"/>
      <c r="H790" s="10">
        <v>-39.937887000000003</v>
      </c>
      <c r="I790" s="10">
        <v>-67.273747</v>
      </c>
      <c r="J790" s="10">
        <v>-72.169155000000003</v>
      </c>
      <c r="K790" s="10">
        <v>-112.266834</v>
      </c>
      <c r="L790" s="10">
        <v>0</v>
      </c>
      <c r="M790" s="10">
        <v>1564.203741</v>
      </c>
      <c r="N790" s="10">
        <v>0</v>
      </c>
      <c r="O790" s="10">
        <v>0.6532</v>
      </c>
      <c r="P790" s="10">
        <v>0</v>
      </c>
      <c r="Q790" s="10">
        <v>139.39317800000001</v>
      </c>
      <c r="R790" s="16">
        <v>275.97248300000001</v>
      </c>
      <c r="S790" s="9">
        <v>86.609482</v>
      </c>
      <c r="T790" s="6">
        <v>0</v>
      </c>
      <c r="U790" s="6">
        <v>0</v>
      </c>
      <c r="V790" s="6">
        <v>0</v>
      </c>
      <c r="W790" s="6">
        <v>0</v>
      </c>
      <c r="X790" s="6">
        <v>0</v>
      </c>
      <c r="Y790" s="6">
        <v>0</v>
      </c>
      <c r="Z790" s="6">
        <v>0</v>
      </c>
      <c r="AA790" s="6">
        <v>0</v>
      </c>
      <c r="AB790" s="6">
        <v>0</v>
      </c>
      <c r="AC790" s="6">
        <v>0</v>
      </c>
      <c r="AD790" s="6">
        <v>0</v>
      </c>
      <c r="AE790" s="6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  <c r="AY790" s="10"/>
      <c r="AZ790" s="10"/>
      <c r="BA790" s="10"/>
      <c r="BB790" s="10"/>
      <c r="BC790" s="10"/>
      <c r="BD790" s="10"/>
      <c r="BE790" s="10"/>
      <c r="BF790" s="10"/>
      <c r="BG790" s="10"/>
      <c r="BH790" s="10"/>
      <c r="BI790" s="10"/>
      <c r="BJ790" s="10"/>
      <c r="BK790" s="10"/>
      <c r="BL790" s="6"/>
      <c r="BM790" s="6"/>
      <c r="BN790" s="6"/>
      <c r="BO790" s="6"/>
      <c r="BP790" s="6"/>
      <c r="BQ790" s="6"/>
      <c r="BR790" s="6"/>
      <c r="BS790" s="6"/>
      <c r="BT790" s="6"/>
      <c r="BU790" s="6"/>
      <c r="BV790" s="6"/>
      <c r="BW790" s="6"/>
      <c r="BX790" s="6"/>
      <c r="BY790" s="6"/>
      <c r="BZ790" s="6"/>
      <c r="CA790" s="6"/>
      <c r="CB790" s="6"/>
      <c r="CC790" s="6"/>
      <c r="CD790" s="6"/>
      <c r="CE790" s="6"/>
      <c r="CF790" s="5"/>
      <c r="CH790" s="5" t="s">
        <v>562</v>
      </c>
    </row>
    <row r="791" spans="1:96" outlineLevel="1">
      <c r="A791" s="3" t="s">
        <v>245</v>
      </c>
      <c r="B791" s="20" t="s">
        <v>246</v>
      </c>
      <c r="C791" s="19"/>
      <c r="D791" s="19"/>
      <c r="E791" s="19"/>
      <c r="F791" s="19"/>
      <c r="G791" s="19"/>
      <c r="H791" s="20">
        <f t="shared" ref="H791:AD791" si="934">SUM(H777:H790)</f>
        <v>-30.340127000000003</v>
      </c>
      <c r="I791" s="20">
        <f t="shared" si="934"/>
        <v>-27.130046999999998</v>
      </c>
      <c r="J791" s="20">
        <f t="shared" si="934"/>
        <v>16.366669999999985</v>
      </c>
      <c r="K791" s="20">
        <f t="shared" si="934"/>
        <v>-72.088208000000009</v>
      </c>
      <c r="L791" s="20">
        <f t="shared" si="934"/>
        <v>96.857641000000001</v>
      </c>
      <c r="M791" s="20">
        <f t="shared" si="934"/>
        <v>1625.3478190000001</v>
      </c>
      <c r="N791" s="20">
        <f t="shared" si="934"/>
        <v>-114.74904799999999</v>
      </c>
      <c r="O791" s="20">
        <f t="shared" si="934"/>
        <v>-514.91032100000007</v>
      </c>
      <c r="P791" s="20">
        <f t="shared" si="934"/>
        <v>5315.974964</v>
      </c>
      <c r="Q791" s="20">
        <f t="shared" si="934"/>
        <v>5422.1954619999997</v>
      </c>
      <c r="R791" s="20">
        <f t="shared" si="934"/>
        <v>15233.586343999999</v>
      </c>
      <c r="S791" s="47">
        <f t="shared" si="934"/>
        <v>12289.757662</v>
      </c>
      <c r="T791" s="20">
        <f t="shared" si="934"/>
        <v>0</v>
      </c>
      <c r="U791" s="20">
        <f t="shared" si="934"/>
        <v>0</v>
      </c>
      <c r="V791" s="20">
        <f t="shared" si="934"/>
        <v>0</v>
      </c>
      <c r="W791" s="20">
        <f t="shared" si="934"/>
        <v>0</v>
      </c>
      <c r="X791" s="20">
        <f t="shared" si="934"/>
        <v>0</v>
      </c>
      <c r="Y791" s="20">
        <f t="shared" si="934"/>
        <v>0</v>
      </c>
      <c r="Z791" s="20">
        <f t="shared" si="934"/>
        <v>0</v>
      </c>
      <c r="AA791" s="20">
        <f t="shared" si="934"/>
        <v>0</v>
      </c>
      <c r="AB791" s="20">
        <f t="shared" si="934"/>
        <v>0</v>
      </c>
      <c r="AC791" s="20">
        <f t="shared" si="934"/>
        <v>0</v>
      </c>
      <c r="AD791" s="20">
        <f t="shared" si="934"/>
        <v>0</v>
      </c>
      <c r="AE791" s="20"/>
      <c r="AF791" s="19"/>
      <c r="AG791" s="19"/>
      <c r="AH791" s="19"/>
      <c r="AI791" s="19"/>
      <c r="AJ791" s="19"/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/>
      <c r="AW791" s="19"/>
      <c r="AX791" s="19"/>
      <c r="AY791" s="19"/>
      <c r="AZ791" s="19"/>
      <c r="BA791" s="19"/>
      <c r="BB791" s="19"/>
      <c r="BC791" s="19"/>
      <c r="BD791" s="104"/>
      <c r="BE791" s="104"/>
      <c r="BF791" s="104"/>
      <c r="BG791" s="104"/>
      <c r="BH791" s="104"/>
      <c r="BI791" s="104"/>
      <c r="BJ791" s="104"/>
      <c r="BK791" s="104"/>
      <c r="BL791" s="20"/>
      <c r="BM791" s="20"/>
      <c r="BN791" s="20"/>
      <c r="BO791" s="20"/>
      <c r="BP791" s="20"/>
      <c r="BQ791" s="20"/>
      <c r="BR791" s="20"/>
      <c r="BS791" s="20"/>
      <c r="BT791" s="20"/>
      <c r="BU791" s="20"/>
      <c r="BV791" s="20"/>
      <c r="BW791" s="20"/>
      <c r="BX791" s="84"/>
      <c r="BY791" s="84"/>
      <c r="BZ791" s="84"/>
      <c r="CA791" s="84"/>
      <c r="CB791" s="84"/>
      <c r="CC791" s="84"/>
      <c r="CD791" s="84"/>
      <c r="CE791" s="84"/>
      <c r="CF791" s="22"/>
      <c r="CH791" s="5" t="s">
        <v>562</v>
      </c>
    </row>
    <row r="792" spans="1:96" outlineLevel="1">
      <c r="A792" s="3" t="s">
        <v>247</v>
      </c>
      <c r="B792" s="23" t="s">
        <v>248</v>
      </c>
      <c r="C792" s="6"/>
      <c r="D792" s="6"/>
      <c r="E792" s="6"/>
      <c r="F792" s="6"/>
      <c r="G792" s="6"/>
      <c r="H792" s="23">
        <v>-9.0216630000000002</v>
      </c>
      <c r="I792" s="23">
        <v>-4.4579149999999998</v>
      </c>
      <c r="J792" s="23">
        <v>-12.338794</v>
      </c>
      <c r="K792" s="23">
        <v>-14.654641</v>
      </c>
      <c r="L792" s="23">
        <v>2.7123149999999998</v>
      </c>
      <c r="M792" s="23">
        <v>-15.848428</v>
      </c>
      <c r="N792" s="15">
        <v>-47.12529</v>
      </c>
      <c r="O792" s="15">
        <v>19.204726999999998</v>
      </c>
      <c r="P792" s="15">
        <v>34.153266000000002</v>
      </c>
      <c r="Q792" s="15">
        <v>148.15456499999999</v>
      </c>
      <c r="R792" s="10">
        <v>58.971946000000003</v>
      </c>
      <c r="S792" s="9">
        <v>1481.9974199999999</v>
      </c>
      <c r="T792" s="6">
        <v>0</v>
      </c>
      <c r="U792" s="6">
        <v>0</v>
      </c>
      <c r="V792" s="6">
        <v>0</v>
      </c>
      <c r="W792" s="6">
        <v>0</v>
      </c>
      <c r="X792" s="6">
        <v>0</v>
      </c>
      <c r="Y792" s="6">
        <v>0</v>
      </c>
      <c r="Z792" s="6">
        <v>0</v>
      </c>
      <c r="AA792" s="6">
        <v>0</v>
      </c>
      <c r="AB792" s="6">
        <v>0</v>
      </c>
      <c r="AC792" s="6">
        <v>0</v>
      </c>
      <c r="AD792" s="6">
        <v>0</v>
      </c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23"/>
      <c r="BE792" s="23"/>
      <c r="BF792" s="23"/>
      <c r="BG792" s="23"/>
      <c r="BH792" s="23"/>
      <c r="BI792" s="23"/>
      <c r="BJ792" s="23"/>
      <c r="BK792" s="23"/>
      <c r="BL792" s="6"/>
      <c r="BM792" s="6"/>
      <c r="BN792" s="6"/>
      <c r="BO792" s="6"/>
      <c r="BP792" s="6"/>
      <c r="BQ792" s="6"/>
      <c r="BR792" s="6"/>
      <c r="BS792" s="6"/>
      <c r="BT792" s="6"/>
      <c r="BU792" s="6"/>
      <c r="BV792" s="6"/>
      <c r="BW792" s="6"/>
      <c r="BX792" s="6"/>
      <c r="BY792" s="6"/>
      <c r="BZ792" s="6"/>
      <c r="CA792" s="6"/>
      <c r="CB792" s="6"/>
      <c r="CC792" s="6"/>
      <c r="CD792" s="6"/>
      <c r="CE792" s="6"/>
      <c r="CF792" s="5"/>
      <c r="CH792" s="5" t="s">
        <v>562</v>
      </c>
    </row>
    <row r="793" spans="1:96" outlineLevel="1">
      <c r="A793" s="3" t="s">
        <v>338</v>
      </c>
      <c r="B793" s="39" t="s">
        <v>249</v>
      </c>
      <c r="C793" s="6"/>
      <c r="D793" s="6"/>
      <c r="E793" s="6"/>
      <c r="F793" s="6"/>
      <c r="G793" s="6"/>
      <c r="H793" s="23">
        <f t="shared" ref="H793:Q793" si="935">H761+H774+H791+H792</f>
        <v>119.18631099999995</v>
      </c>
      <c r="I793" s="23">
        <f t="shared" si="935"/>
        <v>109.33067299999995</v>
      </c>
      <c r="J793" s="23">
        <f t="shared" si="935"/>
        <v>220.02567399999987</v>
      </c>
      <c r="K793" s="23">
        <f t="shared" si="935"/>
        <v>5.2286800000002511</v>
      </c>
      <c r="L793" s="23">
        <f t="shared" si="935"/>
        <v>364.79083800000029</v>
      </c>
      <c r="M793" s="23">
        <f t="shared" si="935"/>
        <v>719.30672899999922</v>
      </c>
      <c r="N793" s="23">
        <f t="shared" si="935"/>
        <v>1349.493307</v>
      </c>
      <c r="O793" s="23">
        <f t="shared" si="935"/>
        <v>-81.895447000000615</v>
      </c>
      <c r="P793" s="23">
        <f t="shared" si="935"/>
        <v>3716.8118520000003</v>
      </c>
      <c r="Q793" s="23">
        <f t="shared" si="935"/>
        <v>-1837.4570149999988</v>
      </c>
      <c r="R793" s="6">
        <f t="shared" ref="R793:AD793" si="936">R795-R794</f>
        <v>13914.977709000003</v>
      </c>
      <c r="S793" s="5">
        <f t="shared" si="936"/>
        <v>-780.99342299999989</v>
      </c>
      <c r="T793" s="6">
        <f t="shared" si="936"/>
        <v>-191.68956400000025</v>
      </c>
      <c r="U793" s="6">
        <f t="shared" ca="1" si="936"/>
        <v>3358.0258805293561</v>
      </c>
      <c r="V793" s="6">
        <f t="shared" ca="1" si="936"/>
        <v>5324.7038344929533</v>
      </c>
      <c r="W793" s="6">
        <f t="shared" ca="1" si="936"/>
        <v>8338.6178698001022</v>
      </c>
      <c r="X793" s="6">
        <f t="shared" ca="1" si="936"/>
        <v>9727.701535051463</v>
      </c>
      <c r="Y793" s="6">
        <f t="shared" ca="1" si="936"/>
        <v>12763.293838164551</v>
      </c>
      <c r="Z793" s="6">
        <f t="shared" ca="1" si="936"/>
        <v>16437.496814562226</v>
      </c>
      <c r="AA793" s="6">
        <f t="shared" ca="1" si="936"/>
        <v>18230.561904347414</v>
      </c>
      <c r="AB793" s="6">
        <f t="shared" ca="1" si="936"/>
        <v>21550.378266593689</v>
      </c>
      <c r="AC793" s="6">
        <f t="shared" ca="1" si="936"/>
        <v>24916.46753909807</v>
      </c>
      <c r="AD793" s="6">
        <f t="shared" ca="1" si="936"/>
        <v>28269.923632196558</v>
      </c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23"/>
      <c r="BE793" s="23"/>
      <c r="BF793" s="23"/>
      <c r="BG793" s="23"/>
      <c r="BH793" s="23"/>
      <c r="BI793" s="23"/>
      <c r="BJ793" s="23"/>
      <c r="BK793" s="23"/>
      <c r="BL793" s="6"/>
      <c r="BM793" s="6"/>
      <c r="BN793" s="6"/>
      <c r="BO793" s="6"/>
      <c r="BP793" s="6"/>
      <c r="BQ793" s="6"/>
      <c r="BR793" s="6"/>
      <c r="BS793" s="6"/>
      <c r="BT793" s="6"/>
      <c r="BU793" s="6"/>
      <c r="BV793" s="6"/>
      <c r="BW793" s="6"/>
      <c r="BX793" s="6"/>
      <c r="BY793" s="6"/>
      <c r="BZ793" s="6"/>
      <c r="CA793" s="6"/>
      <c r="CB793" s="6"/>
      <c r="CC793" s="6"/>
      <c r="CD793" s="6"/>
      <c r="CE793" s="6"/>
      <c r="CF793" s="5"/>
      <c r="CH793" s="5" t="s">
        <v>562</v>
      </c>
    </row>
    <row r="794" spans="1:96" outlineLevel="1">
      <c r="A794" s="3" t="s">
        <v>339</v>
      </c>
      <c r="B794" s="6" t="s">
        <v>250</v>
      </c>
      <c r="C794" s="6"/>
      <c r="D794" s="6"/>
      <c r="E794" s="6"/>
      <c r="F794" s="6"/>
      <c r="G794" s="6"/>
      <c r="H794" s="23">
        <v>615.87536299999999</v>
      </c>
      <c r="I794" s="23">
        <f t="shared" ref="I794:AD794" si="937">H795</f>
        <v>735.06167399999993</v>
      </c>
      <c r="J794" s="23">
        <f t="shared" si="937"/>
        <v>844.39234699999986</v>
      </c>
      <c r="K794" s="23">
        <f t="shared" si="937"/>
        <v>1064.4180209999997</v>
      </c>
      <c r="L794" s="23">
        <f t="shared" si="937"/>
        <v>1069.6467009999999</v>
      </c>
      <c r="M794" s="23">
        <f t="shared" si="937"/>
        <v>1434.4375390000002</v>
      </c>
      <c r="N794" s="23">
        <f t="shared" si="937"/>
        <v>2153.7442679999995</v>
      </c>
      <c r="O794" s="23">
        <f t="shared" si="937"/>
        <v>3503.2375749999992</v>
      </c>
      <c r="P794" s="23">
        <f t="shared" si="937"/>
        <v>3421.3421279999984</v>
      </c>
      <c r="Q794" s="23">
        <f t="shared" si="937"/>
        <v>7138.1539799999991</v>
      </c>
      <c r="R794" s="6">
        <f t="shared" si="937"/>
        <v>5300.6969650000001</v>
      </c>
      <c r="S794" s="5">
        <f t="shared" si="937"/>
        <v>19215.674674000002</v>
      </c>
      <c r="T794" s="6">
        <f t="shared" si="937"/>
        <v>18434.681251000002</v>
      </c>
      <c r="U794" s="6">
        <f t="shared" si="937"/>
        <v>18242.991687000002</v>
      </c>
      <c r="V794" s="6">
        <f t="shared" ca="1" si="937"/>
        <v>21601.017567529358</v>
      </c>
      <c r="W794" s="6">
        <f t="shared" ca="1" si="937"/>
        <v>26925.721402022311</v>
      </c>
      <c r="X794" s="6">
        <f t="shared" ca="1" si="937"/>
        <v>35264.339271822413</v>
      </c>
      <c r="Y794" s="6">
        <f t="shared" ca="1" si="937"/>
        <v>44992.040806873876</v>
      </c>
      <c r="Z794" s="6">
        <f t="shared" ca="1" si="937"/>
        <v>57755.334645038427</v>
      </c>
      <c r="AA794" s="6">
        <f t="shared" ca="1" si="937"/>
        <v>74192.831459600653</v>
      </c>
      <c r="AB794" s="6">
        <f t="shared" ca="1" si="937"/>
        <v>92423.393363948067</v>
      </c>
      <c r="AC794" s="6">
        <f t="shared" ca="1" si="937"/>
        <v>113973.77163054176</v>
      </c>
      <c r="AD794" s="6">
        <f t="shared" ca="1" si="937"/>
        <v>138890.23916963983</v>
      </c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23"/>
      <c r="BE794" s="23"/>
      <c r="BF794" s="23"/>
      <c r="BG794" s="23"/>
      <c r="BH794" s="23"/>
      <c r="BI794" s="23"/>
      <c r="BJ794" s="23"/>
      <c r="BK794" s="23"/>
      <c r="BL794" s="6"/>
      <c r="BM794" s="6"/>
      <c r="BN794" s="6"/>
      <c r="BO794" s="6"/>
      <c r="BP794" s="6"/>
      <c r="BQ794" s="6"/>
      <c r="BR794" s="6"/>
      <c r="BS794" s="6"/>
      <c r="BT794" s="6"/>
      <c r="BU794" s="6"/>
      <c r="BV794" s="6"/>
      <c r="BW794" s="6"/>
      <c r="BX794" s="6"/>
      <c r="BY794" s="6"/>
      <c r="BZ794" s="6"/>
      <c r="CA794" s="6"/>
      <c r="CB794" s="6"/>
      <c r="CC794" s="6"/>
      <c r="CD794" s="6"/>
      <c r="CE794" s="6"/>
      <c r="CF794" s="5"/>
      <c r="CH794" s="5" t="s">
        <v>562</v>
      </c>
    </row>
    <row r="795" spans="1:96" ht="15.75" outlineLevel="1" thickBot="1">
      <c r="A795" s="3" t="s">
        <v>340</v>
      </c>
      <c r="B795" s="106" t="s">
        <v>251</v>
      </c>
      <c r="C795" s="107"/>
      <c r="D795" s="107"/>
      <c r="E795" s="107"/>
      <c r="F795" s="107"/>
      <c r="G795" s="107"/>
      <c r="H795" s="106">
        <f t="shared" ref="H795:Q795" si="938">H793+H794</f>
        <v>735.06167399999993</v>
      </c>
      <c r="I795" s="106">
        <f t="shared" si="938"/>
        <v>844.39234699999986</v>
      </c>
      <c r="J795" s="106">
        <f t="shared" si="938"/>
        <v>1064.4180209999997</v>
      </c>
      <c r="K795" s="106">
        <f t="shared" si="938"/>
        <v>1069.6467009999999</v>
      </c>
      <c r="L795" s="106">
        <f t="shared" si="938"/>
        <v>1434.4375390000002</v>
      </c>
      <c r="M795" s="106">
        <f t="shared" si="938"/>
        <v>2153.7442679999995</v>
      </c>
      <c r="N795" s="106">
        <f t="shared" si="938"/>
        <v>3503.2375749999992</v>
      </c>
      <c r="O795" s="106">
        <f t="shared" si="938"/>
        <v>3421.3421279999984</v>
      </c>
      <c r="P795" s="106">
        <f t="shared" si="938"/>
        <v>7138.1539799999991</v>
      </c>
      <c r="Q795" s="106">
        <f t="shared" si="938"/>
        <v>5300.6969650000001</v>
      </c>
      <c r="R795" s="106">
        <f t="shared" ref="R795:AD795" si="939">R525</f>
        <v>19215.674674000002</v>
      </c>
      <c r="S795" s="106">
        <f t="shared" si="939"/>
        <v>18434.681251000002</v>
      </c>
      <c r="T795" s="106">
        <f t="shared" si="939"/>
        <v>18242.991687000002</v>
      </c>
      <c r="U795" s="106">
        <f t="shared" ca="1" si="939"/>
        <v>21601.017567529358</v>
      </c>
      <c r="V795" s="106">
        <f t="shared" ca="1" si="939"/>
        <v>26925.721402022311</v>
      </c>
      <c r="W795" s="106">
        <f t="shared" ca="1" si="939"/>
        <v>35264.339271822413</v>
      </c>
      <c r="X795" s="106">
        <f t="shared" ca="1" si="939"/>
        <v>44992.040806873876</v>
      </c>
      <c r="Y795" s="106">
        <f t="shared" ca="1" si="939"/>
        <v>57755.334645038427</v>
      </c>
      <c r="Z795" s="106">
        <f t="shared" ca="1" si="939"/>
        <v>74192.831459600653</v>
      </c>
      <c r="AA795" s="106">
        <f t="shared" ca="1" si="939"/>
        <v>92423.393363948067</v>
      </c>
      <c r="AB795" s="106">
        <f t="shared" ca="1" si="939"/>
        <v>113973.77163054176</v>
      </c>
      <c r="AC795" s="106">
        <f t="shared" ca="1" si="939"/>
        <v>138890.23916963983</v>
      </c>
      <c r="AD795" s="106">
        <f t="shared" ca="1" si="939"/>
        <v>167160.16280183638</v>
      </c>
      <c r="AE795" s="106"/>
      <c r="AF795" s="107"/>
      <c r="AG795" s="107"/>
      <c r="AH795" s="107"/>
      <c r="AI795" s="107"/>
      <c r="AJ795" s="107"/>
      <c r="AK795" s="107"/>
      <c r="AL795" s="107"/>
      <c r="AM795" s="107"/>
      <c r="AN795" s="107"/>
      <c r="AO795" s="107"/>
      <c r="AP795" s="107"/>
      <c r="AQ795" s="107"/>
      <c r="AR795" s="107"/>
      <c r="AS795" s="107"/>
      <c r="AT795" s="107"/>
      <c r="AU795" s="107"/>
      <c r="AV795" s="107"/>
      <c r="AW795" s="107"/>
      <c r="AX795" s="107"/>
      <c r="AY795" s="107"/>
      <c r="AZ795" s="107"/>
      <c r="BA795" s="107"/>
      <c r="BB795" s="107"/>
      <c r="BC795" s="107"/>
      <c r="BD795" s="108">
        <v>3939.7638480000001</v>
      </c>
      <c r="BE795" s="108">
        <v>2750.5239230000002</v>
      </c>
      <c r="BF795" s="108">
        <v>3074.3168059999998</v>
      </c>
      <c r="BG795" s="108">
        <v>7138.344814</v>
      </c>
      <c r="BH795" s="108">
        <v>6930.7280840000003</v>
      </c>
      <c r="BI795" s="108">
        <v>6548.6221519999999</v>
      </c>
      <c r="BJ795" s="108">
        <v>6969.9562480000004</v>
      </c>
      <c r="BK795" s="108">
        <v>5300.8877990000001</v>
      </c>
      <c r="BL795" s="501"/>
      <c r="BM795" s="501"/>
      <c r="BN795" s="501"/>
      <c r="BO795" s="501"/>
      <c r="BP795" s="604"/>
      <c r="BQ795" s="604"/>
      <c r="BR795" s="604"/>
      <c r="BS795" s="604"/>
      <c r="BT795" s="604"/>
      <c r="BU795" s="604"/>
      <c r="BV795" s="106"/>
      <c r="BW795" s="106"/>
      <c r="BX795" s="84"/>
      <c r="BY795" s="84"/>
      <c r="BZ795" s="84"/>
      <c r="CA795" s="84"/>
      <c r="CB795" s="84"/>
      <c r="CC795" s="84"/>
      <c r="CD795" s="84"/>
      <c r="CE795" s="84"/>
      <c r="CF795" s="22"/>
      <c r="CH795" s="5" t="s">
        <v>562</v>
      </c>
    </row>
    <row r="796" spans="1:96" ht="15.75" outlineLevel="1" thickTop="1"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  <c r="BH796" s="6"/>
      <c r="BI796" s="6"/>
      <c r="BJ796" s="6"/>
      <c r="BK796" s="6"/>
      <c r="BL796" s="6"/>
      <c r="BM796" s="6"/>
      <c r="BN796" s="6"/>
      <c r="BO796" s="6"/>
      <c r="BP796" s="6"/>
      <c r="BQ796" s="6"/>
      <c r="BR796" s="6"/>
      <c r="BS796" s="6"/>
      <c r="BT796" s="6"/>
      <c r="BU796" s="6"/>
      <c r="BV796" s="6"/>
      <c r="BW796" s="6"/>
      <c r="BX796" s="6"/>
      <c r="BY796" s="6"/>
      <c r="BZ796" s="6"/>
      <c r="CA796" s="6"/>
      <c r="CB796" s="6"/>
      <c r="CC796" s="6"/>
      <c r="CD796" s="6"/>
      <c r="CE796" s="6"/>
      <c r="CF796" s="5"/>
      <c r="CH796" s="5" t="s">
        <v>562</v>
      </c>
    </row>
    <row r="797" spans="1:96" outlineLevel="1">
      <c r="B797" s="13" t="s">
        <v>314</v>
      </c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  <c r="BH797" s="6"/>
      <c r="BI797" s="6"/>
      <c r="BJ797" s="6"/>
      <c r="BK797" s="6"/>
      <c r="BL797" s="6"/>
      <c r="BM797" s="6"/>
      <c r="BN797" s="6"/>
      <c r="BO797" s="6"/>
      <c r="BP797" s="6"/>
      <c r="BQ797" s="6"/>
      <c r="BR797" s="6"/>
      <c r="BS797" s="6"/>
      <c r="BT797" s="6"/>
      <c r="BU797" s="6"/>
      <c r="BV797" s="6"/>
      <c r="BW797" s="6"/>
      <c r="BX797" s="6"/>
      <c r="BY797" s="6"/>
      <c r="BZ797" s="6"/>
      <c r="CA797" s="6"/>
      <c r="CB797" s="6"/>
      <c r="CC797" s="6"/>
      <c r="CD797" s="6"/>
      <c r="CE797" s="6"/>
      <c r="CF797" s="5"/>
      <c r="CH797" s="5" t="s">
        <v>562</v>
      </c>
    </row>
    <row r="798" spans="1:96" outlineLevel="1">
      <c r="B798" s="38" t="s">
        <v>137</v>
      </c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109">
        <f t="shared" ref="N798:AD798" si="940">N793-N792-N791-N774-N761</f>
        <v>0</v>
      </c>
      <c r="O798" s="109">
        <f t="shared" si="940"/>
        <v>0</v>
      </c>
      <c r="P798" s="109">
        <f t="shared" si="940"/>
        <v>0</v>
      </c>
      <c r="Q798" s="109">
        <f t="shared" si="940"/>
        <v>0</v>
      </c>
      <c r="R798" s="109">
        <f t="shared" si="940"/>
        <v>0</v>
      </c>
      <c r="S798" s="109">
        <f t="shared" si="940"/>
        <v>0</v>
      </c>
      <c r="T798" s="109">
        <f t="shared" si="940"/>
        <v>0</v>
      </c>
      <c r="U798" s="109">
        <f t="shared" ca="1" si="940"/>
        <v>0</v>
      </c>
      <c r="V798" s="109">
        <f t="shared" ca="1" si="940"/>
        <v>0</v>
      </c>
      <c r="W798" s="109">
        <f t="shared" ca="1" si="940"/>
        <v>0</v>
      </c>
      <c r="X798" s="109">
        <f t="shared" ca="1" si="940"/>
        <v>0</v>
      </c>
      <c r="Y798" s="109">
        <f t="shared" ca="1" si="940"/>
        <v>0</v>
      </c>
      <c r="Z798" s="109">
        <f t="shared" ca="1" si="940"/>
        <v>0</v>
      </c>
      <c r="AA798" s="109">
        <f t="shared" ca="1" si="940"/>
        <v>0</v>
      </c>
      <c r="AB798" s="109">
        <f t="shared" ca="1" si="940"/>
        <v>0</v>
      </c>
      <c r="AC798" s="109">
        <f t="shared" ca="1" si="940"/>
        <v>0</v>
      </c>
      <c r="AD798" s="109">
        <f t="shared" ca="1" si="940"/>
        <v>0</v>
      </c>
      <c r="AE798" s="109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  <c r="BH798" s="6"/>
      <c r="BI798" s="6"/>
      <c r="BJ798" s="6"/>
      <c r="BK798" s="6"/>
      <c r="BL798" s="6"/>
      <c r="BM798" s="6"/>
      <c r="BN798" s="6"/>
      <c r="BO798" s="6"/>
      <c r="BP798" s="6"/>
      <c r="BQ798" s="6"/>
      <c r="BR798" s="6"/>
      <c r="BS798" s="6"/>
      <c r="BT798" s="6"/>
      <c r="BU798" s="6"/>
      <c r="BV798" s="6"/>
      <c r="BW798" s="6"/>
      <c r="BX798" s="6"/>
      <c r="BY798" s="6"/>
      <c r="BZ798" s="6"/>
      <c r="CA798" s="6"/>
      <c r="CB798" s="6"/>
      <c r="CC798" s="6"/>
      <c r="CD798" s="6"/>
      <c r="CE798" s="6"/>
      <c r="CF798" s="5"/>
      <c r="CH798" s="5" t="s">
        <v>562</v>
      </c>
    </row>
    <row r="799" spans="1:96" s="38" customFormat="1" outlineLevel="1">
      <c r="A799" s="35"/>
      <c r="B799" s="38" t="s">
        <v>137</v>
      </c>
      <c r="C799" s="36"/>
      <c r="D799" s="36"/>
      <c r="E799" s="36"/>
      <c r="F799" s="36"/>
      <c r="G799" s="36"/>
      <c r="H799" s="36"/>
      <c r="I799" s="109">
        <f t="shared" ref="I799:AD799" si="941">I795-I525</f>
        <v>-2.5700000014694524E-4</v>
      </c>
      <c r="J799" s="109">
        <f t="shared" si="941"/>
        <v>-2.5700000037431892E-4</v>
      </c>
      <c r="K799" s="109">
        <f t="shared" si="941"/>
        <v>-0.18066300000009505</v>
      </c>
      <c r="L799" s="109">
        <f t="shared" si="941"/>
        <v>-0.18084299999986797</v>
      </c>
      <c r="M799" s="109">
        <f t="shared" si="941"/>
        <v>-0.19084300000031362</v>
      </c>
      <c r="N799" s="109">
        <f t="shared" si="941"/>
        <v>-0.19084300000076837</v>
      </c>
      <c r="O799" s="109">
        <f t="shared" si="941"/>
        <v>-0.19083400000181427</v>
      </c>
      <c r="P799" s="109">
        <f t="shared" si="941"/>
        <v>-0.19083400000090478</v>
      </c>
      <c r="Q799" s="109">
        <f t="shared" si="941"/>
        <v>-0.19083399999999529</v>
      </c>
      <c r="R799" s="109">
        <f t="shared" si="941"/>
        <v>0</v>
      </c>
      <c r="S799" s="109">
        <f t="shared" si="941"/>
        <v>0</v>
      </c>
      <c r="T799" s="109">
        <f t="shared" si="941"/>
        <v>0</v>
      </c>
      <c r="U799" s="109">
        <f t="shared" ca="1" si="941"/>
        <v>0</v>
      </c>
      <c r="V799" s="109">
        <f t="shared" ca="1" si="941"/>
        <v>0</v>
      </c>
      <c r="W799" s="109">
        <f t="shared" ca="1" si="941"/>
        <v>0</v>
      </c>
      <c r="X799" s="109">
        <f t="shared" ca="1" si="941"/>
        <v>0</v>
      </c>
      <c r="Y799" s="109">
        <f t="shared" ca="1" si="941"/>
        <v>0</v>
      </c>
      <c r="Z799" s="109">
        <f t="shared" ca="1" si="941"/>
        <v>0</v>
      </c>
      <c r="AA799" s="109">
        <f t="shared" ca="1" si="941"/>
        <v>0</v>
      </c>
      <c r="AB799" s="109">
        <f t="shared" ca="1" si="941"/>
        <v>0</v>
      </c>
      <c r="AC799" s="109">
        <f t="shared" ca="1" si="941"/>
        <v>0</v>
      </c>
      <c r="AD799" s="109">
        <f t="shared" ca="1" si="941"/>
        <v>0</v>
      </c>
      <c r="AE799" s="109"/>
      <c r="AF799" s="36"/>
      <c r="AG799" s="36"/>
      <c r="AH799" s="36"/>
      <c r="AI799" s="36"/>
      <c r="AJ799" s="109">
        <f t="shared" ref="AJ799:BW799" si="942">AJ795-AJ525</f>
        <v>0</v>
      </c>
      <c r="AK799" s="109">
        <f t="shared" si="942"/>
        <v>0</v>
      </c>
      <c r="AL799" s="109">
        <f t="shared" si="942"/>
        <v>0</v>
      </c>
      <c r="AM799" s="109">
        <f t="shared" si="942"/>
        <v>0</v>
      </c>
      <c r="AN799" s="109">
        <f t="shared" si="942"/>
        <v>0</v>
      </c>
      <c r="AO799" s="109">
        <f t="shared" si="942"/>
        <v>0</v>
      </c>
      <c r="AP799" s="109">
        <f t="shared" si="942"/>
        <v>0</v>
      </c>
      <c r="AQ799" s="109">
        <f t="shared" si="942"/>
        <v>0</v>
      </c>
      <c r="AR799" s="109">
        <f t="shared" si="942"/>
        <v>0</v>
      </c>
      <c r="AS799" s="109">
        <f t="shared" si="942"/>
        <v>0</v>
      </c>
      <c r="AT799" s="109">
        <f t="shared" si="942"/>
        <v>0</v>
      </c>
      <c r="AU799" s="109">
        <f t="shared" si="942"/>
        <v>0</v>
      </c>
      <c r="AV799" s="109">
        <f t="shared" si="942"/>
        <v>0</v>
      </c>
      <c r="AW799" s="109">
        <f t="shared" si="942"/>
        <v>0</v>
      </c>
      <c r="AX799" s="109">
        <f t="shared" si="942"/>
        <v>0</v>
      </c>
      <c r="AY799" s="109">
        <f t="shared" si="942"/>
        <v>-3503.428418</v>
      </c>
      <c r="AZ799" s="109">
        <f t="shared" si="942"/>
        <v>0</v>
      </c>
      <c r="BA799" s="109">
        <f t="shared" si="942"/>
        <v>0</v>
      </c>
      <c r="BB799" s="109">
        <f t="shared" si="942"/>
        <v>0</v>
      </c>
      <c r="BC799" s="109">
        <f t="shared" si="942"/>
        <v>-3421.5329620000002</v>
      </c>
      <c r="BD799" s="109">
        <f t="shared" si="942"/>
        <v>0</v>
      </c>
      <c r="BE799" s="109">
        <f t="shared" si="942"/>
        <v>0</v>
      </c>
      <c r="BF799" s="109">
        <f t="shared" si="942"/>
        <v>0</v>
      </c>
      <c r="BG799" s="109">
        <f t="shared" si="942"/>
        <v>0</v>
      </c>
      <c r="BH799" s="109">
        <f t="shared" si="942"/>
        <v>0</v>
      </c>
      <c r="BI799" s="109">
        <f t="shared" si="942"/>
        <v>0</v>
      </c>
      <c r="BJ799" s="109">
        <f t="shared" si="942"/>
        <v>0</v>
      </c>
      <c r="BK799" s="109">
        <f t="shared" si="942"/>
        <v>0</v>
      </c>
      <c r="BL799" s="109">
        <f t="shared" si="942"/>
        <v>-4311.3690219999999</v>
      </c>
      <c r="BM799" s="109">
        <f t="shared" si="942"/>
        <v>-12923.666794000001</v>
      </c>
      <c r="BN799" s="109">
        <f t="shared" si="942"/>
        <v>-8946.0059870000005</v>
      </c>
      <c r="BO799" s="109">
        <f t="shared" si="942"/>
        <v>-19215.674674000002</v>
      </c>
      <c r="BP799" s="109">
        <f t="shared" si="942"/>
        <v>-12405.65472</v>
      </c>
      <c r="BQ799" s="109">
        <f t="shared" si="942"/>
        <v>-10116.920988</v>
      </c>
      <c r="BR799" s="109">
        <f t="shared" si="942"/>
        <v>-30772.339369000001</v>
      </c>
      <c r="BS799" s="109">
        <f t="shared" si="942"/>
        <v>-18434.681251000002</v>
      </c>
      <c r="BT799" s="109">
        <f t="shared" si="942"/>
        <v>-18920.074163000001</v>
      </c>
      <c r="BU799" s="109">
        <f t="shared" si="942"/>
        <v>-16196.266530000001</v>
      </c>
      <c r="BV799" s="109">
        <f t="shared" si="942"/>
        <v>-18323.479861</v>
      </c>
      <c r="BW799" s="109">
        <f t="shared" si="942"/>
        <v>-18242.991687000002</v>
      </c>
      <c r="BX799" s="109"/>
      <c r="BY799" s="109"/>
      <c r="BZ799" s="109"/>
      <c r="CA799" s="109"/>
      <c r="CB799" s="109"/>
      <c r="CC799" s="109"/>
      <c r="CD799" s="109"/>
      <c r="CE799" s="109"/>
      <c r="CF799" s="110"/>
      <c r="CH799" s="5" t="s">
        <v>562</v>
      </c>
      <c r="CI799" s="35"/>
      <c r="CJ799"/>
      <c r="CK799"/>
      <c r="CL799"/>
      <c r="CM799"/>
      <c r="CN799"/>
      <c r="CO799"/>
      <c r="CP799" s="35"/>
      <c r="CQ799" s="35"/>
      <c r="CR799" s="35"/>
    </row>
    <row r="800" spans="1:96"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  <c r="BH800" s="6"/>
      <c r="BI800" s="6"/>
      <c r="BJ800" s="6"/>
      <c r="BK800" s="6"/>
      <c r="BL800" s="6"/>
      <c r="BM800" s="6"/>
      <c r="BN800" s="6"/>
      <c r="BO800" s="6"/>
      <c r="BP800" s="6"/>
      <c r="BQ800" s="6"/>
      <c r="BR800" s="6"/>
      <c r="BS800" s="6"/>
      <c r="BT800" s="6"/>
      <c r="BU800" s="6"/>
      <c r="BV800" s="6"/>
      <c r="BW800" s="6"/>
      <c r="BX800" s="6"/>
      <c r="BY800" s="6"/>
      <c r="BZ800" s="6"/>
      <c r="CA800" s="6"/>
      <c r="CB800" s="6"/>
      <c r="CC800" s="6"/>
      <c r="CD800" s="6"/>
      <c r="CE800" s="6"/>
      <c r="CF800" s="5"/>
      <c r="CH800" s="5" t="s">
        <v>562</v>
      </c>
    </row>
    <row r="801" spans="1:96" s="111" customFormat="1">
      <c r="A801" s="515"/>
      <c r="B801" s="516" t="s">
        <v>795</v>
      </c>
      <c r="C801" s="112"/>
      <c r="D801" s="112"/>
      <c r="E801" s="112"/>
      <c r="F801" s="112"/>
      <c r="G801" s="112"/>
      <c r="H801" s="112"/>
      <c r="I801" s="112"/>
      <c r="J801" s="112"/>
      <c r="K801" s="112"/>
      <c r="L801" s="112"/>
      <c r="M801" s="112"/>
      <c r="N801" s="112"/>
      <c r="O801" s="112"/>
      <c r="P801" s="112"/>
      <c r="Q801" s="112"/>
      <c r="R801" s="112"/>
      <c r="S801" s="112"/>
      <c r="T801" s="112"/>
      <c r="AF801" s="112"/>
      <c r="AG801" s="112"/>
      <c r="AH801" s="112"/>
      <c r="AI801" s="112"/>
      <c r="AJ801" s="112"/>
      <c r="AK801" s="112"/>
      <c r="AL801" s="112"/>
      <c r="AM801" s="112"/>
      <c r="AN801" s="112"/>
      <c r="AO801" s="112"/>
      <c r="AP801" s="112"/>
      <c r="AQ801" s="112"/>
      <c r="AR801" s="112"/>
      <c r="AS801" s="112"/>
      <c r="AT801" s="112"/>
      <c r="AU801" s="112"/>
      <c r="AV801" s="112"/>
      <c r="AW801" s="112"/>
      <c r="AX801" s="112"/>
      <c r="AY801" s="112"/>
      <c r="AZ801" s="112"/>
      <c r="BA801" s="112"/>
      <c r="BB801" s="112"/>
      <c r="BC801" s="112"/>
      <c r="BD801" s="112"/>
      <c r="BE801" s="112"/>
      <c r="BF801" s="112"/>
      <c r="BG801" s="112"/>
      <c r="BH801" s="112"/>
      <c r="BI801" s="112"/>
      <c r="BJ801" s="112"/>
      <c r="BK801" s="112"/>
      <c r="BL801" s="112"/>
      <c r="BM801" s="112"/>
      <c r="BN801" s="112"/>
      <c r="BO801" s="112"/>
      <c r="BP801" s="112"/>
      <c r="BQ801" s="112"/>
      <c r="BR801" s="112"/>
      <c r="BS801" s="112"/>
      <c r="BT801" s="112"/>
      <c r="BU801" s="112"/>
      <c r="BV801" s="112"/>
      <c r="BW801" s="112"/>
      <c r="BX801" s="112"/>
      <c r="BY801" s="112"/>
      <c r="BZ801" s="112"/>
      <c r="CA801" s="112"/>
      <c r="CB801" s="112"/>
      <c r="CC801" s="112"/>
      <c r="CD801" s="112"/>
      <c r="CE801" s="112"/>
      <c r="CF801" s="112"/>
      <c r="CH801" s="388"/>
      <c r="CJ801"/>
      <c r="CK801"/>
      <c r="CL801"/>
      <c r="CM801"/>
      <c r="CN801"/>
      <c r="CO801"/>
    </row>
    <row r="802" spans="1:96" s="111" customFormat="1" outlineLevel="1">
      <c r="A802" s="515"/>
      <c r="B802" s="516"/>
      <c r="C802" s="112"/>
      <c r="D802" s="112"/>
      <c r="E802" s="112"/>
      <c r="F802" s="112"/>
      <c r="G802" s="112"/>
      <c r="H802" s="112"/>
      <c r="I802" s="112" t="s">
        <v>342</v>
      </c>
      <c r="J802" s="112" t="s">
        <v>347</v>
      </c>
      <c r="K802" s="112" t="s">
        <v>352</v>
      </c>
      <c r="L802" s="112" t="s">
        <v>357</v>
      </c>
      <c r="M802" s="112" t="s">
        <v>362</v>
      </c>
      <c r="N802" s="112" t="s">
        <v>367</v>
      </c>
      <c r="O802" s="112" t="s">
        <v>372</v>
      </c>
      <c r="P802" s="112" t="s">
        <v>377</v>
      </c>
      <c r="Q802" s="112" t="s">
        <v>382</v>
      </c>
      <c r="R802" s="112" t="s">
        <v>387</v>
      </c>
      <c r="S802" s="112" t="s">
        <v>392</v>
      </c>
      <c r="T802" s="112" t="s">
        <v>397</v>
      </c>
      <c r="U802" s="111" t="s">
        <v>402</v>
      </c>
      <c r="V802" s="111" t="s">
        <v>403</v>
      </c>
      <c r="W802" s="111" t="s">
        <v>404</v>
      </c>
      <c r="X802" s="111" t="s">
        <v>405</v>
      </c>
      <c r="Y802" s="111" t="s">
        <v>406</v>
      </c>
      <c r="Z802" s="111" t="s">
        <v>407</v>
      </c>
      <c r="AA802" s="111" t="s">
        <v>408</v>
      </c>
      <c r="AB802" s="111" t="s">
        <v>409</v>
      </c>
      <c r="AC802" s="111" t="s">
        <v>788</v>
      </c>
      <c r="AD802" s="111" t="s">
        <v>789</v>
      </c>
      <c r="AF802" s="112" t="s">
        <v>343</v>
      </c>
      <c r="AG802" s="112" t="s">
        <v>344</v>
      </c>
      <c r="AH802" s="112" t="s">
        <v>345</v>
      </c>
      <c r="AI802" s="112" t="s">
        <v>346</v>
      </c>
      <c r="AJ802" s="112" t="s">
        <v>348</v>
      </c>
      <c r="AK802" s="112" t="s">
        <v>349</v>
      </c>
      <c r="AL802" s="112" t="s">
        <v>350</v>
      </c>
      <c r="AM802" s="112" t="s">
        <v>351</v>
      </c>
      <c r="AN802" s="112" t="s">
        <v>353</v>
      </c>
      <c r="AO802" s="112" t="s">
        <v>354</v>
      </c>
      <c r="AP802" s="112" t="s">
        <v>355</v>
      </c>
      <c r="AQ802" s="112" t="s">
        <v>356</v>
      </c>
      <c r="AR802" s="112" t="s">
        <v>358</v>
      </c>
      <c r="AS802" s="112" t="s">
        <v>359</v>
      </c>
      <c r="AT802" s="112" t="s">
        <v>360</v>
      </c>
      <c r="AU802" s="112" t="s">
        <v>361</v>
      </c>
      <c r="AV802" s="112" t="s">
        <v>363</v>
      </c>
      <c r="AW802" s="112" t="s">
        <v>364</v>
      </c>
      <c r="AX802" s="112" t="s">
        <v>365</v>
      </c>
      <c r="AY802" s="112" t="s">
        <v>366</v>
      </c>
      <c r="AZ802" s="112" t="s">
        <v>368</v>
      </c>
      <c r="BA802" s="112" t="s">
        <v>369</v>
      </c>
      <c r="BB802" s="112" t="s">
        <v>370</v>
      </c>
      <c r="BC802" s="112" t="s">
        <v>371</v>
      </c>
      <c r="BD802" s="112" t="s">
        <v>373</v>
      </c>
      <c r="BE802" s="112" t="s">
        <v>374</v>
      </c>
      <c r="BF802" s="112" t="s">
        <v>375</v>
      </c>
      <c r="BG802" s="112" t="s">
        <v>376</v>
      </c>
      <c r="BH802" s="112" t="s">
        <v>378</v>
      </c>
      <c r="BI802" s="112" t="s">
        <v>379</v>
      </c>
      <c r="BJ802" s="112" t="s">
        <v>380</v>
      </c>
      <c r="BK802" s="112" t="s">
        <v>381</v>
      </c>
      <c r="BL802" s="112" t="s">
        <v>383</v>
      </c>
      <c r="BM802" s="112" t="s">
        <v>384</v>
      </c>
      <c r="BN802" s="112" t="s">
        <v>385</v>
      </c>
      <c r="BO802" s="112" t="s">
        <v>386</v>
      </c>
      <c r="BP802" s="112" t="s">
        <v>388</v>
      </c>
      <c r="BQ802" s="112" t="s">
        <v>389</v>
      </c>
      <c r="BR802" s="112" t="s">
        <v>390</v>
      </c>
      <c r="BS802" s="112" t="s">
        <v>391</v>
      </c>
      <c r="BT802" s="112" t="s">
        <v>393</v>
      </c>
      <c r="BU802" s="112" t="s">
        <v>394</v>
      </c>
      <c r="BV802" s="112" t="s">
        <v>395</v>
      </c>
      <c r="BW802" s="112" t="s">
        <v>396</v>
      </c>
      <c r="BX802" s="112" t="s">
        <v>398</v>
      </c>
      <c r="BY802" s="112" t="s">
        <v>399</v>
      </c>
      <c r="BZ802" s="112" t="s">
        <v>400</v>
      </c>
      <c r="CA802" s="112" t="s">
        <v>401</v>
      </c>
      <c r="CB802" s="112"/>
      <c r="CC802" s="112"/>
      <c r="CD802" s="112"/>
      <c r="CE802" s="112"/>
      <c r="CF802" s="112"/>
      <c r="CH802" s="388"/>
      <c r="CJ802"/>
      <c r="CK802"/>
      <c r="CL802"/>
      <c r="CM802"/>
      <c r="CN802"/>
      <c r="CO802"/>
    </row>
    <row r="803" spans="1:96" outlineLevel="1"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  <c r="BH803" s="6"/>
      <c r="BI803" s="6"/>
      <c r="BJ803" s="6"/>
      <c r="BK803" s="6"/>
      <c r="BL803" s="6"/>
      <c r="BM803" s="6"/>
      <c r="BN803" s="6"/>
      <c r="BO803" s="6"/>
      <c r="BP803" s="6"/>
      <c r="BQ803" s="6"/>
      <c r="BR803" s="6"/>
      <c r="BS803" s="6"/>
      <c r="BT803" s="6"/>
      <c r="BU803" s="6"/>
      <c r="BV803" s="6"/>
      <c r="BW803" s="6"/>
      <c r="BX803" s="6"/>
      <c r="BY803" s="6"/>
      <c r="BZ803" s="6"/>
      <c r="CA803" s="6"/>
      <c r="CB803" s="6"/>
      <c r="CC803" s="6"/>
      <c r="CD803" s="6"/>
      <c r="CE803" s="6"/>
      <c r="CF803" s="5"/>
      <c r="CH803" s="5" t="s">
        <v>562</v>
      </c>
    </row>
    <row r="804" spans="1:96" outlineLevel="1"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  <c r="BH804" s="6"/>
      <c r="BI804" s="6"/>
      <c r="BJ804" s="6"/>
      <c r="BK804" s="6"/>
      <c r="BL804" s="6"/>
      <c r="BM804" s="6"/>
      <c r="BN804" s="6"/>
      <c r="BO804" s="6"/>
      <c r="BP804" s="6"/>
      <c r="BQ804" s="6"/>
      <c r="BR804" s="6"/>
      <c r="BS804" s="6"/>
      <c r="BT804" s="6"/>
      <c r="BU804" s="6"/>
      <c r="BV804" s="6"/>
      <c r="BW804" s="6"/>
      <c r="BX804" s="6"/>
      <c r="BY804" s="6"/>
      <c r="BZ804" s="6"/>
      <c r="CA804" s="6"/>
      <c r="CB804" s="6"/>
      <c r="CC804" s="6"/>
      <c r="CD804" s="6"/>
      <c r="CE804" s="6"/>
      <c r="CF804" s="5"/>
      <c r="CH804" s="5" t="s">
        <v>562</v>
      </c>
    </row>
    <row r="805" spans="1:96" s="115" customFormat="1" outlineLevel="1">
      <c r="A805" s="114"/>
      <c r="B805" s="115" t="s">
        <v>413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4"/>
      <c r="V805" s="84"/>
      <c r="W805" s="84"/>
      <c r="X805" s="84"/>
      <c r="Y805" s="84"/>
      <c r="Z805" s="84"/>
      <c r="AA805" s="84"/>
      <c r="AB805" s="84"/>
      <c r="AC805" s="84"/>
      <c r="AD805" s="84"/>
      <c r="AE805" s="84"/>
      <c r="AF805" s="84"/>
      <c r="AG805" s="84"/>
      <c r="AH805" s="84"/>
      <c r="AI805" s="84"/>
      <c r="AJ805" s="84"/>
      <c r="AK805" s="84"/>
      <c r="AL805" s="84"/>
      <c r="AM805" s="84"/>
      <c r="AN805" s="84"/>
      <c r="AO805" s="84"/>
      <c r="AP805" s="84"/>
      <c r="AQ805" s="84"/>
      <c r="AR805" s="84"/>
      <c r="AS805" s="84"/>
      <c r="AT805" s="84"/>
      <c r="AU805" s="84"/>
      <c r="AV805" s="84"/>
      <c r="AW805" s="84"/>
      <c r="AX805" s="84"/>
      <c r="AY805" s="84"/>
      <c r="AZ805" s="84"/>
      <c r="BA805" s="84"/>
      <c r="BB805" s="84"/>
      <c r="BC805" s="84"/>
      <c r="BD805" s="84"/>
      <c r="BE805" s="84"/>
      <c r="BF805" s="84"/>
      <c r="BG805" s="84"/>
      <c r="BH805" s="84"/>
      <c r="BI805" s="84"/>
      <c r="BJ805" s="84"/>
      <c r="BK805" s="84"/>
      <c r="BL805" s="84"/>
      <c r="BM805" s="84"/>
      <c r="BN805" s="84"/>
      <c r="BO805" s="6"/>
      <c r="BP805" s="84"/>
      <c r="BQ805" s="84"/>
      <c r="BR805" s="84"/>
      <c r="BS805" s="84"/>
      <c r="BT805" s="84"/>
      <c r="BU805" s="84"/>
      <c r="BV805" s="84"/>
      <c r="BW805" s="84"/>
      <c r="BX805" s="84"/>
      <c r="BY805" s="84"/>
      <c r="BZ805" s="84"/>
      <c r="CA805" s="84"/>
      <c r="CB805" s="84"/>
      <c r="CC805" s="84"/>
      <c r="CD805" s="84"/>
      <c r="CE805" s="84"/>
      <c r="CF805" s="22"/>
      <c r="CH805" s="5" t="s">
        <v>562</v>
      </c>
      <c r="CI805" s="116"/>
      <c r="CJ805"/>
      <c r="CK805"/>
      <c r="CL805"/>
      <c r="CM805"/>
      <c r="CN805"/>
      <c r="CO805"/>
      <c r="CP805" s="116"/>
      <c r="CQ805" s="116"/>
      <c r="CR805" s="116"/>
    </row>
    <row r="806" spans="1:96" outlineLevel="1">
      <c r="B806" s="12" t="s">
        <v>414</v>
      </c>
      <c r="C806" s="6"/>
      <c r="D806" s="6"/>
      <c r="E806" s="6"/>
      <c r="F806" s="6"/>
      <c r="G806" s="6"/>
      <c r="H806" s="6"/>
      <c r="I806" s="41">
        <v>0.33</v>
      </c>
      <c r="J806" s="41">
        <v>0.33</v>
      </c>
      <c r="K806" s="41">
        <v>0.25</v>
      </c>
      <c r="L806" s="41">
        <v>0.25</v>
      </c>
      <c r="M806" s="41">
        <v>0.25</v>
      </c>
      <c r="N806" s="41">
        <v>0.25</v>
      </c>
      <c r="O806" s="41">
        <v>0.25</v>
      </c>
      <c r="P806" s="41">
        <v>0.25</v>
      </c>
      <c r="Q806" s="41">
        <v>0.25</v>
      </c>
      <c r="R806" s="41">
        <v>0.25</v>
      </c>
      <c r="S806" s="41">
        <v>0.25</v>
      </c>
      <c r="T806" s="41">
        <v>0.25</v>
      </c>
      <c r="U806" s="41">
        <v>0.25</v>
      </c>
      <c r="V806" s="41">
        <v>0.25</v>
      </c>
      <c r="W806" s="41">
        <v>0.25</v>
      </c>
      <c r="X806" s="41">
        <v>0.25</v>
      </c>
      <c r="Y806" s="41">
        <v>0.25</v>
      </c>
      <c r="Z806" s="41">
        <v>0.25</v>
      </c>
      <c r="AA806" s="41">
        <v>0.25</v>
      </c>
      <c r="AB806" s="41">
        <v>0.25</v>
      </c>
      <c r="AC806" s="323">
        <v>0.25</v>
      </c>
      <c r="AD806" s="323">
        <v>0.25</v>
      </c>
      <c r="AE806" s="323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41">
        <v>0.25</v>
      </c>
      <c r="AW806" s="41">
        <v>0.25</v>
      </c>
      <c r="AX806" s="41">
        <v>0.25</v>
      </c>
      <c r="AY806" s="41">
        <v>0.25</v>
      </c>
      <c r="AZ806" s="41">
        <v>0.25</v>
      </c>
      <c r="BA806" s="41">
        <v>0.25</v>
      </c>
      <c r="BB806" s="41">
        <v>0.25</v>
      </c>
      <c r="BC806" s="41">
        <v>0.25</v>
      </c>
      <c r="BD806" s="41">
        <v>0.25</v>
      </c>
      <c r="BE806" s="41">
        <v>0.25</v>
      </c>
      <c r="BF806" s="41">
        <v>0.25</v>
      </c>
      <c r="BG806" s="41">
        <v>0.25</v>
      </c>
      <c r="BH806" s="41">
        <v>0.25</v>
      </c>
      <c r="BI806" s="41">
        <v>0.25</v>
      </c>
      <c r="BJ806" s="41">
        <v>0.25</v>
      </c>
      <c r="BK806" s="41">
        <v>0.25</v>
      </c>
      <c r="BL806" s="41">
        <v>0.25</v>
      </c>
      <c r="BM806" s="41">
        <v>0.25</v>
      </c>
      <c r="BN806" s="41">
        <v>0.25</v>
      </c>
      <c r="BO806" s="41">
        <v>0.25</v>
      </c>
      <c r="BP806" s="41">
        <v>0.25</v>
      </c>
      <c r="BQ806" s="41">
        <v>0.25</v>
      </c>
      <c r="BR806" s="41">
        <v>0.25</v>
      </c>
      <c r="BS806" s="323">
        <v>0.25</v>
      </c>
      <c r="BT806" s="41">
        <v>0.25</v>
      </c>
      <c r="BU806" s="41">
        <v>0.25</v>
      </c>
      <c r="BV806" s="41">
        <v>0.25</v>
      </c>
      <c r="BW806" s="41">
        <v>0.25</v>
      </c>
      <c r="BX806" s="323">
        <f>BW806</f>
        <v>0.25</v>
      </c>
      <c r="BY806" s="323">
        <f t="shared" ref="BY806:CA806" si="943">BX806</f>
        <v>0.25</v>
      </c>
      <c r="BZ806" s="323">
        <f t="shared" si="943"/>
        <v>0.25</v>
      </c>
      <c r="CA806" s="323">
        <f t="shared" si="943"/>
        <v>0.25</v>
      </c>
      <c r="CB806" s="323"/>
      <c r="CC806" s="323"/>
      <c r="CD806" s="323"/>
      <c r="CE806" s="323"/>
      <c r="CF806" s="117"/>
      <c r="CH806" s="5" t="s">
        <v>562</v>
      </c>
    </row>
    <row r="807" spans="1:96" outlineLevel="1">
      <c r="B807" s="12" t="s">
        <v>415</v>
      </c>
      <c r="C807" s="6"/>
      <c r="D807" s="6"/>
      <c r="E807" s="6"/>
      <c r="F807" s="6"/>
      <c r="G807" s="6"/>
      <c r="H807" s="6"/>
      <c r="I807" s="118" t="s">
        <v>416</v>
      </c>
      <c r="J807" s="118" t="s">
        <v>416</v>
      </c>
      <c r="K807" s="118" t="s">
        <v>416</v>
      </c>
      <c r="L807" s="118" t="s">
        <v>416</v>
      </c>
      <c r="M807" s="118" t="s">
        <v>416</v>
      </c>
      <c r="N807" s="118" t="s">
        <v>416</v>
      </c>
      <c r="O807" s="118" t="s">
        <v>416</v>
      </c>
      <c r="P807" s="118" t="s">
        <v>416</v>
      </c>
      <c r="Q807" s="118" t="s">
        <v>416</v>
      </c>
      <c r="R807" s="118" t="s">
        <v>416</v>
      </c>
      <c r="S807" s="118" t="s">
        <v>416</v>
      </c>
      <c r="T807" s="118" t="s">
        <v>416</v>
      </c>
      <c r="U807" s="118" t="s">
        <v>416</v>
      </c>
      <c r="V807" s="118" t="s">
        <v>416</v>
      </c>
      <c r="W807" s="118" t="s">
        <v>416</v>
      </c>
      <c r="X807" s="118" t="s">
        <v>416</v>
      </c>
      <c r="Y807" s="118" t="s">
        <v>416</v>
      </c>
      <c r="Z807" s="118" t="s">
        <v>416</v>
      </c>
      <c r="AA807" s="118" t="s">
        <v>416</v>
      </c>
      <c r="AB807" s="118" t="s">
        <v>416</v>
      </c>
      <c r="AC807" s="118" t="s">
        <v>416</v>
      </c>
      <c r="AD807" s="118" t="s">
        <v>416</v>
      </c>
      <c r="AE807" s="118"/>
      <c r="AF807" s="6"/>
      <c r="AG807" s="6"/>
      <c r="AH807" s="6"/>
      <c r="AI807" s="6"/>
      <c r="AJ807" s="118" t="s">
        <v>416</v>
      </c>
      <c r="AK807" s="118" t="s">
        <v>416</v>
      </c>
      <c r="AL807" s="118" t="s">
        <v>416</v>
      </c>
      <c r="AM807" s="118" t="s">
        <v>416</v>
      </c>
      <c r="AN807" s="118" t="s">
        <v>416</v>
      </c>
      <c r="AO807" s="118" t="s">
        <v>416</v>
      </c>
      <c r="AP807" s="118" t="s">
        <v>416</v>
      </c>
      <c r="AQ807" s="118" t="s">
        <v>416</v>
      </c>
      <c r="AR807" s="118" t="s">
        <v>416</v>
      </c>
      <c r="AS807" s="118" t="s">
        <v>416</v>
      </c>
      <c r="AT807" s="118" t="s">
        <v>416</v>
      </c>
      <c r="AU807" s="118" t="s">
        <v>416</v>
      </c>
      <c r="AV807" s="118" t="s">
        <v>416</v>
      </c>
      <c r="AW807" s="118" t="s">
        <v>416</v>
      </c>
      <c r="AX807" s="118" t="s">
        <v>416</v>
      </c>
      <c r="AY807" s="118" t="s">
        <v>416</v>
      </c>
      <c r="AZ807" s="118" t="s">
        <v>416</v>
      </c>
      <c r="BA807" s="118" t="s">
        <v>416</v>
      </c>
      <c r="BB807" s="118" t="s">
        <v>416</v>
      </c>
      <c r="BC807" s="118" t="s">
        <v>416</v>
      </c>
      <c r="BD807" s="118" t="s">
        <v>416</v>
      </c>
      <c r="BE807" s="118" t="s">
        <v>416</v>
      </c>
      <c r="BF807" s="118" t="s">
        <v>416</v>
      </c>
      <c r="BG807" s="118" t="s">
        <v>416</v>
      </c>
      <c r="BH807" s="118" t="s">
        <v>416</v>
      </c>
      <c r="BI807" s="118" t="s">
        <v>416</v>
      </c>
      <c r="BJ807" s="118" t="s">
        <v>416</v>
      </c>
      <c r="BK807" s="118" t="s">
        <v>416</v>
      </c>
      <c r="BL807" s="118" t="s">
        <v>416</v>
      </c>
      <c r="BM807" s="118" t="s">
        <v>416</v>
      </c>
      <c r="BN807" s="118" t="s">
        <v>416</v>
      </c>
      <c r="BO807" s="118" t="s">
        <v>416</v>
      </c>
      <c r="BP807" s="118" t="s">
        <v>416</v>
      </c>
      <c r="BQ807" s="118" t="s">
        <v>416</v>
      </c>
      <c r="BR807" s="118" t="s">
        <v>416</v>
      </c>
      <c r="BS807" s="118" t="s">
        <v>416</v>
      </c>
      <c r="BT807" s="118" t="s">
        <v>416</v>
      </c>
      <c r="BU807" s="118" t="s">
        <v>416</v>
      </c>
      <c r="BV807" s="118" t="s">
        <v>416</v>
      </c>
      <c r="BW807" s="118" t="s">
        <v>416</v>
      </c>
      <c r="BX807" s="118" t="s">
        <v>416</v>
      </c>
      <c r="BY807" s="118" t="s">
        <v>416</v>
      </c>
      <c r="BZ807" s="118" t="s">
        <v>416</v>
      </c>
      <c r="CA807" s="118" t="s">
        <v>416</v>
      </c>
      <c r="CB807" s="118"/>
      <c r="CC807" s="118"/>
      <c r="CD807" s="118"/>
      <c r="CE807" s="118"/>
      <c r="CF807" s="113"/>
      <c r="CH807" s="5" t="s">
        <v>562</v>
      </c>
    </row>
    <row r="808" spans="1:96" outlineLevel="1"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  <c r="BH808" s="6"/>
      <c r="BI808" s="6"/>
      <c r="BJ808" s="6"/>
      <c r="BK808" s="6"/>
      <c r="BL808" s="6"/>
      <c r="BM808" s="6"/>
      <c r="BN808" s="6"/>
      <c r="BO808" s="6"/>
      <c r="BP808" s="6"/>
      <c r="BQ808" s="6"/>
      <c r="BR808" s="6"/>
      <c r="BS808" s="6"/>
      <c r="BT808" s="6"/>
      <c r="BU808" s="6"/>
      <c r="BV808" s="6"/>
      <c r="BW808" s="6"/>
      <c r="BX808" s="6"/>
      <c r="BY808" s="6"/>
      <c r="BZ808" s="6"/>
      <c r="CA808" s="6"/>
      <c r="CB808" s="6"/>
      <c r="CC808" s="6"/>
      <c r="CD808" s="6"/>
      <c r="CE808" s="6"/>
      <c r="CF808" s="5"/>
      <c r="CH808" s="5" t="s">
        <v>562</v>
      </c>
    </row>
    <row r="809" spans="1:96" s="115" customFormat="1" outlineLevel="1">
      <c r="A809" s="114"/>
      <c r="B809" s="116" t="s">
        <v>417</v>
      </c>
      <c r="C809" s="84"/>
      <c r="D809" s="84"/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4"/>
      <c r="V809" s="84"/>
      <c r="W809" s="84"/>
      <c r="X809" s="84"/>
      <c r="Y809" s="84"/>
      <c r="Z809" s="84"/>
      <c r="AA809" s="84"/>
      <c r="AB809" s="84"/>
      <c r="AC809" s="84"/>
      <c r="AD809" s="84"/>
      <c r="AE809" s="84"/>
      <c r="AF809" s="84"/>
      <c r="AG809" s="84"/>
      <c r="AH809" s="84"/>
      <c r="AI809" s="84"/>
      <c r="AJ809" s="84"/>
      <c r="AK809" s="84"/>
      <c r="AL809" s="84"/>
      <c r="AM809" s="84"/>
      <c r="AN809" s="84"/>
      <c r="AO809" s="84"/>
      <c r="AP809" s="84"/>
      <c r="AQ809" s="84"/>
      <c r="AR809" s="84"/>
      <c r="AS809" s="84"/>
      <c r="AT809" s="84"/>
      <c r="AU809" s="84"/>
      <c r="AV809" s="84"/>
      <c r="AW809" s="84"/>
      <c r="AX809" s="84"/>
      <c r="AY809" s="84"/>
      <c r="AZ809" s="84"/>
      <c r="BA809" s="84"/>
      <c r="BB809" s="84"/>
      <c r="BC809" s="84"/>
      <c r="BD809" s="84"/>
      <c r="BE809" s="84"/>
      <c r="BF809" s="84"/>
      <c r="BG809" s="84"/>
      <c r="BH809" s="84"/>
      <c r="BI809" s="84"/>
      <c r="BJ809" s="84"/>
      <c r="BK809" s="84"/>
      <c r="BL809" s="84"/>
      <c r="BM809" s="84"/>
      <c r="BN809" s="84"/>
      <c r="BO809" s="84"/>
      <c r="BP809" s="84"/>
      <c r="BQ809" s="84"/>
      <c r="BR809" s="84"/>
      <c r="BS809" s="84"/>
      <c r="BT809" s="84"/>
      <c r="BU809" s="84"/>
      <c r="BV809" s="84"/>
      <c r="BW809" s="84"/>
      <c r="BX809" s="84"/>
      <c r="BY809" s="84"/>
      <c r="BZ809" s="84"/>
      <c r="CA809" s="84"/>
      <c r="CB809" s="84"/>
      <c r="CC809" s="84"/>
      <c r="CD809" s="84"/>
      <c r="CE809" s="84"/>
      <c r="CF809" s="22"/>
      <c r="CH809" s="5" t="s">
        <v>562</v>
      </c>
      <c r="CI809" s="116"/>
      <c r="CJ809"/>
      <c r="CK809"/>
      <c r="CL809"/>
      <c r="CM809"/>
      <c r="CN809"/>
      <c r="CO809"/>
      <c r="CP809" s="116"/>
      <c r="CQ809" s="116"/>
      <c r="CR809" s="116"/>
    </row>
    <row r="810" spans="1:96" outlineLevel="1">
      <c r="B810" s="13" t="s">
        <v>418</v>
      </c>
      <c r="C810" s="6"/>
      <c r="D810" s="6"/>
      <c r="E810" s="6"/>
      <c r="F810" s="6"/>
      <c r="G810" s="6"/>
      <c r="H810" s="6"/>
      <c r="I810" s="6"/>
      <c r="J810" s="6">
        <f t="shared" ref="J810:AD810" si="944">I815</f>
        <v>1027.69695</v>
      </c>
      <c r="K810" s="6">
        <f t="shared" si="944"/>
        <v>1450.1190969999998</v>
      </c>
      <c r="L810" s="6">
        <f t="shared" si="944"/>
        <v>2011.9711599999996</v>
      </c>
      <c r="M810" s="6">
        <f t="shared" si="944"/>
        <v>2925.0479189999996</v>
      </c>
      <c r="N810" s="6">
        <f t="shared" si="944"/>
        <v>6103.692771</v>
      </c>
      <c r="O810" s="6">
        <f t="shared" si="944"/>
        <v>7042.2948639999995</v>
      </c>
      <c r="P810" s="6">
        <f t="shared" si="944"/>
        <v>6489.6320749999995</v>
      </c>
      <c r="Q810" s="6">
        <f t="shared" si="944"/>
        <v>8530.3955310000001</v>
      </c>
      <c r="R810" s="6">
        <f t="shared" si="944"/>
        <v>9529.1792950000017</v>
      </c>
      <c r="S810" s="6">
        <f t="shared" si="944"/>
        <v>44550.729734000008</v>
      </c>
      <c r="T810" s="6">
        <f t="shared" si="944"/>
        <v>71536.83471000001</v>
      </c>
      <c r="U810" s="6">
        <f t="shared" si="944"/>
        <v>84693.813552000007</v>
      </c>
      <c r="V810" s="6">
        <f t="shared" ca="1" si="944"/>
        <v>88840.881240865943</v>
      </c>
      <c r="W810" s="6">
        <f t="shared" ca="1" si="944"/>
        <v>95571.550232622118</v>
      </c>
      <c r="X810" s="6">
        <f t="shared" ca="1" si="944"/>
        <v>104689.84800135829</v>
      </c>
      <c r="Y810" s="6">
        <f t="shared" ca="1" si="944"/>
        <v>116556.59303269359</v>
      </c>
      <c r="Z810" s="6">
        <f t="shared" ca="1" si="944"/>
        <v>131806.77673009067</v>
      </c>
      <c r="AA810" s="6">
        <f t="shared" ca="1" si="944"/>
        <v>150419.76990751227</v>
      </c>
      <c r="AB810" s="6">
        <f t="shared" ca="1" si="944"/>
        <v>172453.69125642246</v>
      </c>
      <c r="AC810" s="6">
        <f t="shared" ca="1" si="944"/>
        <v>198385.29299200204</v>
      </c>
      <c r="AD810" s="6">
        <f t="shared" ca="1" si="944"/>
        <v>227736.03932445648</v>
      </c>
      <c r="AE810" s="6"/>
      <c r="AF810" s="6"/>
      <c r="AG810" s="6"/>
      <c r="AH810" s="6"/>
      <c r="AI810" s="6"/>
      <c r="AJ810" s="6"/>
      <c r="AK810" s="6"/>
      <c r="AL810" s="6"/>
      <c r="AM810" s="6"/>
      <c r="AN810" s="6">
        <f t="shared" ref="AN810:BW810" si="945">AM815</f>
        <v>0</v>
      </c>
      <c r="AO810" s="6">
        <f t="shared" si="945"/>
        <v>0</v>
      </c>
      <c r="AP810" s="6">
        <f t="shared" si="945"/>
        <v>0</v>
      </c>
      <c r="AQ810" s="6">
        <f t="shared" si="945"/>
        <v>0</v>
      </c>
      <c r="AR810" s="6">
        <f t="shared" si="945"/>
        <v>0</v>
      </c>
      <c r="AS810" s="6">
        <f t="shared" si="945"/>
        <v>0</v>
      </c>
      <c r="AT810" s="6">
        <f t="shared" si="945"/>
        <v>0</v>
      </c>
      <c r="AU810" s="6">
        <f t="shared" si="945"/>
        <v>0</v>
      </c>
      <c r="AV810" s="6">
        <f t="shared" si="945"/>
        <v>0</v>
      </c>
      <c r="AW810" s="6">
        <f t="shared" si="945"/>
        <v>0</v>
      </c>
      <c r="AX810" s="6">
        <f t="shared" si="945"/>
        <v>0</v>
      </c>
      <c r="AY810" s="6">
        <f t="shared" si="945"/>
        <v>0</v>
      </c>
      <c r="AZ810" s="6">
        <f t="shared" si="945"/>
        <v>7042.2948639999995</v>
      </c>
      <c r="BA810" s="6">
        <f t="shared" si="945"/>
        <v>0</v>
      </c>
      <c r="BB810" s="6">
        <f t="shared" si="945"/>
        <v>0</v>
      </c>
      <c r="BC810" s="6">
        <f t="shared" si="945"/>
        <v>0</v>
      </c>
      <c r="BD810" s="6">
        <f t="shared" si="945"/>
        <v>6489.6320749999986</v>
      </c>
      <c r="BE810" s="6">
        <f t="shared" si="945"/>
        <v>6747.1316909999996</v>
      </c>
      <c r="BF810" s="6">
        <f t="shared" si="945"/>
        <v>7130.3098959999998</v>
      </c>
      <c r="BG810" s="6">
        <f t="shared" si="945"/>
        <v>7760.1211119999998</v>
      </c>
      <c r="BH810" s="6">
        <f t="shared" si="945"/>
        <v>8530.3955310000001</v>
      </c>
      <c r="BI810" s="6">
        <f t="shared" si="945"/>
        <v>8450.3699550000001</v>
      </c>
      <c r="BJ810" s="6">
        <f t="shared" si="945"/>
        <v>8588.8836309999988</v>
      </c>
      <c r="BK810" s="6">
        <f t="shared" si="945"/>
        <v>9426.5893199999991</v>
      </c>
      <c r="BL810" s="6">
        <f t="shared" si="945"/>
        <v>9529.1792949999999</v>
      </c>
      <c r="BM810" s="6">
        <f t="shared" si="945"/>
        <v>9528.9283259999993</v>
      </c>
      <c r="BN810" s="6">
        <f t="shared" si="945"/>
        <v>9699.2809100000013</v>
      </c>
      <c r="BO810" s="6">
        <f t="shared" si="945"/>
        <v>11821.887858999999</v>
      </c>
      <c r="BP810" s="6">
        <f t="shared" si="945"/>
        <v>44550.729734</v>
      </c>
      <c r="BQ810" s="6">
        <f t="shared" si="945"/>
        <v>55856.195702999998</v>
      </c>
      <c r="BR810" s="6">
        <f t="shared" si="945"/>
        <v>56078.227545999995</v>
      </c>
      <c r="BS810" s="6">
        <f t="shared" si="945"/>
        <v>67578.435387999998</v>
      </c>
      <c r="BT810" s="6">
        <f t="shared" si="945"/>
        <v>71536.834709999996</v>
      </c>
      <c r="BU810" s="6">
        <f t="shared" si="945"/>
        <v>74186.335286999994</v>
      </c>
      <c r="BV810" s="6">
        <f t="shared" si="945"/>
        <v>78309.027306999997</v>
      </c>
      <c r="BW810" s="6">
        <f t="shared" si="945"/>
        <v>81730.32613999999</v>
      </c>
      <c r="BX810" s="6"/>
      <c r="BY810" s="6"/>
      <c r="BZ810" s="6"/>
      <c r="CA810" s="6"/>
      <c r="CB810" s="6"/>
      <c r="CC810" s="6"/>
      <c r="CD810" s="6"/>
      <c r="CE810" s="6"/>
      <c r="CF810" s="5"/>
      <c r="CH810" s="5" t="s">
        <v>562</v>
      </c>
    </row>
    <row r="811" spans="1:96" outlineLevel="1">
      <c r="B811" s="13" t="s">
        <v>419</v>
      </c>
      <c r="C811" s="6"/>
      <c r="D811" s="6"/>
      <c r="E811" s="6"/>
      <c r="F811" s="6"/>
      <c r="G811" s="6"/>
      <c r="H811" s="6"/>
      <c r="I811" s="6"/>
      <c r="J811" s="6">
        <f t="shared" ref="J811:AD811" si="946">J556-I556</f>
        <v>4.1320999999999941E-2</v>
      </c>
      <c r="K811" s="6">
        <f t="shared" si="946"/>
        <v>1.9048999999999872E-2</v>
      </c>
      <c r="L811" s="6">
        <f t="shared" si="946"/>
        <v>4.0075000000000305E-2</v>
      </c>
      <c r="M811" s="6">
        <f t="shared" si="946"/>
        <v>0.12479799999999974</v>
      </c>
      <c r="N811" s="6">
        <f t="shared" si="946"/>
        <v>1.3395000000000046E-2</v>
      </c>
      <c r="O811" s="6">
        <f t="shared" si="946"/>
        <v>3.9616999999999791E-2</v>
      </c>
      <c r="P811" s="6">
        <f t="shared" si="946"/>
        <v>5.4346000000000227E-2</v>
      </c>
      <c r="Q811" s="6">
        <f t="shared" si="946"/>
        <v>5.1781999999999773E-2</v>
      </c>
      <c r="R811" s="6">
        <f t="shared" si="946"/>
        <v>1.0359730000000003</v>
      </c>
      <c r="S811" s="6">
        <f t="shared" si="946"/>
        <v>0.83910899999999966</v>
      </c>
      <c r="T811" s="6">
        <f t="shared" si="946"/>
        <v>0.21294700000000066</v>
      </c>
      <c r="U811" s="6">
        <f t="shared" si="946"/>
        <v>0</v>
      </c>
      <c r="V811" s="6">
        <f t="shared" si="946"/>
        <v>0</v>
      </c>
      <c r="W811" s="6">
        <f t="shared" si="946"/>
        <v>0</v>
      </c>
      <c r="X811" s="6">
        <f t="shared" si="946"/>
        <v>0</v>
      </c>
      <c r="Y811" s="6">
        <f t="shared" si="946"/>
        <v>0</v>
      </c>
      <c r="Z811" s="6">
        <f t="shared" si="946"/>
        <v>0</v>
      </c>
      <c r="AA811" s="6">
        <f t="shared" si="946"/>
        <v>0</v>
      </c>
      <c r="AB811" s="6">
        <f t="shared" si="946"/>
        <v>0</v>
      </c>
      <c r="AC811" s="6">
        <f t="shared" si="946"/>
        <v>0</v>
      </c>
      <c r="AD811" s="6">
        <f t="shared" si="946"/>
        <v>0</v>
      </c>
      <c r="AE811" s="6"/>
      <c r="AF811" s="6"/>
      <c r="AG811" s="6"/>
      <c r="AH811" s="6"/>
      <c r="AI811" s="6"/>
      <c r="AJ811" s="6"/>
      <c r="AK811" s="6"/>
      <c r="AL811" s="6"/>
      <c r="AM811" s="6"/>
      <c r="AN811" s="6">
        <f t="shared" ref="AN811:BW811" si="947">AN556-AM556</f>
        <v>0</v>
      </c>
      <c r="AO811" s="6">
        <f t="shared" si="947"/>
        <v>0</v>
      </c>
      <c r="AP811" s="6">
        <f t="shared" si="947"/>
        <v>0</v>
      </c>
      <c r="AQ811" s="6">
        <f t="shared" si="947"/>
        <v>0</v>
      </c>
      <c r="AR811" s="6">
        <f t="shared" si="947"/>
        <v>0</v>
      </c>
      <c r="AS811" s="6">
        <f t="shared" si="947"/>
        <v>0</v>
      </c>
      <c r="AT811" s="6">
        <f t="shared" si="947"/>
        <v>0</v>
      </c>
      <c r="AU811" s="6">
        <f t="shared" si="947"/>
        <v>0</v>
      </c>
      <c r="AV811" s="6">
        <f t="shared" si="947"/>
        <v>0</v>
      </c>
      <c r="AW811" s="6">
        <f t="shared" si="947"/>
        <v>0</v>
      </c>
      <c r="AX811" s="6">
        <f t="shared" si="947"/>
        <v>0</v>
      </c>
      <c r="AY811" s="6">
        <f t="shared" si="947"/>
        <v>2.939527</v>
      </c>
      <c r="AZ811" s="6">
        <f t="shared" si="947"/>
        <v>-2.939527</v>
      </c>
      <c r="BA811" s="6">
        <f t="shared" si="947"/>
        <v>0</v>
      </c>
      <c r="BB811" s="6">
        <f t="shared" si="947"/>
        <v>0</v>
      </c>
      <c r="BC811" s="6">
        <f t="shared" si="947"/>
        <v>2.9791439999999998</v>
      </c>
      <c r="BD811" s="6">
        <f t="shared" si="947"/>
        <v>1.4344000000000356E-2</v>
      </c>
      <c r="BE811" s="6">
        <f t="shared" si="947"/>
        <v>1.4059999999999739E-2</v>
      </c>
      <c r="BF811" s="6">
        <f t="shared" si="947"/>
        <v>1.5919000000000239E-2</v>
      </c>
      <c r="BG811" s="6">
        <f t="shared" si="947"/>
        <v>1.0022999999999893E-2</v>
      </c>
      <c r="BH811" s="6">
        <f t="shared" si="947"/>
        <v>1.9588000000000161E-2</v>
      </c>
      <c r="BI811" s="6">
        <f t="shared" si="947"/>
        <v>1.6062999999999938E-2</v>
      </c>
      <c r="BJ811" s="6">
        <f t="shared" si="947"/>
        <v>1.2306999999999846E-2</v>
      </c>
      <c r="BK811" s="6">
        <f t="shared" si="947"/>
        <v>3.8239999999998275E-3</v>
      </c>
      <c r="BL811" s="6">
        <f t="shared" si="947"/>
        <v>2.2577000000000069E-2</v>
      </c>
      <c r="BM811" s="6">
        <f t="shared" si="947"/>
        <v>1.4406000000000141E-2</v>
      </c>
      <c r="BN811" s="6">
        <f t="shared" si="947"/>
        <v>3.6960000000001436E-3</v>
      </c>
      <c r="BO811" s="6">
        <f t="shared" si="947"/>
        <v>0.9952939999999999</v>
      </c>
      <c r="BP811" s="6">
        <f t="shared" si="947"/>
        <v>0.42954399999999993</v>
      </c>
      <c r="BQ811" s="6">
        <f t="shared" si="947"/>
        <v>5.7998000000000438E-2</v>
      </c>
      <c r="BR811" s="6">
        <f t="shared" si="947"/>
        <v>0.2736509999999992</v>
      </c>
      <c r="BS811" s="6">
        <f t="shared" si="947"/>
        <v>7.7916000000000096E-2</v>
      </c>
      <c r="BT811" s="6">
        <f t="shared" si="947"/>
        <v>9.8762999999999934E-2</v>
      </c>
      <c r="BU811" s="6">
        <f t="shared" si="947"/>
        <v>8.0384000000000455E-2</v>
      </c>
      <c r="BV811" s="6">
        <f t="shared" si="947"/>
        <v>2.3794999999999789E-2</v>
      </c>
      <c r="BW811" s="6">
        <f t="shared" si="947"/>
        <v>1.0005000000000486E-2</v>
      </c>
      <c r="BX811" s="6"/>
      <c r="BY811" s="6"/>
      <c r="BZ811" s="6"/>
      <c r="CA811" s="6"/>
      <c r="CB811" s="6"/>
      <c r="CC811" s="6"/>
      <c r="CD811" s="6"/>
      <c r="CE811" s="6"/>
      <c r="CF811" s="5"/>
      <c r="CH811" s="5" t="s">
        <v>562</v>
      </c>
    </row>
    <row r="812" spans="1:96" outlineLevel="1">
      <c r="B812" s="12" t="s">
        <v>33</v>
      </c>
      <c r="C812" s="6"/>
      <c r="D812" s="6"/>
      <c r="E812" s="6"/>
      <c r="F812" s="6"/>
      <c r="G812" s="6"/>
      <c r="H812" s="6"/>
      <c r="I812" s="6"/>
      <c r="J812" s="6">
        <f>Model!J324</f>
        <v>398.32360999999992</v>
      </c>
      <c r="K812" s="6">
        <f>Model!K324</f>
        <v>443.92746700000026</v>
      </c>
      <c r="L812" s="6">
        <f>Model!L324</f>
        <v>658.9734420000002</v>
      </c>
      <c r="M812" s="6">
        <f>Model!M324</f>
        <v>1048.0597399999995</v>
      </c>
      <c r="N812" s="6">
        <f>Model!N324</f>
        <v>1076.4148969999999</v>
      </c>
      <c r="O812" s="6">
        <f>Model!O324</f>
        <v>714.40586399999961</v>
      </c>
      <c r="P812" s="6">
        <f>Model!P324</f>
        <v>998.31968400000005</v>
      </c>
      <c r="Q812" s="6">
        <f>Model!Q324</f>
        <v>242.73978100000176</v>
      </c>
      <c r="R812" s="6">
        <f>Model!R324</f>
        <v>2507.6558840000021</v>
      </c>
      <c r="S812" s="6">
        <f>Model!S324</f>
        <v>-1430.7031950000001</v>
      </c>
      <c r="T812" s="6">
        <f>Model!T324</f>
        <v>2142.0115370000003</v>
      </c>
      <c r="U812" s="6">
        <f ca="1">Model!U324</f>
        <v>2198.8995198788039</v>
      </c>
      <c r="V812" s="6">
        <f ca="1">Model!V324</f>
        <v>4769.769318779925</v>
      </c>
      <c r="W812" s="6">
        <f ca="1">Model!W324</f>
        <v>6658.3111531531576</v>
      </c>
      <c r="X812" s="6">
        <f ca="1">Model!X324</f>
        <v>8920.6445608685553</v>
      </c>
      <c r="Y812" s="6">
        <f ca="1">Model!Y324</f>
        <v>11720.663686927455</v>
      </c>
      <c r="Z812" s="6">
        <f ca="1">Model!Z324</f>
        <v>14317.294771640994</v>
      </c>
      <c r="AA812" s="6">
        <f ca="1">Model!AA324</f>
        <v>17143.125549808472</v>
      </c>
      <c r="AB812" s="6">
        <f ca="1">Model!AB324</f>
        <v>20327.836972818732</v>
      </c>
      <c r="AC812" s="6">
        <f ca="1">Model!AC324</f>
        <v>22976.756377905367</v>
      </c>
      <c r="AD812" s="6">
        <f ca="1">Model!AD324</f>
        <v>25698.285627482102</v>
      </c>
      <c r="AE812" s="6"/>
      <c r="AF812" s="6"/>
      <c r="AG812" s="6"/>
      <c r="AH812" s="6"/>
      <c r="AI812" s="6"/>
      <c r="AJ812" s="6"/>
      <c r="AK812" s="6"/>
      <c r="AL812" s="6"/>
      <c r="AM812" s="6"/>
      <c r="AN812" s="6">
        <f>Model!AN324</f>
        <v>121.39228000000006</v>
      </c>
      <c r="AO812" s="6">
        <f>Model!AO324</f>
        <v>158.85880799999998</v>
      </c>
      <c r="AP812" s="6">
        <f>Model!AP324</f>
        <v>188.51672100000005</v>
      </c>
      <c r="AQ812" s="6">
        <f>Model!AQ324</f>
        <v>190.20581300000001</v>
      </c>
      <c r="AR812" s="6">
        <f>Model!AR324</f>
        <v>190.44543100000007</v>
      </c>
      <c r="AS812" s="6">
        <f>Model!AS324</f>
        <v>235.21141299999999</v>
      </c>
      <c r="AT812" s="6">
        <f>Model!AT324</f>
        <v>320.13916099999989</v>
      </c>
      <c r="AU812" s="6">
        <f>Model!AU324</f>
        <v>302.27373500000004</v>
      </c>
      <c r="AV812" s="6">
        <f>Model!AV324</f>
        <v>234.908333</v>
      </c>
      <c r="AW812" s="6">
        <f>Model!AW324</f>
        <v>263.70237200000008</v>
      </c>
      <c r="AX812" s="6">
        <f>Model!AX324</f>
        <v>325.28029800000013</v>
      </c>
      <c r="AY812" s="6">
        <f>Model!AY324</f>
        <v>252.52389399999993</v>
      </c>
      <c r="AZ812" s="6">
        <f>Model!AZ324</f>
        <v>208.36734200000004</v>
      </c>
      <c r="BA812" s="6">
        <f>Model!BA324</f>
        <v>119.66973899999999</v>
      </c>
      <c r="BB812" s="6">
        <f>Model!BB324</f>
        <v>193.81679699999995</v>
      </c>
      <c r="BC812" s="6">
        <f>Model!BC324</f>
        <v>192.55202600000001</v>
      </c>
      <c r="BD812" s="6">
        <f>Model!BD324</f>
        <v>153.47147299999969</v>
      </c>
      <c r="BE812" s="6">
        <f>Model!BE324</f>
        <v>210.3810940000003</v>
      </c>
      <c r="BF812" s="6">
        <f>Model!BF324</f>
        <v>372.98771599999969</v>
      </c>
      <c r="BG812" s="6">
        <f>Model!BG324</f>
        <v>261.47940100000005</v>
      </c>
      <c r="BH812" s="6">
        <f>Model!BH324</f>
        <v>115.35175300000013</v>
      </c>
      <c r="BI812" s="6">
        <f>Model!BI324</f>
        <v>134.88818000000015</v>
      </c>
      <c r="BJ812" s="6">
        <f>Model!BJ324</f>
        <v>216.92455400000037</v>
      </c>
      <c r="BK812" s="6">
        <f>Model!BK324</f>
        <v>-224.42470600000013</v>
      </c>
      <c r="BL812" s="6">
        <f>Model!BL324</f>
        <v>-125.98668100000073</v>
      </c>
      <c r="BM812" s="6">
        <f>Model!BM324</f>
        <v>142.77842200000043</v>
      </c>
      <c r="BN812" s="6">
        <f>Model!BN324</f>
        <v>2415.1362810000001</v>
      </c>
      <c r="BO812" s="6">
        <f>Model!BO324</f>
        <v>75.727861999999988</v>
      </c>
      <c r="BP812" s="6">
        <f>Model!BP324</f>
        <v>-1578.684091000001</v>
      </c>
      <c r="BQ812" s="6">
        <f>Model!BQ324</f>
        <v>-521.25253399999849</v>
      </c>
      <c r="BR812" s="6">
        <f>Model!BR324</f>
        <v>23.917442000000154</v>
      </c>
      <c r="BS812" s="6">
        <f>Model!BS324</f>
        <v>645.31598799999949</v>
      </c>
      <c r="BT812" s="6">
        <f>Model!BT324</f>
        <v>82.447981000000269</v>
      </c>
      <c r="BU812" s="6">
        <f>Model!BU324</f>
        <v>326.87206899999927</v>
      </c>
      <c r="BV812" s="6">
        <f>Model!BV324</f>
        <v>1229.1177869999999</v>
      </c>
      <c r="BW812" s="6">
        <f>Model!BW324</f>
        <v>503.57370000000026</v>
      </c>
      <c r="BX812" s="6"/>
      <c r="BY812" s="6"/>
      <c r="BZ812" s="6"/>
      <c r="CA812" s="6"/>
      <c r="CB812" s="6"/>
      <c r="CC812" s="6"/>
      <c r="CD812" s="6"/>
      <c r="CE812" s="6"/>
      <c r="CF812" s="5"/>
      <c r="CH812" s="5" t="s">
        <v>562</v>
      </c>
    </row>
    <row r="813" spans="1:96" outlineLevel="1">
      <c r="B813" s="12" t="s">
        <v>420</v>
      </c>
      <c r="C813" s="6"/>
      <c r="D813" s="6"/>
      <c r="E813" s="6"/>
      <c r="F813" s="6"/>
      <c r="G813" s="6"/>
      <c r="H813" s="6"/>
      <c r="I813" s="6"/>
      <c r="J813" s="6">
        <v>0</v>
      </c>
      <c r="K813" s="6">
        <v>0</v>
      </c>
      <c r="L813" s="6">
        <v>0</v>
      </c>
      <c r="M813" s="6">
        <v>0</v>
      </c>
      <c r="N813" s="6">
        <v>0</v>
      </c>
      <c r="O813" s="6">
        <v>0</v>
      </c>
      <c r="P813" s="6">
        <v>0</v>
      </c>
      <c r="Q813" s="6">
        <v>0</v>
      </c>
      <c r="R813" s="6">
        <v>0</v>
      </c>
      <c r="S813" s="6">
        <v>0</v>
      </c>
      <c r="T813" s="6">
        <v>0</v>
      </c>
      <c r="U813" s="6">
        <v>0</v>
      </c>
      <c r="V813" s="6">
        <v>0</v>
      </c>
      <c r="W813" s="6">
        <v>0</v>
      </c>
      <c r="X813" s="6">
        <v>0</v>
      </c>
      <c r="Y813" s="6">
        <v>0</v>
      </c>
      <c r="Z813" s="6">
        <v>0</v>
      </c>
      <c r="AA813" s="6">
        <v>0</v>
      </c>
      <c r="AB813" s="6">
        <v>0</v>
      </c>
      <c r="AC813" s="6">
        <v>0</v>
      </c>
      <c r="AD813" s="6">
        <v>0</v>
      </c>
      <c r="AE813" s="6"/>
      <c r="AF813" s="6"/>
      <c r="AG813" s="6"/>
      <c r="AH813" s="6"/>
      <c r="AI813" s="6"/>
      <c r="AJ813" s="6"/>
      <c r="AK813" s="6"/>
      <c r="AL813" s="6"/>
      <c r="AM813" s="6"/>
      <c r="AN813" s="6">
        <v>0</v>
      </c>
      <c r="AO813" s="6">
        <v>0</v>
      </c>
      <c r="AP813" s="6">
        <v>0</v>
      </c>
      <c r="AQ813" s="6">
        <v>0</v>
      </c>
      <c r="AR813" s="6">
        <v>0</v>
      </c>
      <c r="AS813" s="6">
        <v>0</v>
      </c>
      <c r="AT813" s="6">
        <v>0</v>
      </c>
      <c r="AU813" s="6">
        <v>0</v>
      </c>
      <c r="AV813" s="6">
        <v>0</v>
      </c>
      <c r="AW813" s="6">
        <v>0</v>
      </c>
      <c r="AX813" s="6">
        <v>0</v>
      </c>
      <c r="AY813" s="6">
        <v>0</v>
      </c>
      <c r="AZ813" s="6">
        <v>0</v>
      </c>
      <c r="BA813" s="6">
        <v>0</v>
      </c>
      <c r="BB813" s="6">
        <v>0</v>
      </c>
      <c r="BC813" s="6">
        <v>0</v>
      </c>
      <c r="BD813" s="6">
        <v>0</v>
      </c>
      <c r="BE813" s="6">
        <v>0</v>
      </c>
      <c r="BF813" s="6">
        <v>0</v>
      </c>
      <c r="BG813" s="6">
        <v>0</v>
      </c>
      <c r="BH813" s="6">
        <v>0</v>
      </c>
      <c r="BI813" s="6">
        <v>0</v>
      </c>
      <c r="BJ813" s="6">
        <v>0</v>
      </c>
      <c r="BK813" s="6">
        <v>0</v>
      </c>
      <c r="BL813" s="6">
        <v>0</v>
      </c>
      <c r="BM813" s="6">
        <v>0</v>
      </c>
      <c r="BN813" s="6">
        <v>0</v>
      </c>
      <c r="BO813" s="6">
        <v>0</v>
      </c>
      <c r="BP813" s="6">
        <v>0</v>
      </c>
      <c r="BQ813" s="6">
        <v>0</v>
      </c>
      <c r="BR813" s="6">
        <v>0</v>
      </c>
      <c r="BS813" s="6">
        <v>0</v>
      </c>
      <c r="BT813" s="6">
        <v>0</v>
      </c>
      <c r="BU813" s="6">
        <v>0</v>
      </c>
      <c r="BV813" s="6">
        <v>0</v>
      </c>
      <c r="BW813" s="6">
        <v>0</v>
      </c>
      <c r="BX813" s="6"/>
      <c r="BY813" s="6"/>
      <c r="BZ813" s="6"/>
      <c r="CA813" s="6"/>
      <c r="CB813" s="6"/>
      <c r="CC813" s="6"/>
      <c r="CD813" s="6"/>
      <c r="CE813" s="6"/>
      <c r="CF813" s="5"/>
      <c r="CH813" s="5" t="s">
        <v>562</v>
      </c>
    </row>
    <row r="814" spans="1:96" outlineLevel="1">
      <c r="B814" s="12" t="s">
        <v>421</v>
      </c>
      <c r="C814" s="6"/>
      <c r="D814" s="6"/>
      <c r="E814" s="6"/>
      <c r="F814" s="6"/>
      <c r="G814" s="6"/>
      <c r="H814" s="6"/>
      <c r="I814" s="6"/>
      <c r="J814" s="6">
        <f>J557-I557+J558-I558+J559-I559+J560-I560-J812-J813</f>
        <v>24.057215999999983</v>
      </c>
      <c r="K814" s="6">
        <f>K557-J557+K558-J558+K559-J559+K560-J560-K812-K813</f>
        <v>117.90554699999967</v>
      </c>
      <c r="L814" s="6">
        <f>L557-K557+L558-K558+L559-K559+L560-K560-L812-L813</f>
        <v>254.06324199999995</v>
      </c>
      <c r="M814" s="6">
        <f>M557-L557+M558-L558+M559-L559+M560-L560-M812-M813</f>
        <v>2130.4603140000008</v>
      </c>
      <c r="N814" s="6">
        <f t="shared" ref="N814:AD814" si="948">N557-M557+N558-M558+N559-M559+N560-M560-N812-N813+N561-M561</f>
        <v>-137.82619900000012</v>
      </c>
      <c r="O814" s="6">
        <f t="shared" si="948"/>
        <v>-1267.1082700000002</v>
      </c>
      <c r="P814" s="6">
        <f t="shared" si="948"/>
        <v>1042.389426</v>
      </c>
      <c r="Q814" s="6">
        <f t="shared" si="948"/>
        <v>755.99220099999911</v>
      </c>
      <c r="R814" s="6">
        <f t="shared" si="948"/>
        <v>32512.858582000001</v>
      </c>
      <c r="S814" s="6">
        <f t="shared" si="948"/>
        <v>28415.969062000004</v>
      </c>
      <c r="T814" s="6">
        <f t="shared" si="948"/>
        <v>11014.754357999989</v>
      </c>
      <c r="U814" s="6">
        <f t="shared" ca="1" si="948"/>
        <v>1948.1681689871298</v>
      </c>
      <c r="V814" s="6">
        <f t="shared" ca="1" si="948"/>
        <v>1960.8996729762439</v>
      </c>
      <c r="W814" s="6">
        <f t="shared" ca="1" si="948"/>
        <v>2459.9866155830064</v>
      </c>
      <c r="X814" s="6">
        <f t="shared" ca="1" si="948"/>
        <v>2946.1004704667466</v>
      </c>
      <c r="Y814" s="6">
        <f t="shared" ca="1" si="948"/>
        <v>3529.5200104696205</v>
      </c>
      <c r="Z814" s="6">
        <f t="shared" ca="1" si="948"/>
        <v>4295.6984057805957</v>
      </c>
      <c r="AA814" s="6">
        <f t="shared" ca="1" si="948"/>
        <v>4890.7957991017392</v>
      </c>
      <c r="AB814" s="6">
        <f t="shared" ca="1" si="948"/>
        <v>5603.7647627608458</v>
      </c>
      <c r="AC814" s="6">
        <f t="shared" ca="1" si="948"/>
        <v>6373.9899545490562</v>
      </c>
      <c r="AD814" s="6">
        <f t="shared" ca="1" si="948"/>
        <v>7202.2165144009668</v>
      </c>
      <c r="AE814" s="6"/>
      <c r="AF814" s="6"/>
      <c r="AG814" s="6"/>
      <c r="AH814" s="6"/>
      <c r="AI814" s="6"/>
      <c r="AJ814" s="6"/>
      <c r="AK814" s="6"/>
      <c r="AL814" s="6"/>
      <c r="AM814" s="6"/>
      <c r="AN814" s="6">
        <f t="shared" ref="AN814:BW814" si="949">AN557-AM557+AN558-AM558+AN559-AM559+AN560-AM560-AN812-AN813+AN561-AM561</f>
        <v>-121.39228000000006</v>
      </c>
      <c r="AO814" s="6">
        <f t="shared" si="949"/>
        <v>-158.85880799999998</v>
      </c>
      <c r="AP814" s="6">
        <f t="shared" si="949"/>
        <v>-188.51672100000005</v>
      </c>
      <c r="AQ814" s="6">
        <f t="shared" si="949"/>
        <v>-190.20581300000001</v>
      </c>
      <c r="AR814" s="6">
        <f t="shared" si="949"/>
        <v>-190.44543100000007</v>
      </c>
      <c r="AS814" s="6">
        <f t="shared" si="949"/>
        <v>-235.21141299999999</v>
      </c>
      <c r="AT814" s="6">
        <f t="shared" si="949"/>
        <v>-320.13916099999989</v>
      </c>
      <c r="AU814" s="6">
        <f t="shared" si="949"/>
        <v>-302.27373500000004</v>
      </c>
      <c r="AV814" s="6">
        <f t="shared" si="949"/>
        <v>-234.908333</v>
      </c>
      <c r="AW814" s="6">
        <f t="shared" si="949"/>
        <v>-263.70237200000008</v>
      </c>
      <c r="AX814" s="6">
        <f t="shared" si="949"/>
        <v>-325.28029800000013</v>
      </c>
      <c r="AY814" s="6">
        <f t="shared" si="949"/>
        <v>6786.831443</v>
      </c>
      <c r="AZ814" s="6">
        <f t="shared" si="949"/>
        <v>-7247.7226790000004</v>
      </c>
      <c r="BA814" s="6">
        <f t="shared" si="949"/>
        <v>-119.66973899999999</v>
      </c>
      <c r="BB814" s="6">
        <f t="shared" si="949"/>
        <v>-193.81679699999995</v>
      </c>
      <c r="BC814" s="6">
        <f t="shared" si="949"/>
        <v>6294.1009049999984</v>
      </c>
      <c r="BD814" s="6">
        <f t="shared" si="949"/>
        <v>104.0137990000012</v>
      </c>
      <c r="BE814" s="6">
        <f t="shared" si="949"/>
        <v>172.78305099999943</v>
      </c>
      <c r="BF814" s="6">
        <f t="shared" si="949"/>
        <v>256.80758100000003</v>
      </c>
      <c r="BG814" s="6">
        <f t="shared" si="949"/>
        <v>508.78499499999975</v>
      </c>
      <c r="BH814" s="6">
        <f t="shared" si="949"/>
        <v>-195.39691700000003</v>
      </c>
      <c r="BI814" s="6">
        <f t="shared" si="949"/>
        <v>3.6094329999996262</v>
      </c>
      <c r="BJ814" s="6">
        <f t="shared" si="949"/>
        <v>620.7688279999993</v>
      </c>
      <c r="BK814" s="6">
        <f t="shared" si="949"/>
        <v>327.01085700000158</v>
      </c>
      <c r="BL814" s="6">
        <f t="shared" si="949"/>
        <v>125.71313499999951</v>
      </c>
      <c r="BM814" s="6">
        <f t="shared" si="949"/>
        <v>27.559756000000107</v>
      </c>
      <c r="BN814" s="6">
        <f t="shared" si="949"/>
        <v>-292.53302800000074</v>
      </c>
      <c r="BO814" s="6">
        <f t="shared" si="949"/>
        <v>32652.118719000002</v>
      </c>
      <c r="BP814" s="6">
        <f t="shared" si="949"/>
        <v>12883.720516000003</v>
      </c>
      <c r="BQ814" s="6">
        <f t="shared" si="949"/>
        <v>743.22637899999972</v>
      </c>
      <c r="BR814" s="6">
        <f t="shared" si="949"/>
        <v>11476.016749</v>
      </c>
      <c r="BS814" s="6">
        <f t="shared" si="949"/>
        <v>3313.0054180000029</v>
      </c>
      <c r="BT814" s="6">
        <f t="shared" si="949"/>
        <v>2566.9538329999914</v>
      </c>
      <c r="BU814" s="6">
        <f t="shared" si="949"/>
        <v>3795.7395670000024</v>
      </c>
      <c r="BV814" s="6">
        <f t="shared" si="949"/>
        <v>2192.1572509999996</v>
      </c>
      <c r="BW814" s="6">
        <f t="shared" si="949"/>
        <v>2459.9037069999981</v>
      </c>
      <c r="BX814" s="6"/>
      <c r="BY814" s="6"/>
      <c r="BZ814" s="6"/>
      <c r="CA814" s="6"/>
      <c r="CB814" s="6"/>
      <c r="CC814" s="6"/>
      <c r="CD814" s="6"/>
      <c r="CE814" s="6"/>
      <c r="CF814" s="5"/>
      <c r="CH814" s="5" t="s">
        <v>562</v>
      </c>
    </row>
    <row r="815" spans="1:96" outlineLevel="1">
      <c r="B815" s="12" t="s">
        <v>422</v>
      </c>
      <c r="C815" s="6"/>
      <c r="D815" s="6"/>
      <c r="E815" s="6"/>
      <c r="F815" s="6"/>
      <c r="G815" s="6"/>
      <c r="H815" s="6"/>
      <c r="I815" s="6">
        <f>I562-I555</f>
        <v>1027.69695</v>
      </c>
      <c r="J815" s="6">
        <f t="shared" ref="J815:AD815" si="950">SUM(J810:J814)</f>
        <v>1450.1190969999998</v>
      </c>
      <c r="K815" s="6">
        <f t="shared" si="950"/>
        <v>2011.9711599999996</v>
      </c>
      <c r="L815" s="6">
        <f t="shared" si="950"/>
        <v>2925.0479189999996</v>
      </c>
      <c r="M815" s="6">
        <f t="shared" si="950"/>
        <v>6103.692771</v>
      </c>
      <c r="N815" s="6">
        <f t="shared" si="950"/>
        <v>7042.2948639999995</v>
      </c>
      <c r="O815" s="6">
        <f t="shared" si="950"/>
        <v>6489.6320749999995</v>
      </c>
      <c r="P815" s="6">
        <f t="shared" si="950"/>
        <v>8530.3955310000001</v>
      </c>
      <c r="Q815" s="6">
        <f t="shared" si="950"/>
        <v>9529.1792950000017</v>
      </c>
      <c r="R815" s="6">
        <f t="shared" si="950"/>
        <v>44550.729734000008</v>
      </c>
      <c r="S815" s="6">
        <f t="shared" si="950"/>
        <v>71536.83471000001</v>
      </c>
      <c r="T815" s="6">
        <f t="shared" si="950"/>
        <v>84693.813552000007</v>
      </c>
      <c r="U815" s="6">
        <f t="shared" ca="1" si="950"/>
        <v>88840.881240865943</v>
      </c>
      <c r="V815" s="6">
        <f t="shared" ca="1" si="950"/>
        <v>95571.550232622118</v>
      </c>
      <c r="W815" s="6">
        <f t="shared" ca="1" si="950"/>
        <v>104689.84800135829</v>
      </c>
      <c r="X815" s="6">
        <f t="shared" ca="1" si="950"/>
        <v>116556.59303269359</v>
      </c>
      <c r="Y815" s="6">
        <f t="shared" ca="1" si="950"/>
        <v>131806.77673009067</v>
      </c>
      <c r="Z815" s="6">
        <f t="shared" ca="1" si="950"/>
        <v>150419.76990751227</v>
      </c>
      <c r="AA815" s="6">
        <f t="shared" ca="1" si="950"/>
        <v>172453.69125642246</v>
      </c>
      <c r="AB815" s="6">
        <f t="shared" ca="1" si="950"/>
        <v>198385.29299200204</v>
      </c>
      <c r="AC815" s="6">
        <f t="shared" ca="1" si="950"/>
        <v>227736.03932445648</v>
      </c>
      <c r="AD815" s="6">
        <f t="shared" ca="1" si="950"/>
        <v>260636.54146633955</v>
      </c>
      <c r="AE815" s="6"/>
      <c r="AF815" s="6"/>
      <c r="AG815" s="6"/>
      <c r="AH815" s="6"/>
      <c r="AI815" s="6"/>
      <c r="AJ815" s="6"/>
      <c r="AK815" s="6"/>
      <c r="AL815" s="6"/>
      <c r="AM815" s="6"/>
      <c r="AN815" s="6">
        <f t="shared" ref="AN815:BW815" si="951">SUM(AN810:AN814)</f>
        <v>0</v>
      </c>
      <c r="AO815" s="6">
        <f t="shared" si="951"/>
        <v>0</v>
      </c>
      <c r="AP815" s="6">
        <f t="shared" si="951"/>
        <v>0</v>
      </c>
      <c r="AQ815" s="6">
        <f t="shared" si="951"/>
        <v>0</v>
      </c>
      <c r="AR815" s="6">
        <f t="shared" si="951"/>
        <v>0</v>
      </c>
      <c r="AS815" s="6">
        <f t="shared" si="951"/>
        <v>0</v>
      </c>
      <c r="AT815" s="6">
        <f t="shared" si="951"/>
        <v>0</v>
      </c>
      <c r="AU815" s="6">
        <f t="shared" si="951"/>
        <v>0</v>
      </c>
      <c r="AV815" s="6">
        <f t="shared" si="951"/>
        <v>0</v>
      </c>
      <c r="AW815" s="6">
        <f t="shared" si="951"/>
        <v>0</v>
      </c>
      <c r="AX815" s="6">
        <f t="shared" si="951"/>
        <v>0</v>
      </c>
      <c r="AY815" s="6">
        <f t="shared" si="951"/>
        <v>7042.2948639999995</v>
      </c>
      <c r="AZ815" s="6">
        <f t="shared" si="951"/>
        <v>0</v>
      </c>
      <c r="BA815" s="6">
        <f t="shared" si="951"/>
        <v>0</v>
      </c>
      <c r="BB815" s="6">
        <f t="shared" si="951"/>
        <v>0</v>
      </c>
      <c r="BC815" s="6">
        <f t="shared" si="951"/>
        <v>6489.6320749999986</v>
      </c>
      <c r="BD815" s="6">
        <f t="shared" si="951"/>
        <v>6747.1316909999996</v>
      </c>
      <c r="BE815" s="6">
        <f t="shared" si="951"/>
        <v>7130.3098959999998</v>
      </c>
      <c r="BF815" s="6">
        <f t="shared" si="951"/>
        <v>7760.1211119999998</v>
      </c>
      <c r="BG815" s="6">
        <f t="shared" si="951"/>
        <v>8530.3955310000001</v>
      </c>
      <c r="BH815" s="6">
        <f t="shared" si="951"/>
        <v>8450.3699550000001</v>
      </c>
      <c r="BI815" s="6">
        <f t="shared" si="951"/>
        <v>8588.8836309999988</v>
      </c>
      <c r="BJ815" s="6">
        <f t="shared" si="951"/>
        <v>9426.5893199999991</v>
      </c>
      <c r="BK815" s="6">
        <f t="shared" si="951"/>
        <v>9529.1792949999999</v>
      </c>
      <c r="BL815" s="6">
        <f t="shared" si="951"/>
        <v>9528.9283259999993</v>
      </c>
      <c r="BM815" s="6">
        <f t="shared" si="951"/>
        <v>9699.2809100000013</v>
      </c>
      <c r="BN815" s="6">
        <f t="shared" si="951"/>
        <v>11821.887858999999</v>
      </c>
      <c r="BO815" s="6">
        <f t="shared" si="951"/>
        <v>44550.729734</v>
      </c>
      <c r="BP815" s="6">
        <f t="shared" si="951"/>
        <v>55856.195702999998</v>
      </c>
      <c r="BQ815" s="6">
        <f t="shared" si="951"/>
        <v>56078.227545999995</v>
      </c>
      <c r="BR815" s="6">
        <f t="shared" si="951"/>
        <v>67578.435387999998</v>
      </c>
      <c r="BS815" s="6">
        <f t="shared" si="951"/>
        <v>71536.834709999996</v>
      </c>
      <c r="BT815" s="6">
        <f t="shared" si="951"/>
        <v>74186.335286999994</v>
      </c>
      <c r="BU815" s="6">
        <f t="shared" si="951"/>
        <v>78309.027306999997</v>
      </c>
      <c r="BV815" s="6">
        <f t="shared" si="951"/>
        <v>81730.32613999999</v>
      </c>
      <c r="BW815" s="6">
        <f t="shared" si="951"/>
        <v>84693.813551999992</v>
      </c>
      <c r="BX815" s="6"/>
      <c r="BY815" s="6"/>
      <c r="BZ815" s="6"/>
      <c r="CA815" s="6"/>
      <c r="CB815" s="6"/>
      <c r="CC815" s="6"/>
      <c r="CD815" s="6"/>
      <c r="CE815" s="6"/>
      <c r="CF815" s="5"/>
      <c r="CH815" s="5" t="s">
        <v>562</v>
      </c>
    </row>
    <row r="816" spans="1:96" s="38" customFormat="1" outlineLevel="1">
      <c r="A816" s="35"/>
      <c r="B816" s="38" t="s">
        <v>137</v>
      </c>
      <c r="C816" s="36"/>
      <c r="D816" s="36"/>
      <c r="E816" s="36"/>
      <c r="F816" s="36"/>
      <c r="G816" s="36"/>
      <c r="H816" s="36"/>
      <c r="I816" s="36"/>
      <c r="J816" s="119">
        <f t="shared" ref="J816:AD816" si="952">J815-(J562-J555)</f>
        <v>0</v>
      </c>
      <c r="K816" s="119">
        <f t="shared" si="952"/>
        <v>0</v>
      </c>
      <c r="L816" s="119">
        <f t="shared" si="952"/>
        <v>0</v>
      </c>
      <c r="M816" s="119">
        <f t="shared" si="952"/>
        <v>0</v>
      </c>
      <c r="N816" s="212">
        <f t="shared" si="952"/>
        <v>0</v>
      </c>
      <c r="O816" s="212">
        <f t="shared" si="952"/>
        <v>0</v>
      </c>
      <c r="P816" s="212">
        <f t="shared" si="952"/>
        <v>0</v>
      </c>
      <c r="Q816" s="212">
        <f t="shared" si="952"/>
        <v>0</v>
      </c>
      <c r="R816" s="212">
        <f t="shared" si="952"/>
        <v>0</v>
      </c>
      <c r="S816" s="212">
        <f t="shared" si="952"/>
        <v>0</v>
      </c>
      <c r="T816" s="212">
        <f t="shared" si="952"/>
        <v>0</v>
      </c>
      <c r="U816" s="212">
        <f t="shared" ca="1" si="952"/>
        <v>0</v>
      </c>
      <c r="V816" s="212">
        <f t="shared" ca="1" si="952"/>
        <v>0</v>
      </c>
      <c r="W816" s="212">
        <f t="shared" ca="1" si="952"/>
        <v>0</v>
      </c>
      <c r="X816" s="212">
        <f t="shared" ca="1" si="952"/>
        <v>0</v>
      </c>
      <c r="Y816" s="212">
        <f t="shared" ca="1" si="952"/>
        <v>0</v>
      </c>
      <c r="Z816" s="212">
        <f t="shared" ca="1" si="952"/>
        <v>0</v>
      </c>
      <c r="AA816" s="212">
        <f t="shared" ca="1" si="952"/>
        <v>0</v>
      </c>
      <c r="AB816" s="212">
        <f t="shared" ca="1" si="952"/>
        <v>0</v>
      </c>
      <c r="AC816" s="212">
        <f t="shared" ca="1" si="952"/>
        <v>0</v>
      </c>
      <c r="AD816" s="212">
        <f t="shared" ca="1" si="952"/>
        <v>0</v>
      </c>
      <c r="AE816" s="212"/>
      <c r="AF816" s="36"/>
      <c r="AG816" s="36"/>
      <c r="AH816" s="36"/>
      <c r="AI816" s="36"/>
      <c r="AJ816" s="36"/>
      <c r="AK816" s="36"/>
      <c r="AL816" s="36"/>
      <c r="AM816" s="36"/>
      <c r="AN816" s="119">
        <f t="shared" ref="AN816:BW816" si="953">AN815-(AN562-AN555)</f>
        <v>0</v>
      </c>
      <c r="AO816" s="119">
        <f t="shared" si="953"/>
        <v>0</v>
      </c>
      <c r="AP816" s="119">
        <f t="shared" si="953"/>
        <v>0</v>
      </c>
      <c r="AQ816" s="119">
        <f t="shared" si="953"/>
        <v>0</v>
      </c>
      <c r="AR816" s="119">
        <f t="shared" si="953"/>
        <v>0</v>
      </c>
      <c r="AS816" s="119">
        <f t="shared" si="953"/>
        <v>0</v>
      </c>
      <c r="AT816" s="119">
        <f t="shared" si="953"/>
        <v>0</v>
      </c>
      <c r="AU816" s="119">
        <f t="shared" si="953"/>
        <v>0</v>
      </c>
      <c r="AV816" s="119">
        <f t="shared" si="953"/>
        <v>0</v>
      </c>
      <c r="AW816" s="119">
        <f t="shared" si="953"/>
        <v>0</v>
      </c>
      <c r="AX816" s="119">
        <f t="shared" si="953"/>
        <v>0</v>
      </c>
      <c r="AY816" s="119">
        <f t="shared" si="953"/>
        <v>0</v>
      </c>
      <c r="AZ816" s="119">
        <f t="shared" si="953"/>
        <v>0</v>
      </c>
      <c r="BA816" s="119">
        <f t="shared" si="953"/>
        <v>0</v>
      </c>
      <c r="BB816" s="119">
        <f t="shared" si="953"/>
        <v>0</v>
      </c>
      <c r="BC816" s="119">
        <f t="shared" si="953"/>
        <v>0</v>
      </c>
      <c r="BD816" s="119">
        <f t="shared" si="953"/>
        <v>0</v>
      </c>
      <c r="BE816" s="119">
        <f t="shared" si="953"/>
        <v>0</v>
      </c>
      <c r="BF816" s="119">
        <f t="shared" si="953"/>
        <v>0</v>
      </c>
      <c r="BG816" s="119">
        <f t="shared" si="953"/>
        <v>0</v>
      </c>
      <c r="BH816" s="119">
        <f t="shared" si="953"/>
        <v>0</v>
      </c>
      <c r="BI816" s="119">
        <f t="shared" si="953"/>
        <v>0</v>
      </c>
      <c r="BJ816" s="119">
        <f t="shared" si="953"/>
        <v>0</v>
      </c>
      <c r="BK816" s="119">
        <f t="shared" si="953"/>
        <v>0</v>
      </c>
      <c r="BL816" s="119">
        <f t="shared" si="953"/>
        <v>0</v>
      </c>
      <c r="BM816" s="119">
        <f t="shared" si="953"/>
        <v>0</v>
      </c>
      <c r="BN816" s="119">
        <f t="shared" si="953"/>
        <v>0</v>
      </c>
      <c r="BO816" s="119">
        <f t="shared" si="953"/>
        <v>0</v>
      </c>
      <c r="BP816" s="119">
        <f t="shared" si="953"/>
        <v>0</v>
      </c>
      <c r="BQ816" s="119">
        <f t="shared" si="953"/>
        <v>0</v>
      </c>
      <c r="BR816" s="119">
        <f t="shared" si="953"/>
        <v>0</v>
      </c>
      <c r="BS816" s="119">
        <f t="shared" si="953"/>
        <v>0</v>
      </c>
      <c r="BT816" s="119">
        <f t="shared" si="953"/>
        <v>0</v>
      </c>
      <c r="BU816" s="119">
        <f t="shared" si="953"/>
        <v>0</v>
      </c>
      <c r="BV816" s="119">
        <f t="shared" si="953"/>
        <v>0</v>
      </c>
      <c r="BW816" s="119">
        <f t="shared" si="953"/>
        <v>0</v>
      </c>
      <c r="BX816" s="119"/>
      <c r="BY816" s="119"/>
      <c r="BZ816" s="119"/>
      <c r="CA816" s="119"/>
      <c r="CB816" s="119"/>
      <c r="CC816" s="119"/>
      <c r="CD816" s="119"/>
      <c r="CE816" s="119"/>
      <c r="CF816" s="75"/>
      <c r="CH816" s="5" t="s">
        <v>562</v>
      </c>
      <c r="CI816" s="35"/>
      <c r="CJ816"/>
      <c r="CK816"/>
      <c r="CL816"/>
      <c r="CM816"/>
      <c r="CN816"/>
      <c r="CO816"/>
      <c r="CP816" s="35"/>
      <c r="CQ816" s="35"/>
      <c r="CR816" s="35"/>
    </row>
    <row r="817" spans="1:96" outlineLevel="1"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  <c r="BH817" s="6"/>
      <c r="BI817" s="6"/>
      <c r="BJ817" s="6"/>
      <c r="BK817" s="6"/>
      <c r="BL817" s="6"/>
      <c r="BM817" s="6"/>
      <c r="BN817" s="6"/>
      <c r="BO817" s="6"/>
      <c r="BP817" s="6"/>
      <c r="BQ817" s="6"/>
      <c r="BR817" s="6"/>
      <c r="BS817" s="6"/>
      <c r="BT817" s="6"/>
      <c r="BU817" s="6"/>
      <c r="BV817" s="6"/>
      <c r="BW817" s="6"/>
      <c r="BX817" s="6"/>
      <c r="BY817" s="6"/>
      <c r="BZ817" s="6"/>
      <c r="CA817" s="6"/>
      <c r="CB817" s="6"/>
      <c r="CC817" s="6"/>
      <c r="CD817" s="6"/>
      <c r="CE817" s="6"/>
      <c r="CF817" s="5"/>
      <c r="CH817" s="5" t="s">
        <v>562</v>
      </c>
    </row>
    <row r="818" spans="1:96" outlineLevel="1"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  <c r="BH818" s="6"/>
      <c r="BI818" s="6"/>
      <c r="BJ818" s="6"/>
      <c r="BK818" s="6"/>
      <c r="BL818" s="6"/>
      <c r="BM818" s="6"/>
      <c r="BN818" s="6"/>
      <c r="BO818" s="6"/>
      <c r="BP818" s="6"/>
      <c r="BQ818" s="6"/>
      <c r="BR818" s="6"/>
      <c r="BS818" s="6"/>
      <c r="BT818" s="6"/>
      <c r="BU818" s="6"/>
      <c r="BV818" s="6"/>
      <c r="BW818" s="6"/>
      <c r="BX818" s="6"/>
      <c r="BY818" s="6"/>
      <c r="BZ818" s="6"/>
      <c r="CA818" s="6"/>
      <c r="CB818" s="6"/>
      <c r="CC818" s="6"/>
      <c r="CD818" s="6"/>
      <c r="CE818" s="6"/>
      <c r="CF818" s="5"/>
      <c r="CH818" s="5" t="s">
        <v>562</v>
      </c>
    </row>
    <row r="819" spans="1:96" s="9" customFormat="1" ht="15.75" outlineLevel="1" thickBot="1">
      <c r="A819" s="3"/>
      <c r="B819" s="120" t="s">
        <v>432</v>
      </c>
      <c r="C819" s="121"/>
      <c r="D819" s="121"/>
      <c r="E819" s="121"/>
      <c r="F819" s="121"/>
      <c r="G819" s="121"/>
      <c r="H819" s="121"/>
      <c r="I819" s="121"/>
      <c r="J819" s="121"/>
      <c r="K819" s="121"/>
      <c r="L819" s="121"/>
      <c r="M819" s="121"/>
      <c r="N819" s="121"/>
      <c r="O819" s="121"/>
      <c r="P819" s="121"/>
      <c r="Q819" s="121"/>
      <c r="R819" s="121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1"/>
      <c r="AG819" s="121"/>
      <c r="AH819" s="121"/>
      <c r="AI819" s="121"/>
      <c r="AJ819" s="121"/>
      <c r="AK819" s="121"/>
      <c r="AL819" s="121"/>
      <c r="AM819" s="121"/>
      <c r="AN819" s="121"/>
      <c r="AO819" s="121"/>
      <c r="AP819" s="121"/>
      <c r="AQ819" s="121"/>
      <c r="AR819" s="121"/>
      <c r="AS819" s="121"/>
      <c r="AT819" s="121"/>
      <c r="AU819" s="121"/>
      <c r="AV819" s="121"/>
      <c r="AW819" s="121"/>
      <c r="AX819" s="121"/>
      <c r="AY819" s="121"/>
      <c r="AZ819" s="121"/>
      <c r="BA819" s="121"/>
      <c r="BB819" s="121"/>
      <c r="BC819" s="121"/>
      <c r="BD819" s="121"/>
      <c r="BE819" s="121"/>
      <c r="BF819" s="121"/>
      <c r="BG819" s="121"/>
      <c r="BH819" s="121"/>
      <c r="BI819" s="121"/>
      <c r="BJ819" s="121"/>
      <c r="BK819" s="121"/>
      <c r="BL819" s="121"/>
      <c r="BM819" s="121"/>
      <c r="BN819" s="121"/>
      <c r="BO819" s="121"/>
      <c r="BP819" s="121"/>
      <c r="BQ819" s="121"/>
      <c r="BR819" s="122"/>
      <c r="BS819" s="122"/>
      <c r="BT819" s="121"/>
      <c r="BU819" s="121"/>
      <c r="BV819" s="122"/>
      <c r="BW819" s="122"/>
      <c r="BX819" s="10"/>
      <c r="BY819" s="10"/>
      <c r="BZ819" s="10"/>
      <c r="CA819" s="10"/>
      <c r="CB819" s="10"/>
      <c r="CC819" s="10"/>
      <c r="CD819" s="10"/>
      <c r="CE819" s="10"/>
      <c r="CH819" s="5" t="s">
        <v>562</v>
      </c>
      <c r="CI819" s="10"/>
      <c r="CJ819"/>
      <c r="CK819"/>
      <c r="CL819"/>
      <c r="CM819"/>
      <c r="CN819"/>
      <c r="CO819"/>
      <c r="CP819" s="10"/>
      <c r="CQ819" s="10"/>
      <c r="CR819" s="10"/>
    </row>
    <row r="820" spans="1:96" ht="15.75" outlineLevel="1" thickTop="1">
      <c r="B820" s="12" t="s">
        <v>433</v>
      </c>
      <c r="C820" s="6"/>
      <c r="D820" s="6"/>
      <c r="E820" s="6"/>
      <c r="F820" s="6"/>
      <c r="G820" s="6"/>
      <c r="H820" s="6"/>
      <c r="I820" s="6">
        <f t="shared" ref="I820:AD820" si="954">365/((-COS-Exp_ToT)/(AVERAGE(H543+I543)))</f>
        <v>155.64597263905014</v>
      </c>
      <c r="J820" s="6">
        <f t="shared" si="954"/>
        <v>175.57442780568766</v>
      </c>
      <c r="K820" s="6">
        <f t="shared" si="954"/>
        <v>132.14193093798298</v>
      </c>
      <c r="L820" s="6">
        <f t="shared" si="954"/>
        <v>120.58804041641211</v>
      </c>
      <c r="M820" s="6">
        <f t="shared" si="954"/>
        <v>177.06126653549438</v>
      </c>
      <c r="N820" s="6">
        <f t="shared" si="954"/>
        <v>203.88504175242318</v>
      </c>
      <c r="O820" s="6">
        <f t="shared" si="954"/>
        <v>186.12850656767341</v>
      </c>
      <c r="P820" s="6">
        <f t="shared" si="954"/>
        <v>213.5619323600169</v>
      </c>
      <c r="Q820" s="6">
        <f t="shared" si="954"/>
        <v>191.88577239166852</v>
      </c>
      <c r="R820" s="6">
        <f t="shared" si="954"/>
        <v>286.28694240547276</v>
      </c>
      <c r="S820" s="6">
        <f t="shared" si="954"/>
        <v>232.07774290746718</v>
      </c>
      <c r="T820" s="6">
        <f t="shared" si="954"/>
        <v>225.51729707198876</v>
      </c>
      <c r="U820" s="6">
        <f t="shared" ca="1" si="954"/>
        <v>167.38082915562833</v>
      </c>
      <c r="V820" s="6">
        <f t="shared" ca="1" si="954"/>
        <v>124.74056475313625</v>
      </c>
      <c r="W820" s="6">
        <f t="shared" ca="1" si="954"/>
        <v>108.37532076476788</v>
      </c>
      <c r="X820" s="6">
        <f t="shared" ca="1" si="954"/>
        <v>94.51645472258754</v>
      </c>
      <c r="Y820" s="6">
        <f t="shared" ca="1" si="954"/>
        <v>84.841920344126891</v>
      </c>
      <c r="Z820" s="6">
        <f t="shared" ca="1" si="954"/>
        <v>76.990011970364691</v>
      </c>
      <c r="AA820" s="6">
        <f t="shared" ca="1" si="954"/>
        <v>69.177134773818466</v>
      </c>
      <c r="AB820" s="6">
        <f t="shared" ca="1" si="954"/>
        <v>61.526656138380162</v>
      </c>
      <c r="AC820" s="6">
        <f t="shared" ca="1" si="954"/>
        <v>54.472046739532026</v>
      </c>
      <c r="AD820" s="6">
        <f t="shared" ca="1" si="954"/>
        <v>48.818617416830037</v>
      </c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  <c r="BH820" s="6"/>
      <c r="BI820" s="6"/>
      <c r="BJ820" s="6"/>
      <c r="BK820" s="6"/>
      <c r="BL820" s="6"/>
      <c r="BM820" s="6"/>
      <c r="BN820" s="6"/>
      <c r="BO820" s="6"/>
      <c r="BP820" s="6"/>
      <c r="BQ820" s="6"/>
      <c r="BR820" s="6"/>
      <c r="BS820" s="6"/>
      <c r="BT820" s="6"/>
      <c r="BU820" s="6"/>
      <c r="BV820" s="6"/>
      <c r="BW820" s="6"/>
      <c r="BX820" s="6"/>
      <c r="BY820" s="6"/>
      <c r="BZ820" s="6"/>
      <c r="CA820" s="6"/>
      <c r="CB820" s="6"/>
      <c r="CC820" s="6"/>
      <c r="CD820" s="6"/>
      <c r="CE820" s="6"/>
      <c r="CF820" s="5"/>
      <c r="CH820" s="5" t="s">
        <v>562</v>
      </c>
    </row>
    <row r="821" spans="1:96" outlineLevel="1">
      <c r="B821" s="12" t="s">
        <v>434</v>
      </c>
      <c r="C821" s="6"/>
      <c r="D821" s="6"/>
      <c r="E821" s="6"/>
      <c r="F821" s="6"/>
      <c r="G821" s="6"/>
      <c r="H821" s="6"/>
      <c r="I821" s="6">
        <f t="shared" ref="I821:AD821" si="955">(AVERAGE(H528,I528)*360/Rev_Gross)</f>
        <v>43.191836729809779</v>
      </c>
      <c r="J821" s="6">
        <f t="shared" si="955"/>
        <v>55.564508716292828</v>
      </c>
      <c r="K821" s="6">
        <f t="shared" si="955"/>
        <v>60.634708053269158</v>
      </c>
      <c r="L821" s="6">
        <f t="shared" si="955"/>
        <v>58.928160704537603</v>
      </c>
      <c r="M821" s="6">
        <f t="shared" si="955"/>
        <v>61.167449459888687</v>
      </c>
      <c r="N821" s="6">
        <f t="shared" si="955"/>
        <v>68.138648633439317</v>
      </c>
      <c r="O821" s="6">
        <f t="shared" si="955"/>
        <v>72.374102349700721</v>
      </c>
      <c r="P821" s="6">
        <f t="shared" si="955"/>
        <v>78.776430588865026</v>
      </c>
      <c r="Q821" s="6">
        <f t="shared" si="955"/>
        <v>77.464760663867835</v>
      </c>
      <c r="R821" s="6">
        <f t="shared" si="955"/>
        <v>77.929925437989382</v>
      </c>
      <c r="S821" s="6">
        <f t="shared" si="955"/>
        <v>70.729708692111302</v>
      </c>
      <c r="T821" s="6">
        <f t="shared" si="955"/>
        <v>61.278039621810571</v>
      </c>
      <c r="U821" s="6">
        <f t="shared" ca="1" si="955"/>
        <v>61.579352738107936</v>
      </c>
      <c r="V821" s="6">
        <f t="shared" ca="1" si="955"/>
        <v>64.643851948810436</v>
      </c>
      <c r="W821" s="6">
        <f t="shared" ca="1" si="955"/>
        <v>65.458100560564873</v>
      </c>
      <c r="X821" s="6">
        <f t="shared" ca="1" si="955"/>
        <v>65.899529601820589</v>
      </c>
      <c r="Y821" s="6">
        <f t="shared" ca="1" si="955"/>
        <v>66.16296848632804</v>
      </c>
      <c r="Z821" s="6">
        <f t="shared" ca="1" si="955"/>
        <v>67.095875871230348</v>
      </c>
      <c r="AA821" s="6">
        <f t="shared" ca="1" si="955"/>
        <v>67.374504017140595</v>
      </c>
      <c r="AB821" s="6">
        <f t="shared" ca="1" si="955"/>
        <v>67.621737774436937</v>
      </c>
      <c r="AC821" s="6">
        <f t="shared" ca="1" si="955"/>
        <v>67.86765587756426</v>
      </c>
      <c r="AD821" s="6">
        <f t="shared" ca="1" si="955"/>
        <v>68.202264972196716</v>
      </c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  <c r="BH821" s="6"/>
      <c r="BI821" s="6"/>
      <c r="BJ821" s="6"/>
      <c r="BK821" s="6"/>
      <c r="BL821" s="6"/>
      <c r="BM821" s="6"/>
      <c r="BN821" s="6"/>
      <c r="BO821" s="6"/>
      <c r="BP821" s="6"/>
      <c r="BQ821" s="6"/>
      <c r="BR821" s="6"/>
      <c r="BS821" s="6"/>
      <c r="BT821" s="6"/>
      <c r="BU821" s="6"/>
      <c r="BV821" s="6"/>
      <c r="BW821" s="6"/>
      <c r="BX821" s="6"/>
      <c r="BY821" s="6"/>
      <c r="BZ821" s="6"/>
      <c r="CA821" s="6"/>
      <c r="CB821" s="6"/>
      <c r="CC821" s="6"/>
      <c r="CD821" s="6"/>
      <c r="CE821" s="6"/>
      <c r="CF821" s="5"/>
      <c r="CH821" s="5" t="s">
        <v>562</v>
      </c>
    </row>
    <row r="822" spans="1:96" outlineLevel="1">
      <c r="B822" s="12" t="s">
        <v>435</v>
      </c>
      <c r="C822" s="6"/>
      <c r="D822" s="6"/>
      <c r="E822" s="6"/>
      <c r="F822" s="6"/>
      <c r="G822" s="6"/>
      <c r="H822" s="6"/>
      <c r="I822" s="123">
        <f t="shared" ref="I822:AD822" si="956">Assets_Cur/Liab_Cur</f>
        <v>2.5020284766384253</v>
      </c>
      <c r="J822" s="123">
        <f t="shared" si="956"/>
        <v>2.3028969607253691</v>
      </c>
      <c r="K822" s="123">
        <f t="shared" si="956"/>
        <v>2.6057655313872758</v>
      </c>
      <c r="L822" s="123">
        <f t="shared" si="956"/>
        <v>1.990689061761002</v>
      </c>
      <c r="M822" s="123">
        <f t="shared" si="956"/>
        <v>2.4301728208871487</v>
      </c>
      <c r="N822" s="170">
        <f t="shared" si="956"/>
        <v>2.4915858214484037</v>
      </c>
      <c r="O822" s="170">
        <f t="shared" si="956"/>
        <v>1.9547154887285101</v>
      </c>
      <c r="P822" s="170">
        <f t="shared" si="956"/>
        <v>2.2559202647621763</v>
      </c>
      <c r="Q822" s="170">
        <f t="shared" si="956"/>
        <v>1.3430658363102477</v>
      </c>
      <c r="R822" s="123">
        <f t="shared" si="956"/>
        <v>1.2059869003215191</v>
      </c>
      <c r="S822" s="123">
        <f t="shared" si="956"/>
        <v>1.5154778727742673</v>
      </c>
      <c r="T822" s="123">
        <f t="shared" si="956"/>
        <v>1.4048129770624391</v>
      </c>
      <c r="U822" s="123">
        <f t="shared" ca="1" si="956"/>
        <v>1.6714190647263949</v>
      </c>
      <c r="V822" s="123">
        <f t="shared" ca="1" si="956"/>
        <v>1.7288875073166003</v>
      </c>
      <c r="W822" s="123">
        <f t="shared" ca="1" si="956"/>
        <v>1.8354898166615983</v>
      </c>
      <c r="X822" s="123">
        <f t="shared" ca="1" si="956"/>
        <v>1.8965460304591724</v>
      </c>
      <c r="Y822" s="123">
        <f t="shared" ca="1" si="956"/>
        <v>1.981746266639606</v>
      </c>
      <c r="Z822" s="123">
        <f t="shared" ca="1" si="956"/>
        <v>2.1200364579441748</v>
      </c>
      <c r="AA822" s="123">
        <f t="shared" ca="1" si="956"/>
        <v>2.2424204075907084</v>
      </c>
      <c r="AB822" s="123">
        <f t="shared" ca="1" si="956"/>
        <v>2.3813446863907966</v>
      </c>
      <c r="AC822" s="123">
        <f t="shared" ca="1" si="956"/>
        <v>2.5180437660883062</v>
      </c>
      <c r="AD822" s="123">
        <f t="shared" ca="1" si="956"/>
        <v>2.6670030930125139</v>
      </c>
      <c r="AE822" s="123"/>
      <c r="AF822" s="123"/>
      <c r="AG822" s="123"/>
      <c r="AH822" s="123"/>
      <c r="AI822" s="123"/>
      <c r="AJ822" s="123"/>
      <c r="AK822" s="123"/>
      <c r="AL822" s="123"/>
      <c r="AM822" s="123"/>
      <c r="AN822" s="123"/>
      <c r="AO822" s="123"/>
      <c r="AP822" s="123"/>
      <c r="AQ822" s="123"/>
      <c r="AR822" s="123"/>
      <c r="AS822" s="123"/>
      <c r="AT822" s="123"/>
      <c r="AU822" s="123"/>
      <c r="AV822" s="123"/>
      <c r="AW822" s="123"/>
      <c r="AX822" s="123"/>
      <c r="AY822" s="123"/>
      <c r="AZ822" s="124"/>
      <c r="BA822" s="124"/>
      <c r="BB822" s="124"/>
      <c r="BC822" s="124"/>
      <c r="BD822" s="124">
        <f t="shared" ref="BD822:BL822" si="957">Assets_Cur/Liab_Cur</f>
        <v>1.9237550158255443</v>
      </c>
      <c r="BE822" s="124">
        <f t="shared" si="957"/>
        <v>1.8627219778957982</v>
      </c>
      <c r="BF822" s="124">
        <f t="shared" si="957"/>
        <v>1.8206765570512498</v>
      </c>
      <c r="BG822" s="124">
        <f t="shared" si="957"/>
        <v>2.2559202647621763</v>
      </c>
      <c r="BH822" s="124">
        <f t="shared" si="957"/>
        <v>2.1612378149473948</v>
      </c>
      <c r="BI822" s="124">
        <f t="shared" si="957"/>
        <v>1.6527792381801785</v>
      </c>
      <c r="BJ822" s="124">
        <f t="shared" si="957"/>
        <v>1.5793488733743983</v>
      </c>
      <c r="BK822" s="124">
        <f t="shared" si="957"/>
        <v>1.3430658363102477</v>
      </c>
      <c r="BL822" s="124">
        <f t="shared" si="957"/>
        <v>1.283407268857558</v>
      </c>
      <c r="BM822" s="6"/>
      <c r="BN822" s="6"/>
      <c r="BO822" s="6"/>
      <c r="BP822" s="123"/>
      <c r="BQ822" s="123"/>
      <c r="BR822" s="123"/>
      <c r="BS822" s="123"/>
      <c r="BT822" s="123"/>
      <c r="BU822" s="123"/>
      <c r="BV822" s="123"/>
      <c r="BW822" s="123"/>
      <c r="BX822" s="123"/>
      <c r="BY822" s="123"/>
      <c r="BZ822" s="123"/>
      <c r="CA822" s="123"/>
      <c r="CB822" s="123"/>
      <c r="CC822" s="123"/>
      <c r="CD822" s="123"/>
      <c r="CE822" s="123"/>
      <c r="CF822" s="72"/>
      <c r="CH822" s="5" t="s">
        <v>562</v>
      </c>
    </row>
    <row r="823" spans="1:96" outlineLevel="1">
      <c r="B823" s="12" t="s">
        <v>439</v>
      </c>
      <c r="C823" s="6"/>
      <c r="D823" s="6"/>
      <c r="E823" s="6"/>
      <c r="F823" s="6"/>
      <c r="G823" s="6"/>
      <c r="H823" s="6"/>
      <c r="I823" s="125">
        <f t="shared" ref="I823:AD823" ca="1" si="958">SUM(Assets_Cash,Cash_Rest,Assets_ShortInv)/Liab_Cur/100</f>
        <v>36.440002219501345</v>
      </c>
      <c r="J823" s="125">
        <f t="shared" ca="1" si="958"/>
        <v>22.830284752075464</v>
      </c>
      <c r="K823" s="125">
        <f t="shared" ca="1" si="958"/>
        <v>24.50794092994753</v>
      </c>
      <c r="L823" s="125">
        <f t="shared" ca="1" si="958"/>
        <v>13.243281475782478</v>
      </c>
      <c r="M823" s="125">
        <f t="shared" ca="1" si="958"/>
        <v>8.1572134595632626</v>
      </c>
      <c r="N823" s="170">
        <f t="shared" ca="1" si="958"/>
        <v>5.9745057245861082</v>
      </c>
      <c r="O823" s="170">
        <f t="shared" ca="1" si="958"/>
        <v>3.923868208703936</v>
      </c>
      <c r="P823" s="170">
        <f t="shared" ca="1" si="958"/>
        <v>2.4093702459058028</v>
      </c>
      <c r="Q823" s="170">
        <f t="shared" ca="1" si="958"/>
        <v>1.2067046274615192</v>
      </c>
      <c r="R823" s="170">
        <f t="shared" ca="1" si="958"/>
        <v>0.45573717734051428</v>
      </c>
      <c r="S823" s="170">
        <f t="shared" ca="1" si="958"/>
        <v>0.50644916391327754</v>
      </c>
      <c r="T823" s="170">
        <f t="shared" ca="1" si="958"/>
        <v>0.36392114049657798</v>
      </c>
      <c r="U823" s="170">
        <f t="shared" ca="1" si="958"/>
        <v>0.42467640844644788</v>
      </c>
      <c r="V823" s="170">
        <f t="shared" ca="1" si="958"/>
        <v>0.40565547804684493</v>
      </c>
      <c r="W823" s="170">
        <f t="shared" ca="1" si="958"/>
        <v>0.37713466682679347</v>
      </c>
      <c r="X823" s="170">
        <f t="shared" ca="1" si="958"/>
        <v>0.33592475648650416</v>
      </c>
      <c r="Y823" s="170">
        <f t="shared" ca="1" si="958"/>
        <v>0.29546688585717523</v>
      </c>
      <c r="Z823" s="170">
        <f t="shared" ca="1" si="958"/>
        <v>0.26408925703796821</v>
      </c>
      <c r="AA823" s="170">
        <f t="shared" ca="1" si="958"/>
        <v>0.23555928899073161</v>
      </c>
      <c r="AB823" s="170">
        <f t="shared" ca="1" si="958"/>
        <v>0.2111493230391906</v>
      </c>
      <c r="AC823" s="170">
        <f t="shared" ca="1" si="958"/>
        <v>0.18932997426573117</v>
      </c>
      <c r="AD823" s="170">
        <f t="shared" ca="1" si="958"/>
        <v>0.17134644853373665</v>
      </c>
      <c r="AE823" s="170"/>
      <c r="AF823" s="125"/>
      <c r="AG823" s="125"/>
      <c r="AH823" s="125"/>
      <c r="AI823" s="125"/>
      <c r="AJ823" s="125"/>
      <c r="AK823" s="125"/>
      <c r="AL823" s="125"/>
      <c r="AM823" s="125"/>
      <c r="AN823" s="125"/>
      <c r="AO823" s="125"/>
      <c r="AP823" s="125"/>
      <c r="AQ823" s="125"/>
      <c r="AR823" s="125"/>
      <c r="AS823" s="125"/>
      <c r="AT823" s="125"/>
      <c r="AU823" s="125"/>
      <c r="AV823" s="125"/>
      <c r="AW823" s="125"/>
      <c r="AX823" s="125"/>
      <c r="AY823" s="125"/>
      <c r="AZ823" s="124"/>
      <c r="BA823" s="124"/>
      <c r="BB823" s="124"/>
      <c r="BC823" s="124"/>
      <c r="BD823" s="124">
        <f t="shared" ref="BD823:BL823" ca="1" si="959">SUM(Assets_Cash,Cash_Rest,Assets_ShortInv)/Liab_Cur/100</f>
        <v>3.5830220596172482</v>
      </c>
      <c r="BE823" s="124">
        <f t="shared" ca="1" si="959"/>
        <v>3.067182613217962</v>
      </c>
      <c r="BF823" s="124">
        <f t="shared" ca="1" si="959"/>
        <v>2.739962504154152</v>
      </c>
      <c r="BG823" s="124">
        <f t="shared" ca="1" si="959"/>
        <v>2.4093702459058028</v>
      </c>
      <c r="BH823" s="124">
        <f t="shared" ca="1" si="959"/>
        <v>2.2578316484029775</v>
      </c>
      <c r="BI823" s="124">
        <f t="shared" ca="1" si="959"/>
        <v>1.7259820136969415</v>
      </c>
      <c r="BJ823" s="124">
        <f t="shared" ca="1" si="959"/>
        <v>1.4963324772190396</v>
      </c>
      <c r="BK823" s="124">
        <f t="shared" ca="1" si="959"/>
        <v>1.2067046274615192</v>
      </c>
      <c r="BL823" s="124">
        <f t="shared" ca="1" si="959"/>
        <v>1.1719431385116068</v>
      </c>
      <c r="BM823" s="126"/>
      <c r="BN823" s="126"/>
      <c r="BO823" s="126"/>
      <c r="BP823" s="125"/>
      <c r="BQ823" s="125"/>
      <c r="BR823" s="125"/>
      <c r="BS823" s="125"/>
      <c r="BT823" s="125"/>
      <c r="BU823" s="125"/>
      <c r="BV823" s="125"/>
      <c r="BW823" s="125"/>
      <c r="BX823" s="125"/>
      <c r="BY823" s="125"/>
      <c r="BZ823" s="125"/>
      <c r="CA823" s="125"/>
      <c r="CB823" s="125"/>
      <c r="CC823" s="125"/>
      <c r="CD823" s="125"/>
      <c r="CE823" s="125"/>
      <c r="CF823" s="127"/>
      <c r="CH823" s="5" t="s">
        <v>562</v>
      </c>
    </row>
    <row r="824" spans="1:96" outlineLevel="1"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  <c r="BH824" s="6"/>
      <c r="BI824" s="6"/>
      <c r="BJ824" s="6"/>
      <c r="BK824" s="6"/>
      <c r="BL824" s="6"/>
      <c r="BM824" s="6"/>
      <c r="BN824" s="6"/>
      <c r="BO824" s="6"/>
      <c r="BP824" s="6"/>
      <c r="BQ824" s="6"/>
      <c r="BR824" s="6"/>
      <c r="BS824" s="6"/>
      <c r="BT824" s="6"/>
      <c r="BU824" s="6"/>
      <c r="BV824" s="6"/>
      <c r="BW824" s="6"/>
      <c r="BX824" s="6"/>
      <c r="BY824" s="6"/>
      <c r="BZ824" s="6"/>
      <c r="CA824" s="6"/>
      <c r="CB824" s="6"/>
      <c r="CC824" s="6"/>
      <c r="CD824" s="6"/>
      <c r="CE824" s="6"/>
      <c r="CF824" s="5"/>
      <c r="CH824" s="5" t="s">
        <v>562</v>
      </c>
    </row>
    <row r="825" spans="1:96" outlineLevel="1"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  <c r="BH825" s="6"/>
      <c r="BI825" s="6"/>
      <c r="BJ825" s="6"/>
      <c r="BK825" s="6"/>
      <c r="BL825" s="6"/>
      <c r="BM825" s="6"/>
      <c r="BN825" s="6"/>
      <c r="BO825" s="6"/>
      <c r="BP825" s="6"/>
      <c r="BQ825" s="6"/>
      <c r="BR825" s="6"/>
      <c r="BS825" s="6"/>
      <c r="BT825" s="6"/>
      <c r="BU825" s="6"/>
      <c r="BV825" s="6"/>
      <c r="BW825" s="6"/>
      <c r="BX825" s="6"/>
      <c r="BY825" s="6"/>
      <c r="BZ825" s="6"/>
      <c r="CA825" s="6"/>
      <c r="CB825" s="6"/>
      <c r="CC825" s="6"/>
      <c r="CD825" s="6"/>
      <c r="CE825" s="6"/>
      <c r="CF825" s="5"/>
      <c r="CH825" s="5" t="s">
        <v>562</v>
      </c>
    </row>
    <row r="826" spans="1:96" outlineLevel="1"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  <c r="BH826" s="6"/>
      <c r="BI826" s="6"/>
      <c r="BJ826" s="6"/>
      <c r="BK826" s="6"/>
      <c r="BL826" s="6"/>
      <c r="BM826" s="6"/>
      <c r="BN826" s="6"/>
      <c r="BO826" s="6"/>
      <c r="BP826" s="6"/>
      <c r="BQ826" s="6"/>
      <c r="BR826" s="6"/>
      <c r="BS826" s="6"/>
      <c r="BT826" s="6"/>
      <c r="BU826" s="6"/>
      <c r="BV826" s="6"/>
      <c r="BW826" s="6"/>
      <c r="BX826" s="6"/>
      <c r="BY826" s="6"/>
      <c r="BZ826" s="6"/>
      <c r="CA826" s="6"/>
      <c r="CB826" s="6"/>
      <c r="CC826" s="6"/>
      <c r="CD826" s="6"/>
      <c r="CE826" s="6"/>
      <c r="CF826" s="5"/>
      <c r="CH826" s="5" t="s">
        <v>562</v>
      </c>
    </row>
    <row r="827" spans="1:96" ht="15.75" outlineLevel="1" thickBot="1">
      <c r="A827" s="3">
        <v>55.8</v>
      </c>
      <c r="B827" s="120" t="s">
        <v>440</v>
      </c>
      <c r="C827" s="121"/>
      <c r="D827" s="121"/>
      <c r="E827" s="121"/>
      <c r="F827" s="121"/>
      <c r="G827" s="121"/>
      <c r="H827" s="121"/>
      <c r="I827" s="121"/>
      <c r="J827" s="121"/>
      <c r="K827" s="121"/>
      <c r="L827" s="121"/>
      <c r="M827" s="121"/>
      <c r="N827" s="121"/>
      <c r="O827" s="121"/>
      <c r="P827" s="121"/>
      <c r="Q827" s="121"/>
      <c r="R827" s="121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1"/>
      <c r="AG827" s="121"/>
      <c r="AH827" s="121"/>
      <c r="AI827" s="121"/>
      <c r="AJ827" s="121"/>
      <c r="AK827" s="121"/>
      <c r="AL827" s="121"/>
      <c r="AM827" s="121"/>
      <c r="AN827" s="121"/>
      <c r="AO827" s="121"/>
      <c r="AP827" s="121"/>
      <c r="AQ827" s="121"/>
      <c r="AR827" s="121"/>
      <c r="AS827" s="121"/>
      <c r="AT827" s="121"/>
      <c r="AU827" s="121"/>
      <c r="AV827" s="121"/>
      <c r="AW827" s="121"/>
      <c r="AX827" s="121"/>
      <c r="AY827" s="121"/>
      <c r="AZ827" s="121"/>
      <c r="BA827" s="121"/>
      <c r="BB827" s="121"/>
      <c r="BC827" s="121"/>
      <c r="BD827" s="121"/>
      <c r="BE827" s="121"/>
      <c r="BF827" s="121"/>
      <c r="BG827" s="121"/>
      <c r="BH827" s="121"/>
      <c r="BI827" s="121"/>
      <c r="BJ827" s="121"/>
      <c r="BK827" s="121"/>
      <c r="BL827" s="121"/>
      <c r="BM827" s="121"/>
      <c r="BN827" s="121"/>
      <c r="BO827" s="121"/>
      <c r="BP827" s="121"/>
      <c r="BQ827" s="121"/>
      <c r="BR827" s="122"/>
      <c r="BS827" s="122"/>
      <c r="BT827" s="121"/>
      <c r="BU827" s="121"/>
      <c r="BV827" s="122"/>
      <c r="BW827" s="122"/>
      <c r="BX827" s="10"/>
      <c r="BY827" s="10"/>
      <c r="BZ827" s="10"/>
      <c r="CA827" s="10"/>
      <c r="CB827" s="10"/>
      <c r="CC827" s="10"/>
      <c r="CD827" s="10"/>
      <c r="CE827" s="10"/>
      <c r="CF827" s="9"/>
      <c r="CG827" s="9"/>
      <c r="CH827" s="5" t="s">
        <v>562</v>
      </c>
      <c r="CI827" s="10"/>
      <c r="CP827" s="10"/>
      <c r="CQ827" s="10"/>
      <c r="CR827" s="10"/>
    </row>
    <row r="828" spans="1:96" ht="15.75" outlineLevel="1" thickTop="1">
      <c r="B828" s="116" t="s">
        <v>450</v>
      </c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  <c r="BH828" s="6"/>
      <c r="BI828" s="6"/>
      <c r="BJ828" s="6"/>
      <c r="BK828" s="6"/>
      <c r="BL828" s="6"/>
      <c r="BM828" s="10"/>
      <c r="BN828" s="6"/>
      <c r="BO828" s="6"/>
      <c r="BP828" s="6"/>
      <c r="BQ828" s="6"/>
      <c r="BR828" s="6"/>
      <c r="BS828" s="6"/>
      <c r="BT828" s="6"/>
      <c r="BU828" s="6"/>
      <c r="BV828" s="6"/>
      <c r="BW828" s="6"/>
      <c r="BX828" s="6"/>
      <c r="BY828" s="6"/>
      <c r="BZ828" s="6"/>
      <c r="CA828" s="6"/>
      <c r="CB828" s="6"/>
      <c r="CC828" s="6"/>
      <c r="CD828" s="6"/>
      <c r="CE828" s="6"/>
      <c r="CF828" s="5"/>
      <c r="CH828" s="5" t="s">
        <v>562</v>
      </c>
    </row>
    <row r="829" spans="1:96" outlineLevel="1">
      <c r="B829" s="13" t="s">
        <v>441</v>
      </c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  <c r="BH829" s="6"/>
      <c r="BI829" s="6"/>
      <c r="BJ829" s="6"/>
      <c r="BK829" s="6"/>
      <c r="BL829" s="6"/>
      <c r="BM829" s="10">
        <v>400</v>
      </c>
      <c r="BN829" s="6"/>
      <c r="BO829" s="6"/>
      <c r="BP829" s="6"/>
      <c r="BQ829" s="6"/>
      <c r="BR829" s="6"/>
      <c r="BS829" s="6"/>
      <c r="BT829" s="6"/>
      <c r="BU829" s="6"/>
      <c r="BV829" s="6"/>
      <c r="BW829" s="6"/>
      <c r="BX829" s="6"/>
      <c r="BY829" s="6"/>
      <c r="BZ829" s="6"/>
      <c r="CA829" s="6"/>
      <c r="CB829" s="6"/>
      <c r="CC829" s="6"/>
      <c r="CD829" s="6"/>
      <c r="CE829" s="6"/>
      <c r="CF829" s="5"/>
      <c r="CH829" s="5" t="s">
        <v>562</v>
      </c>
    </row>
    <row r="830" spans="1:96" outlineLevel="1">
      <c r="B830" s="12" t="s">
        <v>442</v>
      </c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  <c r="BH830" s="6"/>
      <c r="BI830" s="6"/>
      <c r="BJ830" s="6"/>
      <c r="BK830" s="6"/>
      <c r="BL830" s="6"/>
      <c r="BM830" s="10">
        <v>60</v>
      </c>
      <c r="BN830" s="6"/>
      <c r="BO830" s="6"/>
      <c r="BP830" s="6"/>
      <c r="BQ830" s="6"/>
      <c r="BR830" s="6"/>
      <c r="BS830" s="6"/>
      <c r="BT830" s="6"/>
      <c r="BU830" s="6"/>
      <c r="BV830" s="6"/>
      <c r="BW830" s="6"/>
      <c r="BX830" s="6"/>
      <c r="BY830" s="6"/>
      <c r="BZ830" s="6"/>
      <c r="CA830" s="6"/>
      <c r="CB830" s="6"/>
      <c r="CC830" s="6"/>
      <c r="CD830" s="6"/>
      <c r="CE830" s="6"/>
      <c r="CF830" s="5"/>
      <c r="CH830" s="5" t="s">
        <v>562</v>
      </c>
    </row>
    <row r="831" spans="1:96" outlineLevel="1">
      <c r="B831" s="12" t="s">
        <v>443</v>
      </c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  <c r="BH831" s="6"/>
      <c r="BI831" s="6"/>
      <c r="BJ831" s="6"/>
      <c r="BK831" s="6"/>
      <c r="BL831" s="6"/>
      <c r="BM831" s="10">
        <v>106.89</v>
      </c>
      <c r="BN831" s="6"/>
      <c r="BO831" s="6"/>
      <c r="BP831" s="6"/>
      <c r="BQ831" s="6"/>
      <c r="BR831" s="6"/>
      <c r="BS831" s="6"/>
      <c r="BT831" s="6"/>
      <c r="BU831" s="6"/>
      <c r="BV831" s="6"/>
      <c r="BW831" s="6"/>
      <c r="BX831" s="6"/>
      <c r="BY831" s="6"/>
      <c r="BZ831" s="6"/>
      <c r="CA831" s="6"/>
      <c r="CB831" s="6"/>
      <c r="CC831" s="6"/>
      <c r="CD831" s="6"/>
      <c r="CE831" s="6"/>
      <c r="CF831" s="5"/>
      <c r="CH831" s="5" t="s">
        <v>562</v>
      </c>
    </row>
    <row r="832" spans="1:96" outlineLevel="1">
      <c r="B832" s="12" t="s">
        <v>444</v>
      </c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  <c r="BH832" s="6"/>
      <c r="BI832" s="6"/>
      <c r="BJ832" s="6"/>
      <c r="BK832" s="6"/>
      <c r="BL832" s="6"/>
      <c r="BM832" s="10">
        <v>1.99</v>
      </c>
      <c r="BN832" s="6"/>
      <c r="BO832" s="6"/>
      <c r="BP832" s="6"/>
      <c r="BQ832" s="6"/>
      <c r="BR832" s="6"/>
      <c r="BS832" s="6"/>
      <c r="BT832" s="6"/>
      <c r="BU832" s="6"/>
      <c r="BV832" s="6"/>
      <c r="BW832" s="6"/>
      <c r="BX832" s="6"/>
      <c r="BY832" s="6"/>
      <c r="BZ832" s="6"/>
      <c r="CA832" s="6"/>
      <c r="CB832" s="6"/>
      <c r="CC832" s="6"/>
      <c r="CD832" s="6"/>
      <c r="CE832" s="6"/>
      <c r="CF832" s="5"/>
      <c r="CH832" s="5" t="s">
        <v>562</v>
      </c>
    </row>
    <row r="833" spans="2:86" outlineLevel="1">
      <c r="B833" s="12" t="s">
        <v>445</v>
      </c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  <c r="BH833" s="6"/>
      <c r="BI833" s="6"/>
      <c r="BJ833" s="6"/>
      <c r="BK833" s="6"/>
      <c r="BL833" s="6"/>
      <c r="BM833" s="6">
        <f>(BM829+BM830)/BM831</f>
        <v>4.3034895687155021</v>
      </c>
      <c r="BN833" s="6"/>
      <c r="BO833" s="6"/>
      <c r="BP833" s="6"/>
      <c r="BQ833" s="6"/>
      <c r="BR833" s="6"/>
      <c r="BS833" s="6"/>
      <c r="BT833" s="6"/>
      <c r="BU833" s="6"/>
      <c r="BV833" s="6"/>
      <c r="BW833" s="6"/>
      <c r="BX833" s="6"/>
      <c r="BY833" s="6"/>
      <c r="BZ833" s="6"/>
      <c r="CA833" s="6"/>
      <c r="CB833" s="6"/>
      <c r="CC833" s="6"/>
      <c r="CD833" s="6"/>
      <c r="CE833" s="6"/>
      <c r="CF833" s="5"/>
      <c r="CH833" s="5" t="s">
        <v>562</v>
      </c>
    </row>
    <row r="834" spans="2:86" outlineLevel="1">
      <c r="B834" s="128" t="s">
        <v>452</v>
      </c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  <c r="BH834" s="6"/>
      <c r="BI834" s="6"/>
      <c r="BJ834" s="6"/>
      <c r="BK834" s="6"/>
      <c r="BL834" s="6"/>
      <c r="BM834" s="6"/>
      <c r="BN834" s="6"/>
      <c r="BO834" s="6"/>
      <c r="BP834" s="6"/>
      <c r="BQ834" s="6"/>
      <c r="BR834" s="6"/>
      <c r="BS834" s="6"/>
      <c r="BT834" s="6"/>
      <c r="BU834" s="6"/>
      <c r="BV834" s="6"/>
      <c r="BW834" s="6"/>
      <c r="BX834" s="6"/>
      <c r="BY834" s="6"/>
      <c r="BZ834" s="6"/>
      <c r="CA834" s="6"/>
      <c r="CB834" s="6"/>
      <c r="CC834" s="6"/>
      <c r="CD834" s="6"/>
      <c r="CE834" s="6"/>
      <c r="CF834" s="5"/>
      <c r="CH834" s="5" t="s">
        <v>562</v>
      </c>
    </row>
    <row r="835" spans="2:86" outlineLevel="1">
      <c r="B835" s="128" t="s">
        <v>453</v>
      </c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  <c r="BH835" s="6"/>
      <c r="BI835" s="6"/>
      <c r="BJ835" s="6"/>
      <c r="BK835" s="6"/>
      <c r="BL835" s="6"/>
      <c r="BM835" s="6"/>
      <c r="BN835" s="6"/>
      <c r="BO835" s="6"/>
      <c r="BP835" s="6"/>
      <c r="BQ835" s="6"/>
      <c r="BR835" s="6"/>
      <c r="BS835" s="6"/>
      <c r="BT835" s="6"/>
      <c r="BU835" s="6"/>
      <c r="BV835" s="6"/>
      <c r="BW835" s="6"/>
      <c r="BX835" s="6"/>
      <c r="BY835" s="6"/>
      <c r="BZ835" s="6"/>
      <c r="CA835" s="6"/>
      <c r="CB835" s="6"/>
      <c r="CC835" s="6"/>
      <c r="CD835" s="6"/>
      <c r="CE835" s="6"/>
      <c r="CF835" s="5"/>
      <c r="CH835" s="5" t="s">
        <v>562</v>
      </c>
    </row>
    <row r="836" spans="2:86" outlineLevel="1"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  <c r="BH836" s="6"/>
      <c r="BI836" s="6"/>
      <c r="BJ836" s="6"/>
      <c r="BK836" s="6"/>
      <c r="BL836" s="6"/>
      <c r="BM836" s="6"/>
      <c r="BN836" s="6"/>
      <c r="BO836" s="6"/>
      <c r="BP836" s="6"/>
      <c r="BQ836" s="6"/>
      <c r="BR836" s="6"/>
      <c r="BS836" s="6"/>
      <c r="BT836" s="6"/>
      <c r="BU836" s="6"/>
      <c r="BV836" s="6"/>
      <c r="BW836" s="6"/>
      <c r="BX836" s="6"/>
      <c r="BY836" s="6"/>
      <c r="BZ836" s="6"/>
      <c r="CA836" s="6"/>
      <c r="CB836" s="6"/>
      <c r="CC836" s="6"/>
      <c r="CD836" s="6"/>
      <c r="CE836" s="6"/>
      <c r="CF836" s="5"/>
      <c r="CH836" s="5" t="s">
        <v>562</v>
      </c>
    </row>
    <row r="837" spans="2:86" outlineLevel="1">
      <c r="B837" s="116" t="s">
        <v>449</v>
      </c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  <c r="BH837" s="6"/>
      <c r="BI837" s="6"/>
      <c r="BJ837" s="6"/>
      <c r="BK837" s="6"/>
      <c r="BL837" s="6"/>
      <c r="BM837" s="6"/>
      <c r="BN837" s="6"/>
      <c r="BO837" s="6"/>
      <c r="BP837" s="6"/>
      <c r="BQ837" s="6"/>
      <c r="BR837" s="6"/>
      <c r="BS837" s="6"/>
      <c r="BT837" s="6"/>
      <c r="BU837" s="6"/>
      <c r="BV837" s="6"/>
      <c r="BW837" s="6"/>
      <c r="BX837" s="6"/>
      <c r="BY837" s="6"/>
      <c r="BZ837" s="6"/>
      <c r="CA837" s="6"/>
      <c r="CB837" s="6"/>
      <c r="CC837" s="6"/>
      <c r="CD837" s="6"/>
      <c r="CE837" s="6"/>
      <c r="CF837" s="5"/>
      <c r="CH837" s="5" t="s">
        <v>562</v>
      </c>
    </row>
    <row r="838" spans="2:86" outlineLevel="1">
      <c r="B838" s="13" t="s">
        <v>441</v>
      </c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  <c r="BH838" s="6"/>
      <c r="BI838" s="6"/>
      <c r="BJ838" s="6"/>
      <c r="BK838" s="6"/>
      <c r="BL838" s="6"/>
      <c r="BM838" s="10">
        <v>700</v>
      </c>
      <c r="BN838" s="6"/>
      <c r="BO838" s="6"/>
      <c r="BP838" s="6"/>
      <c r="BQ838" s="6"/>
      <c r="BR838" s="6"/>
      <c r="BS838" s="6"/>
      <c r="BT838" s="6"/>
      <c r="BU838" s="6"/>
      <c r="BV838" s="6"/>
      <c r="BW838" s="6"/>
      <c r="BX838" s="6"/>
      <c r="BY838" s="6"/>
      <c r="BZ838" s="6"/>
      <c r="CA838" s="6"/>
      <c r="CB838" s="6"/>
      <c r="CC838" s="6"/>
      <c r="CD838" s="6"/>
      <c r="CE838" s="6"/>
      <c r="CF838" s="5"/>
      <c r="CH838" s="5" t="s">
        <v>562</v>
      </c>
    </row>
    <row r="839" spans="2:86" outlineLevel="1">
      <c r="B839" s="12" t="s">
        <v>442</v>
      </c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  <c r="BH839" s="6"/>
      <c r="BI839" s="6"/>
      <c r="BJ839" s="6"/>
      <c r="BK839" s="6"/>
      <c r="BL839" s="6"/>
      <c r="BM839" s="10">
        <v>105</v>
      </c>
      <c r="BN839" s="6"/>
      <c r="BO839" s="6"/>
      <c r="BP839" s="6"/>
      <c r="BQ839" s="6"/>
      <c r="BR839" s="6"/>
      <c r="BS839" s="6"/>
      <c r="BT839" s="6"/>
      <c r="BU839" s="6"/>
      <c r="BV839" s="6"/>
      <c r="BW839" s="6"/>
      <c r="BX839" s="6"/>
      <c r="BY839" s="6"/>
      <c r="BZ839" s="6"/>
      <c r="CA839" s="6"/>
      <c r="CB839" s="6"/>
      <c r="CC839" s="6"/>
      <c r="CD839" s="6"/>
      <c r="CE839" s="6"/>
      <c r="CF839" s="5"/>
      <c r="CH839" s="5" t="s">
        <v>562</v>
      </c>
    </row>
    <row r="840" spans="2:86" outlineLevel="1">
      <c r="B840" s="12" t="s">
        <v>443</v>
      </c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  <c r="BH840" s="6"/>
      <c r="BI840" s="6"/>
      <c r="BJ840" s="6"/>
      <c r="BK840" s="6"/>
      <c r="BL840" s="6"/>
      <c r="BM840" s="10">
        <v>108.76</v>
      </c>
      <c r="BN840" s="6"/>
      <c r="BO840" s="6"/>
      <c r="BP840" s="6"/>
      <c r="BQ840" s="6"/>
      <c r="BR840" s="6"/>
      <c r="BS840" s="6"/>
      <c r="BT840" s="6"/>
      <c r="BU840" s="6"/>
      <c r="BV840" s="6"/>
      <c r="BW840" s="6"/>
      <c r="BX840" s="6"/>
      <c r="BY840" s="6"/>
      <c r="BZ840" s="6"/>
      <c r="CA840" s="6"/>
      <c r="CB840" s="6"/>
      <c r="CC840" s="6"/>
      <c r="CD840" s="6"/>
      <c r="CE840" s="6"/>
      <c r="CF840" s="5"/>
      <c r="CH840" s="5" t="s">
        <v>562</v>
      </c>
    </row>
    <row r="841" spans="2:86" outlineLevel="1">
      <c r="B841" s="12" t="s">
        <v>444</v>
      </c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  <c r="BH841" s="6"/>
      <c r="BI841" s="6"/>
      <c r="BJ841" s="6"/>
      <c r="BK841" s="6"/>
      <c r="BL841" s="6"/>
      <c r="BM841" s="10">
        <v>1</v>
      </c>
      <c r="BN841" s="6"/>
      <c r="BO841" s="6"/>
      <c r="BP841" s="6"/>
      <c r="BQ841" s="6"/>
      <c r="BR841" s="6"/>
      <c r="BS841" s="6"/>
      <c r="BT841" s="6"/>
      <c r="BU841" s="6"/>
      <c r="BV841" s="6"/>
      <c r="BW841" s="6"/>
      <c r="BX841" s="6"/>
      <c r="BY841" s="6"/>
      <c r="BZ841" s="6"/>
      <c r="CA841" s="6"/>
      <c r="CB841" s="6"/>
      <c r="CC841" s="6"/>
      <c r="CD841" s="6"/>
      <c r="CE841" s="6"/>
      <c r="CF841" s="5"/>
      <c r="CH841" s="5" t="s">
        <v>562</v>
      </c>
    </row>
    <row r="842" spans="2:86" outlineLevel="1">
      <c r="B842" s="12" t="s">
        <v>445</v>
      </c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  <c r="BH842" s="6"/>
      <c r="BI842" s="6"/>
      <c r="BJ842" s="6"/>
      <c r="BK842" s="6"/>
      <c r="BL842" s="6"/>
      <c r="BM842" s="6">
        <f>(BM838+BM839)/BM840</f>
        <v>7.401618242000735</v>
      </c>
      <c r="BN842" s="6"/>
      <c r="BO842" s="6"/>
      <c r="BP842" s="6"/>
      <c r="BQ842" s="6"/>
      <c r="BR842" s="6"/>
      <c r="BS842" s="6"/>
      <c r="BT842" s="6"/>
      <c r="BU842" s="6"/>
      <c r="BV842" s="6"/>
      <c r="BW842" s="6"/>
      <c r="BX842" s="6"/>
      <c r="BY842" s="6"/>
      <c r="BZ842" s="6"/>
      <c r="CA842" s="6"/>
      <c r="CB842" s="6"/>
      <c r="CC842" s="6"/>
      <c r="CD842" s="6"/>
      <c r="CE842" s="6"/>
      <c r="CF842" s="5"/>
      <c r="CH842" s="5" t="s">
        <v>562</v>
      </c>
    </row>
    <row r="843" spans="2:86" outlineLevel="1">
      <c r="B843" s="129" t="s">
        <v>454</v>
      </c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  <c r="BH843" s="6"/>
      <c r="BI843" s="6"/>
      <c r="BJ843" s="6"/>
      <c r="BK843" s="6"/>
      <c r="BL843" s="6"/>
      <c r="BM843" s="6"/>
      <c r="BN843" s="6"/>
      <c r="BO843" s="6"/>
      <c r="BP843" s="6"/>
      <c r="BQ843" s="6"/>
      <c r="BR843" s="6"/>
      <c r="BS843" s="6"/>
      <c r="BT843" s="6"/>
      <c r="BU843" s="6"/>
      <c r="BV843" s="6"/>
      <c r="BW843" s="6"/>
      <c r="BX843" s="6"/>
      <c r="BY843" s="6"/>
      <c r="BZ843" s="6"/>
      <c r="CA843" s="6"/>
      <c r="CB843" s="6"/>
      <c r="CC843" s="6"/>
      <c r="CD843" s="6"/>
      <c r="CE843" s="6"/>
      <c r="CF843" s="5"/>
      <c r="CH843" s="5" t="s">
        <v>562</v>
      </c>
    </row>
    <row r="844" spans="2:86" outlineLevel="1">
      <c r="B844" s="130" t="s">
        <v>453</v>
      </c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  <c r="BH844" s="6"/>
      <c r="BI844" s="6"/>
      <c r="BJ844" s="6"/>
      <c r="BK844" s="6"/>
      <c r="BL844" s="6"/>
      <c r="BM844" s="6"/>
      <c r="BN844" s="6"/>
      <c r="BO844" s="6"/>
      <c r="BP844" s="6"/>
      <c r="BQ844" s="6"/>
      <c r="BR844" s="6"/>
      <c r="BS844" s="6"/>
      <c r="BT844" s="6"/>
      <c r="BU844" s="6"/>
      <c r="BV844" s="6"/>
      <c r="BW844" s="6"/>
      <c r="BX844" s="6"/>
      <c r="BY844" s="6"/>
      <c r="BZ844" s="6"/>
      <c r="CA844" s="6"/>
      <c r="CB844" s="6"/>
      <c r="CC844" s="6"/>
      <c r="CD844" s="6"/>
      <c r="CE844" s="6"/>
      <c r="CF844" s="5"/>
      <c r="CH844" s="5" t="s">
        <v>562</v>
      </c>
    </row>
    <row r="845" spans="2:86" outlineLevel="1">
      <c r="B845" s="131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  <c r="BH845" s="6"/>
      <c r="BI845" s="6"/>
      <c r="BJ845" s="6"/>
      <c r="BK845" s="6"/>
      <c r="BL845" s="6"/>
      <c r="BM845" s="6"/>
      <c r="BN845" s="6"/>
      <c r="BO845" s="6"/>
      <c r="BP845" s="6"/>
      <c r="BQ845" s="6"/>
      <c r="BR845" s="6"/>
      <c r="BS845" s="6"/>
      <c r="BT845" s="6"/>
      <c r="BU845" s="6"/>
      <c r="BV845" s="6"/>
      <c r="BW845" s="6"/>
      <c r="BX845" s="6"/>
      <c r="BY845" s="6"/>
      <c r="BZ845" s="6"/>
      <c r="CA845" s="6"/>
      <c r="CB845" s="6"/>
      <c r="CC845" s="6"/>
      <c r="CD845" s="6"/>
      <c r="CE845" s="6"/>
      <c r="CF845" s="5"/>
      <c r="CH845" s="5" t="s">
        <v>562</v>
      </c>
    </row>
    <row r="846" spans="2:86" outlineLevel="1">
      <c r="B846" s="116" t="s">
        <v>451</v>
      </c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  <c r="BH846" s="6"/>
      <c r="BI846" s="6"/>
      <c r="BJ846" s="6"/>
      <c r="BK846" s="6"/>
      <c r="BL846" s="6"/>
      <c r="BM846" s="6"/>
      <c r="BN846" s="6"/>
      <c r="BO846" s="6"/>
      <c r="BP846" s="6"/>
      <c r="BQ846" s="6"/>
      <c r="BR846" s="6"/>
      <c r="BS846" s="6"/>
      <c r="BT846" s="6"/>
      <c r="BU846" s="6"/>
      <c r="BV846" s="6"/>
      <c r="BW846" s="6"/>
      <c r="BX846" s="6"/>
      <c r="BY846" s="6"/>
      <c r="BZ846" s="6"/>
      <c r="CA846" s="6"/>
      <c r="CB846" s="6"/>
      <c r="CC846" s="6"/>
      <c r="CD846" s="6"/>
      <c r="CE846" s="6"/>
      <c r="CF846" s="5"/>
      <c r="CH846" s="5" t="s">
        <v>562</v>
      </c>
    </row>
    <row r="847" spans="2:86" outlineLevel="1">
      <c r="B847" s="13" t="s">
        <v>441</v>
      </c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10">
        <v>800</v>
      </c>
      <c r="BH847" s="6"/>
      <c r="BI847" s="6"/>
      <c r="BJ847" s="6"/>
      <c r="BK847" s="6"/>
      <c r="BL847" s="6"/>
      <c r="BN847" s="6"/>
      <c r="BO847" s="6"/>
      <c r="BP847" s="6"/>
      <c r="BQ847" s="6"/>
      <c r="BR847" s="6"/>
      <c r="BS847" s="6"/>
      <c r="BT847" s="6"/>
      <c r="BU847" s="6"/>
      <c r="BV847" s="6"/>
      <c r="BW847" s="6"/>
      <c r="BX847" s="6"/>
      <c r="BY847" s="6"/>
      <c r="BZ847" s="6"/>
      <c r="CA847" s="6"/>
      <c r="CB847" s="6"/>
      <c r="CC847" s="6"/>
      <c r="CD847" s="6"/>
      <c r="CE847" s="6"/>
      <c r="CF847" s="5"/>
      <c r="CH847" s="5" t="s">
        <v>562</v>
      </c>
    </row>
    <row r="848" spans="2:86" outlineLevel="1">
      <c r="B848" s="12" t="s">
        <v>443</v>
      </c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10">
        <v>78.39</v>
      </c>
      <c r="BH848" s="6"/>
      <c r="BI848" s="6"/>
      <c r="BJ848" s="6"/>
      <c r="BK848" s="6"/>
      <c r="BL848" s="6"/>
      <c r="BN848" s="6"/>
      <c r="BO848" s="6"/>
      <c r="BP848" s="6"/>
      <c r="BQ848" s="6"/>
      <c r="BR848" s="6"/>
      <c r="BS848" s="6"/>
      <c r="BT848" s="6"/>
      <c r="BU848" s="6"/>
      <c r="BV848" s="6"/>
      <c r="BW848" s="6"/>
      <c r="BX848" s="6"/>
      <c r="BY848" s="6"/>
      <c r="BZ848" s="6"/>
      <c r="CA848" s="6"/>
      <c r="CB848" s="6"/>
      <c r="CC848" s="6"/>
      <c r="CD848" s="6"/>
      <c r="CE848" s="6"/>
      <c r="CF848" s="5"/>
      <c r="CH848" s="5" t="s">
        <v>562</v>
      </c>
    </row>
    <row r="849" spans="2:86" outlineLevel="1">
      <c r="B849" s="12" t="s">
        <v>444</v>
      </c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10">
        <v>1.25</v>
      </c>
      <c r="BH849" s="6"/>
      <c r="BI849" s="6"/>
      <c r="BJ849" s="6"/>
      <c r="BK849" s="6"/>
      <c r="BL849" s="6"/>
      <c r="BN849" s="6"/>
      <c r="BO849" s="6"/>
      <c r="BP849" s="6"/>
      <c r="BQ849" s="6"/>
      <c r="BR849" s="6"/>
      <c r="BS849" s="6"/>
      <c r="BT849" s="6"/>
      <c r="BU849" s="6"/>
      <c r="BV849" s="6"/>
      <c r="BW849" s="6"/>
      <c r="BX849" s="6"/>
      <c r="BY849" s="6"/>
      <c r="BZ849" s="6"/>
      <c r="CA849" s="6"/>
      <c r="CB849" s="6"/>
      <c r="CC849" s="6"/>
      <c r="CD849" s="6"/>
      <c r="CE849" s="6"/>
      <c r="CF849" s="5"/>
      <c r="CH849" s="5" t="s">
        <v>562</v>
      </c>
    </row>
    <row r="850" spans="2:86" outlineLevel="1">
      <c r="B850" s="12" t="s">
        <v>445</v>
      </c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>
        <f>BG847/BG848</f>
        <v>10.205383339711698</v>
      </c>
      <c r="BH850" s="6"/>
      <c r="BI850" s="6"/>
      <c r="BJ850" s="6"/>
      <c r="BK850" s="6"/>
      <c r="BL850" s="6"/>
      <c r="BN850" s="6"/>
      <c r="BO850" s="6"/>
      <c r="BP850" s="6"/>
      <c r="BQ850" s="6"/>
      <c r="BR850" s="6"/>
      <c r="BS850" s="6"/>
      <c r="BT850" s="6"/>
      <c r="BU850" s="6"/>
      <c r="BV850" s="6"/>
      <c r="BW850" s="6"/>
      <c r="BX850" s="6"/>
      <c r="BY850" s="6"/>
      <c r="BZ850" s="6"/>
      <c r="CA850" s="6"/>
      <c r="CB850" s="6"/>
      <c r="CC850" s="6"/>
      <c r="CD850" s="6"/>
      <c r="CE850" s="6"/>
      <c r="CF850" s="5"/>
      <c r="CH850" s="5" t="s">
        <v>562</v>
      </c>
    </row>
    <row r="851" spans="2:86" outlineLevel="1">
      <c r="B851" s="12" t="s">
        <v>455</v>
      </c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10">
        <v>780</v>
      </c>
      <c r="BH851" s="6"/>
      <c r="BI851" s="6"/>
      <c r="BJ851" s="6"/>
      <c r="BK851" s="6"/>
      <c r="BL851" s="6"/>
      <c r="BN851" s="6"/>
      <c r="BO851" s="6"/>
      <c r="BP851" s="6"/>
      <c r="BQ851" s="6"/>
      <c r="BR851" s="6"/>
      <c r="BS851" s="6"/>
      <c r="BT851" s="6"/>
      <c r="BU851" s="6"/>
      <c r="BV851" s="6"/>
      <c r="BW851" s="6"/>
      <c r="BX851" s="6"/>
      <c r="BY851" s="6"/>
      <c r="BZ851" s="6"/>
      <c r="CA851" s="6"/>
      <c r="CB851" s="6"/>
      <c r="CC851" s="6"/>
      <c r="CD851" s="6"/>
      <c r="CE851" s="6"/>
      <c r="CF851" s="5"/>
      <c r="CH851" s="5" t="s">
        <v>562</v>
      </c>
    </row>
    <row r="852" spans="2:86" outlineLevel="1">
      <c r="B852" s="12" t="s">
        <v>456</v>
      </c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10">
        <v>19.600000000000001</v>
      </c>
      <c r="BH852" s="6"/>
      <c r="BI852" s="6"/>
      <c r="BJ852" s="6"/>
      <c r="BK852" s="6"/>
      <c r="BL852" s="6"/>
      <c r="BN852" s="6"/>
      <c r="BO852" s="6"/>
      <c r="BP852" s="6"/>
      <c r="BQ852" s="6"/>
      <c r="BR852" s="6"/>
      <c r="BS852" s="6"/>
      <c r="BT852" s="6"/>
      <c r="BU852" s="6"/>
      <c r="BV852" s="6"/>
      <c r="BW852" s="6"/>
      <c r="BX852" s="6"/>
      <c r="BY852" s="6"/>
      <c r="BZ852" s="6"/>
      <c r="CA852" s="6"/>
      <c r="CB852" s="6"/>
      <c r="CC852" s="6"/>
      <c r="CD852" s="6"/>
      <c r="CE852" s="6"/>
      <c r="CF852" s="5"/>
      <c r="CH852" s="5" t="s">
        <v>562</v>
      </c>
    </row>
    <row r="853" spans="2:86" outlineLevel="1">
      <c r="B853" s="12" t="s">
        <v>457</v>
      </c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  <c r="BH853" s="6"/>
      <c r="BI853" s="6"/>
      <c r="BJ853" s="6"/>
      <c r="BK853" s="6"/>
      <c r="BL853" s="6"/>
      <c r="BM853" s="10"/>
      <c r="BN853" s="6"/>
      <c r="BO853" s="6"/>
      <c r="BP853" s="6"/>
      <c r="BQ853" s="6"/>
      <c r="BR853" s="6"/>
      <c r="BS853" s="6"/>
      <c r="BT853" s="6"/>
      <c r="BU853" s="6"/>
      <c r="BV853" s="6"/>
      <c r="BW853" s="6"/>
      <c r="BX853" s="6"/>
      <c r="BY853" s="6"/>
      <c r="BZ853" s="6"/>
      <c r="CA853" s="6"/>
      <c r="CB853" s="6"/>
      <c r="CC853" s="6"/>
      <c r="CD853" s="6"/>
      <c r="CE853" s="6"/>
      <c r="CF853" s="5"/>
      <c r="CH853" s="5" t="s">
        <v>562</v>
      </c>
    </row>
    <row r="854" spans="2:86" outlineLevel="1">
      <c r="B854" s="12" t="s">
        <v>458</v>
      </c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  <c r="BH854" s="6"/>
      <c r="BI854" s="6"/>
      <c r="BJ854" s="6"/>
      <c r="BK854" s="6"/>
      <c r="BL854" s="6"/>
      <c r="BM854" s="10"/>
      <c r="BN854" s="6"/>
      <c r="BO854" s="6"/>
      <c r="BP854" s="6"/>
      <c r="BQ854" s="6"/>
      <c r="BR854" s="6"/>
      <c r="BS854" s="6"/>
      <c r="BT854" s="6"/>
      <c r="BU854" s="6"/>
      <c r="BV854" s="6"/>
      <c r="BW854" s="6"/>
      <c r="BX854" s="6"/>
      <c r="BY854" s="6"/>
      <c r="BZ854" s="6"/>
      <c r="CA854" s="6"/>
      <c r="CB854" s="6"/>
      <c r="CC854" s="6"/>
      <c r="CD854" s="6"/>
      <c r="CE854" s="6"/>
      <c r="CF854" s="5"/>
      <c r="CH854" s="5" t="s">
        <v>562</v>
      </c>
    </row>
    <row r="855" spans="2:86" outlineLevel="1">
      <c r="B855" s="128" t="s">
        <v>463</v>
      </c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  <c r="BH855" s="6"/>
      <c r="BI855" s="6"/>
      <c r="BJ855" s="6"/>
      <c r="BK855" s="6"/>
      <c r="BL855" s="6"/>
      <c r="BM855" s="6"/>
      <c r="BN855" s="6"/>
      <c r="BO855" s="6"/>
      <c r="BP855" s="6"/>
      <c r="BQ855" s="6"/>
      <c r="BR855" s="6"/>
      <c r="BS855" s="6"/>
      <c r="BT855" s="6"/>
      <c r="BU855" s="6"/>
      <c r="BV855" s="6"/>
      <c r="BW855" s="6"/>
      <c r="BX855" s="6"/>
      <c r="BY855" s="6"/>
      <c r="BZ855" s="6"/>
      <c r="CA855" s="6"/>
      <c r="CB855" s="6"/>
      <c r="CC855" s="6"/>
      <c r="CD855" s="6"/>
      <c r="CE855" s="6"/>
      <c r="CF855" s="5"/>
      <c r="CH855" s="5" t="s">
        <v>562</v>
      </c>
    </row>
    <row r="856" spans="2:86" outlineLevel="1">
      <c r="B856" s="132" t="s">
        <v>464</v>
      </c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  <c r="BH856" s="6"/>
      <c r="BI856" s="6"/>
      <c r="BJ856" s="6"/>
      <c r="BK856" s="6"/>
      <c r="BL856" s="6"/>
      <c r="BM856" s="6"/>
      <c r="BN856" s="6"/>
      <c r="BO856" s="6"/>
      <c r="BP856" s="6"/>
      <c r="BQ856" s="6"/>
      <c r="BR856" s="6"/>
      <c r="BS856" s="6"/>
      <c r="BT856" s="6"/>
      <c r="BU856" s="6"/>
      <c r="BV856" s="6"/>
      <c r="BW856" s="6"/>
      <c r="BX856" s="6"/>
      <c r="BY856" s="6"/>
      <c r="BZ856" s="6"/>
      <c r="CA856" s="6"/>
      <c r="CB856" s="6"/>
      <c r="CC856" s="6"/>
      <c r="CD856" s="6"/>
      <c r="CE856" s="6"/>
      <c r="CF856" s="5"/>
      <c r="CH856" s="5" t="s">
        <v>562</v>
      </c>
    </row>
    <row r="857" spans="2:86" outlineLevel="1">
      <c r="B857" s="132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  <c r="BH857" s="6"/>
      <c r="BI857" s="6"/>
      <c r="BJ857" s="6"/>
      <c r="BK857" s="6"/>
      <c r="BL857" s="6"/>
      <c r="BM857" s="6"/>
      <c r="BN857" s="6"/>
      <c r="BO857" s="6"/>
      <c r="BP857" s="6"/>
      <c r="BQ857" s="6"/>
      <c r="BR857" s="6"/>
      <c r="BS857" s="6"/>
      <c r="BT857" s="6"/>
      <c r="BU857" s="6"/>
      <c r="BV857" s="6"/>
      <c r="BW857" s="6"/>
      <c r="BX857" s="6"/>
      <c r="BY857" s="6"/>
      <c r="BZ857" s="6"/>
      <c r="CA857" s="6"/>
      <c r="CB857" s="6"/>
      <c r="CC857" s="6"/>
      <c r="CD857" s="6"/>
      <c r="CE857" s="6"/>
      <c r="CF857" s="5"/>
      <c r="CH857" s="5" t="s">
        <v>562</v>
      </c>
    </row>
    <row r="858" spans="2:86" outlineLevel="1">
      <c r="B858" s="116" t="s">
        <v>448</v>
      </c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  <c r="BH858" s="6"/>
      <c r="BI858" s="6"/>
      <c r="BJ858" s="6"/>
      <c r="BK858" s="6"/>
      <c r="BL858" s="6"/>
      <c r="BM858" s="6"/>
      <c r="BN858" s="6"/>
      <c r="BO858" s="6"/>
      <c r="BP858" s="6"/>
      <c r="BQ858" s="6"/>
      <c r="BR858" s="6"/>
      <c r="BS858" s="6"/>
      <c r="BT858" s="6"/>
      <c r="BU858" s="6"/>
      <c r="BV858" s="6"/>
      <c r="BW858" s="6"/>
      <c r="BX858" s="6"/>
      <c r="BY858" s="6"/>
      <c r="BZ858" s="6"/>
      <c r="CA858" s="6"/>
      <c r="CB858" s="6"/>
      <c r="CC858" s="6"/>
      <c r="CD858" s="6"/>
      <c r="CE858" s="6"/>
      <c r="CF858" s="5"/>
      <c r="CH858" s="5" t="s">
        <v>562</v>
      </c>
    </row>
    <row r="859" spans="2:86" outlineLevel="1">
      <c r="B859" s="13" t="s">
        <v>441</v>
      </c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10">
        <v>180</v>
      </c>
      <c r="BC859" s="6"/>
      <c r="BD859" s="6"/>
      <c r="BE859" s="6"/>
      <c r="BF859" s="6"/>
      <c r="BG859" s="6"/>
      <c r="BH859" s="6"/>
      <c r="BI859" s="6"/>
      <c r="BJ859" s="6"/>
      <c r="BK859" s="6"/>
      <c r="BL859" s="6"/>
      <c r="BN859" s="6"/>
      <c r="BO859" s="6"/>
      <c r="BP859" s="6"/>
      <c r="BQ859" s="6"/>
      <c r="BR859" s="6"/>
      <c r="BS859" s="6"/>
      <c r="BT859" s="6"/>
      <c r="BU859" s="6"/>
      <c r="BV859" s="6"/>
      <c r="BW859" s="6"/>
      <c r="BX859" s="6"/>
      <c r="BY859" s="6"/>
      <c r="BZ859" s="6"/>
      <c r="CA859" s="6"/>
      <c r="CB859" s="6"/>
      <c r="CC859" s="6"/>
      <c r="CD859" s="6"/>
      <c r="CE859" s="6"/>
      <c r="CF859" s="5"/>
      <c r="CH859" s="5" t="s">
        <v>562</v>
      </c>
    </row>
    <row r="860" spans="2:86" outlineLevel="1">
      <c r="B860" s="12" t="s">
        <v>443</v>
      </c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10">
        <v>19.34</v>
      </c>
      <c r="BC860" s="6"/>
      <c r="BD860" s="6"/>
      <c r="BE860" s="6"/>
      <c r="BF860" s="6"/>
      <c r="BG860" s="6"/>
      <c r="BH860" s="6"/>
      <c r="BI860" s="6"/>
      <c r="BJ860" s="6"/>
      <c r="BK860" s="6"/>
      <c r="BL860" s="6"/>
      <c r="BN860" s="6"/>
      <c r="BO860" s="6"/>
      <c r="BP860" s="6"/>
      <c r="BQ860" s="6"/>
      <c r="BR860" s="6"/>
      <c r="BS860" s="6"/>
      <c r="BT860" s="6"/>
      <c r="BU860" s="6"/>
      <c r="BV860" s="6"/>
      <c r="BW860" s="6"/>
      <c r="BX860" s="6"/>
      <c r="BY860" s="6"/>
      <c r="BZ860" s="6"/>
      <c r="CA860" s="6"/>
      <c r="CB860" s="6"/>
      <c r="CC860" s="6"/>
      <c r="CD860" s="6"/>
      <c r="CE860" s="6"/>
      <c r="CF860" s="5"/>
      <c r="CH860" s="5" t="s">
        <v>562</v>
      </c>
    </row>
    <row r="861" spans="2:86" outlineLevel="1">
      <c r="B861" s="12" t="s">
        <v>444</v>
      </c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10">
        <v>0.5</v>
      </c>
      <c r="BC861" s="6"/>
      <c r="BD861" s="6"/>
      <c r="BE861" s="6"/>
      <c r="BF861" s="6"/>
      <c r="BG861" s="6"/>
      <c r="BH861" s="6"/>
      <c r="BI861" s="6"/>
      <c r="BJ861" s="6"/>
      <c r="BK861" s="6"/>
      <c r="BL861" s="6"/>
      <c r="BN861" s="6"/>
      <c r="BO861" s="6"/>
      <c r="BP861" s="6"/>
      <c r="BQ861" s="6"/>
      <c r="BR861" s="6"/>
      <c r="BS861" s="6"/>
      <c r="BT861" s="6"/>
      <c r="BU861" s="6"/>
      <c r="BV861" s="6"/>
      <c r="BW861" s="6"/>
      <c r="BX861" s="6"/>
      <c r="BY861" s="6"/>
      <c r="BZ861" s="6"/>
      <c r="CA861" s="6"/>
      <c r="CB861" s="6"/>
      <c r="CC861" s="6"/>
      <c r="CD861" s="6"/>
      <c r="CE861" s="6"/>
      <c r="CF861" s="5"/>
      <c r="CH861" s="5" t="s">
        <v>562</v>
      </c>
    </row>
    <row r="862" spans="2:86" outlineLevel="1">
      <c r="B862" s="12" t="s">
        <v>445</v>
      </c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>
        <f>BB859/BB860</f>
        <v>9.3071354705274043</v>
      </c>
      <c r="BC862" s="6"/>
      <c r="BD862" s="6"/>
      <c r="BE862" s="6"/>
      <c r="BF862" s="6"/>
      <c r="BG862" s="6"/>
      <c r="BH862" s="6"/>
      <c r="BI862" s="6"/>
      <c r="BJ862" s="6"/>
      <c r="BK862" s="6"/>
      <c r="BL862" s="6"/>
      <c r="BN862" s="6"/>
      <c r="BO862" s="6"/>
      <c r="BP862" s="6"/>
      <c r="BQ862" s="6"/>
      <c r="BR862" s="6"/>
      <c r="BS862" s="6"/>
      <c r="BT862" s="6"/>
      <c r="BU862" s="6"/>
      <c r="BV862" s="6"/>
      <c r="BW862" s="6"/>
      <c r="BX862" s="6"/>
      <c r="BY862" s="6"/>
      <c r="BZ862" s="6"/>
      <c r="CA862" s="6"/>
      <c r="CB862" s="6"/>
      <c r="CC862" s="6"/>
      <c r="CD862" s="6"/>
      <c r="CE862" s="6"/>
      <c r="CF862" s="5"/>
      <c r="CH862" s="5" t="s">
        <v>562</v>
      </c>
    </row>
    <row r="863" spans="2:86" outlineLevel="1">
      <c r="B863" s="12" t="s">
        <v>455</v>
      </c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10">
        <v>175</v>
      </c>
      <c r="BC863" s="6"/>
      <c r="BD863" s="6"/>
      <c r="BE863" s="6"/>
      <c r="BF863" s="6"/>
      <c r="BG863" s="6"/>
      <c r="BH863" s="6"/>
      <c r="BI863" s="6"/>
      <c r="BJ863" s="6"/>
      <c r="BK863" s="6"/>
      <c r="BL863" s="6"/>
      <c r="BN863" s="6"/>
      <c r="BO863" s="6"/>
      <c r="BP863" s="6"/>
      <c r="BQ863" s="6"/>
      <c r="BR863" s="6"/>
      <c r="BS863" s="6"/>
      <c r="BT863" s="6"/>
      <c r="BU863" s="6"/>
      <c r="BV863" s="6"/>
      <c r="BW863" s="6"/>
      <c r="BX863" s="6"/>
      <c r="BY863" s="6"/>
      <c r="BZ863" s="6"/>
      <c r="CA863" s="6"/>
      <c r="CB863" s="6"/>
      <c r="CC863" s="6"/>
      <c r="CD863" s="6"/>
      <c r="CE863" s="6"/>
      <c r="CF863" s="5"/>
      <c r="CH863" s="5" t="s">
        <v>562</v>
      </c>
    </row>
    <row r="864" spans="2:86" outlineLevel="1">
      <c r="B864" s="12" t="s">
        <v>456</v>
      </c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10">
        <v>5.4</v>
      </c>
      <c r="BC864" s="6"/>
      <c r="BD864" s="6"/>
      <c r="BE864" s="6"/>
      <c r="BF864" s="6"/>
      <c r="BG864" s="6"/>
      <c r="BH864" s="6"/>
      <c r="BI864" s="6"/>
      <c r="BJ864" s="6"/>
      <c r="BK864" s="6"/>
      <c r="BL864" s="6"/>
      <c r="BN864" s="6"/>
      <c r="BO864" s="6"/>
      <c r="BP864" s="6"/>
      <c r="BQ864" s="6"/>
      <c r="BR864" s="6"/>
      <c r="BS864" s="6"/>
      <c r="BT864" s="6"/>
      <c r="BU864" s="6"/>
      <c r="BV864" s="6"/>
      <c r="BW864" s="6"/>
      <c r="BX864" s="6"/>
      <c r="BY864" s="6"/>
      <c r="BZ864" s="6"/>
      <c r="CA864" s="6"/>
      <c r="CB864" s="6"/>
      <c r="CC864" s="6"/>
      <c r="CD864" s="6"/>
      <c r="CE864" s="6"/>
      <c r="CF864" s="5"/>
      <c r="CH864" s="5" t="s">
        <v>562</v>
      </c>
    </row>
    <row r="865" spans="2:86" outlineLevel="1">
      <c r="B865" s="12" t="s">
        <v>457</v>
      </c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10"/>
      <c r="BC865" s="6"/>
      <c r="BD865" s="6"/>
      <c r="BE865" s="6"/>
      <c r="BF865" s="6"/>
      <c r="BG865" s="6"/>
      <c r="BH865" s="6"/>
      <c r="BI865" s="6"/>
      <c r="BJ865" s="6"/>
      <c r="BK865" s="6"/>
      <c r="BL865" s="6"/>
      <c r="BN865" s="6"/>
      <c r="BO865" s="6"/>
      <c r="BP865" s="6"/>
      <c r="BQ865" s="6"/>
      <c r="BR865" s="6"/>
      <c r="BS865" s="6"/>
      <c r="BT865" s="6"/>
      <c r="BU865" s="6"/>
      <c r="BV865" s="6"/>
      <c r="BW865" s="6"/>
      <c r="BX865" s="6"/>
      <c r="BY865" s="6"/>
      <c r="BZ865" s="6"/>
      <c r="CA865" s="6"/>
      <c r="CB865" s="6"/>
      <c r="CC865" s="6"/>
      <c r="CD865" s="6"/>
      <c r="CE865" s="6"/>
      <c r="CF865" s="5"/>
      <c r="CH865" s="5" t="s">
        <v>562</v>
      </c>
    </row>
    <row r="866" spans="2:86" outlineLevel="1">
      <c r="B866" s="12" t="s">
        <v>458</v>
      </c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10"/>
      <c r="BC866" s="6"/>
      <c r="BD866" s="6"/>
      <c r="BE866" s="6"/>
      <c r="BF866" s="6"/>
      <c r="BG866" s="6"/>
      <c r="BH866" s="6"/>
      <c r="BI866" s="6"/>
      <c r="BJ866" s="6"/>
      <c r="BK866" s="6"/>
      <c r="BL866" s="6"/>
      <c r="BN866" s="6"/>
      <c r="BO866" s="6"/>
      <c r="BP866" s="6"/>
      <c r="BQ866" s="6"/>
      <c r="BR866" s="6"/>
      <c r="BS866" s="6"/>
      <c r="BT866" s="6"/>
      <c r="BU866" s="6"/>
      <c r="BV866" s="6"/>
      <c r="BW866" s="6"/>
      <c r="BX866" s="6"/>
      <c r="BY866" s="6"/>
      <c r="BZ866" s="6"/>
      <c r="CA866" s="6"/>
      <c r="CB866" s="6"/>
      <c r="CC866" s="6"/>
      <c r="CD866" s="6"/>
      <c r="CE866" s="6"/>
      <c r="CF866" s="5"/>
      <c r="CH866" s="5" t="s">
        <v>562</v>
      </c>
    </row>
    <row r="867" spans="2:86" outlineLevel="1">
      <c r="B867" s="12" t="s">
        <v>459</v>
      </c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10">
        <v>2.35</v>
      </c>
      <c r="BC867" s="6"/>
      <c r="BD867" s="6"/>
      <c r="BE867" s="6"/>
      <c r="BF867" s="6"/>
      <c r="BG867" s="6"/>
      <c r="BH867" s="6"/>
      <c r="BI867" s="6"/>
      <c r="BJ867" s="6"/>
      <c r="BK867" s="6"/>
      <c r="BL867" s="6"/>
      <c r="BN867" s="6"/>
      <c r="BO867" s="6"/>
      <c r="BP867" s="6"/>
      <c r="BQ867" s="6"/>
      <c r="BR867" s="6"/>
      <c r="BS867" s="6"/>
      <c r="BT867" s="6"/>
      <c r="BU867" s="6"/>
      <c r="BV867" s="6"/>
      <c r="BW867" s="6"/>
      <c r="BX867" s="6"/>
      <c r="BY867" s="6"/>
      <c r="BZ867" s="6"/>
      <c r="CA867" s="6"/>
      <c r="CB867" s="6"/>
      <c r="CC867" s="6"/>
      <c r="CD867" s="6"/>
      <c r="CE867" s="6"/>
      <c r="CF867" s="5"/>
      <c r="CH867" s="5" t="s">
        <v>562</v>
      </c>
    </row>
    <row r="868" spans="2:86" outlineLevel="1">
      <c r="B868" s="12" t="s">
        <v>460</v>
      </c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10">
        <v>3.4</v>
      </c>
      <c r="BC868" s="6"/>
      <c r="BD868" s="6"/>
      <c r="BE868" s="6"/>
      <c r="BF868" s="6"/>
      <c r="BG868" s="6"/>
      <c r="BH868" s="6"/>
      <c r="BI868" s="6"/>
      <c r="BJ868" s="6"/>
      <c r="BK868" s="6"/>
      <c r="BL868" s="6"/>
      <c r="BN868" s="6"/>
      <c r="BO868" s="6"/>
      <c r="BP868" s="6"/>
      <c r="BQ868" s="6"/>
      <c r="BR868" s="6"/>
      <c r="BS868" s="6"/>
      <c r="BT868" s="6"/>
      <c r="BU868" s="6"/>
      <c r="BV868" s="6"/>
      <c r="BW868" s="6"/>
      <c r="BX868" s="6"/>
      <c r="BY868" s="6"/>
      <c r="BZ868" s="6"/>
      <c r="CA868" s="6"/>
      <c r="CB868" s="6"/>
      <c r="CC868" s="6"/>
      <c r="CD868" s="6"/>
      <c r="CE868" s="6"/>
      <c r="CF868" s="5"/>
      <c r="CH868" s="5" t="s">
        <v>562</v>
      </c>
    </row>
    <row r="869" spans="2:86" outlineLevel="1">
      <c r="B869" s="128" t="s">
        <v>446</v>
      </c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  <c r="BH869" s="6"/>
      <c r="BI869" s="6"/>
      <c r="BJ869" s="6"/>
      <c r="BK869" s="6"/>
      <c r="BL869" s="6"/>
      <c r="BM869" s="6"/>
      <c r="BN869" s="6"/>
      <c r="BO869" s="6"/>
      <c r="BP869" s="6"/>
      <c r="BQ869" s="6"/>
      <c r="BR869" s="6"/>
      <c r="BS869" s="6"/>
      <c r="BT869" s="6"/>
      <c r="BU869" s="6"/>
      <c r="BV869" s="6"/>
      <c r="BW869" s="6"/>
      <c r="BX869" s="6"/>
      <c r="BY869" s="6"/>
      <c r="BZ869" s="6"/>
      <c r="CA869" s="6"/>
      <c r="CB869" s="6"/>
      <c r="CC869" s="6"/>
      <c r="CD869" s="6"/>
      <c r="CE869" s="6"/>
      <c r="CF869" s="5"/>
      <c r="CH869" s="5" t="s">
        <v>562</v>
      </c>
    </row>
    <row r="870" spans="2:86" outlineLevel="1">
      <c r="B870" s="132" t="s">
        <v>447</v>
      </c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  <c r="BH870" s="6"/>
      <c r="BI870" s="6"/>
      <c r="BJ870" s="6"/>
      <c r="BK870" s="6"/>
      <c r="BL870" s="6"/>
      <c r="BM870" s="6"/>
      <c r="BN870" s="6"/>
      <c r="BO870" s="6"/>
      <c r="BP870" s="6"/>
      <c r="BQ870" s="6"/>
      <c r="BR870" s="6"/>
      <c r="BS870" s="6"/>
      <c r="BT870" s="6"/>
      <c r="BU870" s="6"/>
      <c r="BV870" s="6"/>
      <c r="BW870" s="6"/>
      <c r="BX870" s="6"/>
      <c r="BY870" s="6"/>
      <c r="BZ870" s="6"/>
      <c r="CA870" s="6"/>
      <c r="CB870" s="6"/>
      <c r="CC870" s="6"/>
      <c r="CD870" s="6"/>
      <c r="CE870" s="6"/>
      <c r="CF870" s="5"/>
      <c r="CH870" s="5" t="s">
        <v>562</v>
      </c>
    </row>
    <row r="871" spans="2:86" outlineLevel="1"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  <c r="BH871" s="6"/>
      <c r="BI871" s="6"/>
      <c r="BJ871" s="6"/>
      <c r="BK871" s="6"/>
      <c r="BL871" s="6"/>
      <c r="BM871" s="6"/>
      <c r="BN871" s="6"/>
      <c r="BO871" s="6"/>
      <c r="BP871" s="6"/>
      <c r="BQ871" s="6"/>
      <c r="BR871" s="6"/>
      <c r="BS871" s="6"/>
      <c r="BT871" s="6"/>
      <c r="BU871" s="6"/>
      <c r="BV871" s="6"/>
      <c r="BW871" s="6"/>
      <c r="BX871" s="6"/>
      <c r="BY871" s="6"/>
      <c r="BZ871" s="6"/>
      <c r="CA871" s="6"/>
      <c r="CB871" s="6"/>
      <c r="CC871" s="6"/>
      <c r="CD871" s="6"/>
      <c r="CE871" s="6"/>
      <c r="CF871" s="5"/>
      <c r="CH871" s="5" t="s">
        <v>562</v>
      </c>
    </row>
    <row r="872" spans="2:86" outlineLevel="1">
      <c r="B872" s="115" t="s">
        <v>461</v>
      </c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  <c r="BH872" s="6"/>
      <c r="BI872" s="6"/>
      <c r="BJ872" s="6"/>
      <c r="BK872" s="6"/>
      <c r="BL872" s="6"/>
      <c r="BM872" s="6"/>
      <c r="BN872" s="6"/>
      <c r="BO872" s="6"/>
      <c r="BP872" s="6"/>
      <c r="BQ872" s="6"/>
      <c r="BR872" s="6"/>
      <c r="BS872" s="6"/>
      <c r="BT872" s="6"/>
      <c r="BU872" s="6"/>
      <c r="BV872" s="6"/>
      <c r="BW872" s="6"/>
      <c r="BX872" s="6"/>
      <c r="BY872" s="6"/>
      <c r="BZ872" s="6"/>
      <c r="CA872" s="6"/>
      <c r="CB872" s="6"/>
      <c r="CC872" s="6"/>
      <c r="CD872" s="6"/>
      <c r="CE872" s="6"/>
      <c r="CF872" s="5"/>
      <c r="CH872" s="5" t="s">
        <v>562</v>
      </c>
    </row>
    <row r="873" spans="2:86" outlineLevel="1">
      <c r="B873" s="13" t="s">
        <v>441</v>
      </c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  <c r="BH873" s="6"/>
      <c r="BI873" s="6"/>
      <c r="BJ873" s="10">
        <v>500</v>
      </c>
      <c r="BK873" s="6"/>
      <c r="BL873" s="6"/>
      <c r="BM873" s="6"/>
      <c r="BN873" s="6"/>
      <c r="BO873" s="6"/>
      <c r="BP873" s="6"/>
      <c r="BQ873" s="6"/>
      <c r="BR873" s="6"/>
      <c r="BS873" s="6"/>
      <c r="BT873" s="6"/>
      <c r="BU873" s="6"/>
      <c r="BV873" s="6"/>
      <c r="BW873" s="6"/>
      <c r="BX873" s="6"/>
      <c r="BY873" s="6"/>
      <c r="BZ873" s="6"/>
      <c r="CA873" s="6"/>
      <c r="CB873" s="6"/>
      <c r="CC873" s="6"/>
      <c r="CD873" s="6"/>
      <c r="CE873" s="6"/>
      <c r="CF873" s="5"/>
      <c r="CH873" s="5" t="s">
        <v>562</v>
      </c>
    </row>
    <row r="874" spans="2:86" outlineLevel="1">
      <c r="B874" s="12" t="s">
        <v>443</v>
      </c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  <c r="BH874" s="6"/>
      <c r="BI874" s="6"/>
      <c r="BJ874" s="10">
        <v>81.36</v>
      </c>
      <c r="BK874" s="6"/>
      <c r="BL874" s="6"/>
      <c r="BM874" s="6"/>
      <c r="BN874" s="6"/>
      <c r="BO874" s="6"/>
      <c r="BP874" s="6"/>
      <c r="BQ874" s="6"/>
      <c r="BR874" s="6"/>
      <c r="BS874" s="6"/>
      <c r="BT874" s="6"/>
      <c r="BU874" s="6"/>
      <c r="BV874" s="6"/>
      <c r="BW874" s="6"/>
      <c r="BX874" s="6"/>
      <c r="BY874" s="6"/>
      <c r="BZ874" s="6"/>
      <c r="CA874" s="6"/>
      <c r="CB874" s="6"/>
      <c r="CC874" s="6"/>
      <c r="CD874" s="6"/>
      <c r="CE874" s="6"/>
      <c r="CF874" s="5"/>
      <c r="CH874" s="5" t="s">
        <v>562</v>
      </c>
    </row>
    <row r="875" spans="2:86" outlineLevel="1">
      <c r="B875" s="12" t="s">
        <v>444</v>
      </c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  <c r="BH875" s="6"/>
      <c r="BI875" s="6"/>
      <c r="BJ875" s="10">
        <v>1</v>
      </c>
      <c r="BK875" s="6"/>
      <c r="BL875" s="6"/>
      <c r="BM875" s="6"/>
      <c r="BN875" s="6"/>
      <c r="BO875" s="6"/>
      <c r="BP875" s="6"/>
      <c r="BQ875" s="6"/>
      <c r="BR875" s="6"/>
      <c r="BS875" s="6"/>
      <c r="BT875" s="6"/>
      <c r="BU875" s="6"/>
      <c r="BV875" s="6"/>
      <c r="BW875" s="6"/>
      <c r="BX875" s="6"/>
      <c r="BY875" s="6"/>
      <c r="BZ875" s="6"/>
      <c r="CA875" s="6"/>
      <c r="CB875" s="6"/>
      <c r="CC875" s="6"/>
      <c r="CD875" s="6"/>
      <c r="CE875" s="6"/>
      <c r="CF875" s="5"/>
      <c r="CH875" s="5" t="s">
        <v>562</v>
      </c>
    </row>
    <row r="876" spans="2:86" outlineLevel="1">
      <c r="B876" s="12" t="s">
        <v>445</v>
      </c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  <c r="BH876" s="6"/>
      <c r="BI876" s="6"/>
      <c r="BJ876" s="6">
        <f>BJ873/BJ874</f>
        <v>6.1455260570304819</v>
      </c>
      <c r="BK876" s="6"/>
      <c r="BL876" s="6"/>
      <c r="BM876" s="6"/>
      <c r="BN876" s="6"/>
      <c r="BO876" s="6"/>
      <c r="BP876" s="6"/>
      <c r="BQ876" s="6"/>
      <c r="BR876" s="6"/>
      <c r="BS876" s="6"/>
      <c r="BT876" s="6"/>
      <c r="BU876" s="6"/>
      <c r="BV876" s="6"/>
      <c r="BW876" s="6"/>
      <c r="BX876" s="6"/>
      <c r="BY876" s="6"/>
      <c r="BZ876" s="6"/>
      <c r="CA876" s="6"/>
      <c r="CB876" s="6"/>
      <c r="CC876" s="6"/>
      <c r="CD876" s="6"/>
      <c r="CE876" s="6"/>
      <c r="CF876" s="5"/>
      <c r="CH876" s="5" t="s">
        <v>562</v>
      </c>
    </row>
    <row r="877" spans="2:86" outlineLevel="1">
      <c r="B877" s="12" t="s">
        <v>457</v>
      </c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  <c r="BH877" s="6"/>
      <c r="BI877" s="6"/>
      <c r="BJ877" s="6"/>
      <c r="BK877" s="6"/>
      <c r="BL877" s="6"/>
      <c r="BM877" s="6"/>
      <c r="BN877" s="6"/>
      <c r="BO877" s="6"/>
      <c r="BP877" s="6"/>
      <c r="BQ877" s="6"/>
      <c r="BR877" s="6"/>
      <c r="BS877" s="6"/>
      <c r="BT877" s="6"/>
      <c r="BU877" s="6"/>
      <c r="BV877" s="6"/>
      <c r="BW877" s="6"/>
      <c r="BX877" s="6"/>
      <c r="BY877" s="6"/>
      <c r="BZ877" s="6"/>
      <c r="CA877" s="6"/>
      <c r="CB877" s="6"/>
      <c r="CC877" s="6"/>
      <c r="CD877" s="6"/>
      <c r="CE877" s="6"/>
      <c r="CF877" s="5"/>
      <c r="CH877" s="5" t="s">
        <v>562</v>
      </c>
    </row>
    <row r="878" spans="2:86" outlineLevel="1">
      <c r="B878" s="12" t="s">
        <v>458</v>
      </c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  <c r="BH878" s="6"/>
      <c r="BI878" s="6"/>
      <c r="BJ878" s="6"/>
      <c r="BK878" s="6"/>
      <c r="BL878" s="6"/>
      <c r="BM878" s="6"/>
      <c r="BN878" s="6"/>
      <c r="BO878" s="6"/>
      <c r="BP878" s="6"/>
      <c r="BQ878" s="6"/>
      <c r="BR878" s="6"/>
      <c r="BS878" s="6"/>
      <c r="BT878" s="6"/>
      <c r="BU878" s="6"/>
      <c r="BV878" s="6"/>
      <c r="BW878" s="6"/>
      <c r="BX878" s="6"/>
      <c r="BY878" s="6"/>
      <c r="BZ878" s="6"/>
      <c r="CA878" s="6"/>
      <c r="CB878" s="6"/>
      <c r="CC878" s="6"/>
      <c r="CD878" s="6"/>
      <c r="CE878" s="6"/>
      <c r="CF878" s="5"/>
      <c r="CH878" s="5" t="s">
        <v>562</v>
      </c>
    </row>
    <row r="879" spans="2:86" outlineLevel="1">
      <c r="B879" s="128" t="s">
        <v>462</v>
      </c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  <c r="BH879" s="6"/>
      <c r="BI879" s="6"/>
      <c r="BJ879" s="6"/>
      <c r="BK879" s="6"/>
      <c r="BL879" s="6"/>
      <c r="BM879" s="6"/>
      <c r="BN879" s="6"/>
      <c r="BO879" s="6"/>
      <c r="BP879" s="6"/>
      <c r="BQ879" s="6"/>
      <c r="BR879" s="6"/>
      <c r="BS879" s="6"/>
      <c r="BT879" s="6"/>
      <c r="BU879" s="6"/>
      <c r="BV879" s="6"/>
      <c r="BW879" s="6"/>
      <c r="BX879" s="6"/>
      <c r="BY879" s="6"/>
      <c r="BZ879" s="6"/>
      <c r="CA879" s="6"/>
      <c r="CB879" s="6"/>
      <c r="CC879" s="6"/>
      <c r="CD879" s="6"/>
      <c r="CE879" s="6"/>
      <c r="CF879" s="5"/>
      <c r="CH879" s="5" t="s">
        <v>562</v>
      </c>
    </row>
    <row r="880" spans="2:86" outlineLevel="1">
      <c r="B880" s="132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  <c r="BH880" s="6"/>
      <c r="BI880" s="6"/>
      <c r="BJ880" s="6"/>
      <c r="BK880" s="6"/>
      <c r="BL880" s="6"/>
      <c r="BM880" s="6"/>
      <c r="BN880" s="6"/>
      <c r="BO880" s="6"/>
      <c r="BP880" s="6"/>
      <c r="BQ880" s="6"/>
      <c r="BR880" s="6"/>
      <c r="BS880" s="6"/>
      <c r="BT880" s="6"/>
      <c r="BU880" s="6"/>
      <c r="BV880" s="6"/>
      <c r="BW880" s="6"/>
      <c r="BX880" s="6"/>
      <c r="BY880" s="6"/>
      <c r="BZ880" s="6"/>
      <c r="CA880" s="6"/>
      <c r="CB880" s="6"/>
      <c r="CC880" s="6"/>
      <c r="CD880" s="6"/>
      <c r="CE880" s="6"/>
      <c r="CF880" s="5"/>
      <c r="CH880" s="5" t="s">
        <v>562</v>
      </c>
    </row>
    <row r="881" spans="2:96" outlineLevel="1">
      <c r="B881" s="12" t="s">
        <v>465</v>
      </c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  <c r="BH881" s="6"/>
      <c r="BI881" s="6"/>
      <c r="BJ881" s="6"/>
      <c r="BK881" s="6"/>
      <c r="BL881" s="6"/>
      <c r="BN881" s="6"/>
      <c r="BO881" s="6"/>
      <c r="BP881" s="6"/>
      <c r="BQ881" s="6"/>
      <c r="BR881" s="6"/>
      <c r="BS881" s="6"/>
      <c r="BT881" s="6"/>
      <c r="BU881" s="6"/>
      <c r="BV881" s="6"/>
      <c r="BW881" s="6"/>
      <c r="BX881" s="6"/>
      <c r="BY881" s="6"/>
      <c r="BZ881" s="6"/>
      <c r="CA881" s="6"/>
      <c r="CB881" s="6"/>
      <c r="CC881" s="6"/>
      <c r="CD881" s="6"/>
      <c r="CE881" s="6"/>
      <c r="CF881" s="5"/>
      <c r="CH881" s="5" t="s">
        <v>562</v>
      </c>
    </row>
    <row r="882" spans="2:96" outlineLevel="1">
      <c r="B882" s="13" t="s">
        <v>441</v>
      </c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  <c r="BH882" s="6"/>
      <c r="BI882" s="6"/>
      <c r="BJ882" s="6"/>
      <c r="BK882" s="6"/>
      <c r="BL882" s="6"/>
      <c r="BM882" s="133">
        <v>250</v>
      </c>
      <c r="BN882" s="6"/>
      <c r="BO882" s="6"/>
      <c r="BP882" s="6"/>
      <c r="BQ882" s="6"/>
      <c r="BR882" s="6"/>
      <c r="BS882" s="6"/>
      <c r="BT882" s="6"/>
      <c r="BU882" s="6"/>
      <c r="BV882" s="6"/>
      <c r="BW882" s="6"/>
      <c r="BX882" s="6"/>
      <c r="BY882" s="6"/>
      <c r="BZ882" s="6"/>
      <c r="CA882" s="6"/>
      <c r="CB882" s="6"/>
      <c r="CC882" s="6"/>
      <c r="CD882" s="6"/>
      <c r="CE882" s="6"/>
      <c r="CF882" s="5"/>
      <c r="CH882" s="5" t="s">
        <v>562</v>
      </c>
    </row>
    <row r="883" spans="2:96" outlineLevel="1">
      <c r="B883" s="12" t="s">
        <v>443</v>
      </c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  <c r="BH883" s="6"/>
      <c r="BI883" s="6"/>
      <c r="BJ883" s="6"/>
      <c r="BK883" s="6"/>
      <c r="BL883" s="6"/>
      <c r="BM883" s="133">
        <v>105</v>
      </c>
      <c r="BN883" s="6"/>
      <c r="BO883" s="6"/>
      <c r="BP883" s="6"/>
      <c r="BQ883" s="6"/>
      <c r="BR883" s="6"/>
      <c r="BS883" s="6"/>
      <c r="BT883" s="6"/>
      <c r="BU883" s="6"/>
      <c r="BV883" s="6"/>
      <c r="BW883" s="6"/>
      <c r="BX883" s="6"/>
      <c r="BY883" s="6"/>
      <c r="BZ883" s="6"/>
      <c r="CA883" s="6"/>
      <c r="CB883" s="6"/>
      <c r="CC883" s="6"/>
      <c r="CD883" s="6"/>
      <c r="CE883" s="6"/>
      <c r="CF883" s="5"/>
      <c r="CH883" s="5" t="s">
        <v>562</v>
      </c>
    </row>
    <row r="884" spans="2:96" outlineLevel="1">
      <c r="B884" s="12" t="s">
        <v>445</v>
      </c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  <c r="BH884" s="6"/>
      <c r="BI884" s="6"/>
      <c r="BJ884" s="6"/>
      <c r="BK884" s="6"/>
      <c r="BL884" s="6"/>
      <c r="BM884" s="6">
        <f>BM882/BM883</f>
        <v>2.3809523809523809</v>
      </c>
      <c r="BN884" s="6"/>
      <c r="BO884" s="6"/>
      <c r="BP884" s="6"/>
      <c r="BQ884" s="6"/>
      <c r="BR884" s="6"/>
      <c r="BS884" s="6"/>
      <c r="BT884" s="6"/>
      <c r="BU884" s="6"/>
      <c r="BV884" s="6"/>
      <c r="BW884" s="6"/>
      <c r="BX884" s="6"/>
      <c r="BY884" s="6"/>
      <c r="BZ884" s="6"/>
      <c r="CA884" s="6"/>
      <c r="CB884" s="6"/>
      <c r="CC884" s="6"/>
      <c r="CD884" s="6"/>
      <c r="CE884" s="6"/>
      <c r="CF884" s="5"/>
      <c r="CH884" s="5" t="s">
        <v>562</v>
      </c>
    </row>
    <row r="885" spans="2:96" outlineLevel="1"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  <c r="BH885" s="6"/>
      <c r="BI885" s="6"/>
      <c r="BJ885" s="6"/>
      <c r="BK885" s="6"/>
      <c r="BL885" s="6"/>
      <c r="BM885" s="6"/>
      <c r="BN885" s="6"/>
      <c r="BO885" s="6"/>
      <c r="BP885" s="6"/>
      <c r="BQ885" s="6"/>
      <c r="BR885" s="6"/>
      <c r="BS885" s="6"/>
      <c r="BT885" s="6"/>
      <c r="BU885" s="6"/>
      <c r="BV885" s="6"/>
      <c r="BW885" s="6"/>
      <c r="BX885" s="6"/>
      <c r="BY885" s="6"/>
      <c r="BZ885" s="6"/>
      <c r="CA885" s="6"/>
      <c r="CB885" s="6"/>
      <c r="CC885" s="6"/>
      <c r="CD885" s="6"/>
      <c r="CE885" s="6"/>
      <c r="CF885" s="5"/>
    </row>
    <row r="886" spans="2:96" s="39" customFormat="1" outlineLevel="1">
      <c r="CI886" s="13"/>
      <c r="CJ886"/>
      <c r="CK886"/>
      <c r="CL886"/>
      <c r="CM886"/>
      <c r="CN886"/>
      <c r="CO886"/>
      <c r="CP886" s="13"/>
      <c r="CQ886" s="13"/>
      <c r="CR886" s="13"/>
    </row>
    <row r="887" spans="2:96" outlineLevel="1">
      <c r="B887" s="134" t="s">
        <v>645</v>
      </c>
      <c r="C887" s="134"/>
      <c r="D887" s="134"/>
      <c r="E887" s="134"/>
      <c r="F887" s="134"/>
      <c r="G887" s="134"/>
      <c r="H887" s="134"/>
      <c r="I887" s="134"/>
      <c r="J887" s="134"/>
      <c r="K887" s="134"/>
      <c r="L887" s="134"/>
      <c r="M887" s="134"/>
      <c r="N887" s="134"/>
      <c r="O887" s="134"/>
      <c r="P887" s="134"/>
      <c r="Q887" s="134"/>
      <c r="R887" s="135">
        <f>R682/500</f>
        <v>6.4778000000000002</v>
      </c>
      <c r="S887" s="136">
        <v>6.7</v>
      </c>
      <c r="T887" s="134"/>
      <c r="U887" s="134"/>
      <c r="V887" s="134"/>
      <c r="W887" s="134"/>
      <c r="X887" s="134"/>
      <c r="Y887" s="134"/>
      <c r="Z887" s="134"/>
      <c r="AA887" s="134"/>
      <c r="AB887" s="134"/>
      <c r="AC887" s="134"/>
      <c r="AD887" s="134"/>
      <c r="AE887" s="134"/>
      <c r="AF887" s="134"/>
      <c r="AG887" s="134"/>
      <c r="AH887" s="134"/>
      <c r="AI887" s="134"/>
      <c r="AJ887" s="134"/>
      <c r="AK887" s="134"/>
      <c r="AL887" s="134"/>
      <c r="AM887" s="134"/>
      <c r="AN887" s="134"/>
      <c r="AO887" s="134"/>
      <c r="AP887" s="134"/>
      <c r="AQ887" s="134"/>
      <c r="AR887" s="134"/>
      <c r="AS887" s="134"/>
      <c r="AT887" s="134"/>
      <c r="AU887" s="134"/>
      <c r="AV887" s="134"/>
      <c r="AW887" s="134"/>
      <c r="AX887" s="134"/>
      <c r="AY887" s="134"/>
      <c r="AZ887" s="134"/>
      <c r="BA887" s="134"/>
      <c r="BB887" s="134"/>
      <c r="BC887" s="134"/>
      <c r="BD887" s="134"/>
      <c r="BE887" s="134"/>
      <c r="BF887" s="134"/>
      <c r="BG887" s="134"/>
      <c r="BH887" s="134"/>
      <c r="BI887" s="134"/>
      <c r="BJ887" s="134"/>
      <c r="BK887" s="134"/>
      <c r="BL887" s="134"/>
      <c r="BM887" s="134"/>
      <c r="BN887" s="134"/>
      <c r="BO887" s="134"/>
      <c r="BP887" s="134"/>
      <c r="BQ887" s="134"/>
      <c r="BR887" s="134"/>
      <c r="BS887" s="134"/>
      <c r="BT887" s="134"/>
      <c r="BU887" s="134"/>
      <c r="BV887" s="134"/>
      <c r="BW887" s="134"/>
      <c r="BX887" s="134"/>
      <c r="BY887" s="134"/>
      <c r="BZ887" s="134"/>
      <c r="CA887" s="134"/>
      <c r="CB887" s="134"/>
      <c r="CC887" s="134"/>
      <c r="CD887" s="134"/>
      <c r="CE887" s="134"/>
      <c r="CF887" s="134"/>
      <c r="CG887" s="134"/>
      <c r="CH887" s="134" t="str">
        <f>CH559</f>
        <v>a</v>
      </c>
    </row>
    <row r="888" spans="2:96" s="39" customFormat="1" outlineLevel="1">
      <c r="CI888" s="13"/>
      <c r="CJ888"/>
      <c r="CK888"/>
      <c r="CL888"/>
      <c r="CM888"/>
      <c r="CN888"/>
      <c r="CO888"/>
      <c r="CP888" s="13"/>
      <c r="CQ888" s="13"/>
      <c r="CR888" s="13"/>
    </row>
    <row r="889" spans="2:96" outlineLevel="1">
      <c r="B889" s="12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  <c r="BH889" s="6"/>
      <c r="BI889" s="6"/>
      <c r="BJ889" s="6"/>
      <c r="BK889" s="6"/>
      <c r="BL889" s="6"/>
      <c r="BM889" s="6"/>
      <c r="BN889" s="36"/>
      <c r="BO889" s="36"/>
      <c r="BP889" s="36"/>
      <c r="BQ889" s="36"/>
      <c r="BR889" s="36"/>
      <c r="BS889" s="36"/>
      <c r="BT889" s="36"/>
      <c r="BU889" s="36"/>
      <c r="BV889" s="36"/>
      <c r="BW889" s="36"/>
      <c r="BX889" s="36"/>
      <c r="BY889" s="36"/>
      <c r="BZ889" s="36"/>
      <c r="CA889" s="36"/>
      <c r="CB889" s="36"/>
      <c r="CC889" s="36"/>
      <c r="CD889" s="36"/>
      <c r="CE889" s="36"/>
      <c r="CF889" s="5"/>
      <c r="CG889" s="5"/>
      <c r="CH889" s="5"/>
    </row>
    <row r="890" spans="2:96" outlineLevel="1">
      <c r="B890" s="12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  <c r="BH890" s="6"/>
      <c r="BI890" s="6"/>
      <c r="BJ890" s="6"/>
      <c r="BK890" s="6"/>
      <c r="BL890" s="6"/>
      <c r="BM890" s="6"/>
      <c r="BN890" s="36"/>
      <c r="BO890" s="36"/>
      <c r="BP890" s="36"/>
      <c r="BQ890" s="36"/>
      <c r="BR890" s="36"/>
      <c r="BS890" s="36"/>
      <c r="BT890" s="36"/>
      <c r="BU890" s="36"/>
      <c r="BV890" s="36"/>
      <c r="BW890" s="36"/>
      <c r="BX890" s="36"/>
      <c r="BY890" s="36"/>
      <c r="BZ890" s="36"/>
      <c r="CA890" s="36"/>
      <c r="CB890" s="36"/>
      <c r="CC890" s="36"/>
      <c r="CD890" s="36"/>
      <c r="CE890" s="36"/>
      <c r="CF890" s="5"/>
      <c r="CG890" s="5"/>
      <c r="CH890" s="5"/>
    </row>
    <row r="891" spans="2:96" outlineLevel="1"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  <c r="BH891" s="6"/>
      <c r="BI891" s="6"/>
      <c r="BJ891" s="6"/>
      <c r="BK891" s="6"/>
      <c r="BL891" s="6"/>
      <c r="BM891" s="6"/>
      <c r="BN891" s="6"/>
      <c r="BO891" s="6"/>
      <c r="BP891" s="6"/>
      <c r="BQ891" s="6"/>
      <c r="BR891" s="6"/>
      <c r="BS891" s="6"/>
      <c r="BT891" s="6"/>
      <c r="BU891" s="6"/>
      <c r="BV891" s="6"/>
      <c r="BW891" s="6"/>
      <c r="BX891" s="6"/>
      <c r="BY891" s="6"/>
      <c r="BZ891" s="6"/>
      <c r="CA891" s="6"/>
      <c r="CB891" s="6"/>
      <c r="CC891" s="6"/>
      <c r="CD891" s="6"/>
      <c r="CE891" s="6"/>
      <c r="CF891" s="5"/>
      <c r="CG891" s="5"/>
      <c r="CH891" s="5"/>
    </row>
    <row r="892" spans="2:96" outlineLevel="1">
      <c r="CG892" s="5"/>
      <c r="CH892" s="5"/>
    </row>
    <row r="893" spans="2:96" outlineLevel="1">
      <c r="CG893" s="5"/>
      <c r="CH893" s="5"/>
    </row>
    <row r="894" spans="2:96" outlineLevel="1">
      <c r="CG894" s="5"/>
      <c r="CH894" s="5"/>
    </row>
    <row r="895" spans="2:96" outlineLevel="1">
      <c r="CG895" s="5"/>
      <c r="CH895" s="5"/>
    </row>
    <row r="896" spans="2:96" outlineLevel="1">
      <c r="CG896" s="5"/>
      <c r="CH896" s="5"/>
    </row>
    <row r="897" spans="85:86" outlineLevel="1">
      <c r="CG897" s="5"/>
      <c r="CH897" s="5"/>
    </row>
    <row r="898" spans="85:86" outlineLevel="1">
      <c r="CG898" s="5"/>
      <c r="CH898" s="5"/>
    </row>
    <row r="899" spans="85:86" outlineLevel="1">
      <c r="CG899" s="5"/>
      <c r="CH899" s="5"/>
    </row>
    <row r="900" spans="85:86" customFormat="1" ht="12.75" outlineLevel="1"/>
    <row r="901" spans="85:86" outlineLevel="1"/>
    <row r="1084" spans="3:84"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  <c r="BC1084" s="6"/>
      <c r="BD1084" s="6"/>
      <c r="BE1084" s="6"/>
      <c r="BF1084" s="6"/>
      <c r="BG1084" s="6"/>
      <c r="BH1084" s="6"/>
      <c r="BI1084" s="6"/>
      <c r="BJ1084" s="6"/>
      <c r="BK1084" s="6"/>
      <c r="BL1084" s="6"/>
      <c r="BM1084" s="6"/>
      <c r="BN1084" s="6"/>
      <c r="BO1084" s="6"/>
      <c r="BP1084" s="6"/>
      <c r="BQ1084" s="6"/>
      <c r="BR1084" s="6"/>
      <c r="BS1084" s="6"/>
      <c r="BT1084" s="6"/>
      <c r="BU1084" s="6"/>
      <c r="BV1084" s="6"/>
      <c r="BW1084" s="6"/>
      <c r="BX1084" s="6"/>
      <c r="BY1084" s="6"/>
      <c r="BZ1084" s="6"/>
      <c r="CA1084" s="6"/>
      <c r="CB1084" s="6"/>
      <c r="CC1084" s="6"/>
      <c r="CD1084" s="6"/>
      <c r="CE1084" s="6"/>
      <c r="CF1084" s="5"/>
    </row>
    <row r="1085" spans="3:84"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  <c r="BC1085" s="6"/>
      <c r="BD1085" s="6"/>
      <c r="BE1085" s="6"/>
      <c r="BF1085" s="6"/>
      <c r="BG1085" s="6"/>
      <c r="BH1085" s="6"/>
      <c r="BI1085" s="6"/>
      <c r="BJ1085" s="6"/>
      <c r="BK1085" s="6"/>
      <c r="BL1085" s="6"/>
      <c r="BM1085" s="6"/>
      <c r="BN1085" s="6"/>
      <c r="BO1085" s="6"/>
      <c r="BP1085" s="6"/>
      <c r="BQ1085" s="6"/>
      <c r="BR1085" s="6"/>
      <c r="BS1085" s="6"/>
      <c r="BT1085" s="6"/>
      <c r="BU1085" s="6"/>
      <c r="BV1085" s="6"/>
      <c r="BW1085" s="6"/>
      <c r="BX1085" s="6"/>
      <c r="BY1085" s="6"/>
      <c r="BZ1085" s="6"/>
      <c r="CA1085" s="6"/>
      <c r="CB1085" s="6"/>
      <c r="CC1085" s="6"/>
      <c r="CD1085" s="6"/>
      <c r="CE1085" s="6"/>
      <c r="CF1085" s="5"/>
    </row>
    <row r="1086" spans="3:84"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  <c r="BC1086" s="6"/>
      <c r="BD1086" s="6"/>
      <c r="BE1086" s="6"/>
      <c r="BF1086" s="6"/>
      <c r="BG1086" s="6"/>
      <c r="BH1086" s="6"/>
      <c r="BI1086" s="6"/>
      <c r="BJ1086" s="6"/>
      <c r="BK1086" s="6"/>
      <c r="BL1086" s="6"/>
      <c r="BM1086" s="6"/>
      <c r="BN1086" s="6"/>
      <c r="BO1086" s="6"/>
      <c r="BP1086" s="6"/>
      <c r="BQ1086" s="6"/>
      <c r="BR1086" s="6"/>
      <c r="BS1086" s="6"/>
      <c r="BT1086" s="6"/>
      <c r="BU1086" s="6"/>
      <c r="BV1086" s="6"/>
      <c r="BW1086" s="6"/>
      <c r="BX1086" s="6"/>
      <c r="BY1086" s="6"/>
      <c r="BZ1086" s="6"/>
      <c r="CA1086" s="6"/>
      <c r="CB1086" s="6"/>
      <c r="CC1086" s="6"/>
      <c r="CD1086" s="6"/>
      <c r="CE1086" s="6"/>
      <c r="CF1086" s="5"/>
    </row>
    <row r="1087" spans="3:84"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  <c r="BC1087" s="6"/>
      <c r="BD1087" s="6"/>
      <c r="BE1087" s="6"/>
      <c r="BF1087" s="6"/>
      <c r="BG1087" s="6"/>
      <c r="BH1087" s="6"/>
      <c r="BI1087" s="6"/>
      <c r="BJ1087" s="6"/>
      <c r="BK1087" s="6"/>
      <c r="BL1087" s="6"/>
      <c r="BM1087" s="6"/>
      <c r="BN1087" s="6"/>
      <c r="BO1087" s="6"/>
      <c r="BP1087" s="6"/>
      <c r="BQ1087" s="6"/>
      <c r="BR1087" s="6"/>
      <c r="BS1087" s="6"/>
      <c r="BT1087" s="6"/>
      <c r="BU1087" s="6"/>
      <c r="BV1087" s="6"/>
      <c r="BW1087" s="6"/>
      <c r="BX1087" s="6"/>
      <c r="BY1087" s="6"/>
      <c r="BZ1087" s="6"/>
      <c r="CA1087" s="6"/>
      <c r="CB1087" s="6"/>
      <c r="CC1087" s="6"/>
      <c r="CD1087" s="6"/>
      <c r="CE1087" s="6"/>
      <c r="CF1087" s="5"/>
    </row>
    <row r="1088" spans="3:84"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  <c r="BC1088" s="6"/>
      <c r="BD1088" s="6"/>
      <c r="BE1088" s="6"/>
      <c r="BF1088" s="6"/>
      <c r="BG1088" s="6"/>
      <c r="BH1088" s="6"/>
      <c r="BI1088" s="6"/>
      <c r="BJ1088" s="6"/>
      <c r="BK1088" s="6"/>
      <c r="BL1088" s="6"/>
      <c r="BM1088" s="6"/>
      <c r="BN1088" s="6"/>
      <c r="BO1088" s="6"/>
      <c r="BP1088" s="6"/>
      <c r="BQ1088" s="6"/>
      <c r="BR1088" s="6"/>
      <c r="BS1088" s="6"/>
      <c r="BT1088" s="6"/>
      <c r="BU1088" s="6"/>
      <c r="BV1088" s="6"/>
      <c r="BW1088" s="6"/>
      <c r="BX1088" s="6"/>
      <c r="BY1088" s="6"/>
      <c r="BZ1088" s="6"/>
      <c r="CA1088" s="6"/>
      <c r="CB1088" s="6"/>
      <c r="CC1088" s="6"/>
      <c r="CD1088" s="6"/>
      <c r="CE1088" s="6"/>
      <c r="CF1088" s="5"/>
    </row>
    <row r="1089" spans="3:84"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  <c r="BC1089" s="6"/>
      <c r="BD1089" s="6"/>
      <c r="BE1089" s="6"/>
      <c r="BF1089" s="6"/>
      <c r="BG1089" s="6"/>
      <c r="BH1089" s="6"/>
      <c r="BI1089" s="6"/>
      <c r="BJ1089" s="6"/>
      <c r="BK1089" s="6"/>
      <c r="BL1089" s="6"/>
      <c r="BM1089" s="6"/>
      <c r="BN1089" s="6"/>
      <c r="BO1089" s="6"/>
      <c r="BP1089" s="6"/>
      <c r="BQ1089" s="6"/>
      <c r="BR1089" s="6"/>
      <c r="BS1089" s="6"/>
      <c r="BT1089" s="6"/>
      <c r="BU1089" s="6"/>
      <c r="BV1089" s="6"/>
      <c r="BW1089" s="6"/>
      <c r="BX1089" s="6"/>
      <c r="BY1089" s="6"/>
      <c r="BZ1089" s="6"/>
      <c r="CA1089" s="6"/>
      <c r="CB1089" s="6"/>
      <c r="CC1089" s="6"/>
      <c r="CD1089" s="6"/>
      <c r="CE1089" s="6"/>
      <c r="CF1089" s="5"/>
    </row>
    <row r="1090" spans="3:84"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  <c r="BC1090" s="6"/>
      <c r="BD1090" s="6"/>
      <c r="BE1090" s="6"/>
      <c r="BF1090" s="6"/>
      <c r="BG1090" s="6"/>
      <c r="BH1090" s="6"/>
      <c r="BI1090" s="6"/>
      <c r="BJ1090" s="6"/>
      <c r="BK1090" s="6"/>
      <c r="BL1090" s="6"/>
      <c r="BM1090" s="6"/>
      <c r="BN1090" s="6"/>
      <c r="BO1090" s="6"/>
      <c r="BP1090" s="6"/>
      <c r="BQ1090" s="6"/>
      <c r="BR1090" s="6"/>
      <c r="BS1090" s="6"/>
      <c r="BT1090" s="6"/>
      <c r="BU1090" s="6"/>
      <c r="BV1090" s="6"/>
      <c r="BW1090" s="6"/>
      <c r="BX1090" s="6"/>
      <c r="BY1090" s="6"/>
      <c r="BZ1090" s="6"/>
      <c r="CA1090" s="6"/>
      <c r="CB1090" s="6"/>
      <c r="CC1090" s="6"/>
      <c r="CD1090" s="6"/>
      <c r="CE1090" s="6"/>
      <c r="CF1090" s="5"/>
    </row>
    <row r="1091" spans="3:84"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  <c r="BC1091" s="6"/>
      <c r="BD1091" s="6"/>
      <c r="BE1091" s="6"/>
      <c r="BF1091" s="6"/>
      <c r="BG1091" s="6"/>
      <c r="BH1091" s="6"/>
      <c r="BI1091" s="6"/>
      <c r="BJ1091" s="6"/>
      <c r="BK1091" s="6"/>
      <c r="BL1091" s="6"/>
      <c r="BM1091" s="6"/>
      <c r="BN1091" s="6"/>
      <c r="BO1091" s="6"/>
      <c r="BP1091" s="6"/>
      <c r="BQ1091" s="6"/>
      <c r="BR1091" s="6"/>
      <c r="BS1091" s="6"/>
      <c r="BT1091" s="6"/>
      <c r="BU1091" s="6"/>
      <c r="BV1091" s="6"/>
      <c r="BW1091" s="6"/>
      <c r="BX1091" s="6"/>
      <c r="BY1091" s="6"/>
      <c r="BZ1091" s="6"/>
      <c r="CA1091" s="6"/>
      <c r="CB1091" s="6"/>
      <c r="CC1091" s="6"/>
      <c r="CD1091" s="6"/>
      <c r="CE1091" s="6"/>
      <c r="CF1091" s="5"/>
    </row>
    <row r="1092" spans="3:84"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  <c r="BC1092" s="6"/>
      <c r="BD1092" s="6"/>
      <c r="BE1092" s="6"/>
      <c r="BF1092" s="6"/>
      <c r="BG1092" s="6"/>
      <c r="BH1092" s="6"/>
      <c r="BI1092" s="6"/>
      <c r="BJ1092" s="6"/>
      <c r="BK1092" s="6"/>
      <c r="BL1092" s="6"/>
      <c r="BM1092" s="6"/>
      <c r="BN1092" s="6"/>
      <c r="BO1092" s="6"/>
      <c r="BP1092" s="6"/>
      <c r="BQ1092" s="6"/>
      <c r="BR1092" s="6"/>
      <c r="BS1092" s="6"/>
      <c r="BT1092" s="6"/>
      <c r="BU1092" s="6"/>
      <c r="BV1092" s="6"/>
      <c r="BW1092" s="6"/>
      <c r="BX1092" s="6"/>
      <c r="BY1092" s="6"/>
      <c r="BZ1092" s="6"/>
      <c r="CA1092" s="6"/>
      <c r="CB1092" s="6"/>
      <c r="CC1092" s="6"/>
      <c r="CD1092" s="6"/>
      <c r="CE1092" s="6"/>
      <c r="CF1092" s="5"/>
    </row>
    <row r="1093" spans="3:84"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  <c r="BC1093" s="6"/>
      <c r="BD1093" s="6"/>
      <c r="BE1093" s="6"/>
      <c r="BF1093" s="6"/>
      <c r="BG1093" s="6"/>
      <c r="BH1093" s="6"/>
      <c r="BI1093" s="6"/>
      <c r="BJ1093" s="6"/>
      <c r="BK1093" s="6"/>
      <c r="BL1093" s="6"/>
      <c r="BM1093" s="6"/>
      <c r="BN1093" s="6"/>
      <c r="BO1093" s="6"/>
      <c r="BP1093" s="6"/>
      <c r="BQ1093" s="6"/>
      <c r="BR1093" s="6"/>
      <c r="BS1093" s="6"/>
      <c r="BT1093" s="6"/>
      <c r="BU1093" s="6"/>
      <c r="BV1093" s="6"/>
      <c r="BW1093" s="6"/>
      <c r="BX1093" s="6"/>
      <c r="BY1093" s="6"/>
      <c r="BZ1093" s="6"/>
      <c r="CA1093" s="6"/>
      <c r="CB1093" s="6"/>
      <c r="CC1093" s="6"/>
      <c r="CD1093" s="6"/>
      <c r="CE1093" s="6"/>
      <c r="CF1093" s="5"/>
    </row>
    <row r="1094" spans="3:84"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  <c r="BC1094" s="6"/>
      <c r="BD1094" s="6"/>
      <c r="BE1094" s="6"/>
      <c r="BF1094" s="6"/>
      <c r="BG1094" s="6"/>
      <c r="BH1094" s="6"/>
      <c r="BI1094" s="6"/>
      <c r="BJ1094" s="6"/>
      <c r="BK1094" s="6"/>
      <c r="BL1094" s="6"/>
      <c r="BM1094" s="6"/>
      <c r="BN1094" s="6"/>
      <c r="BO1094" s="6"/>
      <c r="BP1094" s="6"/>
      <c r="BQ1094" s="6"/>
      <c r="BR1094" s="6"/>
      <c r="BS1094" s="6"/>
      <c r="BT1094" s="6"/>
      <c r="BU1094" s="6"/>
      <c r="BV1094" s="6"/>
      <c r="BW1094" s="6"/>
      <c r="BX1094" s="6"/>
      <c r="BY1094" s="6"/>
      <c r="BZ1094" s="6"/>
      <c r="CA1094" s="6"/>
      <c r="CB1094" s="6"/>
      <c r="CC1094" s="6"/>
      <c r="CD1094" s="6"/>
      <c r="CE1094" s="6"/>
      <c r="CF1094" s="5"/>
    </row>
    <row r="1095" spans="3:84"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  <c r="BC1095" s="6"/>
      <c r="BD1095" s="6"/>
      <c r="BE1095" s="6"/>
      <c r="BF1095" s="6"/>
      <c r="BG1095" s="6"/>
      <c r="BH1095" s="6"/>
      <c r="BI1095" s="6"/>
      <c r="BJ1095" s="6"/>
      <c r="BK1095" s="6"/>
      <c r="BL1095" s="6"/>
      <c r="BM1095" s="6"/>
      <c r="BN1095" s="6"/>
      <c r="BO1095" s="6"/>
      <c r="BP1095" s="6"/>
      <c r="BQ1095" s="6"/>
      <c r="BR1095" s="6"/>
      <c r="BS1095" s="6"/>
      <c r="BT1095" s="6"/>
      <c r="BU1095" s="6"/>
      <c r="BV1095" s="6"/>
      <c r="BW1095" s="6"/>
      <c r="BX1095" s="6"/>
      <c r="BY1095" s="6"/>
      <c r="BZ1095" s="6"/>
      <c r="CA1095" s="6"/>
      <c r="CB1095" s="6"/>
      <c r="CC1095" s="6"/>
      <c r="CD1095" s="6"/>
      <c r="CE1095" s="6"/>
      <c r="CF1095" s="5"/>
    </row>
    <row r="1096" spans="3:84"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  <c r="BC1096" s="6"/>
      <c r="BD1096" s="6"/>
      <c r="BE1096" s="6"/>
      <c r="BF1096" s="6"/>
      <c r="BG1096" s="6"/>
      <c r="BH1096" s="6"/>
      <c r="BI1096" s="6"/>
      <c r="BJ1096" s="6"/>
      <c r="BK1096" s="6"/>
      <c r="BL1096" s="6"/>
      <c r="BM1096" s="6"/>
      <c r="BN1096" s="6"/>
      <c r="BO1096" s="6"/>
      <c r="BP1096" s="6"/>
      <c r="BQ1096" s="6"/>
      <c r="BR1096" s="6"/>
      <c r="BS1096" s="6"/>
      <c r="BT1096" s="6"/>
      <c r="BU1096" s="6"/>
      <c r="BV1096" s="6"/>
      <c r="BW1096" s="6"/>
      <c r="BX1096" s="6"/>
      <c r="BY1096" s="6"/>
      <c r="BZ1096" s="6"/>
      <c r="CA1096" s="6"/>
      <c r="CB1096" s="6"/>
      <c r="CC1096" s="6"/>
      <c r="CD1096" s="6"/>
      <c r="CE1096" s="6"/>
      <c r="CF1096" s="5"/>
    </row>
    <row r="1097" spans="3:84"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  <c r="BC1097" s="6"/>
      <c r="BD1097" s="6"/>
      <c r="BE1097" s="6"/>
      <c r="BF1097" s="6"/>
      <c r="BG1097" s="6"/>
      <c r="BH1097" s="6"/>
      <c r="BI1097" s="6"/>
      <c r="BJ1097" s="6"/>
      <c r="BK1097" s="6"/>
      <c r="BL1097" s="6"/>
      <c r="BM1097" s="6"/>
      <c r="BN1097" s="6"/>
      <c r="BO1097" s="6"/>
      <c r="BP1097" s="6"/>
      <c r="BQ1097" s="6"/>
      <c r="BR1097" s="6"/>
      <c r="BS1097" s="6"/>
      <c r="BT1097" s="6"/>
      <c r="BU1097" s="6"/>
      <c r="BV1097" s="6"/>
      <c r="BW1097" s="6"/>
      <c r="BX1097" s="6"/>
      <c r="BY1097" s="6"/>
      <c r="BZ1097" s="6"/>
      <c r="CA1097" s="6"/>
      <c r="CB1097" s="6"/>
      <c r="CC1097" s="6"/>
      <c r="CD1097" s="6"/>
      <c r="CE1097" s="6"/>
      <c r="CF1097" s="5"/>
    </row>
    <row r="1098" spans="3:84"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  <c r="BC1098" s="6"/>
      <c r="BD1098" s="6"/>
      <c r="BE1098" s="6"/>
      <c r="BF1098" s="6"/>
      <c r="BG1098" s="6"/>
      <c r="BH1098" s="6"/>
      <c r="BI1098" s="6"/>
      <c r="BJ1098" s="6"/>
      <c r="BK1098" s="6"/>
      <c r="BL1098" s="6"/>
      <c r="BM1098" s="6"/>
      <c r="BN1098" s="6"/>
      <c r="BO1098" s="6"/>
      <c r="BP1098" s="6"/>
      <c r="BQ1098" s="6"/>
      <c r="BR1098" s="6"/>
      <c r="BS1098" s="6"/>
      <c r="BT1098" s="6"/>
      <c r="BU1098" s="6"/>
      <c r="BV1098" s="6"/>
      <c r="BW1098" s="6"/>
      <c r="BX1098" s="6"/>
      <c r="BY1098" s="6"/>
      <c r="BZ1098" s="6"/>
      <c r="CA1098" s="6"/>
      <c r="CB1098" s="6"/>
      <c r="CC1098" s="6"/>
      <c r="CD1098" s="6"/>
      <c r="CE1098" s="6"/>
      <c r="CF1098" s="5"/>
    </row>
    <row r="1099" spans="3:84"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  <c r="BC1099" s="6"/>
      <c r="BD1099" s="6"/>
      <c r="BE1099" s="6"/>
      <c r="BF1099" s="6"/>
      <c r="BG1099" s="6"/>
      <c r="BH1099" s="6"/>
      <c r="BI1099" s="6"/>
      <c r="BJ1099" s="6"/>
      <c r="BK1099" s="6"/>
      <c r="BL1099" s="6"/>
      <c r="BM1099" s="6"/>
      <c r="BN1099" s="6"/>
      <c r="BO1099" s="6"/>
      <c r="BP1099" s="6"/>
      <c r="BQ1099" s="6"/>
      <c r="BR1099" s="6"/>
      <c r="BS1099" s="6"/>
      <c r="BT1099" s="6"/>
      <c r="BU1099" s="6"/>
      <c r="BV1099" s="6"/>
      <c r="BW1099" s="6"/>
      <c r="BX1099" s="6"/>
      <c r="BY1099" s="6"/>
      <c r="BZ1099" s="6"/>
      <c r="CA1099" s="6"/>
      <c r="CB1099" s="6"/>
      <c r="CC1099" s="6"/>
      <c r="CD1099" s="6"/>
      <c r="CE1099" s="6"/>
      <c r="CF1099" s="5"/>
    </row>
    <row r="1100" spans="3:84"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  <c r="BC1100" s="6"/>
      <c r="BD1100" s="6"/>
      <c r="BE1100" s="6"/>
      <c r="BF1100" s="6"/>
      <c r="BG1100" s="6"/>
      <c r="BH1100" s="6"/>
      <c r="BI1100" s="6"/>
      <c r="BJ1100" s="6"/>
      <c r="BK1100" s="6"/>
      <c r="BL1100" s="6"/>
      <c r="BM1100" s="6"/>
      <c r="BN1100" s="6"/>
      <c r="BO1100" s="6"/>
      <c r="BP1100" s="6"/>
      <c r="BQ1100" s="6"/>
      <c r="BR1100" s="6"/>
      <c r="BS1100" s="6"/>
      <c r="BT1100" s="6"/>
      <c r="BU1100" s="6"/>
      <c r="BV1100" s="6"/>
      <c r="BW1100" s="6"/>
      <c r="BX1100" s="6"/>
      <c r="BY1100" s="6"/>
      <c r="BZ1100" s="6"/>
      <c r="CA1100" s="6"/>
      <c r="CB1100" s="6"/>
      <c r="CC1100" s="6"/>
      <c r="CD1100" s="6"/>
      <c r="CE1100" s="6"/>
      <c r="CF1100" s="5"/>
    </row>
    <row r="1101" spans="3:84"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  <c r="BC1101" s="6"/>
      <c r="BD1101" s="6"/>
      <c r="BE1101" s="6"/>
      <c r="BF1101" s="6"/>
      <c r="BG1101" s="6"/>
      <c r="BH1101" s="6"/>
      <c r="BI1101" s="6"/>
      <c r="BJ1101" s="6"/>
      <c r="BK1101" s="6"/>
      <c r="BL1101" s="6"/>
      <c r="BM1101" s="6"/>
      <c r="BN1101" s="6"/>
      <c r="BO1101" s="6"/>
      <c r="BP1101" s="6"/>
      <c r="BQ1101" s="6"/>
      <c r="BR1101" s="6"/>
      <c r="BS1101" s="6"/>
      <c r="BT1101" s="6"/>
      <c r="BU1101" s="6"/>
      <c r="BV1101" s="6"/>
      <c r="BW1101" s="6"/>
      <c r="BX1101" s="6"/>
      <c r="BY1101" s="6"/>
      <c r="BZ1101" s="6"/>
      <c r="CA1101" s="6"/>
      <c r="CB1101" s="6"/>
      <c r="CC1101" s="6"/>
      <c r="CD1101" s="6"/>
      <c r="CE1101" s="6"/>
      <c r="CF1101" s="5"/>
    </row>
    <row r="1102" spans="3:84"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  <c r="BC1102" s="6"/>
      <c r="BD1102" s="6"/>
      <c r="BE1102" s="6"/>
      <c r="BF1102" s="6"/>
      <c r="BG1102" s="6"/>
      <c r="BH1102" s="6"/>
      <c r="BI1102" s="6"/>
      <c r="BJ1102" s="6"/>
      <c r="BK1102" s="6"/>
      <c r="BL1102" s="6"/>
      <c r="BM1102" s="6"/>
      <c r="BN1102" s="6"/>
      <c r="BO1102" s="6"/>
      <c r="BP1102" s="6"/>
      <c r="BQ1102" s="6"/>
      <c r="BR1102" s="6"/>
      <c r="BS1102" s="6"/>
      <c r="BT1102" s="6"/>
      <c r="BU1102" s="6"/>
      <c r="BV1102" s="6"/>
      <c r="BW1102" s="6"/>
      <c r="BX1102" s="6"/>
      <c r="BY1102" s="6"/>
      <c r="BZ1102" s="6"/>
      <c r="CA1102" s="6"/>
      <c r="CB1102" s="6"/>
      <c r="CC1102" s="6"/>
      <c r="CD1102" s="6"/>
      <c r="CE1102" s="6"/>
      <c r="CF1102" s="5"/>
    </row>
    <row r="1103" spans="3:84"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  <c r="BC1103" s="6"/>
      <c r="BD1103" s="6"/>
      <c r="BE1103" s="6"/>
      <c r="BF1103" s="6"/>
      <c r="BG1103" s="6"/>
      <c r="BH1103" s="6"/>
      <c r="BI1103" s="6"/>
      <c r="BJ1103" s="6"/>
      <c r="BK1103" s="6"/>
      <c r="BL1103" s="6"/>
      <c r="BM1103" s="6"/>
      <c r="BN1103" s="6"/>
      <c r="BO1103" s="6"/>
      <c r="BP1103" s="6"/>
      <c r="BQ1103" s="6"/>
      <c r="BR1103" s="6"/>
      <c r="BS1103" s="6"/>
      <c r="BT1103" s="6"/>
      <c r="BU1103" s="6"/>
      <c r="BV1103" s="6"/>
      <c r="BW1103" s="6"/>
      <c r="BX1103" s="6"/>
      <c r="BY1103" s="6"/>
      <c r="BZ1103" s="6"/>
      <c r="CA1103" s="6"/>
      <c r="CB1103" s="6"/>
      <c r="CC1103" s="6"/>
      <c r="CD1103" s="6"/>
      <c r="CE1103" s="6"/>
      <c r="CF1103" s="5"/>
    </row>
    <row r="1104" spans="3:84"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  <c r="BC1104" s="6"/>
      <c r="BD1104" s="6"/>
      <c r="BE1104" s="6"/>
      <c r="BF1104" s="6"/>
      <c r="BG1104" s="6"/>
      <c r="BH1104" s="6"/>
      <c r="BI1104" s="6"/>
      <c r="BJ1104" s="6"/>
      <c r="BK1104" s="6"/>
      <c r="BL1104" s="6"/>
      <c r="BM1104" s="6"/>
      <c r="BN1104" s="6"/>
      <c r="BO1104" s="6"/>
      <c r="BP1104" s="6"/>
      <c r="BQ1104" s="6"/>
      <c r="BR1104" s="6"/>
      <c r="BS1104" s="6"/>
      <c r="BT1104" s="6"/>
      <c r="BU1104" s="6"/>
      <c r="BV1104" s="6"/>
      <c r="BW1104" s="6"/>
      <c r="BX1104" s="6"/>
      <c r="BY1104" s="6"/>
      <c r="BZ1104" s="6"/>
      <c r="CA1104" s="6"/>
      <c r="CB1104" s="6"/>
      <c r="CC1104" s="6"/>
      <c r="CD1104" s="6"/>
      <c r="CE1104" s="6"/>
      <c r="CF1104" s="5"/>
    </row>
    <row r="1105" spans="3:84"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  <c r="BC1105" s="6"/>
      <c r="BD1105" s="6"/>
      <c r="BE1105" s="6"/>
      <c r="BF1105" s="6"/>
      <c r="BG1105" s="6"/>
      <c r="BH1105" s="6"/>
      <c r="BI1105" s="6"/>
      <c r="BJ1105" s="6"/>
      <c r="BK1105" s="6"/>
      <c r="BL1105" s="6"/>
      <c r="BM1105" s="6"/>
      <c r="BN1105" s="6"/>
      <c r="BO1105" s="6"/>
      <c r="BP1105" s="6"/>
      <c r="BQ1105" s="6"/>
      <c r="BR1105" s="6"/>
      <c r="BS1105" s="6"/>
      <c r="BT1105" s="6"/>
      <c r="BU1105" s="6"/>
      <c r="BV1105" s="6"/>
      <c r="BW1105" s="6"/>
      <c r="BX1105" s="6"/>
      <c r="BY1105" s="6"/>
      <c r="BZ1105" s="6"/>
      <c r="CA1105" s="6"/>
      <c r="CB1105" s="6"/>
      <c r="CC1105" s="6"/>
      <c r="CD1105" s="6"/>
      <c r="CE1105" s="6"/>
      <c r="CF1105" s="5"/>
    </row>
    <row r="1106" spans="3:84"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  <c r="BC1106" s="6"/>
      <c r="BD1106" s="6"/>
      <c r="BE1106" s="6"/>
      <c r="BF1106" s="6"/>
      <c r="BG1106" s="6"/>
      <c r="BH1106" s="6"/>
      <c r="BI1106" s="6"/>
      <c r="BJ1106" s="6"/>
      <c r="BK1106" s="6"/>
      <c r="BL1106" s="6"/>
      <c r="BM1106" s="6"/>
      <c r="BN1106" s="6"/>
      <c r="BO1106" s="6"/>
      <c r="BP1106" s="6"/>
      <c r="BQ1106" s="6"/>
      <c r="BR1106" s="6"/>
      <c r="BS1106" s="6"/>
      <c r="BT1106" s="6"/>
      <c r="BU1106" s="6"/>
      <c r="BV1106" s="6"/>
      <c r="BW1106" s="6"/>
      <c r="BX1106" s="6"/>
      <c r="BY1106" s="6"/>
      <c r="BZ1106" s="6"/>
      <c r="CA1106" s="6"/>
      <c r="CB1106" s="6"/>
      <c r="CC1106" s="6"/>
      <c r="CD1106" s="6"/>
      <c r="CE1106" s="6"/>
      <c r="CF1106" s="5"/>
    </row>
    <row r="1107" spans="3:84"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  <c r="BC1107" s="6"/>
      <c r="BD1107" s="6"/>
      <c r="BE1107" s="6"/>
      <c r="BF1107" s="6"/>
      <c r="BG1107" s="6"/>
      <c r="BH1107" s="6"/>
      <c r="BI1107" s="6"/>
      <c r="BJ1107" s="6"/>
      <c r="BK1107" s="6"/>
      <c r="BL1107" s="6"/>
      <c r="BM1107" s="6"/>
      <c r="BN1107" s="6"/>
      <c r="BO1107" s="6"/>
      <c r="BP1107" s="6"/>
      <c r="BQ1107" s="6"/>
      <c r="BR1107" s="6"/>
      <c r="BS1107" s="6"/>
      <c r="BT1107" s="6"/>
      <c r="BU1107" s="6"/>
      <c r="BV1107" s="6"/>
      <c r="BW1107" s="6"/>
      <c r="BX1107" s="6"/>
      <c r="BY1107" s="6"/>
      <c r="BZ1107" s="6"/>
      <c r="CA1107" s="6"/>
      <c r="CB1107" s="6"/>
      <c r="CC1107" s="6"/>
      <c r="CD1107" s="6"/>
      <c r="CE1107" s="6"/>
      <c r="CF1107" s="5"/>
    </row>
    <row r="1108" spans="3:84"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  <c r="BC1108" s="6"/>
      <c r="BD1108" s="6"/>
      <c r="BE1108" s="6"/>
      <c r="BF1108" s="6"/>
      <c r="BG1108" s="6"/>
      <c r="BH1108" s="6"/>
      <c r="BI1108" s="6"/>
      <c r="BJ1108" s="6"/>
      <c r="BK1108" s="6"/>
      <c r="BL1108" s="6"/>
      <c r="BM1108" s="6"/>
      <c r="BN1108" s="6"/>
      <c r="BO1108" s="6"/>
      <c r="BP1108" s="6"/>
      <c r="BQ1108" s="6"/>
      <c r="BR1108" s="6"/>
      <c r="BS1108" s="6"/>
      <c r="BT1108" s="6"/>
      <c r="BU1108" s="6"/>
      <c r="BV1108" s="6"/>
      <c r="BW1108" s="6"/>
      <c r="BX1108" s="6"/>
      <c r="BY1108" s="6"/>
      <c r="BZ1108" s="6"/>
      <c r="CA1108" s="6"/>
      <c r="CB1108" s="6"/>
      <c r="CC1108" s="6"/>
      <c r="CD1108" s="6"/>
      <c r="CE1108" s="6"/>
      <c r="CF1108" s="5"/>
    </row>
    <row r="1109" spans="3:84"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  <c r="BC1109" s="6"/>
      <c r="BD1109" s="6"/>
      <c r="BE1109" s="6"/>
      <c r="BF1109" s="6"/>
      <c r="BG1109" s="6"/>
      <c r="BH1109" s="6"/>
      <c r="BI1109" s="6"/>
      <c r="BJ1109" s="6"/>
      <c r="BK1109" s="6"/>
      <c r="BL1109" s="6"/>
      <c r="BM1109" s="6"/>
      <c r="BN1109" s="6"/>
      <c r="BO1109" s="6"/>
      <c r="BP1109" s="6"/>
      <c r="BQ1109" s="6"/>
      <c r="BR1109" s="6"/>
      <c r="BS1109" s="6"/>
      <c r="BT1109" s="6"/>
      <c r="BU1109" s="6"/>
      <c r="BV1109" s="6"/>
      <c r="BW1109" s="6"/>
      <c r="BX1109" s="6"/>
      <c r="BY1109" s="6"/>
      <c r="BZ1109" s="6"/>
      <c r="CA1109" s="6"/>
      <c r="CB1109" s="6"/>
      <c r="CC1109" s="6"/>
      <c r="CD1109" s="6"/>
      <c r="CE1109" s="6"/>
      <c r="CF1109" s="5"/>
    </row>
    <row r="1110" spans="3:84"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  <c r="BC1110" s="6"/>
      <c r="BD1110" s="6"/>
      <c r="BE1110" s="6"/>
      <c r="BF1110" s="6"/>
      <c r="BG1110" s="6"/>
      <c r="BH1110" s="6"/>
      <c r="BI1110" s="6"/>
      <c r="BJ1110" s="6"/>
      <c r="BK1110" s="6"/>
      <c r="BL1110" s="6"/>
      <c r="BM1110" s="6"/>
      <c r="BN1110" s="6"/>
      <c r="BO1110" s="6"/>
      <c r="BP1110" s="6"/>
      <c r="BQ1110" s="6"/>
      <c r="BR1110" s="6"/>
      <c r="BS1110" s="6"/>
      <c r="BT1110" s="6"/>
      <c r="BU1110" s="6"/>
      <c r="BV1110" s="6"/>
      <c r="BW1110" s="6"/>
      <c r="BX1110" s="6"/>
      <c r="BY1110" s="6"/>
      <c r="BZ1110" s="6"/>
      <c r="CA1110" s="6"/>
      <c r="CB1110" s="6"/>
      <c r="CC1110" s="6"/>
      <c r="CD1110" s="6"/>
      <c r="CE1110" s="6"/>
      <c r="CF1110" s="5"/>
    </row>
    <row r="1111" spans="3:84"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  <c r="BC1111" s="6"/>
      <c r="BD1111" s="6"/>
      <c r="BE1111" s="6"/>
      <c r="BF1111" s="6"/>
      <c r="BG1111" s="6"/>
      <c r="BH1111" s="6"/>
      <c r="BI1111" s="6"/>
      <c r="BJ1111" s="6"/>
      <c r="BK1111" s="6"/>
      <c r="BL1111" s="6"/>
      <c r="BM1111" s="6"/>
      <c r="BN1111" s="6"/>
      <c r="BO1111" s="6"/>
      <c r="BP1111" s="6"/>
      <c r="BQ1111" s="6"/>
      <c r="BR1111" s="6"/>
      <c r="BS1111" s="6"/>
      <c r="BT1111" s="6"/>
      <c r="BU1111" s="6"/>
      <c r="BV1111" s="6"/>
      <c r="BW1111" s="6"/>
      <c r="BX1111" s="6"/>
      <c r="BY1111" s="6"/>
      <c r="BZ1111" s="6"/>
      <c r="CA1111" s="6"/>
      <c r="CB1111" s="6"/>
      <c r="CC1111" s="6"/>
      <c r="CD1111" s="6"/>
      <c r="CE1111" s="6"/>
      <c r="CF1111" s="5"/>
    </row>
    <row r="1112" spans="3:84"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  <c r="BC1112" s="6"/>
      <c r="BD1112" s="6"/>
      <c r="BE1112" s="6"/>
      <c r="BF1112" s="6"/>
      <c r="BG1112" s="6"/>
      <c r="BH1112" s="6"/>
      <c r="BI1112" s="6"/>
      <c r="BJ1112" s="6"/>
      <c r="BK1112" s="6"/>
      <c r="BL1112" s="6"/>
      <c r="BM1112" s="6"/>
      <c r="BN1112" s="6"/>
      <c r="BO1112" s="6"/>
      <c r="BP1112" s="6"/>
      <c r="BQ1112" s="6"/>
      <c r="BR1112" s="6"/>
      <c r="BS1112" s="6"/>
      <c r="BT1112" s="6"/>
      <c r="BU1112" s="6"/>
      <c r="BV1112" s="6"/>
      <c r="BW1112" s="6"/>
      <c r="BX1112" s="6"/>
      <c r="BY1112" s="6"/>
      <c r="BZ1112" s="6"/>
      <c r="CA1112" s="6"/>
      <c r="CB1112" s="6"/>
      <c r="CC1112" s="6"/>
      <c r="CD1112" s="6"/>
      <c r="CE1112" s="6"/>
      <c r="CF1112" s="5"/>
    </row>
    <row r="1113" spans="3:84"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  <c r="BC1113" s="6"/>
      <c r="BD1113" s="6"/>
      <c r="BE1113" s="6"/>
      <c r="BF1113" s="6"/>
      <c r="BG1113" s="6"/>
      <c r="BH1113" s="6"/>
      <c r="BI1113" s="6"/>
      <c r="BJ1113" s="6"/>
      <c r="BK1113" s="6"/>
      <c r="BL1113" s="6"/>
      <c r="BM1113" s="6"/>
      <c r="BN1113" s="6"/>
      <c r="BO1113" s="6"/>
      <c r="BP1113" s="6"/>
      <c r="BQ1113" s="6"/>
      <c r="BR1113" s="6"/>
      <c r="BS1113" s="6"/>
      <c r="BT1113" s="6"/>
      <c r="BU1113" s="6"/>
      <c r="BV1113" s="6"/>
      <c r="BW1113" s="6"/>
      <c r="BX1113" s="6"/>
      <c r="BY1113" s="6"/>
      <c r="BZ1113" s="6"/>
      <c r="CA1113" s="6"/>
      <c r="CB1113" s="6"/>
      <c r="CC1113" s="6"/>
      <c r="CD1113" s="6"/>
      <c r="CE1113" s="6"/>
      <c r="CF1113" s="5"/>
    </row>
    <row r="1114" spans="3:84"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  <c r="BC1114" s="6"/>
      <c r="BD1114" s="6"/>
      <c r="BE1114" s="6"/>
      <c r="BF1114" s="6"/>
      <c r="BG1114" s="6"/>
      <c r="BH1114" s="6"/>
      <c r="BI1114" s="6"/>
      <c r="BJ1114" s="6"/>
      <c r="BK1114" s="6"/>
      <c r="BL1114" s="6"/>
      <c r="BM1114" s="6"/>
      <c r="BN1114" s="6"/>
      <c r="BO1114" s="6"/>
      <c r="BP1114" s="6"/>
      <c r="BQ1114" s="6"/>
      <c r="BR1114" s="6"/>
      <c r="BS1114" s="6"/>
      <c r="BT1114" s="6"/>
      <c r="BU1114" s="6"/>
      <c r="BV1114" s="6"/>
      <c r="BW1114" s="6"/>
      <c r="BX1114" s="6"/>
      <c r="BY1114" s="6"/>
      <c r="BZ1114" s="6"/>
      <c r="CA1114" s="6"/>
      <c r="CB1114" s="6"/>
      <c r="CC1114" s="6"/>
      <c r="CD1114" s="6"/>
      <c r="CE1114" s="6"/>
      <c r="CF1114" s="5"/>
    </row>
    <row r="1115" spans="3:84"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  <c r="BC1115" s="6"/>
      <c r="BD1115" s="6"/>
      <c r="BE1115" s="6"/>
      <c r="BF1115" s="6"/>
      <c r="BG1115" s="6"/>
      <c r="BH1115" s="6"/>
      <c r="BI1115" s="6"/>
      <c r="BJ1115" s="6"/>
      <c r="BK1115" s="6"/>
      <c r="BL1115" s="6"/>
      <c r="BM1115" s="6"/>
      <c r="BN1115" s="6"/>
      <c r="BO1115" s="6"/>
      <c r="BP1115" s="6"/>
      <c r="BQ1115" s="6"/>
      <c r="BR1115" s="6"/>
      <c r="BS1115" s="6"/>
      <c r="BT1115" s="6"/>
      <c r="BU1115" s="6"/>
      <c r="BV1115" s="6"/>
      <c r="BW1115" s="6"/>
      <c r="BX1115" s="6"/>
      <c r="BY1115" s="6"/>
      <c r="BZ1115" s="6"/>
      <c r="CA1115" s="6"/>
      <c r="CB1115" s="6"/>
      <c r="CC1115" s="6"/>
      <c r="CD1115" s="6"/>
      <c r="CE1115" s="6"/>
      <c r="CF1115" s="5"/>
    </row>
    <row r="1116" spans="3:84"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  <c r="BC1116" s="6"/>
      <c r="BD1116" s="6"/>
      <c r="BE1116" s="6"/>
      <c r="BF1116" s="6"/>
      <c r="BG1116" s="6"/>
      <c r="BH1116" s="6"/>
      <c r="BI1116" s="6"/>
      <c r="BJ1116" s="6"/>
      <c r="BK1116" s="6"/>
      <c r="BL1116" s="6"/>
      <c r="BM1116" s="6"/>
      <c r="BN1116" s="6"/>
      <c r="BO1116" s="6"/>
      <c r="BP1116" s="6"/>
      <c r="BQ1116" s="6"/>
      <c r="BR1116" s="6"/>
      <c r="BS1116" s="6"/>
      <c r="BT1116" s="6"/>
      <c r="BU1116" s="6"/>
      <c r="BV1116" s="6"/>
      <c r="BW1116" s="6"/>
      <c r="BX1116" s="6"/>
      <c r="BY1116" s="6"/>
      <c r="BZ1116" s="6"/>
      <c r="CA1116" s="6"/>
      <c r="CB1116" s="6"/>
      <c r="CC1116" s="6"/>
      <c r="CD1116" s="6"/>
      <c r="CE1116" s="6"/>
      <c r="CF1116" s="5"/>
    </row>
    <row r="1117" spans="3:84"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  <c r="BC1117" s="6"/>
      <c r="BD1117" s="6"/>
      <c r="BE1117" s="6"/>
      <c r="BF1117" s="6"/>
      <c r="BG1117" s="6"/>
      <c r="BH1117" s="6"/>
      <c r="BI1117" s="6"/>
      <c r="BJ1117" s="6"/>
      <c r="BK1117" s="6"/>
      <c r="BL1117" s="6"/>
      <c r="BM1117" s="6"/>
      <c r="BN1117" s="6"/>
      <c r="BO1117" s="6"/>
      <c r="BP1117" s="6"/>
      <c r="BQ1117" s="6"/>
      <c r="BR1117" s="6"/>
      <c r="BS1117" s="6"/>
      <c r="BT1117" s="6"/>
      <c r="BU1117" s="6"/>
      <c r="BV1117" s="6"/>
      <c r="BW1117" s="6"/>
      <c r="BX1117" s="6"/>
      <c r="BY1117" s="6"/>
      <c r="BZ1117" s="6"/>
      <c r="CA1117" s="6"/>
      <c r="CB1117" s="6"/>
      <c r="CC1117" s="6"/>
      <c r="CD1117" s="6"/>
      <c r="CE1117" s="6"/>
      <c r="CF1117" s="5"/>
    </row>
    <row r="1118" spans="3:84"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  <c r="BC1118" s="6"/>
      <c r="BD1118" s="6"/>
      <c r="BE1118" s="6"/>
      <c r="BF1118" s="6"/>
      <c r="BG1118" s="6"/>
      <c r="BH1118" s="6"/>
      <c r="BI1118" s="6"/>
      <c r="BJ1118" s="6"/>
      <c r="BK1118" s="6"/>
      <c r="BL1118" s="6"/>
      <c r="BM1118" s="6"/>
      <c r="BN1118" s="6"/>
      <c r="BO1118" s="6"/>
      <c r="BP1118" s="6"/>
      <c r="BQ1118" s="6"/>
      <c r="BR1118" s="6"/>
      <c r="BS1118" s="6"/>
      <c r="BT1118" s="6"/>
      <c r="BU1118" s="6"/>
      <c r="BV1118" s="6"/>
      <c r="BW1118" s="6"/>
      <c r="BX1118" s="6"/>
      <c r="BY1118" s="6"/>
      <c r="BZ1118" s="6"/>
      <c r="CA1118" s="6"/>
      <c r="CB1118" s="6"/>
      <c r="CC1118" s="6"/>
      <c r="CD1118" s="6"/>
      <c r="CE1118" s="6"/>
      <c r="CF1118" s="5"/>
    </row>
    <row r="1119" spans="3:84"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  <c r="BC1119" s="6"/>
      <c r="BD1119" s="6"/>
      <c r="BE1119" s="6"/>
      <c r="BF1119" s="6"/>
      <c r="BG1119" s="6"/>
      <c r="BH1119" s="6"/>
      <c r="BI1119" s="6"/>
      <c r="BJ1119" s="6"/>
      <c r="BK1119" s="6"/>
      <c r="BL1119" s="6"/>
      <c r="BM1119" s="6"/>
      <c r="BN1119" s="6"/>
      <c r="BO1119" s="6"/>
      <c r="BP1119" s="6"/>
      <c r="BQ1119" s="6"/>
      <c r="BR1119" s="6"/>
      <c r="BS1119" s="6"/>
      <c r="BT1119" s="6"/>
      <c r="BU1119" s="6"/>
      <c r="BV1119" s="6"/>
      <c r="BW1119" s="6"/>
      <c r="BX1119" s="6"/>
      <c r="BY1119" s="6"/>
      <c r="BZ1119" s="6"/>
      <c r="CA1119" s="6"/>
      <c r="CB1119" s="6"/>
      <c r="CC1119" s="6"/>
      <c r="CD1119" s="6"/>
      <c r="CE1119" s="6"/>
      <c r="CF1119" s="5"/>
    </row>
    <row r="1120" spans="3:84"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  <c r="BC1120" s="6"/>
      <c r="BD1120" s="6"/>
      <c r="BE1120" s="6"/>
      <c r="BF1120" s="6"/>
      <c r="BG1120" s="6"/>
      <c r="BH1120" s="6"/>
      <c r="BI1120" s="6"/>
      <c r="BJ1120" s="6"/>
      <c r="BK1120" s="6"/>
      <c r="BL1120" s="6"/>
      <c r="BM1120" s="6"/>
      <c r="BN1120" s="6"/>
      <c r="BO1120" s="6"/>
      <c r="BP1120" s="6"/>
      <c r="BQ1120" s="6"/>
      <c r="BR1120" s="6"/>
      <c r="BS1120" s="6"/>
      <c r="BT1120" s="6"/>
      <c r="BU1120" s="6"/>
      <c r="BV1120" s="6"/>
      <c r="BW1120" s="6"/>
      <c r="BX1120" s="6"/>
      <c r="BY1120" s="6"/>
      <c r="BZ1120" s="6"/>
      <c r="CA1120" s="6"/>
      <c r="CB1120" s="6"/>
      <c r="CC1120" s="6"/>
      <c r="CD1120" s="6"/>
      <c r="CE1120" s="6"/>
      <c r="CF1120" s="5"/>
    </row>
    <row r="1121" spans="3:84"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  <c r="BC1121" s="6"/>
      <c r="BD1121" s="6"/>
      <c r="BE1121" s="6"/>
      <c r="BF1121" s="6"/>
      <c r="BG1121" s="6"/>
      <c r="BH1121" s="6"/>
      <c r="BI1121" s="6"/>
      <c r="BJ1121" s="6"/>
      <c r="BK1121" s="6"/>
      <c r="BL1121" s="6"/>
      <c r="BM1121" s="6"/>
      <c r="BN1121" s="6"/>
      <c r="BO1121" s="6"/>
      <c r="BP1121" s="6"/>
      <c r="BQ1121" s="6"/>
      <c r="BR1121" s="6"/>
      <c r="BS1121" s="6"/>
      <c r="BT1121" s="6"/>
      <c r="BU1121" s="6"/>
      <c r="BV1121" s="6"/>
      <c r="BW1121" s="6"/>
      <c r="BX1121" s="6"/>
      <c r="BY1121" s="6"/>
      <c r="BZ1121" s="6"/>
      <c r="CA1121" s="6"/>
      <c r="CB1121" s="6"/>
      <c r="CC1121" s="6"/>
      <c r="CD1121" s="6"/>
      <c r="CE1121" s="6"/>
      <c r="CF1121" s="5"/>
    </row>
    <row r="1122" spans="3:84"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  <c r="BC1122" s="6"/>
      <c r="BD1122" s="6"/>
      <c r="BE1122" s="6"/>
      <c r="BF1122" s="6"/>
      <c r="BG1122" s="6"/>
      <c r="BH1122" s="6"/>
      <c r="BI1122" s="6"/>
      <c r="BJ1122" s="6"/>
      <c r="BK1122" s="6"/>
      <c r="BL1122" s="6"/>
      <c r="BM1122" s="6"/>
      <c r="BN1122" s="6"/>
      <c r="BO1122" s="6"/>
      <c r="BP1122" s="6"/>
      <c r="BQ1122" s="6"/>
      <c r="BR1122" s="6"/>
      <c r="BS1122" s="6"/>
      <c r="BT1122" s="6"/>
      <c r="BU1122" s="6"/>
      <c r="BV1122" s="6"/>
      <c r="BW1122" s="6"/>
      <c r="BX1122" s="6"/>
      <c r="BY1122" s="6"/>
      <c r="BZ1122" s="6"/>
      <c r="CA1122" s="6"/>
      <c r="CB1122" s="6"/>
      <c r="CC1122" s="6"/>
      <c r="CD1122" s="6"/>
      <c r="CE1122" s="6"/>
      <c r="CF1122" s="5"/>
    </row>
    <row r="1123" spans="3:84"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  <c r="BC1123" s="6"/>
      <c r="BD1123" s="6"/>
      <c r="BE1123" s="6"/>
      <c r="BF1123" s="6"/>
      <c r="BG1123" s="6"/>
      <c r="BH1123" s="6"/>
      <c r="BI1123" s="6"/>
      <c r="BJ1123" s="6"/>
      <c r="BK1123" s="6"/>
      <c r="BL1123" s="6"/>
      <c r="BM1123" s="6"/>
      <c r="BN1123" s="6"/>
      <c r="BO1123" s="6"/>
      <c r="BP1123" s="6"/>
      <c r="BQ1123" s="6"/>
      <c r="BR1123" s="6"/>
      <c r="BS1123" s="6"/>
      <c r="BT1123" s="6"/>
      <c r="BU1123" s="6"/>
      <c r="BV1123" s="6"/>
      <c r="BW1123" s="6"/>
      <c r="BX1123" s="6"/>
      <c r="BY1123" s="6"/>
      <c r="BZ1123" s="6"/>
      <c r="CA1123" s="6"/>
      <c r="CB1123" s="6"/>
      <c r="CC1123" s="6"/>
      <c r="CD1123" s="6"/>
      <c r="CE1123" s="6"/>
      <c r="CF1123" s="5"/>
    </row>
    <row r="1124" spans="3:84"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  <c r="BC1124" s="6"/>
      <c r="BD1124" s="6"/>
      <c r="BE1124" s="6"/>
      <c r="BF1124" s="6"/>
      <c r="BG1124" s="6"/>
      <c r="BH1124" s="6"/>
      <c r="BI1124" s="6"/>
      <c r="BJ1124" s="6"/>
      <c r="BK1124" s="6"/>
      <c r="BL1124" s="6"/>
      <c r="BM1124" s="6"/>
      <c r="BN1124" s="6"/>
      <c r="BO1124" s="6"/>
      <c r="BP1124" s="6"/>
      <c r="BQ1124" s="6"/>
      <c r="BR1124" s="6"/>
      <c r="BS1124" s="6"/>
      <c r="BT1124" s="6"/>
      <c r="BU1124" s="6"/>
      <c r="BV1124" s="6"/>
      <c r="BW1124" s="6"/>
      <c r="BX1124" s="6"/>
      <c r="BY1124" s="6"/>
      <c r="BZ1124" s="6"/>
      <c r="CA1124" s="6"/>
      <c r="CB1124" s="6"/>
      <c r="CC1124" s="6"/>
      <c r="CD1124" s="6"/>
      <c r="CE1124" s="6"/>
      <c r="CF1124" s="5"/>
    </row>
    <row r="1125" spans="3:84"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  <c r="BC1125" s="6"/>
      <c r="BD1125" s="6"/>
      <c r="BE1125" s="6"/>
      <c r="BF1125" s="6"/>
      <c r="BG1125" s="6"/>
      <c r="BH1125" s="6"/>
      <c r="BI1125" s="6"/>
      <c r="BJ1125" s="6"/>
      <c r="BK1125" s="6"/>
      <c r="BL1125" s="6"/>
      <c r="BM1125" s="6"/>
      <c r="BN1125" s="6"/>
      <c r="BO1125" s="6"/>
      <c r="BP1125" s="6"/>
      <c r="BQ1125" s="6"/>
      <c r="BR1125" s="6"/>
      <c r="BS1125" s="6"/>
      <c r="BT1125" s="6"/>
      <c r="BU1125" s="6"/>
      <c r="BV1125" s="6"/>
      <c r="BW1125" s="6"/>
      <c r="BX1125" s="6"/>
      <c r="BY1125" s="6"/>
      <c r="BZ1125" s="6"/>
      <c r="CA1125" s="6"/>
      <c r="CB1125" s="6"/>
      <c r="CC1125" s="6"/>
      <c r="CD1125" s="6"/>
      <c r="CE1125" s="6"/>
      <c r="CF1125" s="5"/>
    </row>
    <row r="1126" spans="3:84"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  <c r="BC1126" s="6"/>
      <c r="BD1126" s="6"/>
      <c r="BE1126" s="6"/>
      <c r="BF1126" s="6"/>
      <c r="BG1126" s="6"/>
      <c r="BH1126" s="6"/>
      <c r="BI1126" s="6"/>
      <c r="BJ1126" s="6"/>
      <c r="BK1126" s="6"/>
      <c r="BL1126" s="6"/>
      <c r="BM1126" s="6"/>
      <c r="BN1126" s="6"/>
      <c r="BO1126" s="6"/>
      <c r="BP1126" s="6"/>
      <c r="BQ1126" s="6"/>
      <c r="BR1126" s="6"/>
      <c r="BS1126" s="6"/>
      <c r="BT1126" s="6"/>
      <c r="BU1126" s="6"/>
      <c r="BV1126" s="6"/>
      <c r="BW1126" s="6"/>
      <c r="BX1126" s="6"/>
      <c r="BY1126" s="6"/>
      <c r="BZ1126" s="6"/>
      <c r="CA1126" s="6"/>
      <c r="CB1126" s="6"/>
      <c r="CC1126" s="6"/>
      <c r="CD1126" s="6"/>
      <c r="CE1126" s="6"/>
      <c r="CF1126" s="5"/>
    </row>
    <row r="1127" spans="3:84"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  <c r="BC1127" s="6"/>
      <c r="BD1127" s="6"/>
      <c r="BE1127" s="6"/>
      <c r="BF1127" s="6"/>
      <c r="BG1127" s="6"/>
      <c r="BH1127" s="6"/>
      <c r="BI1127" s="6"/>
      <c r="BJ1127" s="6"/>
      <c r="BK1127" s="6"/>
      <c r="BL1127" s="6"/>
      <c r="BM1127" s="6"/>
      <c r="BN1127" s="6"/>
      <c r="BO1127" s="6"/>
      <c r="BP1127" s="6"/>
      <c r="BQ1127" s="6"/>
      <c r="BR1127" s="6"/>
      <c r="BS1127" s="6"/>
      <c r="BT1127" s="6"/>
      <c r="BU1127" s="6"/>
      <c r="BV1127" s="6"/>
      <c r="BW1127" s="6"/>
      <c r="BX1127" s="6"/>
      <c r="BY1127" s="6"/>
      <c r="BZ1127" s="6"/>
      <c r="CA1127" s="6"/>
      <c r="CB1127" s="6"/>
      <c r="CC1127" s="6"/>
      <c r="CD1127" s="6"/>
      <c r="CE1127" s="6"/>
      <c r="CF1127" s="5"/>
    </row>
    <row r="1128" spans="3:84"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  <c r="BC1128" s="6"/>
      <c r="BD1128" s="6"/>
      <c r="BE1128" s="6"/>
      <c r="BF1128" s="6"/>
      <c r="BG1128" s="6"/>
      <c r="BH1128" s="6"/>
      <c r="BI1128" s="6"/>
      <c r="BJ1128" s="6"/>
      <c r="BK1128" s="6"/>
      <c r="BL1128" s="6"/>
      <c r="BM1128" s="6"/>
      <c r="BN1128" s="6"/>
      <c r="BO1128" s="6"/>
      <c r="BP1128" s="6"/>
      <c r="BQ1128" s="6"/>
      <c r="BR1128" s="6"/>
      <c r="BS1128" s="6"/>
      <c r="BT1128" s="6"/>
      <c r="BU1128" s="6"/>
      <c r="BV1128" s="6"/>
      <c r="BW1128" s="6"/>
      <c r="BX1128" s="6"/>
      <c r="BY1128" s="6"/>
      <c r="BZ1128" s="6"/>
      <c r="CA1128" s="6"/>
      <c r="CB1128" s="6"/>
      <c r="CC1128" s="6"/>
      <c r="CD1128" s="6"/>
      <c r="CE1128" s="6"/>
      <c r="CF1128" s="5"/>
    </row>
    <row r="1129" spans="3:84"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  <c r="BC1129" s="6"/>
      <c r="BD1129" s="6"/>
      <c r="BE1129" s="6"/>
      <c r="BF1129" s="6"/>
      <c r="BG1129" s="6"/>
      <c r="BH1129" s="6"/>
      <c r="BI1129" s="6"/>
      <c r="BJ1129" s="6"/>
      <c r="BK1129" s="6"/>
      <c r="BL1129" s="6"/>
      <c r="BM1129" s="6"/>
      <c r="BN1129" s="6"/>
      <c r="BO1129" s="6"/>
      <c r="BP1129" s="6"/>
      <c r="BQ1129" s="6"/>
      <c r="BR1129" s="6"/>
      <c r="BS1129" s="6"/>
      <c r="BT1129" s="6"/>
      <c r="BU1129" s="6"/>
      <c r="BV1129" s="6"/>
      <c r="BW1129" s="6"/>
      <c r="BX1129" s="6"/>
      <c r="BY1129" s="6"/>
      <c r="BZ1129" s="6"/>
      <c r="CA1129" s="6"/>
      <c r="CB1129" s="6"/>
      <c r="CC1129" s="6"/>
      <c r="CD1129" s="6"/>
      <c r="CE1129" s="6"/>
      <c r="CF1129" s="5"/>
    </row>
    <row r="1130" spans="3:84"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  <c r="BC1130" s="6"/>
      <c r="BD1130" s="6"/>
      <c r="BE1130" s="6"/>
      <c r="BF1130" s="6"/>
      <c r="BG1130" s="6"/>
      <c r="BH1130" s="6"/>
      <c r="BI1130" s="6"/>
      <c r="BJ1130" s="6"/>
      <c r="BK1130" s="6"/>
      <c r="BL1130" s="6"/>
      <c r="BM1130" s="6"/>
      <c r="BN1130" s="6"/>
      <c r="BO1130" s="6"/>
      <c r="BP1130" s="6"/>
      <c r="BQ1130" s="6"/>
      <c r="BR1130" s="6"/>
      <c r="BS1130" s="6"/>
      <c r="BT1130" s="6"/>
      <c r="BU1130" s="6"/>
      <c r="BV1130" s="6"/>
      <c r="BW1130" s="6"/>
      <c r="BX1130" s="6"/>
      <c r="BY1130" s="6"/>
      <c r="BZ1130" s="6"/>
      <c r="CA1130" s="6"/>
      <c r="CB1130" s="6"/>
      <c r="CC1130" s="6"/>
      <c r="CD1130" s="6"/>
      <c r="CE1130" s="6"/>
      <c r="CF1130" s="5"/>
    </row>
    <row r="1131" spans="3:84"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  <c r="BC1131" s="6"/>
      <c r="BD1131" s="6"/>
      <c r="BE1131" s="6"/>
      <c r="BF1131" s="6"/>
      <c r="BG1131" s="6"/>
      <c r="BH1131" s="6"/>
      <c r="BI1131" s="6"/>
      <c r="BJ1131" s="6"/>
      <c r="BK1131" s="6"/>
      <c r="BL1131" s="6"/>
      <c r="BM1131" s="6"/>
      <c r="BN1131" s="6"/>
      <c r="BO1131" s="6"/>
      <c r="BP1131" s="6"/>
      <c r="BQ1131" s="6"/>
      <c r="BR1131" s="6"/>
      <c r="BS1131" s="6"/>
      <c r="BT1131" s="6"/>
      <c r="BU1131" s="6"/>
      <c r="BV1131" s="6"/>
      <c r="BW1131" s="6"/>
      <c r="BX1131" s="6"/>
      <c r="BY1131" s="6"/>
      <c r="BZ1131" s="6"/>
      <c r="CA1131" s="6"/>
      <c r="CB1131" s="6"/>
      <c r="CC1131" s="6"/>
      <c r="CD1131" s="6"/>
      <c r="CE1131" s="6"/>
      <c r="CF1131" s="5"/>
    </row>
    <row r="1132" spans="3:84"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  <c r="BC1132" s="6"/>
      <c r="BD1132" s="6"/>
      <c r="BE1132" s="6"/>
      <c r="BF1132" s="6"/>
      <c r="BG1132" s="6"/>
      <c r="BH1132" s="6"/>
      <c r="BI1132" s="6"/>
      <c r="BJ1132" s="6"/>
      <c r="BK1132" s="6"/>
      <c r="BL1132" s="6"/>
      <c r="BM1132" s="6"/>
      <c r="BN1132" s="6"/>
      <c r="BO1132" s="6"/>
      <c r="BP1132" s="6"/>
      <c r="BQ1132" s="6"/>
      <c r="BR1132" s="6"/>
      <c r="BS1132" s="6"/>
      <c r="BT1132" s="6"/>
      <c r="BU1132" s="6"/>
      <c r="BV1132" s="6"/>
      <c r="BW1132" s="6"/>
      <c r="BX1132" s="6"/>
      <c r="BY1132" s="6"/>
      <c r="BZ1132" s="6"/>
      <c r="CA1132" s="6"/>
      <c r="CB1132" s="6"/>
      <c r="CC1132" s="6"/>
      <c r="CD1132" s="6"/>
      <c r="CE1132" s="6"/>
      <c r="CF1132" s="5"/>
    </row>
    <row r="1133" spans="3:84"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  <c r="BC1133" s="6"/>
      <c r="BD1133" s="6"/>
      <c r="BE1133" s="6"/>
      <c r="BF1133" s="6"/>
      <c r="BG1133" s="6"/>
      <c r="BH1133" s="6"/>
      <c r="BI1133" s="6"/>
      <c r="BJ1133" s="6"/>
      <c r="BK1133" s="6"/>
      <c r="BL1133" s="6"/>
      <c r="BM1133" s="6"/>
      <c r="BN1133" s="6"/>
      <c r="BO1133" s="6"/>
      <c r="BP1133" s="6"/>
      <c r="BQ1133" s="6"/>
      <c r="BR1133" s="6"/>
      <c r="BS1133" s="6"/>
      <c r="BT1133" s="6"/>
      <c r="BU1133" s="6"/>
      <c r="BV1133" s="6"/>
      <c r="BW1133" s="6"/>
      <c r="BX1133" s="6"/>
      <c r="BY1133" s="6"/>
      <c r="BZ1133" s="6"/>
      <c r="CA1133" s="6"/>
      <c r="CB1133" s="6"/>
      <c r="CC1133" s="6"/>
      <c r="CD1133" s="6"/>
      <c r="CE1133" s="6"/>
      <c r="CF1133" s="5"/>
    </row>
    <row r="1134" spans="3:84"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  <c r="BC1134" s="6"/>
      <c r="BD1134" s="6"/>
      <c r="BE1134" s="6"/>
      <c r="BF1134" s="6"/>
      <c r="BG1134" s="6"/>
      <c r="BH1134" s="6"/>
      <c r="BI1134" s="6"/>
      <c r="BJ1134" s="6"/>
      <c r="BK1134" s="6"/>
      <c r="BL1134" s="6"/>
      <c r="BM1134" s="6"/>
      <c r="BN1134" s="6"/>
      <c r="BO1134" s="6"/>
      <c r="BP1134" s="6"/>
      <c r="BQ1134" s="6"/>
      <c r="BR1134" s="6"/>
      <c r="BS1134" s="6"/>
      <c r="BT1134" s="6"/>
      <c r="BU1134" s="6"/>
      <c r="BV1134" s="6"/>
      <c r="BW1134" s="6"/>
      <c r="BX1134" s="6"/>
      <c r="BY1134" s="6"/>
      <c r="BZ1134" s="6"/>
      <c r="CA1134" s="6"/>
      <c r="CB1134" s="6"/>
      <c r="CC1134" s="6"/>
      <c r="CD1134" s="6"/>
      <c r="CE1134" s="6"/>
      <c r="CF1134" s="5"/>
    </row>
    <row r="1135" spans="3:84"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  <c r="BC1135" s="6"/>
      <c r="BD1135" s="6"/>
      <c r="BE1135" s="6"/>
      <c r="BF1135" s="6"/>
      <c r="BG1135" s="6"/>
      <c r="BH1135" s="6"/>
      <c r="BI1135" s="6"/>
      <c r="BJ1135" s="6"/>
      <c r="BK1135" s="6"/>
      <c r="BL1135" s="6"/>
      <c r="BM1135" s="6"/>
      <c r="BN1135" s="6"/>
      <c r="BO1135" s="6"/>
      <c r="BP1135" s="6"/>
      <c r="BQ1135" s="6"/>
      <c r="BR1135" s="6"/>
      <c r="BS1135" s="6"/>
      <c r="BT1135" s="6"/>
      <c r="BU1135" s="6"/>
      <c r="BV1135" s="6"/>
      <c r="BW1135" s="6"/>
      <c r="BX1135" s="6"/>
      <c r="BY1135" s="6"/>
      <c r="BZ1135" s="6"/>
      <c r="CA1135" s="6"/>
      <c r="CB1135" s="6"/>
      <c r="CC1135" s="6"/>
      <c r="CD1135" s="6"/>
      <c r="CE1135" s="6"/>
      <c r="CF1135" s="5"/>
    </row>
    <row r="1136" spans="3:84"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  <c r="BC1136" s="6"/>
      <c r="BD1136" s="6"/>
      <c r="BE1136" s="6"/>
      <c r="BF1136" s="6"/>
      <c r="BG1136" s="6"/>
      <c r="BH1136" s="6"/>
      <c r="BI1136" s="6"/>
      <c r="BJ1136" s="6"/>
      <c r="BK1136" s="6"/>
      <c r="BL1136" s="6"/>
      <c r="BM1136" s="6"/>
      <c r="BN1136" s="6"/>
      <c r="BO1136" s="6"/>
      <c r="BP1136" s="6"/>
      <c r="BQ1136" s="6"/>
      <c r="BR1136" s="6"/>
      <c r="BS1136" s="6"/>
      <c r="BT1136" s="6"/>
      <c r="BU1136" s="6"/>
      <c r="BV1136" s="6"/>
      <c r="BW1136" s="6"/>
      <c r="BX1136" s="6"/>
      <c r="BY1136" s="6"/>
      <c r="BZ1136" s="6"/>
      <c r="CA1136" s="6"/>
      <c r="CB1136" s="6"/>
      <c r="CC1136" s="6"/>
      <c r="CD1136" s="6"/>
      <c r="CE1136" s="6"/>
      <c r="CF1136" s="5"/>
    </row>
    <row r="1137" spans="3:84"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  <c r="BC1137" s="6"/>
      <c r="BD1137" s="6"/>
      <c r="BE1137" s="6"/>
      <c r="BF1137" s="6"/>
      <c r="BG1137" s="6"/>
      <c r="BH1137" s="6"/>
      <c r="BI1137" s="6"/>
      <c r="BJ1137" s="6"/>
      <c r="BK1137" s="6"/>
      <c r="BL1137" s="6"/>
      <c r="BM1137" s="6"/>
      <c r="BN1137" s="6"/>
      <c r="BO1137" s="6"/>
      <c r="BP1137" s="6"/>
      <c r="BQ1137" s="6"/>
      <c r="BR1137" s="6"/>
      <c r="BS1137" s="6"/>
      <c r="BT1137" s="6"/>
      <c r="BU1137" s="6"/>
      <c r="BV1137" s="6"/>
      <c r="BW1137" s="6"/>
      <c r="BX1137" s="6"/>
      <c r="BY1137" s="6"/>
      <c r="BZ1137" s="6"/>
      <c r="CA1137" s="6"/>
      <c r="CB1137" s="6"/>
      <c r="CC1137" s="6"/>
      <c r="CD1137" s="6"/>
      <c r="CE1137" s="6"/>
      <c r="CF1137" s="5"/>
    </row>
    <row r="1138" spans="3:84"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  <c r="BC1138" s="6"/>
      <c r="BD1138" s="6"/>
      <c r="BE1138" s="6"/>
      <c r="BF1138" s="6"/>
      <c r="BG1138" s="6"/>
      <c r="BH1138" s="6"/>
      <c r="BI1138" s="6"/>
      <c r="BJ1138" s="6"/>
      <c r="BK1138" s="6"/>
      <c r="BL1138" s="6"/>
      <c r="BM1138" s="6"/>
      <c r="BN1138" s="6"/>
      <c r="BO1138" s="6"/>
      <c r="BP1138" s="6"/>
      <c r="BQ1138" s="6"/>
      <c r="BR1138" s="6"/>
      <c r="BS1138" s="6"/>
      <c r="BT1138" s="6"/>
      <c r="BU1138" s="6"/>
      <c r="BV1138" s="6"/>
      <c r="BW1138" s="6"/>
      <c r="BX1138" s="6"/>
      <c r="BY1138" s="6"/>
      <c r="BZ1138" s="6"/>
      <c r="CA1138" s="6"/>
      <c r="CB1138" s="6"/>
      <c r="CC1138" s="6"/>
      <c r="CD1138" s="6"/>
      <c r="CE1138" s="6"/>
      <c r="CF1138" s="5"/>
    </row>
    <row r="1139" spans="3:84"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  <c r="BC1139" s="6"/>
      <c r="BD1139" s="6"/>
      <c r="BE1139" s="6"/>
      <c r="BF1139" s="6"/>
      <c r="BG1139" s="6"/>
      <c r="BH1139" s="6"/>
      <c r="BI1139" s="6"/>
      <c r="BJ1139" s="6"/>
      <c r="BK1139" s="6"/>
      <c r="BL1139" s="6"/>
      <c r="BM1139" s="6"/>
      <c r="BN1139" s="6"/>
      <c r="BO1139" s="6"/>
      <c r="BP1139" s="6"/>
      <c r="BQ1139" s="6"/>
      <c r="BR1139" s="6"/>
      <c r="BS1139" s="6"/>
      <c r="BT1139" s="6"/>
      <c r="BU1139" s="6"/>
      <c r="BV1139" s="6"/>
      <c r="BW1139" s="6"/>
      <c r="BX1139" s="6"/>
      <c r="BY1139" s="6"/>
      <c r="BZ1139" s="6"/>
      <c r="CA1139" s="6"/>
      <c r="CB1139" s="6"/>
      <c r="CC1139" s="6"/>
      <c r="CD1139" s="6"/>
      <c r="CE1139" s="6"/>
      <c r="CF1139" s="5"/>
    </row>
    <row r="1140" spans="3:84"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  <c r="BC1140" s="6"/>
      <c r="BD1140" s="6"/>
      <c r="BE1140" s="6"/>
      <c r="BF1140" s="6"/>
      <c r="BG1140" s="6"/>
      <c r="BH1140" s="6"/>
      <c r="BI1140" s="6"/>
      <c r="BJ1140" s="6"/>
      <c r="BK1140" s="6"/>
      <c r="BL1140" s="6"/>
      <c r="BM1140" s="6"/>
      <c r="BN1140" s="6"/>
      <c r="BO1140" s="6"/>
      <c r="BP1140" s="6"/>
      <c r="BQ1140" s="6"/>
      <c r="BR1140" s="6"/>
      <c r="BS1140" s="6"/>
      <c r="BT1140" s="6"/>
      <c r="BU1140" s="6"/>
      <c r="BV1140" s="6"/>
      <c r="BW1140" s="6"/>
      <c r="BX1140" s="6"/>
      <c r="BY1140" s="6"/>
      <c r="BZ1140" s="6"/>
      <c r="CA1140" s="6"/>
      <c r="CB1140" s="6"/>
      <c r="CC1140" s="6"/>
      <c r="CD1140" s="6"/>
      <c r="CE1140" s="6"/>
      <c r="CF1140" s="5"/>
    </row>
    <row r="1141" spans="3:84"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  <c r="BC1141" s="6"/>
      <c r="BD1141" s="6"/>
      <c r="BE1141" s="6"/>
      <c r="BF1141" s="6"/>
      <c r="BG1141" s="6"/>
      <c r="BH1141" s="6"/>
      <c r="BI1141" s="6"/>
      <c r="BJ1141" s="6"/>
      <c r="BK1141" s="6"/>
      <c r="BL1141" s="6"/>
      <c r="BM1141" s="6"/>
      <c r="BN1141" s="6"/>
      <c r="BO1141" s="6"/>
      <c r="BP1141" s="6"/>
      <c r="BQ1141" s="6"/>
      <c r="BR1141" s="6"/>
      <c r="BS1141" s="6"/>
      <c r="BT1141" s="6"/>
      <c r="BU1141" s="6"/>
      <c r="BV1141" s="6"/>
      <c r="BW1141" s="6"/>
      <c r="BX1141" s="6"/>
      <c r="BY1141" s="6"/>
      <c r="BZ1141" s="6"/>
      <c r="CA1141" s="6"/>
      <c r="CB1141" s="6"/>
      <c r="CC1141" s="6"/>
      <c r="CD1141" s="6"/>
      <c r="CE1141" s="6"/>
      <c r="CF1141" s="5"/>
    </row>
    <row r="1142" spans="3:84"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  <c r="BC1142" s="6"/>
      <c r="BD1142" s="6"/>
      <c r="BE1142" s="6"/>
      <c r="BF1142" s="6"/>
      <c r="BG1142" s="6"/>
      <c r="BH1142" s="6"/>
      <c r="BI1142" s="6"/>
      <c r="BJ1142" s="6"/>
      <c r="BK1142" s="6"/>
      <c r="BL1142" s="6"/>
      <c r="BM1142" s="6"/>
      <c r="BN1142" s="6"/>
      <c r="BO1142" s="6"/>
      <c r="BP1142" s="6"/>
      <c r="BQ1142" s="6"/>
      <c r="BR1142" s="6"/>
      <c r="BS1142" s="6"/>
      <c r="BT1142" s="6"/>
      <c r="BU1142" s="6"/>
      <c r="BV1142" s="6"/>
      <c r="BW1142" s="6"/>
      <c r="BX1142" s="6"/>
      <c r="BY1142" s="6"/>
      <c r="BZ1142" s="6"/>
      <c r="CA1142" s="6"/>
      <c r="CB1142" s="6"/>
      <c r="CC1142" s="6"/>
      <c r="CD1142" s="6"/>
      <c r="CE1142" s="6"/>
      <c r="CF1142" s="5"/>
    </row>
    <row r="1143" spans="3:84"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  <c r="BC1143" s="6"/>
      <c r="BD1143" s="6"/>
      <c r="BE1143" s="6"/>
      <c r="BF1143" s="6"/>
      <c r="BG1143" s="6"/>
      <c r="BH1143" s="6"/>
      <c r="BI1143" s="6"/>
      <c r="BJ1143" s="6"/>
      <c r="BK1143" s="6"/>
      <c r="BL1143" s="6"/>
      <c r="BM1143" s="6"/>
      <c r="BN1143" s="6"/>
      <c r="BO1143" s="6"/>
      <c r="BP1143" s="6"/>
      <c r="BQ1143" s="6"/>
      <c r="BR1143" s="6"/>
      <c r="BS1143" s="6"/>
      <c r="BT1143" s="6"/>
      <c r="BU1143" s="6"/>
      <c r="BV1143" s="6"/>
      <c r="BW1143" s="6"/>
      <c r="BX1143" s="6"/>
      <c r="BY1143" s="6"/>
      <c r="BZ1143" s="6"/>
      <c r="CA1143" s="6"/>
      <c r="CB1143" s="6"/>
      <c r="CC1143" s="6"/>
      <c r="CD1143" s="6"/>
      <c r="CE1143" s="6"/>
      <c r="CF1143" s="5"/>
    </row>
    <row r="1144" spans="3:84"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  <c r="BC1144" s="6"/>
      <c r="BD1144" s="6"/>
      <c r="BE1144" s="6"/>
      <c r="BF1144" s="6"/>
      <c r="BG1144" s="6"/>
      <c r="BH1144" s="6"/>
      <c r="BI1144" s="6"/>
      <c r="BJ1144" s="6"/>
      <c r="BK1144" s="6"/>
      <c r="BL1144" s="6"/>
      <c r="BM1144" s="6"/>
      <c r="BN1144" s="6"/>
      <c r="BO1144" s="6"/>
      <c r="BP1144" s="6"/>
      <c r="BQ1144" s="6"/>
      <c r="BR1144" s="6"/>
      <c r="BS1144" s="6"/>
      <c r="BT1144" s="6"/>
      <c r="BU1144" s="6"/>
      <c r="BV1144" s="6"/>
      <c r="BW1144" s="6"/>
      <c r="BX1144" s="6"/>
      <c r="BY1144" s="6"/>
      <c r="BZ1144" s="6"/>
      <c r="CA1144" s="6"/>
      <c r="CB1144" s="6"/>
      <c r="CC1144" s="6"/>
      <c r="CD1144" s="6"/>
      <c r="CE1144" s="6"/>
      <c r="CF1144" s="5"/>
    </row>
    <row r="1145" spans="3:84"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  <c r="BC1145" s="6"/>
      <c r="BD1145" s="6"/>
      <c r="BE1145" s="6"/>
      <c r="BF1145" s="6"/>
      <c r="BG1145" s="6"/>
      <c r="BH1145" s="6"/>
      <c r="BI1145" s="6"/>
      <c r="BJ1145" s="6"/>
      <c r="BK1145" s="6"/>
      <c r="BL1145" s="6"/>
      <c r="BM1145" s="6"/>
      <c r="BN1145" s="6"/>
      <c r="BO1145" s="6"/>
      <c r="BP1145" s="6"/>
      <c r="BQ1145" s="6"/>
      <c r="BR1145" s="6"/>
      <c r="BS1145" s="6"/>
      <c r="BT1145" s="6"/>
      <c r="BU1145" s="6"/>
      <c r="BV1145" s="6"/>
      <c r="BW1145" s="6"/>
      <c r="BX1145" s="6"/>
      <c r="BY1145" s="6"/>
      <c r="BZ1145" s="6"/>
      <c r="CA1145" s="6"/>
      <c r="CB1145" s="6"/>
      <c r="CC1145" s="6"/>
      <c r="CD1145" s="6"/>
      <c r="CE1145" s="6"/>
      <c r="CF1145" s="5"/>
    </row>
    <row r="1146" spans="3:84"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  <c r="BC1146" s="6"/>
      <c r="BD1146" s="6"/>
      <c r="BE1146" s="6"/>
      <c r="BF1146" s="6"/>
      <c r="BG1146" s="6"/>
      <c r="BH1146" s="6"/>
      <c r="BI1146" s="6"/>
      <c r="BJ1146" s="6"/>
      <c r="BK1146" s="6"/>
      <c r="BL1146" s="6"/>
      <c r="BM1146" s="6"/>
      <c r="BN1146" s="6"/>
      <c r="BO1146" s="6"/>
      <c r="BP1146" s="6"/>
      <c r="BQ1146" s="6"/>
      <c r="BR1146" s="6"/>
      <c r="BS1146" s="6"/>
      <c r="BT1146" s="6"/>
      <c r="BU1146" s="6"/>
      <c r="BV1146" s="6"/>
      <c r="BW1146" s="6"/>
      <c r="BX1146" s="6"/>
      <c r="BY1146" s="6"/>
      <c r="BZ1146" s="6"/>
      <c r="CA1146" s="6"/>
      <c r="CB1146" s="6"/>
      <c r="CC1146" s="6"/>
      <c r="CD1146" s="6"/>
      <c r="CE1146" s="6"/>
      <c r="CF1146" s="5"/>
    </row>
    <row r="1147" spans="3:84"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  <c r="BC1147" s="6"/>
      <c r="BD1147" s="6"/>
      <c r="BE1147" s="6"/>
      <c r="BF1147" s="6"/>
      <c r="BG1147" s="6"/>
      <c r="BH1147" s="6"/>
      <c r="BI1147" s="6"/>
      <c r="BJ1147" s="6"/>
      <c r="BK1147" s="6"/>
      <c r="BL1147" s="6"/>
      <c r="BM1147" s="6"/>
      <c r="BN1147" s="6"/>
      <c r="BO1147" s="6"/>
      <c r="BP1147" s="6"/>
      <c r="BQ1147" s="6"/>
      <c r="BR1147" s="6"/>
      <c r="BS1147" s="6"/>
      <c r="BT1147" s="6"/>
      <c r="BU1147" s="6"/>
      <c r="BV1147" s="6"/>
      <c r="BW1147" s="6"/>
      <c r="BX1147" s="6"/>
      <c r="BY1147" s="6"/>
      <c r="BZ1147" s="6"/>
      <c r="CA1147" s="6"/>
      <c r="CB1147" s="6"/>
      <c r="CC1147" s="6"/>
      <c r="CD1147" s="6"/>
      <c r="CE1147" s="6"/>
      <c r="CF1147" s="5"/>
    </row>
    <row r="1148" spans="3:84"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  <c r="BC1148" s="6"/>
      <c r="BD1148" s="6"/>
      <c r="BE1148" s="6"/>
      <c r="BF1148" s="6"/>
      <c r="BG1148" s="6"/>
      <c r="BH1148" s="6"/>
      <c r="BI1148" s="6"/>
      <c r="BJ1148" s="6"/>
      <c r="BK1148" s="6"/>
      <c r="BL1148" s="6"/>
      <c r="BM1148" s="6"/>
      <c r="BN1148" s="6"/>
      <c r="BO1148" s="6"/>
      <c r="BP1148" s="6"/>
      <c r="BQ1148" s="6"/>
      <c r="BR1148" s="6"/>
      <c r="BS1148" s="6"/>
      <c r="BT1148" s="6"/>
      <c r="BU1148" s="6"/>
      <c r="BV1148" s="6"/>
      <c r="BW1148" s="6"/>
      <c r="BX1148" s="6"/>
      <c r="BY1148" s="6"/>
      <c r="BZ1148" s="6"/>
      <c r="CA1148" s="6"/>
      <c r="CB1148" s="6"/>
      <c r="CC1148" s="6"/>
      <c r="CD1148" s="6"/>
      <c r="CE1148" s="6"/>
      <c r="CF1148" s="5"/>
    </row>
    <row r="1149" spans="3:84"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  <c r="BC1149" s="6"/>
      <c r="BD1149" s="6"/>
      <c r="BE1149" s="6"/>
      <c r="BF1149" s="6"/>
      <c r="BG1149" s="6"/>
      <c r="BH1149" s="6"/>
      <c r="BI1149" s="6"/>
      <c r="BJ1149" s="6"/>
      <c r="BK1149" s="6"/>
      <c r="BL1149" s="6"/>
      <c r="BM1149" s="6"/>
      <c r="BN1149" s="6"/>
      <c r="BO1149" s="6"/>
      <c r="BP1149" s="6"/>
      <c r="BQ1149" s="6"/>
      <c r="BR1149" s="6"/>
      <c r="BS1149" s="6"/>
      <c r="BT1149" s="6"/>
      <c r="BU1149" s="6"/>
      <c r="BV1149" s="6"/>
      <c r="BW1149" s="6"/>
      <c r="BX1149" s="6"/>
      <c r="BY1149" s="6"/>
      <c r="BZ1149" s="6"/>
      <c r="CA1149" s="6"/>
      <c r="CB1149" s="6"/>
      <c r="CC1149" s="6"/>
      <c r="CD1149" s="6"/>
      <c r="CE1149" s="6"/>
      <c r="CF1149" s="5"/>
    </row>
    <row r="1150" spans="3:84"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  <c r="BC1150" s="6"/>
      <c r="BD1150" s="6"/>
      <c r="BE1150" s="6"/>
      <c r="BF1150" s="6"/>
      <c r="BG1150" s="6"/>
      <c r="BH1150" s="6"/>
      <c r="BI1150" s="6"/>
      <c r="BJ1150" s="6"/>
      <c r="BK1150" s="6"/>
      <c r="BL1150" s="6"/>
      <c r="BM1150" s="6"/>
      <c r="BN1150" s="6"/>
      <c r="BO1150" s="6"/>
      <c r="BP1150" s="6"/>
      <c r="BQ1150" s="6"/>
      <c r="BR1150" s="6"/>
      <c r="BS1150" s="6"/>
      <c r="BT1150" s="6"/>
      <c r="BU1150" s="6"/>
      <c r="BV1150" s="6"/>
      <c r="BW1150" s="6"/>
      <c r="BX1150" s="6"/>
      <c r="BY1150" s="6"/>
      <c r="BZ1150" s="6"/>
      <c r="CA1150" s="6"/>
      <c r="CB1150" s="6"/>
      <c r="CC1150" s="6"/>
      <c r="CD1150" s="6"/>
      <c r="CE1150" s="6"/>
      <c r="CF1150" s="5"/>
    </row>
    <row r="1151" spans="3:84"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  <c r="BC1151" s="6"/>
      <c r="BD1151" s="6"/>
      <c r="BE1151" s="6"/>
      <c r="BF1151" s="6"/>
      <c r="BG1151" s="6"/>
      <c r="BH1151" s="6"/>
      <c r="BI1151" s="6"/>
      <c r="BJ1151" s="6"/>
      <c r="BK1151" s="6"/>
      <c r="BL1151" s="6"/>
      <c r="BM1151" s="6"/>
      <c r="BN1151" s="6"/>
      <c r="BO1151" s="6"/>
      <c r="BP1151" s="6"/>
      <c r="BQ1151" s="6"/>
      <c r="BR1151" s="6"/>
      <c r="BS1151" s="6"/>
      <c r="BT1151" s="6"/>
      <c r="BU1151" s="6"/>
      <c r="BV1151" s="6"/>
      <c r="BW1151" s="6"/>
      <c r="BX1151" s="6"/>
      <c r="BY1151" s="6"/>
      <c r="BZ1151" s="6"/>
      <c r="CA1151" s="6"/>
      <c r="CB1151" s="6"/>
      <c r="CC1151" s="6"/>
      <c r="CD1151" s="6"/>
      <c r="CE1151" s="6"/>
      <c r="CF1151" s="5"/>
    </row>
    <row r="1152" spans="3:84"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  <c r="BC1152" s="6"/>
      <c r="BD1152" s="6"/>
      <c r="BE1152" s="6"/>
      <c r="BF1152" s="6"/>
      <c r="BG1152" s="6"/>
      <c r="BH1152" s="6"/>
      <c r="BI1152" s="6"/>
      <c r="BJ1152" s="6"/>
      <c r="BK1152" s="6"/>
      <c r="BL1152" s="6"/>
      <c r="BM1152" s="6"/>
      <c r="BN1152" s="6"/>
      <c r="BO1152" s="6"/>
      <c r="BP1152" s="6"/>
      <c r="BQ1152" s="6"/>
      <c r="BR1152" s="6"/>
      <c r="BS1152" s="6"/>
      <c r="BT1152" s="6"/>
      <c r="BU1152" s="6"/>
      <c r="BV1152" s="6"/>
      <c r="BW1152" s="6"/>
      <c r="BX1152" s="6"/>
      <c r="BY1152" s="6"/>
      <c r="BZ1152" s="6"/>
      <c r="CA1152" s="6"/>
      <c r="CB1152" s="6"/>
      <c r="CC1152" s="6"/>
      <c r="CD1152" s="6"/>
      <c r="CE1152" s="6"/>
      <c r="CF1152" s="5"/>
    </row>
    <row r="1153" spans="3:84"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  <c r="BC1153" s="6"/>
      <c r="BD1153" s="6"/>
      <c r="BE1153" s="6"/>
      <c r="BF1153" s="6"/>
      <c r="BG1153" s="6"/>
      <c r="BH1153" s="6"/>
      <c r="BI1153" s="6"/>
      <c r="BJ1153" s="6"/>
      <c r="BK1153" s="6"/>
      <c r="BL1153" s="6"/>
      <c r="BM1153" s="6"/>
      <c r="BN1153" s="6"/>
      <c r="BO1153" s="6"/>
      <c r="BP1153" s="6"/>
      <c r="BQ1153" s="6"/>
      <c r="BR1153" s="6"/>
      <c r="BS1153" s="6"/>
      <c r="BT1153" s="6"/>
      <c r="BU1153" s="6"/>
      <c r="BV1153" s="6"/>
      <c r="BW1153" s="6"/>
      <c r="BX1153" s="6"/>
      <c r="BY1153" s="6"/>
      <c r="BZ1153" s="6"/>
      <c r="CA1153" s="6"/>
      <c r="CB1153" s="6"/>
      <c r="CC1153" s="6"/>
      <c r="CD1153" s="6"/>
      <c r="CE1153" s="6"/>
      <c r="CF1153" s="5"/>
    </row>
    <row r="1154" spans="3:84"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  <c r="BC1154" s="6"/>
      <c r="BD1154" s="6"/>
      <c r="BE1154" s="6"/>
      <c r="BF1154" s="6"/>
      <c r="BG1154" s="6"/>
      <c r="BH1154" s="6"/>
      <c r="BI1154" s="6"/>
      <c r="BJ1154" s="6"/>
      <c r="BK1154" s="6"/>
      <c r="BL1154" s="6"/>
      <c r="BM1154" s="6"/>
      <c r="BN1154" s="6"/>
      <c r="BO1154" s="6"/>
      <c r="BP1154" s="6"/>
      <c r="BQ1154" s="6"/>
      <c r="BR1154" s="6"/>
      <c r="BS1154" s="6"/>
      <c r="BT1154" s="6"/>
      <c r="BU1154" s="6"/>
      <c r="BV1154" s="6"/>
      <c r="BW1154" s="6"/>
      <c r="BX1154" s="6"/>
      <c r="BY1154" s="6"/>
      <c r="BZ1154" s="6"/>
      <c r="CA1154" s="6"/>
      <c r="CB1154" s="6"/>
      <c r="CC1154" s="6"/>
      <c r="CD1154" s="6"/>
      <c r="CE1154" s="6"/>
      <c r="CF1154" s="5"/>
    </row>
    <row r="1155" spans="3:84"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  <c r="BC1155" s="6"/>
      <c r="BD1155" s="6"/>
      <c r="BE1155" s="6"/>
      <c r="BF1155" s="6"/>
      <c r="BG1155" s="6"/>
      <c r="BH1155" s="6"/>
      <c r="BI1155" s="6"/>
      <c r="BJ1155" s="6"/>
      <c r="BK1155" s="6"/>
      <c r="BL1155" s="6"/>
      <c r="BM1155" s="6"/>
      <c r="BN1155" s="6"/>
      <c r="BO1155" s="6"/>
      <c r="BP1155" s="6"/>
      <c r="BQ1155" s="6"/>
      <c r="BR1155" s="6"/>
      <c r="BS1155" s="6"/>
      <c r="BT1155" s="6"/>
      <c r="BU1155" s="6"/>
      <c r="BV1155" s="6"/>
      <c r="BW1155" s="6"/>
      <c r="BX1155" s="6"/>
      <c r="BY1155" s="6"/>
      <c r="BZ1155" s="6"/>
      <c r="CA1155" s="6"/>
      <c r="CB1155" s="6"/>
      <c r="CC1155" s="6"/>
      <c r="CD1155" s="6"/>
      <c r="CE1155" s="6"/>
      <c r="CF1155" s="5"/>
    </row>
    <row r="1156" spans="3:84"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  <c r="BC1156" s="6"/>
      <c r="BD1156" s="6"/>
      <c r="BE1156" s="6"/>
      <c r="BF1156" s="6"/>
      <c r="BG1156" s="6"/>
      <c r="BH1156" s="6"/>
      <c r="BI1156" s="6"/>
      <c r="BJ1156" s="6"/>
      <c r="BK1156" s="6"/>
      <c r="BL1156" s="6"/>
      <c r="BM1156" s="6"/>
      <c r="BN1156" s="6"/>
      <c r="BO1156" s="6"/>
      <c r="BP1156" s="6"/>
      <c r="BQ1156" s="6"/>
      <c r="BR1156" s="6"/>
      <c r="BS1156" s="6"/>
      <c r="BT1156" s="6"/>
      <c r="BU1156" s="6"/>
      <c r="BV1156" s="6"/>
      <c r="BW1156" s="6"/>
      <c r="BX1156" s="6"/>
      <c r="BY1156" s="6"/>
      <c r="BZ1156" s="6"/>
      <c r="CA1156" s="6"/>
      <c r="CB1156" s="6"/>
      <c r="CC1156" s="6"/>
      <c r="CD1156" s="6"/>
      <c r="CE1156" s="6"/>
      <c r="CF1156" s="5"/>
    </row>
    <row r="1157" spans="3:84"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  <c r="BC1157" s="6"/>
      <c r="BD1157" s="6"/>
      <c r="BE1157" s="6"/>
      <c r="BF1157" s="6"/>
      <c r="BG1157" s="6"/>
      <c r="BH1157" s="6"/>
      <c r="BI1157" s="6"/>
      <c r="BJ1157" s="6"/>
      <c r="BK1157" s="6"/>
      <c r="BL1157" s="6"/>
      <c r="BM1157" s="6"/>
      <c r="BN1157" s="6"/>
      <c r="BO1157" s="6"/>
      <c r="BP1157" s="6"/>
      <c r="BQ1157" s="6"/>
      <c r="BR1157" s="6"/>
      <c r="BS1157" s="6"/>
      <c r="BT1157" s="6"/>
      <c r="BU1157" s="6"/>
      <c r="BV1157" s="6"/>
      <c r="BW1157" s="6"/>
      <c r="BX1157" s="6"/>
      <c r="BY1157" s="6"/>
      <c r="BZ1157" s="6"/>
      <c r="CA1157" s="6"/>
      <c r="CB1157" s="6"/>
      <c r="CC1157" s="6"/>
      <c r="CD1157" s="6"/>
      <c r="CE1157" s="6"/>
      <c r="CF1157" s="5"/>
    </row>
    <row r="1158" spans="3:84"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  <c r="BC1158" s="6"/>
      <c r="BD1158" s="6"/>
      <c r="BE1158" s="6"/>
      <c r="BF1158" s="6"/>
      <c r="BG1158" s="6"/>
      <c r="BH1158" s="6"/>
      <c r="BI1158" s="6"/>
      <c r="BJ1158" s="6"/>
      <c r="BK1158" s="6"/>
      <c r="BL1158" s="6"/>
      <c r="BM1158" s="6"/>
      <c r="BN1158" s="6"/>
      <c r="BO1158" s="6"/>
      <c r="BP1158" s="6"/>
      <c r="BQ1158" s="6"/>
      <c r="BR1158" s="6"/>
      <c r="BS1158" s="6"/>
      <c r="BT1158" s="6"/>
      <c r="BU1158" s="6"/>
      <c r="BV1158" s="6"/>
      <c r="BW1158" s="6"/>
      <c r="BX1158" s="6"/>
      <c r="BY1158" s="6"/>
      <c r="BZ1158" s="6"/>
      <c r="CA1158" s="6"/>
      <c r="CB1158" s="6"/>
      <c r="CC1158" s="6"/>
      <c r="CD1158" s="6"/>
      <c r="CE1158" s="6"/>
      <c r="CF1158" s="5"/>
    </row>
    <row r="1159" spans="3:84"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  <c r="BC1159" s="6"/>
      <c r="BD1159" s="6"/>
      <c r="BE1159" s="6"/>
      <c r="BF1159" s="6"/>
      <c r="BG1159" s="6"/>
      <c r="BH1159" s="6"/>
      <c r="BI1159" s="6"/>
      <c r="BJ1159" s="6"/>
      <c r="BK1159" s="6"/>
      <c r="BL1159" s="6"/>
      <c r="BM1159" s="6"/>
      <c r="BN1159" s="6"/>
      <c r="BO1159" s="6"/>
      <c r="BP1159" s="6"/>
      <c r="BQ1159" s="6"/>
      <c r="BR1159" s="6"/>
      <c r="BS1159" s="6"/>
      <c r="BT1159" s="6"/>
      <c r="BU1159" s="6"/>
      <c r="BV1159" s="6"/>
      <c r="BW1159" s="6"/>
      <c r="BX1159" s="6"/>
      <c r="BY1159" s="6"/>
      <c r="BZ1159" s="6"/>
      <c r="CA1159" s="6"/>
      <c r="CB1159" s="6"/>
      <c r="CC1159" s="6"/>
      <c r="CD1159" s="6"/>
      <c r="CE1159" s="6"/>
      <c r="CF1159" s="5"/>
    </row>
    <row r="1160" spans="3:84"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  <c r="BC1160" s="6"/>
      <c r="BD1160" s="6"/>
      <c r="BE1160" s="6"/>
      <c r="BF1160" s="6"/>
      <c r="BG1160" s="6"/>
      <c r="BH1160" s="6"/>
      <c r="BI1160" s="6"/>
      <c r="BJ1160" s="6"/>
      <c r="BK1160" s="6"/>
      <c r="BL1160" s="6"/>
      <c r="BM1160" s="6"/>
      <c r="BN1160" s="6"/>
      <c r="BO1160" s="6"/>
      <c r="BP1160" s="6"/>
      <c r="BQ1160" s="6"/>
      <c r="BR1160" s="6"/>
      <c r="BS1160" s="6"/>
      <c r="BT1160" s="6"/>
      <c r="BU1160" s="6"/>
      <c r="BV1160" s="6"/>
      <c r="BW1160" s="6"/>
      <c r="BX1160" s="6"/>
      <c r="BY1160" s="6"/>
      <c r="BZ1160" s="6"/>
      <c r="CA1160" s="6"/>
      <c r="CB1160" s="6"/>
      <c r="CC1160" s="6"/>
      <c r="CD1160" s="6"/>
      <c r="CE1160" s="6"/>
      <c r="CF1160" s="5"/>
    </row>
    <row r="1161" spans="3:84"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  <c r="BC1161" s="6"/>
      <c r="BD1161" s="6"/>
      <c r="BE1161" s="6"/>
      <c r="BF1161" s="6"/>
      <c r="BG1161" s="6"/>
      <c r="BH1161" s="6"/>
      <c r="BI1161" s="6"/>
      <c r="BJ1161" s="6"/>
      <c r="BK1161" s="6"/>
      <c r="BL1161" s="6"/>
      <c r="BM1161" s="6"/>
      <c r="BN1161" s="6"/>
      <c r="BO1161" s="6"/>
      <c r="BP1161" s="6"/>
      <c r="BQ1161" s="6"/>
      <c r="BR1161" s="6"/>
      <c r="BS1161" s="6"/>
      <c r="BT1161" s="6"/>
      <c r="BU1161" s="6"/>
      <c r="BV1161" s="6"/>
      <c r="BW1161" s="6"/>
      <c r="BX1161" s="6"/>
      <c r="BY1161" s="6"/>
      <c r="BZ1161" s="6"/>
      <c r="CA1161" s="6"/>
      <c r="CB1161" s="6"/>
      <c r="CC1161" s="6"/>
      <c r="CD1161" s="6"/>
      <c r="CE1161" s="6"/>
      <c r="CF1161" s="5"/>
    </row>
    <row r="1162" spans="3:84"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  <c r="BC1162" s="6"/>
      <c r="BD1162" s="6"/>
      <c r="BE1162" s="6"/>
      <c r="BF1162" s="6"/>
      <c r="BG1162" s="6"/>
      <c r="BH1162" s="6"/>
      <c r="BI1162" s="6"/>
      <c r="BJ1162" s="6"/>
      <c r="BK1162" s="6"/>
      <c r="BL1162" s="6"/>
      <c r="BM1162" s="6"/>
      <c r="BN1162" s="6"/>
      <c r="BO1162" s="6"/>
      <c r="BP1162" s="6"/>
      <c r="BQ1162" s="6"/>
      <c r="BR1162" s="6"/>
      <c r="BS1162" s="6"/>
      <c r="BT1162" s="6"/>
      <c r="BU1162" s="6"/>
      <c r="BV1162" s="6"/>
      <c r="BW1162" s="6"/>
      <c r="BX1162" s="6"/>
      <c r="BY1162" s="6"/>
      <c r="BZ1162" s="6"/>
      <c r="CA1162" s="6"/>
      <c r="CB1162" s="6"/>
      <c r="CC1162" s="6"/>
      <c r="CD1162" s="6"/>
      <c r="CE1162" s="6"/>
      <c r="CF1162" s="5"/>
    </row>
    <row r="1163" spans="3:84"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  <c r="BC1163" s="6"/>
      <c r="BD1163" s="6"/>
      <c r="BE1163" s="6"/>
      <c r="BF1163" s="6"/>
      <c r="BG1163" s="6"/>
      <c r="BH1163" s="6"/>
      <c r="BI1163" s="6"/>
      <c r="BJ1163" s="6"/>
      <c r="BK1163" s="6"/>
      <c r="BL1163" s="6"/>
      <c r="BM1163" s="6"/>
      <c r="BN1163" s="6"/>
      <c r="BO1163" s="6"/>
      <c r="BP1163" s="6"/>
      <c r="BQ1163" s="6"/>
      <c r="BR1163" s="6"/>
      <c r="BS1163" s="6"/>
      <c r="BT1163" s="6"/>
      <c r="BU1163" s="6"/>
      <c r="BV1163" s="6"/>
      <c r="BW1163" s="6"/>
      <c r="BX1163" s="6"/>
      <c r="BY1163" s="6"/>
      <c r="BZ1163" s="6"/>
      <c r="CA1163" s="6"/>
      <c r="CB1163" s="6"/>
      <c r="CC1163" s="6"/>
      <c r="CD1163" s="6"/>
      <c r="CE1163" s="6"/>
      <c r="CF1163" s="5"/>
    </row>
    <row r="1164" spans="3:84"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  <c r="BC1164" s="6"/>
      <c r="BD1164" s="6"/>
      <c r="BE1164" s="6"/>
      <c r="BF1164" s="6"/>
      <c r="BG1164" s="6"/>
      <c r="BH1164" s="6"/>
      <c r="BI1164" s="6"/>
      <c r="BJ1164" s="6"/>
      <c r="BK1164" s="6"/>
      <c r="BL1164" s="6"/>
      <c r="BM1164" s="6"/>
      <c r="BN1164" s="6"/>
      <c r="BO1164" s="6"/>
      <c r="BP1164" s="6"/>
      <c r="BQ1164" s="6"/>
      <c r="BR1164" s="6"/>
      <c r="BS1164" s="6"/>
      <c r="BT1164" s="6"/>
      <c r="BU1164" s="6"/>
      <c r="BV1164" s="6"/>
      <c r="BW1164" s="6"/>
      <c r="BX1164" s="6"/>
      <c r="BY1164" s="6"/>
      <c r="BZ1164" s="6"/>
      <c r="CA1164" s="6"/>
      <c r="CB1164" s="6"/>
      <c r="CC1164" s="6"/>
      <c r="CD1164" s="6"/>
      <c r="CE1164" s="6"/>
      <c r="CF1164" s="5"/>
    </row>
    <row r="1165" spans="3:84"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  <c r="BC1165" s="6"/>
      <c r="BD1165" s="6"/>
      <c r="BE1165" s="6"/>
      <c r="BF1165" s="6"/>
      <c r="BG1165" s="6"/>
      <c r="BH1165" s="6"/>
      <c r="BI1165" s="6"/>
      <c r="BJ1165" s="6"/>
      <c r="BK1165" s="6"/>
      <c r="BL1165" s="6"/>
      <c r="BM1165" s="6"/>
      <c r="BN1165" s="6"/>
      <c r="BO1165" s="6"/>
      <c r="BP1165" s="6"/>
      <c r="BQ1165" s="6"/>
      <c r="BR1165" s="6"/>
      <c r="BS1165" s="6"/>
      <c r="BT1165" s="6"/>
      <c r="BU1165" s="6"/>
      <c r="BV1165" s="6"/>
      <c r="BW1165" s="6"/>
      <c r="BX1165" s="6"/>
      <c r="BY1165" s="6"/>
      <c r="BZ1165" s="6"/>
      <c r="CA1165" s="6"/>
      <c r="CB1165" s="6"/>
      <c r="CC1165" s="6"/>
      <c r="CD1165" s="6"/>
      <c r="CE1165" s="6"/>
      <c r="CF1165" s="5"/>
    </row>
    <row r="1166" spans="3:84"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  <c r="BC1166" s="6"/>
      <c r="BD1166" s="6"/>
      <c r="BE1166" s="6"/>
      <c r="BF1166" s="6"/>
      <c r="BG1166" s="6"/>
      <c r="BH1166" s="6"/>
      <c r="BI1166" s="6"/>
      <c r="BJ1166" s="6"/>
      <c r="BK1166" s="6"/>
      <c r="BL1166" s="6"/>
      <c r="BM1166" s="6"/>
      <c r="BN1166" s="6"/>
      <c r="BO1166" s="6"/>
      <c r="BP1166" s="6"/>
      <c r="BQ1166" s="6"/>
      <c r="BR1166" s="6"/>
      <c r="BS1166" s="6"/>
      <c r="BT1166" s="6"/>
      <c r="BU1166" s="6"/>
      <c r="BV1166" s="6"/>
      <c r="BW1166" s="6"/>
      <c r="BX1166" s="6"/>
      <c r="BY1166" s="6"/>
      <c r="BZ1166" s="6"/>
      <c r="CA1166" s="6"/>
      <c r="CB1166" s="6"/>
      <c r="CC1166" s="6"/>
      <c r="CD1166" s="6"/>
      <c r="CE1166" s="6"/>
      <c r="CF1166" s="5"/>
    </row>
    <row r="1167" spans="3:84"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  <c r="BC1167" s="6"/>
      <c r="BD1167" s="6"/>
      <c r="BE1167" s="6"/>
      <c r="BF1167" s="6"/>
      <c r="BG1167" s="6"/>
      <c r="BH1167" s="6"/>
      <c r="BI1167" s="6"/>
      <c r="BJ1167" s="6"/>
      <c r="BK1167" s="6"/>
      <c r="BL1167" s="6"/>
      <c r="BM1167" s="6"/>
      <c r="BN1167" s="6"/>
      <c r="BO1167" s="6"/>
      <c r="BP1167" s="6"/>
      <c r="BQ1167" s="6"/>
      <c r="BR1167" s="6"/>
      <c r="BS1167" s="6"/>
      <c r="BT1167" s="6"/>
      <c r="BU1167" s="6"/>
      <c r="BV1167" s="6"/>
      <c r="BW1167" s="6"/>
      <c r="BX1167" s="6"/>
      <c r="BY1167" s="6"/>
      <c r="BZ1167" s="6"/>
      <c r="CA1167" s="6"/>
      <c r="CB1167" s="6"/>
      <c r="CC1167" s="6"/>
      <c r="CD1167" s="6"/>
      <c r="CE1167" s="6"/>
      <c r="CF1167" s="5"/>
    </row>
    <row r="1168" spans="3:84"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  <c r="BC1168" s="6"/>
      <c r="BD1168" s="6"/>
      <c r="BE1168" s="6"/>
      <c r="BF1168" s="6"/>
      <c r="BG1168" s="6"/>
      <c r="BH1168" s="6"/>
      <c r="BI1168" s="6"/>
      <c r="BJ1168" s="6"/>
      <c r="BK1168" s="6"/>
      <c r="BL1168" s="6"/>
      <c r="BM1168" s="6"/>
      <c r="BN1168" s="6"/>
      <c r="BO1168" s="6"/>
      <c r="BP1168" s="6"/>
      <c r="BQ1168" s="6"/>
      <c r="BR1168" s="6"/>
      <c r="BS1168" s="6"/>
      <c r="BT1168" s="6"/>
      <c r="BU1168" s="6"/>
      <c r="BV1168" s="6"/>
      <c r="BW1168" s="6"/>
      <c r="BX1168" s="6"/>
      <c r="BY1168" s="6"/>
      <c r="BZ1168" s="6"/>
      <c r="CA1168" s="6"/>
      <c r="CB1168" s="6"/>
      <c r="CC1168" s="6"/>
      <c r="CD1168" s="6"/>
      <c r="CE1168" s="6"/>
      <c r="CF1168" s="5"/>
    </row>
    <row r="1169" spans="3:84"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  <c r="BC1169" s="6"/>
      <c r="BD1169" s="6"/>
      <c r="BE1169" s="6"/>
      <c r="BF1169" s="6"/>
      <c r="BG1169" s="6"/>
      <c r="BH1169" s="6"/>
      <c r="BI1169" s="6"/>
      <c r="BJ1169" s="6"/>
      <c r="BK1169" s="6"/>
      <c r="BL1169" s="6"/>
      <c r="BM1169" s="6"/>
      <c r="BN1169" s="6"/>
      <c r="BO1169" s="6"/>
      <c r="BP1169" s="6"/>
      <c r="BQ1169" s="6"/>
      <c r="BR1169" s="6"/>
      <c r="BS1169" s="6"/>
      <c r="BT1169" s="6"/>
      <c r="BU1169" s="6"/>
      <c r="BV1169" s="6"/>
      <c r="BW1169" s="6"/>
      <c r="BX1169" s="6"/>
      <c r="BY1169" s="6"/>
      <c r="BZ1169" s="6"/>
      <c r="CA1169" s="6"/>
      <c r="CB1169" s="6"/>
      <c r="CC1169" s="6"/>
      <c r="CD1169" s="6"/>
      <c r="CE1169" s="6"/>
      <c r="CF1169" s="5"/>
    </row>
    <row r="1170" spans="3:84"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  <c r="BC1170" s="6"/>
      <c r="BD1170" s="6"/>
      <c r="BE1170" s="6"/>
      <c r="BF1170" s="6"/>
      <c r="BG1170" s="6"/>
      <c r="BH1170" s="6"/>
      <c r="BI1170" s="6"/>
      <c r="BJ1170" s="6"/>
      <c r="BK1170" s="6"/>
      <c r="BL1170" s="6"/>
      <c r="BM1170" s="6"/>
      <c r="BN1170" s="6"/>
      <c r="BO1170" s="6"/>
      <c r="BP1170" s="6"/>
      <c r="BQ1170" s="6"/>
      <c r="BR1170" s="6"/>
      <c r="BS1170" s="6"/>
      <c r="BT1170" s="6"/>
      <c r="BU1170" s="6"/>
      <c r="BV1170" s="6"/>
      <c r="BW1170" s="6"/>
      <c r="BX1170" s="6"/>
      <c r="BY1170" s="6"/>
      <c r="BZ1170" s="6"/>
      <c r="CA1170" s="6"/>
      <c r="CB1170" s="6"/>
      <c r="CC1170" s="6"/>
      <c r="CD1170" s="6"/>
      <c r="CE1170" s="6"/>
      <c r="CF1170" s="5"/>
    </row>
    <row r="1171" spans="3:84"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  <c r="BC1171" s="6"/>
      <c r="BD1171" s="6"/>
      <c r="BE1171" s="6"/>
      <c r="BF1171" s="6"/>
      <c r="BG1171" s="6"/>
      <c r="BH1171" s="6"/>
      <c r="BI1171" s="6"/>
      <c r="BJ1171" s="6"/>
      <c r="BK1171" s="6"/>
      <c r="BL1171" s="6"/>
      <c r="BM1171" s="6"/>
      <c r="BN1171" s="6"/>
      <c r="BO1171" s="6"/>
      <c r="BP1171" s="6"/>
      <c r="BQ1171" s="6"/>
      <c r="BR1171" s="6"/>
      <c r="BS1171" s="6"/>
      <c r="BT1171" s="6"/>
      <c r="BU1171" s="6"/>
      <c r="BV1171" s="6"/>
      <c r="BW1171" s="6"/>
      <c r="BX1171" s="6"/>
      <c r="BY1171" s="6"/>
      <c r="BZ1171" s="6"/>
      <c r="CA1171" s="6"/>
      <c r="CB1171" s="6"/>
      <c r="CC1171" s="6"/>
      <c r="CD1171" s="6"/>
      <c r="CE1171" s="6"/>
      <c r="CF1171" s="5"/>
    </row>
    <row r="1172" spans="3:84"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  <c r="BC1172" s="6"/>
      <c r="BD1172" s="6"/>
      <c r="BE1172" s="6"/>
      <c r="BF1172" s="6"/>
      <c r="BG1172" s="6"/>
      <c r="BH1172" s="6"/>
      <c r="BI1172" s="6"/>
      <c r="BJ1172" s="6"/>
      <c r="BK1172" s="6"/>
      <c r="BL1172" s="6"/>
      <c r="BM1172" s="6"/>
      <c r="BN1172" s="6"/>
      <c r="BO1172" s="6"/>
      <c r="BP1172" s="6"/>
      <c r="BQ1172" s="6"/>
      <c r="BR1172" s="6"/>
      <c r="BS1172" s="6"/>
      <c r="BT1172" s="6"/>
      <c r="BU1172" s="6"/>
      <c r="BV1172" s="6"/>
      <c r="BW1172" s="6"/>
      <c r="BX1172" s="6"/>
      <c r="BY1172" s="6"/>
      <c r="BZ1172" s="6"/>
      <c r="CA1172" s="6"/>
      <c r="CB1172" s="6"/>
      <c r="CC1172" s="6"/>
      <c r="CD1172" s="6"/>
      <c r="CE1172" s="6"/>
      <c r="CF1172" s="5"/>
    </row>
    <row r="1173" spans="3:84"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  <c r="BC1173" s="6"/>
      <c r="BD1173" s="6"/>
      <c r="BE1173" s="6"/>
      <c r="BF1173" s="6"/>
      <c r="BG1173" s="6"/>
      <c r="BH1173" s="6"/>
      <c r="BI1173" s="6"/>
      <c r="BJ1173" s="6"/>
      <c r="BK1173" s="6"/>
      <c r="BL1173" s="6"/>
      <c r="BM1173" s="6"/>
      <c r="BN1173" s="6"/>
      <c r="BO1173" s="6"/>
      <c r="BP1173" s="6"/>
      <c r="BQ1173" s="6"/>
      <c r="BR1173" s="6"/>
      <c r="BS1173" s="6"/>
      <c r="BT1173" s="6"/>
      <c r="BU1173" s="6"/>
      <c r="BV1173" s="6"/>
      <c r="BW1173" s="6"/>
      <c r="BX1173" s="6"/>
      <c r="BY1173" s="6"/>
      <c r="BZ1173" s="6"/>
      <c r="CA1173" s="6"/>
      <c r="CB1173" s="6"/>
      <c r="CC1173" s="6"/>
      <c r="CD1173" s="6"/>
      <c r="CE1173" s="6"/>
      <c r="CF1173" s="5"/>
    </row>
    <row r="1174" spans="3:84"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  <c r="BC1174" s="6"/>
      <c r="BD1174" s="6"/>
      <c r="BE1174" s="6"/>
      <c r="BF1174" s="6"/>
      <c r="BG1174" s="6"/>
      <c r="BH1174" s="6"/>
      <c r="BI1174" s="6"/>
      <c r="BJ1174" s="6"/>
      <c r="BK1174" s="6"/>
      <c r="BL1174" s="6"/>
      <c r="BM1174" s="6"/>
      <c r="BN1174" s="6"/>
      <c r="BO1174" s="6"/>
      <c r="BP1174" s="6"/>
      <c r="BQ1174" s="6"/>
      <c r="BR1174" s="6"/>
      <c r="BS1174" s="6"/>
      <c r="BT1174" s="6"/>
      <c r="BU1174" s="6"/>
      <c r="BV1174" s="6"/>
      <c r="BW1174" s="6"/>
      <c r="BX1174" s="6"/>
      <c r="BY1174" s="6"/>
      <c r="BZ1174" s="6"/>
      <c r="CA1174" s="6"/>
      <c r="CB1174" s="6"/>
      <c r="CC1174" s="6"/>
      <c r="CD1174" s="6"/>
      <c r="CE1174" s="6"/>
      <c r="CF1174" s="5"/>
    </row>
    <row r="1175" spans="3:84"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  <c r="BC1175" s="6"/>
      <c r="BD1175" s="6"/>
      <c r="BE1175" s="6"/>
      <c r="BF1175" s="6"/>
      <c r="BG1175" s="6"/>
      <c r="BH1175" s="6"/>
      <c r="BI1175" s="6"/>
      <c r="BJ1175" s="6"/>
      <c r="BK1175" s="6"/>
      <c r="BL1175" s="6"/>
      <c r="BM1175" s="6"/>
      <c r="BN1175" s="6"/>
      <c r="BO1175" s="6"/>
      <c r="BP1175" s="6"/>
      <c r="BQ1175" s="6"/>
      <c r="BR1175" s="6"/>
      <c r="BS1175" s="6"/>
      <c r="BT1175" s="6"/>
      <c r="BU1175" s="6"/>
      <c r="BV1175" s="6"/>
      <c r="BW1175" s="6"/>
      <c r="BX1175" s="6"/>
      <c r="BY1175" s="6"/>
      <c r="BZ1175" s="6"/>
      <c r="CA1175" s="6"/>
      <c r="CB1175" s="6"/>
      <c r="CC1175" s="6"/>
      <c r="CD1175" s="6"/>
      <c r="CE1175" s="6"/>
      <c r="CF1175" s="5"/>
    </row>
    <row r="1176" spans="3:84"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  <c r="BC1176" s="6"/>
      <c r="BD1176" s="6"/>
      <c r="BE1176" s="6"/>
      <c r="BF1176" s="6"/>
      <c r="BG1176" s="6"/>
      <c r="BH1176" s="6"/>
      <c r="BI1176" s="6"/>
      <c r="BJ1176" s="6"/>
      <c r="BK1176" s="6"/>
      <c r="BL1176" s="6"/>
      <c r="BM1176" s="6"/>
      <c r="BN1176" s="6"/>
      <c r="BO1176" s="6"/>
      <c r="BP1176" s="6"/>
      <c r="BQ1176" s="6"/>
      <c r="BR1176" s="6"/>
      <c r="BS1176" s="6"/>
      <c r="BT1176" s="6"/>
      <c r="BU1176" s="6"/>
      <c r="BV1176" s="6"/>
      <c r="BW1176" s="6"/>
      <c r="BX1176" s="6"/>
      <c r="BY1176" s="6"/>
      <c r="BZ1176" s="6"/>
      <c r="CA1176" s="6"/>
      <c r="CB1176" s="6"/>
      <c r="CC1176" s="6"/>
      <c r="CD1176" s="6"/>
      <c r="CE1176" s="6"/>
      <c r="CF1176" s="5"/>
    </row>
    <row r="1177" spans="3:84"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  <c r="BC1177" s="6"/>
      <c r="BD1177" s="6"/>
      <c r="BE1177" s="6"/>
      <c r="BF1177" s="6"/>
      <c r="BG1177" s="6"/>
      <c r="BH1177" s="6"/>
      <c r="BI1177" s="6"/>
      <c r="BJ1177" s="6"/>
      <c r="BK1177" s="6"/>
      <c r="BL1177" s="6"/>
      <c r="BM1177" s="6"/>
      <c r="BN1177" s="6"/>
      <c r="BO1177" s="6"/>
      <c r="BP1177" s="6"/>
      <c r="BQ1177" s="6"/>
      <c r="BR1177" s="6"/>
      <c r="BS1177" s="6"/>
      <c r="BT1177" s="6"/>
      <c r="BU1177" s="6"/>
      <c r="BV1177" s="6"/>
      <c r="BW1177" s="6"/>
      <c r="BX1177" s="6"/>
      <c r="BY1177" s="6"/>
      <c r="BZ1177" s="6"/>
      <c r="CA1177" s="6"/>
      <c r="CB1177" s="6"/>
      <c r="CC1177" s="6"/>
      <c r="CD1177" s="6"/>
      <c r="CE1177" s="6"/>
      <c r="CF1177" s="5"/>
    </row>
    <row r="1178" spans="3:84"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  <c r="BC1178" s="6"/>
      <c r="BD1178" s="6"/>
      <c r="BE1178" s="6"/>
      <c r="BF1178" s="6"/>
      <c r="BG1178" s="6"/>
      <c r="BH1178" s="6"/>
      <c r="BI1178" s="6"/>
      <c r="BJ1178" s="6"/>
      <c r="BK1178" s="6"/>
      <c r="BL1178" s="6"/>
      <c r="BM1178" s="6"/>
      <c r="BN1178" s="6"/>
      <c r="BO1178" s="6"/>
      <c r="BP1178" s="6"/>
      <c r="BQ1178" s="6"/>
      <c r="BR1178" s="6"/>
      <c r="BS1178" s="6"/>
      <c r="BT1178" s="6"/>
      <c r="BU1178" s="6"/>
      <c r="BV1178" s="6"/>
      <c r="BW1178" s="6"/>
      <c r="BX1178" s="6"/>
      <c r="BY1178" s="6"/>
      <c r="BZ1178" s="6"/>
      <c r="CA1178" s="6"/>
      <c r="CB1178" s="6"/>
      <c r="CC1178" s="6"/>
      <c r="CD1178" s="6"/>
      <c r="CE1178" s="6"/>
      <c r="CF1178" s="5"/>
    </row>
    <row r="1179" spans="3:84"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  <c r="BC1179" s="6"/>
      <c r="BD1179" s="6"/>
      <c r="BE1179" s="6"/>
      <c r="BF1179" s="6"/>
      <c r="BG1179" s="6"/>
      <c r="BH1179" s="6"/>
      <c r="BI1179" s="6"/>
      <c r="BJ1179" s="6"/>
      <c r="BK1179" s="6"/>
      <c r="BL1179" s="6"/>
      <c r="BM1179" s="6"/>
      <c r="BN1179" s="6"/>
      <c r="BO1179" s="6"/>
      <c r="BP1179" s="6"/>
      <c r="BQ1179" s="6"/>
      <c r="BR1179" s="6"/>
      <c r="BS1179" s="6"/>
      <c r="BT1179" s="6"/>
      <c r="BU1179" s="6"/>
      <c r="BV1179" s="6"/>
      <c r="BW1179" s="6"/>
      <c r="BX1179" s="6"/>
      <c r="BY1179" s="6"/>
      <c r="BZ1179" s="6"/>
      <c r="CA1179" s="6"/>
      <c r="CB1179" s="6"/>
      <c r="CC1179" s="6"/>
      <c r="CD1179" s="6"/>
      <c r="CE1179" s="6"/>
      <c r="CF1179" s="5"/>
    </row>
    <row r="1180" spans="3:84"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  <c r="BC1180" s="6"/>
      <c r="BD1180" s="6"/>
      <c r="BE1180" s="6"/>
      <c r="BF1180" s="6"/>
      <c r="BG1180" s="6"/>
      <c r="BH1180" s="6"/>
      <c r="BI1180" s="6"/>
      <c r="BJ1180" s="6"/>
      <c r="BK1180" s="6"/>
      <c r="BL1180" s="6"/>
      <c r="BM1180" s="6"/>
      <c r="BN1180" s="6"/>
      <c r="BO1180" s="6"/>
      <c r="BP1180" s="6"/>
      <c r="BQ1180" s="6"/>
      <c r="BR1180" s="6"/>
      <c r="BS1180" s="6"/>
      <c r="BT1180" s="6"/>
      <c r="BU1180" s="6"/>
      <c r="BV1180" s="6"/>
      <c r="BW1180" s="6"/>
      <c r="BX1180" s="6"/>
      <c r="BY1180" s="6"/>
      <c r="BZ1180" s="6"/>
      <c r="CA1180" s="6"/>
      <c r="CB1180" s="6"/>
      <c r="CC1180" s="6"/>
      <c r="CD1180" s="6"/>
      <c r="CE1180" s="6"/>
      <c r="CF1180" s="5"/>
    </row>
    <row r="1181" spans="3:84"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  <c r="BC1181" s="6"/>
      <c r="BD1181" s="6"/>
      <c r="BE1181" s="6"/>
      <c r="BF1181" s="6"/>
      <c r="BG1181" s="6"/>
      <c r="BH1181" s="6"/>
      <c r="BI1181" s="6"/>
      <c r="BJ1181" s="6"/>
      <c r="BK1181" s="6"/>
      <c r="BL1181" s="6"/>
      <c r="BM1181" s="6"/>
      <c r="BN1181" s="6"/>
      <c r="BO1181" s="6"/>
      <c r="BP1181" s="6"/>
      <c r="BQ1181" s="6"/>
      <c r="BR1181" s="6"/>
      <c r="BS1181" s="6"/>
      <c r="BT1181" s="6"/>
      <c r="BU1181" s="6"/>
      <c r="BV1181" s="6"/>
      <c r="BW1181" s="6"/>
      <c r="BX1181" s="6"/>
      <c r="BY1181" s="6"/>
      <c r="BZ1181" s="6"/>
      <c r="CA1181" s="6"/>
      <c r="CB1181" s="6"/>
      <c r="CC1181" s="6"/>
      <c r="CD1181" s="6"/>
      <c r="CE1181" s="6"/>
      <c r="CF1181" s="5"/>
    </row>
    <row r="1182" spans="3:84"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  <c r="BC1182" s="6"/>
      <c r="BD1182" s="6"/>
      <c r="BE1182" s="6"/>
      <c r="BF1182" s="6"/>
      <c r="BG1182" s="6"/>
      <c r="BH1182" s="6"/>
      <c r="BI1182" s="6"/>
      <c r="BJ1182" s="6"/>
      <c r="BK1182" s="6"/>
      <c r="BL1182" s="6"/>
      <c r="BM1182" s="6"/>
      <c r="BN1182" s="6"/>
      <c r="BO1182" s="6"/>
      <c r="BP1182" s="6"/>
      <c r="BQ1182" s="6"/>
      <c r="BR1182" s="6"/>
      <c r="BS1182" s="6"/>
      <c r="BT1182" s="6"/>
      <c r="BU1182" s="6"/>
      <c r="BV1182" s="6"/>
      <c r="BW1182" s="6"/>
      <c r="BX1182" s="6"/>
      <c r="BY1182" s="6"/>
      <c r="BZ1182" s="6"/>
      <c r="CA1182" s="6"/>
      <c r="CB1182" s="6"/>
      <c r="CC1182" s="6"/>
      <c r="CD1182" s="6"/>
      <c r="CE1182" s="6"/>
      <c r="CF1182" s="5"/>
    </row>
    <row r="1183" spans="3:84"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  <c r="BC1183" s="6"/>
      <c r="BD1183" s="6"/>
      <c r="BE1183" s="6"/>
      <c r="BF1183" s="6"/>
      <c r="BG1183" s="6"/>
      <c r="BH1183" s="6"/>
      <c r="BI1183" s="6"/>
      <c r="BJ1183" s="6"/>
      <c r="BK1183" s="6"/>
      <c r="BL1183" s="6"/>
      <c r="BM1183" s="6"/>
      <c r="BN1183" s="6"/>
      <c r="BO1183" s="6"/>
      <c r="BP1183" s="6"/>
      <c r="BQ1183" s="6"/>
      <c r="BR1183" s="6"/>
      <c r="BS1183" s="6"/>
      <c r="BT1183" s="6"/>
      <c r="BU1183" s="6"/>
      <c r="BV1183" s="6"/>
      <c r="BW1183" s="6"/>
      <c r="BX1183" s="6"/>
      <c r="BY1183" s="6"/>
      <c r="BZ1183" s="6"/>
      <c r="CA1183" s="6"/>
      <c r="CB1183" s="6"/>
      <c r="CC1183" s="6"/>
      <c r="CD1183" s="6"/>
      <c r="CE1183" s="6"/>
      <c r="CF1183" s="5"/>
    </row>
    <row r="1184" spans="3:84"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  <c r="BC1184" s="6"/>
      <c r="BD1184" s="6"/>
      <c r="BE1184" s="6"/>
      <c r="BF1184" s="6"/>
      <c r="BG1184" s="6"/>
      <c r="BH1184" s="6"/>
      <c r="BI1184" s="6"/>
      <c r="BJ1184" s="6"/>
      <c r="BK1184" s="6"/>
      <c r="BL1184" s="6"/>
      <c r="BM1184" s="6"/>
      <c r="BN1184" s="6"/>
      <c r="BO1184" s="6"/>
      <c r="BP1184" s="6"/>
      <c r="BQ1184" s="6"/>
      <c r="BR1184" s="6"/>
      <c r="BS1184" s="6"/>
      <c r="BT1184" s="6"/>
      <c r="BU1184" s="6"/>
      <c r="BV1184" s="6"/>
      <c r="BW1184" s="6"/>
      <c r="BX1184" s="6"/>
      <c r="BY1184" s="6"/>
      <c r="BZ1184" s="6"/>
      <c r="CA1184" s="6"/>
      <c r="CB1184" s="6"/>
      <c r="CC1184" s="6"/>
      <c r="CD1184" s="6"/>
      <c r="CE1184" s="6"/>
      <c r="CF1184" s="5"/>
    </row>
    <row r="1185" spans="3:84"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  <c r="BC1185" s="6"/>
      <c r="BD1185" s="6"/>
      <c r="BE1185" s="6"/>
      <c r="BF1185" s="6"/>
      <c r="BG1185" s="6"/>
      <c r="BH1185" s="6"/>
      <c r="BI1185" s="6"/>
      <c r="BJ1185" s="6"/>
      <c r="BK1185" s="6"/>
      <c r="BL1185" s="6"/>
      <c r="BM1185" s="6"/>
      <c r="BN1185" s="6"/>
      <c r="BO1185" s="6"/>
      <c r="BP1185" s="6"/>
      <c r="BQ1185" s="6"/>
      <c r="BR1185" s="6"/>
      <c r="BS1185" s="6"/>
      <c r="BT1185" s="6"/>
      <c r="BU1185" s="6"/>
      <c r="BV1185" s="6"/>
      <c r="BW1185" s="6"/>
      <c r="BX1185" s="6"/>
      <c r="BY1185" s="6"/>
      <c r="BZ1185" s="6"/>
      <c r="CA1185" s="6"/>
      <c r="CB1185" s="6"/>
      <c r="CC1185" s="6"/>
      <c r="CD1185" s="6"/>
      <c r="CE1185" s="6"/>
      <c r="CF1185" s="5"/>
    </row>
    <row r="1186" spans="3:84"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  <c r="BC1186" s="6"/>
      <c r="BD1186" s="6"/>
      <c r="BE1186" s="6"/>
      <c r="BF1186" s="6"/>
      <c r="BG1186" s="6"/>
      <c r="BH1186" s="6"/>
      <c r="BI1186" s="6"/>
      <c r="BJ1186" s="6"/>
      <c r="BK1186" s="6"/>
      <c r="BL1186" s="6"/>
      <c r="BM1186" s="6"/>
      <c r="BN1186" s="6"/>
      <c r="BO1186" s="6"/>
      <c r="BP1186" s="6"/>
      <c r="BQ1186" s="6"/>
      <c r="BR1186" s="6"/>
      <c r="BS1186" s="6"/>
      <c r="BT1186" s="6"/>
      <c r="BU1186" s="6"/>
      <c r="BV1186" s="6"/>
      <c r="BW1186" s="6"/>
      <c r="BX1186" s="6"/>
      <c r="BY1186" s="6"/>
      <c r="BZ1186" s="6"/>
      <c r="CA1186" s="6"/>
      <c r="CB1186" s="6"/>
      <c r="CC1186" s="6"/>
      <c r="CD1186" s="6"/>
      <c r="CE1186" s="6"/>
      <c r="CF1186" s="5"/>
    </row>
    <row r="1187" spans="3:84"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  <c r="BC1187" s="6"/>
      <c r="BD1187" s="6"/>
      <c r="BE1187" s="6"/>
      <c r="BF1187" s="6"/>
      <c r="BG1187" s="6"/>
      <c r="BH1187" s="6"/>
      <c r="BI1187" s="6"/>
      <c r="BJ1187" s="6"/>
      <c r="BK1187" s="6"/>
      <c r="BL1187" s="6"/>
      <c r="BM1187" s="6"/>
      <c r="BN1187" s="6"/>
      <c r="BO1187" s="6"/>
      <c r="BP1187" s="6"/>
      <c r="BQ1187" s="6"/>
      <c r="BR1187" s="6"/>
      <c r="BS1187" s="6"/>
      <c r="BT1187" s="6"/>
      <c r="BU1187" s="6"/>
      <c r="BV1187" s="6"/>
      <c r="BW1187" s="6"/>
      <c r="BX1187" s="6"/>
      <c r="BY1187" s="6"/>
      <c r="BZ1187" s="6"/>
      <c r="CA1187" s="6"/>
      <c r="CB1187" s="6"/>
      <c r="CC1187" s="6"/>
      <c r="CD1187" s="6"/>
      <c r="CE1187" s="6"/>
      <c r="CF1187" s="5"/>
    </row>
    <row r="1188" spans="3:84"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  <c r="BC1188" s="6"/>
      <c r="BD1188" s="6"/>
      <c r="BE1188" s="6"/>
      <c r="BF1188" s="6"/>
      <c r="BG1188" s="6"/>
      <c r="BH1188" s="6"/>
      <c r="BI1188" s="6"/>
      <c r="BJ1188" s="6"/>
      <c r="BK1188" s="6"/>
      <c r="BL1188" s="6"/>
      <c r="BM1188" s="6"/>
      <c r="BN1188" s="6"/>
      <c r="BO1188" s="6"/>
      <c r="BP1188" s="6"/>
      <c r="BQ1188" s="6"/>
      <c r="BR1188" s="6"/>
      <c r="BS1188" s="6"/>
      <c r="BT1188" s="6"/>
      <c r="BU1188" s="6"/>
      <c r="BV1188" s="6"/>
      <c r="BW1188" s="6"/>
      <c r="BX1188" s="6"/>
      <c r="BY1188" s="6"/>
      <c r="BZ1188" s="6"/>
      <c r="CA1188" s="6"/>
      <c r="CB1188" s="6"/>
      <c r="CC1188" s="6"/>
      <c r="CD1188" s="6"/>
      <c r="CE1188" s="6"/>
      <c r="CF1188" s="5"/>
    </row>
    <row r="1189" spans="3:84"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  <c r="BC1189" s="6"/>
      <c r="BD1189" s="6"/>
      <c r="BE1189" s="6"/>
      <c r="BF1189" s="6"/>
      <c r="BG1189" s="6"/>
      <c r="BH1189" s="6"/>
      <c r="BI1189" s="6"/>
      <c r="BJ1189" s="6"/>
      <c r="BK1189" s="6"/>
      <c r="BL1189" s="6"/>
      <c r="BM1189" s="6"/>
      <c r="BN1189" s="6"/>
      <c r="BO1189" s="6"/>
      <c r="BP1189" s="6"/>
      <c r="BQ1189" s="6"/>
      <c r="BR1189" s="6"/>
      <c r="BS1189" s="6"/>
      <c r="BT1189" s="6"/>
      <c r="BU1189" s="6"/>
      <c r="BV1189" s="6"/>
      <c r="BW1189" s="6"/>
      <c r="BX1189" s="6"/>
      <c r="BY1189" s="6"/>
      <c r="BZ1189" s="6"/>
      <c r="CA1189" s="6"/>
      <c r="CB1189" s="6"/>
      <c r="CC1189" s="6"/>
      <c r="CD1189" s="6"/>
      <c r="CE1189" s="6"/>
      <c r="CF1189" s="5"/>
    </row>
    <row r="1190" spans="3:84"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  <c r="BC1190" s="6"/>
      <c r="BD1190" s="6"/>
      <c r="BE1190" s="6"/>
      <c r="BF1190" s="6"/>
      <c r="BG1190" s="6"/>
      <c r="BH1190" s="6"/>
      <c r="BI1190" s="6"/>
      <c r="BJ1190" s="6"/>
      <c r="BK1190" s="6"/>
      <c r="BL1190" s="6"/>
      <c r="BM1190" s="6"/>
      <c r="BN1190" s="6"/>
      <c r="BO1190" s="6"/>
      <c r="BP1190" s="6"/>
      <c r="BQ1190" s="6"/>
      <c r="BR1190" s="6"/>
      <c r="BS1190" s="6"/>
      <c r="BT1190" s="6"/>
      <c r="BU1190" s="6"/>
      <c r="BV1190" s="6"/>
      <c r="BW1190" s="6"/>
      <c r="BX1190" s="6"/>
      <c r="BY1190" s="6"/>
      <c r="BZ1190" s="6"/>
      <c r="CA1190" s="6"/>
      <c r="CB1190" s="6"/>
      <c r="CC1190" s="6"/>
      <c r="CD1190" s="6"/>
      <c r="CE1190" s="6"/>
      <c r="CF1190" s="5"/>
    </row>
    <row r="1191" spans="3:84"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  <c r="BC1191" s="6"/>
      <c r="BD1191" s="6"/>
      <c r="BE1191" s="6"/>
      <c r="BF1191" s="6"/>
      <c r="BG1191" s="6"/>
      <c r="BH1191" s="6"/>
      <c r="BI1191" s="6"/>
      <c r="BJ1191" s="6"/>
      <c r="BK1191" s="6"/>
      <c r="BL1191" s="6"/>
      <c r="BM1191" s="6"/>
      <c r="BN1191" s="6"/>
      <c r="BO1191" s="6"/>
      <c r="BP1191" s="6"/>
      <c r="BQ1191" s="6"/>
      <c r="BR1191" s="6"/>
      <c r="BS1191" s="6"/>
      <c r="BT1191" s="6"/>
      <c r="BU1191" s="6"/>
      <c r="BV1191" s="6"/>
      <c r="BW1191" s="6"/>
      <c r="BX1191" s="6"/>
      <c r="BY1191" s="6"/>
      <c r="BZ1191" s="6"/>
      <c r="CA1191" s="6"/>
      <c r="CB1191" s="6"/>
      <c r="CC1191" s="6"/>
      <c r="CD1191" s="6"/>
      <c r="CE1191" s="6"/>
      <c r="CF1191" s="5"/>
    </row>
    <row r="1192" spans="3:84"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  <c r="BC1192" s="6"/>
      <c r="BD1192" s="6"/>
      <c r="BE1192" s="6"/>
      <c r="BF1192" s="6"/>
      <c r="BG1192" s="6"/>
      <c r="BH1192" s="6"/>
      <c r="BI1192" s="6"/>
      <c r="BJ1192" s="6"/>
      <c r="BK1192" s="6"/>
      <c r="BL1192" s="6"/>
      <c r="BM1192" s="6"/>
      <c r="BN1192" s="6"/>
      <c r="BO1192" s="6"/>
      <c r="BP1192" s="6"/>
      <c r="BQ1192" s="6"/>
      <c r="BR1192" s="6"/>
      <c r="BS1192" s="6"/>
      <c r="BT1192" s="6"/>
      <c r="BU1192" s="6"/>
      <c r="BV1192" s="6"/>
      <c r="BW1192" s="6"/>
      <c r="BX1192" s="6"/>
      <c r="BY1192" s="6"/>
      <c r="BZ1192" s="6"/>
      <c r="CA1192" s="6"/>
      <c r="CB1192" s="6"/>
      <c r="CC1192" s="6"/>
      <c r="CD1192" s="6"/>
      <c r="CE1192" s="6"/>
      <c r="CF1192" s="5"/>
    </row>
    <row r="1193" spans="3:84"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  <c r="BC1193" s="6"/>
      <c r="BD1193" s="6"/>
      <c r="BE1193" s="6"/>
      <c r="BF1193" s="6"/>
      <c r="BG1193" s="6"/>
      <c r="BH1193" s="6"/>
      <c r="BI1193" s="6"/>
      <c r="BJ1193" s="6"/>
      <c r="BK1193" s="6"/>
      <c r="BL1193" s="6"/>
      <c r="BM1193" s="6"/>
      <c r="BN1193" s="6"/>
      <c r="BO1193" s="6"/>
      <c r="BP1193" s="6"/>
      <c r="BQ1193" s="6"/>
      <c r="BR1193" s="6"/>
      <c r="BS1193" s="6"/>
      <c r="BT1193" s="6"/>
      <c r="BU1193" s="6"/>
      <c r="BV1193" s="6"/>
      <c r="BW1193" s="6"/>
      <c r="BX1193" s="6"/>
      <c r="BY1193" s="6"/>
      <c r="BZ1193" s="6"/>
      <c r="CA1193" s="6"/>
      <c r="CB1193" s="6"/>
      <c r="CC1193" s="6"/>
      <c r="CD1193" s="6"/>
      <c r="CE1193" s="6"/>
      <c r="CF1193" s="5"/>
    </row>
    <row r="1194" spans="3:84"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  <c r="BC1194" s="6"/>
      <c r="BD1194" s="6"/>
      <c r="BE1194" s="6"/>
      <c r="BF1194" s="6"/>
      <c r="BG1194" s="6"/>
      <c r="BH1194" s="6"/>
      <c r="BI1194" s="6"/>
      <c r="BJ1194" s="6"/>
      <c r="BK1194" s="6"/>
      <c r="BL1194" s="6"/>
      <c r="BM1194" s="6"/>
      <c r="BN1194" s="6"/>
      <c r="BO1194" s="6"/>
      <c r="BP1194" s="6"/>
      <c r="BQ1194" s="6"/>
      <c r="BR1194" s="6"/>
      <c r="BS1194" s="6"/>
      <c r="BT1194" s="6"/>
      <c r="BU1194" s="6"/>
      <c r="BV1194" s="6"/>
      <c r="BW1194" s="6"/>
      <c r="BX1194" s="6"/>
      <c r="BY1194" s="6"/>
      <c r="BZ1194" s="6"/>
      <c r="CA1194" s="6"/>
      <c r="CB1194" s="6"/>
      <c r="CC1194" s="6"/>
      <c r="CD1194" s="6"/>
      <c r="CE1194" s="6"/>
      <c r="CF1194" s="5"/>
    </row>
    <row r="1195" spans="3:84"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  <c r="BC1195" s="6"/>
      <c r="BD1195" s="6"/>
      <c r="BE1195" s="6"/>
      <c r="BF1195" s="6"/>
      <c r="BG1195" s="6"/>
      <c r="BH1195" s="6"/>
      <c r="BI1195" s="6"/>
      <c r="BJ1195" s="6"/>
      <c r="BK1195" s="6"/>
      <c r="BL1195" s="6"/>
      <c r="BM1195" s="6"/>
      <c r="BN1195" s="6"/>
      <c r="BO1195" s="6"/>
      <c r="BP1195" s="6"/>
      <c r="BQ1195" s="6"/>
      <c r="BR1195" s="6"/>
      <c r="BS1195" s="6"/>
      <c r="BT1195" s="6"/>
      <c r="BU1195" s="6"/>
      <c r="BV1195" s="6"/>
      <c r="BW1195" s="6"/>
      <c r="BX1195" s="6"/>
      <c r="BY1195" s="6"/>
      <c r="BZ1195" s="6"/>
      <c r="CA1195" s="6"/>
      <c r="CB1195" s="6"/>
      <c r="CC1195" s="6"/>
      <c r="CD1195" s="6"/>
      <c r="CE1195" s="6"/>
      <c r="CF1195" s="5"/>
    </row>
    <row r="1196" spans="3:84"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  <c r="BC1196" s="6"/>
      <c r="BD1196" s="6"/>
      <c r="BE1196" s="6"/>
      <c r="BF1196" s="6"/>
      <c r="BG1196" s="6"/>
      <c r="BH1196" s="6"/>
      <c r="BI1196" s="6"/>
      <c r="BJ1196" s="6"/>
      <c r="BK1196" s="6"/>
      <c r="BL1196" s="6"/>
      <c r="BM1196" s="6"/>
      <c r="BN1196" s="6"/>
      <c r="BO1196" s="6"/>
      <c r="BP1196" s="6"/>
      <c r="BQ1196" s="6"/>
      <c r="BR1196" s="6"/>
      <c r="BS1196" s="6"/>
      <c r="BT1196" s="6"/>
      <c r="BU1196" s="6"/>
      <c r="BV1196" s="6"/>
      <c r="BW1196" s="6"/>
      <c r="BX1196" s="6"/>
      <c r="BY1196" s="6"/>
      <c r="BZ1196" s="6"/>
      <c r="CA1196" s="6"/>
      <c r="CB1196" s="6"/>
      <c r="CC1196" s="6"/>
      <c r="CD1196" s="6"/>
      <c r="CE1196" s="6"/>
      <c r="CF1196" s="5"/>
    </row>
    <row r="1197" spans="3:84"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  <c r="BC1197" s="6"/>
      <c r="BD1197" s="6"/>
      <c r="BE1197" s="6"/>
      <c r="BF1197" s="6"/>
      <c r="BG1197" s="6"/>
      <c r="BH1197" s="6"/>
      <c r="BI1197" s="6"/>
      <c r="BJ1197" s="6"/>
      <c r="BK1197" s="6"/>
      <c r="BL1197" s="6"/>
      <c r="BM1197" s="6"/>
      <c r="BN1197" s="6"/>
      <c r="BO1197" s="6"/>
      <c r="BP1197" s="6"/>
      <c r="BQ1197" s="6"/>
      <c r="BR1197" s="6"/>
      <c r="BS1197" s="6"/>
      <c r="BT1197" s="6"/>
      <c r="BU1197" s="6"/>
      <c r="BV1197" s="6"/>
      <c r="BW1197" s="6"/>
      <c r="BX1197" s="6"/>
      <c r="BY1197" s="6"/>
      <c r="BZ1197" s="6"/>
      <c r="CA1197" s="6"/>
      <c r="CB1197" s="6"/>
      <c r="CC1197" s="6"/>
      <c r="CD1197" s="6"/>
      <c r="CE1197" s="6"/>
      <c r="CF1197" s="5"/>
    </row>
    <row r="1198" spans="3:84"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  <c r="BC1198" s="6"/>
      <c r="BD1198" s="6"/>
      <c r="BE1198" s="6"/>
      <c r="BF1198" s="6"/>
      <c r="BG1198" s="6"/>
      <c r="BH1198" s="6"/>
      <c r="BI1198" s="6"/>
      <c r="BJ1198" s="6"/>
      <c r="BK1198" s="6"/>
      <c r="BL1198" s="6"/>
      <c r="BM1198" s="6"/>
      <c r="BN1198" s="6"/>
      <c r="BO1198" s="6"/>
      <c r="BP1198" s="6"/>
      <c r="BQ1198" s="6"/>
      <c r="BR1198" s="6"/>
      <c r="BS1198" s="6"/>
      <c r="BT1198" s="6"/>
      <c r="BU1198" s="6"/>
      <c r="BV1198" s="6"/>
      <c r="BW1198" s="6"/>
      <c r="BX1198" s="6"/>
      <c r="BY1198" s="6"/>
      <c r="BZ1198" s="6"/>
      <c r="CA1198" s="6"/>
      <c r="CB1198" s="6"/>
      <c r="CC1198" s="6"/>
      <c r="CD1198" s="6"/>
      <c r="CE1198" s="6"/>
      <c r="CF1198" s="5"/>
    </row>
    <row r="1199" spans="3:84"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  <c r="BC1199" s="6"/>
      <c r="BD1199" s="6"/>
      <c r="BE1199" s="6"/>
      <c r="BF1199" s="6"/>
      <c r="BG1199" s="6"/>
      <c r="BH1199" s="6"/>
      <c r="BI1199" s="6"/>
      <c r="BJ1199" s="6"/>
      <c r="BK1199" s="6"/>
      <c r="BL1199" s="6"/>
      <c r="BM1199" s="6"/>
      <c r="BN1199" s="6"/>
      <c r="BO1199" s="6"/>
      <c r="BP1199" s="6"/>
      <c r="BQ1199" s="6"/>
      <c r="BR1199" s="6"/>
      <c r="BS1199" s="6"/>
      <c r="BT1199" s="6"/>
      <c r="BU1199" s="6"/>
      <c r="BV1199" s="6"/>
      <c r="BW1199" s="6"/>
      <c r="BX1199" s="6"/>
      <c r="BY1199" s="6"/>
      <c r="BZ1199" s="6"/>
      <c r="CA1199" s="6"/>
      <c r="CB1199" s="6"/>
      <c r="CC1199" s="6"/>
      <c r="CD1199" s="6"/>
      <c r="CE1199" s="6"/>
      <c r="CF1199" s="5"/>
    </row>
    <row r="1200" spans="3:84"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  <c r="BC1200" s="6"/>
      <c r="BD1200" s="6"/>
      <c r="BE1200" s="6"/>
      <c r="BF1200" s="6"/>
      <c r="BG1200" s="6"/>
      <c r="BH1200" s="6"/>
      <c r="BI1200" s="6"/>
      <c r="BJ1200" s="6"/>
      <c r="BK1200" s="6"/>
      <c r="BL1200" s="6"/>
      <c r="BM1200" s="6"/>
      <c r="BN1200" s="6"/>
      <c r="BO1200" s="6"/>
      <c r="BP1200" s="6"/>
      <c r="BQ1200" s="6"/>
      <c r="BR1200" s="6"/>
      <c r="BS1200" s="6"/>
      <c r="BT1200" s="6"/>
      <c r="BU1200" s="6"/>
      <c r="BV1200" s="6"/>
      <c r="BW1200" s="6"/>
      <c r="BX1200" s="6"/>
      <c r="BY1200" s="6"/>
      <c r="BZ1200" s="6"/>
      <c r="CA1200" s="6"/>
      <c r="CB1200" s="6"/>
      <c r="CC1200" s="6"/>
      <c r="CD1200" s="6"/>
      <c r="CE1200" s="6"/>
      <c r="CF1200" s="5"/>
    </row>
    <row r="1201" spans="3:84"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  <c r="BC1201" s="6"/>
      <c r="BD1201" s="6"/>
      <c r="BE1201" s="6"/>
      <c r="BF1201" s="6"/>
      <c r="BG1201" s="6"/>
      <c r="BH1201" s="6"/>
      <c r="BI1201" s="6"/>
      <c r="BJ1201" s="6"/>
      <c r="BK1201" s="6"/>
      <c r="BL1201" s="6"/>
      <c r="BM1201" s="6"/>
      <c r="BN1201" s="6"/>
      <c r="BO1201" s="6"/>
      <c r="BP1201" s="6"/>
      <c r="BQ1201" s="6"/>
      <c r="BR1201" s="6"/>
      <c r="BS1201" s="6"/>
      <c r="BT1201" s="6"/>
      <c r="BU1201" s="6"/>
      <c r="BV1201" s="6"/>
      <c r="BW1201" s="6"/>
      <c r="BX1201" s="6"/>
      <c r="BY1201" s="6"/>
      <c r="BZ1201" s="6"/>
      <c r="CA1201" s="6"/>
      <c r="CB1201" s="6"/>
      <c r="CC1201" s="6"/>
      <c r="CD1201" s="6"/>
      <c r="CE1201" s="6"/>
      <c r="CF1201" s="5"/>
    </row>
    <row r="1202" spans="3:84"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  <c r="BC1202" s="6"/>
      <c r="BD1202" s="6"/>
      <c r="BE1202" s="6"/>
      <c r="BF1202" s="6"/>
      <c r="BG1202" s="6"/>
      <c r="BH1202" s="6"/>
      <c r="BI1202" s="6"/>
      <c r="BJ1202" s="6"/>
      <c r="BK1202" s="6"/>
      <c r="BL1202" s="6"/>
      <c r="BM1202" s="6"/>
      <c r="BN1202" s="6"/>
      <c r="BO1202" s="6"/>
      <c r="BP1202" s="6"/>
      <c r="BQ1202" s="6"/>
      <c r="BR1202" s="6"/>
      <c r="BS1202" s="6"/>
      <c r="BT1202" s="6"/>
      <c r="BU1202" s="6"/>
      <c r="BV1202" s="6"/>
      <c r="BW1202" s="6"/>
      <c r="BX1202" s="6"/>
      <c r="BY1202" s="6"/>
      <c r="BZ1202" s="6"/>
      <c r="CA1202" s="6"/>
      <c r="CB1202" s="6"/>
      <c r="CC1202" s="6"/>
      <c r="CD1202" s="6"/>
      <c r="CE1202" s="6"/>
      <c r="CF1202" s="5"/>
    </row>
    <row r="1203" spans="3:84"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  <c r="BC1203" s="6"/>
      <c r="BD1203" s="6"/>
      <c r="BE1203" s="6"/>
      <c r="BF1203" s="6"/>
      <c r="BG1203" s="6"/>
      <c r="BH1203" s="6"/>
      <c r="BI1203" s="6"/>
      <c r="BJ1203" s="6"/>
      <c r="BK1203" s="6"/>
      <c r="BL1203" s="6"/>
      <c r="BM1203" s="6"/>
      <c r="BN1203" s="6"/>
      <c r="BO1203" s="6"/>
      <c r="BP1203" s="6"/>
      <c r="BQ1203" s="6"/>
      <c r="BR1203" s="6"/>
      <c r="BS1203" s="6"/>
      <c r="BT1203" s="6"/>
      <c r="BU1203" s="6"/>
      <c r="BV1203" s="6"/>
      <c r="BW1203" s="6"/>
      <c r="BX1203" s="6"/>
      <c r="BY1203" s="6"/>
      <c r="BZ1203" s="6"/>
      <c r="CA1203" s="6"/>
      <c r="CB1203" s="6"/>
      <c r="CC1203" s="6"/>
      <c r="CD1203" s="6"/>
      <c r="CE1203" s="6"/>
      <c r="CF1203" s="5"/>
    </row>
    <row r="1204" spans="3:84"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  <c r="BC1204" s="6"/>
      <c r="BD1204" s="6"/>
      <c r="BE1204" s="6"/>
      <c r="BF1204" s="6"/>
      <c r="BG1204" s="6"/>
      <c r="BH1204" s="6"/>
      <c r="BI1204" s="6"/>
      <c r="BJ1204" s="6"/>
      <c r="BK1204" s="6"/>
      <c r="BL1204" s="6"/>
      <c r="BM1204" s="6"/>
      <c r="BN1204" s="6"/>
      <c r="BO1204" s="6"/>
      <c r="BP1204" s="6"/>
      <c r="BQ1204" s="6"/>
      <c r="BR1204" s="6"/>
      <c r="BS1204" s="6"/>
      <c r="BT1204" s="6"/>
      <c r="BU1204" s="6"/>
      <c r="BV1204" s="6"/>
      <c r="BW1204" s="6"/>
      <c r="BX1204" s="6"/>
      <c r="BY1204" s="6"/>
      <c r="BZ1204" s="6"/>
      <c r="CA1204" s="6"/>
      <c r="CB1204" s="6"/>
      <c r="CC1204" s="6"/>
      <c r="CD1204" s="6"/>
      <c r="CE1204" s="6"/>
      <c r="CF1204" s="5"/>
    </row>
    <row r="1205" spans="3:84"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  <c r="BC1205" s="6"/>
      <c r="BD1205" s="6"/>
      <c r="BE1205" s="6"/>
      <c r="BF1205" s="6"/>
      <c r="BG1205" s="6"/>
      <c r="BH1205" s="6"/>
      <c r="BI1205" s="6"/>
      <c r="BJ1205" s="6"/>
      <c r="BK1205" s="6"/>
      <c r="BL1205" s="6"/>
      <c r="BM1205" s="6"/>
      <c r="BN1205" s="6"/>
      <c r="BO1205" s="6"/>
      <c r="BP1205" s="6"/>
      <c r="BQ1205" s="6"/>
      <c r="BR1205" s="6"/>
      <c r="BS1205" s="6"/>
      <c r="BT1205" s="6"/>
      <c r="BU1205" s="6"/>
      <c r="BV1205" s="6"/>
      <c r="BW1205" s="6"/>
      <c r="BX1205" s="6"/>
      <c r="BY1205" s="6"/>
      <c r="BZ1205" s="6"/>
      <c r="CA1205" s="6"/>
      <c r="CB1205" s="6"/>
      <c r="CC1205" s="6"/>
      <c r="CD1205" s="6"/>
      <c r="CE1205" s="6"/>
      <c r="CF1205" s="5"/>
    </row>
    <row r="1206" spans="3:84"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  <c r="BC1206" s="6"/>
      <c r="BD1206" s="6"/>
      <c r="BE1206" s="6"/>
      <c r="BF1206" s="6"/>
      <c r="BG1206" s="6"/>
      <c r="BH1206" s="6"/>
      <c r="BI1206" s="6"/>
      <c r="BJ1206" s="6"/>
      <c r="BK1206" s="6"/>
      <c r="BL1206" s="6"/>
      <c r="BM1206" s="6"/>
      <c r="BN1206" s="6"/>
      <c r="BO1206" s="6"/>
      <c r="BP1206" s="6"/>
      <c r="BQ1206" s="6"/>
      <c r="BR1206" s="6"/>
      <c r="BS1206" s="6"/>
      <c r="BT1206" s="6"/>
      <c r="BU1206" s="6"/>
      <c r="BV1206" s="6"/>
      <c r="BW1206" s="6"/>
      <c r="BX1206" s="6"/>
      <c r="BY1206" s="6"/>
      <c r="BZ1206" s="6"/>
      <c r="CA1206" s="6"/>
      <c r="CB1206" s="6"/>
      <c r="CC1206" s="6"/>
      <c r="CD1206" s="6"/>
      <c r="CE1206" s="6"/>
      <c r="CF1206" s="5"/>
    </row>
    <row r="1207" spans="3:84"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  <c r="BC1207" s="6"/>
      <c r="BD1207" s="6"/>
      <c r="BE1207" s="6"/>
      <c r="BF1207" s="6"/>
      <c r="BG1207" s="6"/>
      <c r="BH1207" s="6"/>
      <c r="BI1207" s="6"/>
      <c r="BJ1207" s="6"/>
      <c r="BK1207" s="6"/>
      <c r="BL1207" s="6"/>
      <c r="BM1207" s="6"/>
      <c r="BN1207" s="6"/>
      <c r="BO1207" s="6"/>
      <c r="BP1207" s="6"/>
      <c r="BQ1207" s="6"/>
      <c r="BR1207" s="6"/>
      <c r="BS1207" s="6"/>
      <c r="BT1207" s="6"/>
      <c r="BU1207" s="6"/>
      <c r="BV1207" s="6"/>
      <c r="BW1207" s="6"/>
      <c r="BX1207" s="6"/>
      <c r="BY1207" s="6"/>
      <c r="BZ1207" s="6"/>
      <c r="CA1207" s="6"/>
      <c r="CB1207" s="6"/>
      <c r="CC1207" s="6"/>
      <c r="CD1207" s="6"/>
      <c r="CE1207" s="6"/>
      <c r="CF1207" s="5"/>
    </row>
    <row r="1208" spans="3:84"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  <c r="BC1208" s="6"/>
      <c r="BD1208" s="6"/>
      <c r="BE1208" s="6"/>
      <c r="BF1208" s="6"/>
      <c r="BG1208" s="6"/>
      <c r="BH1208" s="6"/>
      <c r="BI1208" s="6"/>
      <c r="BJ1208" s="6"/>
      <c r="BK1208" s="6"/>
      <c r="BL1208" s="6"/>
      <c r="BM1208" s="6"/>
      <c r="BN1208" s="6"/>
      <c r="BO1208" s="6"/>
      <c r="BP1208" s="6"/>
      <c r="BQ1208" s="6"/>
      <c r="BR1208" s="6"/>
      <c r="BS1208" s="6"/>
      <c r="BT1208" s="6"/>
      <c r="BU1208" s="6"/>
      <c r="BV1208" s="6"/>
      <c r="BW1208" s="6"/>
      <c r="BX1208" s="6"/>
      <c r="BY1208" s="6"/>
      <c r="BZ1208" s="6"/>
      <c r="CA1208" s="6"/>
      <c r="CB1208" s="6"/>
      <c r="CC1208" s="6"/>
      <c r="CD1208" s="6"/>
      <c r="CE1208" s="6"/>
      <c r="CF1208" s="5"/>
    </row>
    <row r="1209" spans="3:84"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  <c r="BC1209" s="6"/>
      <c r="BD1209" s="6"/>
      <c r="BE1209" s="6"/>
      <c r="BF1209" s="6"/>
      <c r="BG1209" s="6"/>
      <c r="BH1209" s="6"/>
      <c r="BI1209" s="6"/>
      <c r="BJ1209" s="6"/>
      <c r="BK1209" s="6"/>
      <c r="BL1209" s="6"/>
      <c r="BM1209" s="6"/>
      <c r="BN1209" s="6"/>
      <c r="BO1209" s="6"/>
      <c r="BP1209" s="6"/>
      <c r="BQ1209" s="6"/>
      <c r="BR1209" s="6"/>
      <c r="BS1209" s="6"/>
      <c r="BT1209" s="6"/>
      <c r="BU1209" s="6"/>
      <c r="BV1209" s="6"/>
      <c r="BW1209" s="6"/>
      <c r="BX1209" s="6"/>
      <c r="BY1209" s="6"/>
      <c r="BZ1209" s="6"/>
      <c r="CA1209" s="6"/>
      <c r="CB1209" s="6"/>
      <c r="CC1209" s="6"/>
      <c r="CD1209" s="6"/>
      <c r="CE1209" s="6"/>
      <c r="CF1209" s="5"/>
    </row>
    <row r="1210" spans="3:84"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  <c r="BC1210" s="6"/>
      <c r="BD1210" s="6"/>
      <c r="BE1210" s="6"/>
      <c r="BF1210" s="6"/>
      <c r="BG1210" s="6"/>
      <c r="BH1210" s="6"/>
      <c r="BI1210" s="6"/>
      <c r="BJ1210" s="6"/>
      <c r="BK1210" s="6"/>
      <c r="BL1210" s="6"/>
      <c r="BM1210" s="6"/>
      <c r="BN1210" s="6"/>
      <c r="BO1210" s="6"/>
      <c r="BP1210" s="6"/>
      <c r="BQ1210" s="6"/>
      <c r="BR1210" s="6"/>
      <c r="BS1210" s="6"/>
      <c r="BT1210" s="6"/>
      <c r="BU1210" s="6"/>
      <c r="BV1210" s="6"/>
      <c r="BW1210" s="6"/>
      <c r="BX1210" s="6"/>
      <c r="BY1210" s="6"/>
      <c r="BZ1210" s="6"/>
      <c r="CA1210" s="6"/>
      <c r="CB1210" s="6"/>
      <c r="CC1210" s="6"/>
      <c r="CD1210" s="6"/>
      <c r="CE1210" s="6"/>
      <c r="CF1210" s="5"/>
    </row>
    <row r="1211" spans="3:84"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  <c r="BC1211" s="6"/>
      <c r="BD1211" s="6"/>
      <c r="BE1211" s="6"/>
      <c r="BF1211" s="6"/>
      <c r="BG1211" s="6"/>
      <c r="BH1211" s="6"/>
      <c r="BI1211" s="6"/>
      <c r="BJ1211" s="6"/>
      <c r="BK1211" s="6"/>
      <c r="BL1211" s="6"/>
      <c r="BM1211" s="6"/>
      <c r="BN1211" s="6"/>
      <c r="BO1211" s="6"/>
      <c r="BP1211" s="6"/>
      <c r="BQ1211" s="6"/>
      <c r="BR1211" s="6"/>
      <c r="BS1211" s="6"/>
      <c r="BT1211" s="6"/>
      <c r="BU1211" s="6"/>
      <c r="BV1211" s="6"/>
      <c r="BW1211" s="6"/>
      <c r="BX1211" s="6"/>
      <c r="BY1211" s="6"/>
      <c r="BZ1211" s="6"/>
      <c r="CA1211" s="6"/>
      <c r="CB1211" s="6"/>
      <c r="CC1211" s="6"/>
      <c r="CD1211" s="6"/>
      <c r="CE1211" s="6"/>
      <c r="CF1211" s="5"/>
    </row>
    <row r="1212" spans="3:84"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  <c r="BC1212" s="6"/>
      <c r="BD1212" s="6"/>
      <c r="BE1212" s="6"/>
      <c r="BF1212" s="6"/>
      <c r="BG1212" s="6"/>
      <c r="BH1212" s="6"/>
      <c r="BI1212" s="6"/>
      <c r="BJ1212" s="6"/>
      <c r="BK1212" s="6"/>
      <c r="BL1212" s="6"/>
      <c r="BM1212" s="6"/>
      <c r="BN1212" s="6"/>
      <c r="BO1212" s="6"/>
      <c r="BP1212" s="6"/>
      <c r="BQ1212" s="6"/>
      <c r="BR1212" s="6"/>
      <c r="BS1212" s="6"/>
      <c r="BT1212" s="6"/>
      <c r="BU1212" s="6"/>
      <c r="BV1212" s="6"/>
      <c r="BW1212" s="6"/>
      <c r="BX1212" s="6"/>
      <c r="BY1212" s="6"/>
      <c r="BZ1212" s="6"/>
      <c r="CA1212" s="6"/>
      <c r="CB1212" s="6"/>
      <c r="CC1212" s="6"/>
      <c r="CD1212" s="6"/>
      <c r="CE1212" s="6"/>
      <c r="CF1212" s="5"/>
    </row>
    <row r="1213" spans="3:84"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  <c r="BC1213" s="6"/>
      <c r="BD1213" s="6"/>
      <c r="BE1213" s="6"/>
      <c r="BF1213" s="6"/>
      <c r="BG1213" s="6"/>
      <c r="BH1213" s="6"/>
      <c r="BI1213" s="6"/>
      <c r="BJ1213" s="6"/>
      <c r="BK1213" s="6"/>
      <c r="BL1213" s="6"/>
      <c r="BM1213" s="6"/>
      <c r="BN1213" s="6"/>
      <c r="BO1213" s="6"/>
      <c r="BP1213" s="6"/>
      <c r="BQ1213" s="6"/>
      <c r="BR1213" s="6"/>
      <c r="BS1213" s="6"/>
      <c r="BT1213" s="6"/>
      <c r="BU1213" s="6"/>
      <c r="BV1213" s="6"/>
      <c r="BW1213" s="6"/>
      <c r="BX1213" s="6"/>
      <c r="BY1213" s="6"/>
      <c r="BZ1213" s="6"/>
      <c r="CA1213" s="6"/>
      <c r="CB1213" s="6"/>
      <c r="CC1213" s="6"/>
      <c r="CD1213" s="6"/>
      <c r="CE1213" s="6"/>
      <c r="CF1213" s="5"/>
    </row>
    <row r="1214" spans="3:84"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  <c r="BC1214" s="6"/>
      <c r="BD1214" s="6"/>
      <c r="BE1214" s="6"/>
      <c r="BF1214" s="6"/>
      <c r="BG1214" s="6"/>
      <c r="BH1214" s="6"/>
      <c r="BI1214" s="6"/>
      <c r="BJ1214" s="6"/>
      <c r="BK1214" s="6"/>
      <c r="BL1214" s="6"/>
      <c r="BM1214" s="6"/>
      <c r="BN1214" s="6"/>
      <c r="BO1214" s="6"/>
      <c r="BP1214" s="6"/>
      <c r="BQ1214" s="6"/>
      <c r="BR1214" s="6"/>
      <c r="BS1214" s="6"/>
      <c r="BT1214" s="6"/>
      <c r="BU1214" s="6"/>
      <c r="BV1214" s="6"/>
      <c r="BW1214" s="6"/>
      <c r="BX1214" s="6"/>
      <c r="BY1214" s="6"/>
      <c r="BZ1214" s="6"/>
      <c r="CA1214" s="6"/>
      <c r="CB1214" s="6"/>
      <c r="CC1214" s="6"/>
      <c r="CD1214" s="6"/>
      <c r="CE1214" s="6"/>
      <c r="CF1214" s="5"/>
    </row>
    <row r="1215" spans="3:84"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  <c r="BC1215" s="6"/>
      <c r="BD1215" s="6"/>
      <c r="BE1215" s="6"/>
      <c r="BF1215" s="6"/>
      <c r="BG1215" s="6"/>
      <c r="BH1215" s="6"/>
      <c r="BI1215" s="6"/>
      <c r="BJ1215" s="6"/>
      <c r="BK1215" s="6"/>
      <c r="BL1215" s="6"/>
      <c r="BM1215" s="6"/>
      <c r="BN1215" s="6"/>
      <c r="BO1215" s="6"/>
      <c r="BP1215" s="6"/>
      <c r="BQ1215" s="6"/>
      <c r="BR1215" s="6"/>
      <c r="BS1215" s="6"/>
      <c r="BT1215" s="6"/>
      <c r="BU1215" s="6"/>
      <c r="BV1215" s="6"/>
      <c r="BW1215" s="6"/>
      <c r="BX1215" s="6"/>
      <c r="BY1215" s="6"/>
      <c r="BZ1215" s="6"/>
      <c r="CA1215" s="6"/>
      <c r="CB1215" s="6"/>
      <c r="CC1215" s="6"/>
      <c r="CD1215" s="6"/>
      <c r="CE1215" s="6"/>
      <c r="CF1215" s="5"/>
    </row>
    <row r="1216" spans="3:84"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  <c r="BC1216" s="6"/>
      <c r="BD1216" s="6"/>
      <c r="BE1216" s="6"/>
      <c r="BF1216" s="6"/>
      <c r="BG1216" s="6"/>
      <c r="BH1216" s="6"/>
      <c r="BI1216" s="6"/>
      <c r="BJ1216" s="6"/>
      <c r="BK1216" s="6"/>
      <c r="BL1216" s="6"/>
      <c r="BM1216" s="6"/>
      <c r="BN1216" s="6"/>
      <c r="BO1216" s="6"/>
      <c r="BP1216" s="6"/>
      <c r="BQ1216" s="6"/>
      <c r="BR1216" s="6"/>
      <c r="BS1216" s="6"/>
      <c r="BT1216" s="6"/>
      <c r="BU1216" s="6"/>
      <c r="BV1216" s="6"/>
      <c r="BW1216" s="6"/>
      <c r="BX1216" s="6"/>
      <c r="BY1216" s="6"/>
      <c r="BZ1216" s="6"/>
      <c r="CA1216" s="6"/>
      <c r="CB1216" s="6"/>
      <c r="CC1216" s="6"/>
      <c r="CD1216" s="6"/>
      <c r="CE1216" s="6"/>
      <c r="CF1216" s="5"/>
    </row>
    <row r="1217" spans="3:84"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  <c r="BC1217" s="6"/>
      <c r="BD1217" s="6"/>
      <c r="BE1217" s="6"/>
      <c r="BF1217" s="6"/>
      <c r="BG1217" s="6"/>
      <c r="BH1217" s="6"/>
      <c r="BI1217" s="6"/>
      <c r="BJ1217" s="6"/>
      <c r="BK1217" s="6"/>
      <c r="BL1217" s="6"/>
      <c r="BM1217" s="6"/>
      <c r="BN1217" s="6"/>
      <c r="BO1217" s="6"/>
      <c r="BP1217" s="6"/>
      <c r="BQ1217" s="6"/>
      <c r="BR1217" s="6"/>
      <c r="BS1217" s="6"/>
      <c r="BT1217" s="6"/>
      <c r="BU1217" s="6"/>
      <c r="BV1217" s="6"/>
      <c r="BW1217" s="6"/>
      <c r="BX1217" s="6"/>
      <c r="BY1217" s="6"/>
      <c r="BZ1217" s="6"/>
      <c r="CA1217" s="6"/>
      <c r="CB1217" s="6"/>
      <c r="CC1217" s="6"/>
      <c r="CD1217" s="6"/>
      <c r="CE1217" s="6"/>
      <c r="CF1217" s="5"/>
    </row>
    <row r="1218" spans="3:84"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  <c r="BC1218" s="6"/>
      <c r="BD1218" s="6"/>
      <c r="BE1218" s="6"/>
      <c r="BF1218" s="6"/>
      <c r="BG1218" s="6"/>
      <c r="BH1218" s="6"/>
      <c r="BI1218" s="6"/>
      <c r="BJ1218" s="6"/>
      <c r="BK1218" s="6"/>
      <c r="BL1218" s="6"/>
      <c r="BM1218" s="6"/>
      <c r="BN1218" s="6"/>
      <c r="BO1218" s="6"/>
      <c r="BP1218" s="6"/>
      <c r="BQ1218" s="6"/>
      <c r="BR1218" s="6"/>
      <c r="BS1218" s="6"/>
      <c r="BT1218" s="6"/>
      <c r="BU1218" s="6"/>
      <c r="BV1218" s="6"/>
      <c r="BW1218" s="6"/>
      <c r="BX1218" s="6"/>
      <c r="BY1218" s="6"/>
      <c r="BZ1218" s="6"/>
      <c r="CA1218" s="6"/>
      <c r="CB1218" s="6"/>
      <c r="CC1218" s="6"/>
      <c r="CD1218" s="6"/>
      <c r="CE1218" s="6"/>
      <c r="CF1218" s="5"/>
    </row>
    <row r="1219" spans="3:84"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  <c r="BC1219" s="6"/>
      <c r="BD1219" s="6"/>
      <c r="BE1219" s="6"/>
      <c r="BF1219" s="6"/>
      <c r="BG1219" s="6"/>
      <c r="BH1219" s="6"/>
      <c r="BI1219" s="6"/>
      <c r="BJ1219" s="6"/>
      <c r="BK1219" s="6"/>
      <c r="BL1219" s="6"/>
      <c r="BM1219" s="6"/>
      <c r="BN1219" s="6"/>
      <c r="BO1219" s="6"/>
      <c r="BP1219" s="6"/>
      <c r="BQ1219" s="6"/>
      <c r="BR1219" s="6"/>
      <c r="BS1219" s="6"/>
      <c r="BT1219" s="6"/>
      <c r="BU1219" s="6"/>
      <c r="BV1219" s="6"/>
      <c r="BW1219" s="6"/>
      <c r="BX1219" s="6"/>
      <c r="BY1219" s="6"/>
      <c r="BZ1219" s="6"/>
      <c r="CA1219" s="6"/>
      <c r="CB1219" s="6"/>
      <c r="CC1219" s="6"/>
      <c r="CD1219" s="6"/>
      <c r="CE1219" s="6"/>
      <c r="CF1219" s="5"/>
    </row>
    <row r="1220" spans="3:84"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  <c r="BC1220" s="6"/>
      <c r="BD1220" s="6"/>
      <c r="BE1220" s="6"/>
      <c r="BF1220" s="6"/>
      <c r="BG1220" s="6"/>
      <c r="BH1220" s="6"/>
      <c r="BI1220" s="6"/>
      <c r="BJ1220" s="6"/>
      <c r="BK1220" s="6"/>
      <c r="BL1220" s="6"/>
      <c r="BM1220" s="6"/>
      <c r="BN1220" s="6"/>
      <c r="BO1220" s="6"/>
      <c r="BP1220" s="6"/>
      <c r="BQ1220" s="6"/>
      <c r="BR1220" s="6"/>
      <c r="BS1220" s="6"/>
      <c r="BT1220" s="6"/>
      <c r="BU1220" s="6"/>
      <c r="BV1220" s="6"/>
      <c r="BW1220" s="6"/>
      <c r="BX1220" s="6"/>
      <c r="BY1220" s="6"/>
      <c r="BZ1220" s="6"/>
      <c r="CA1220" s="6"/>
      <c r="CB1220" s="6"/>
      <c r="CC1220" s="6"/>
      <c r="CD1220" s="6"/>
      <c r="CE1220" s="6"/>
      <c r="CF1220" s="5"/>
    </row>
  </sheetData>
  <customSheetViews>
    <customSheetView guid="{6ED7E203-3B12-4790-A9AD-D7EF4259F09D}" scale="85" showGridLines="0" fitToPage="1" printArea="1" hiddenRows="1" hiddenColumns="1">
      <pane xSplit="2" ySplit="5" topLeftCell="AI44" activePane="bottomRight" state="frozen"/>
      <selection pane="bottomRight" activeCell="AM84" sqref="AM84"/>
      <pageMargins left="1" right="1" top="1" bottom="1" header="0.5" footer="0.5"/>
      <pageSetup paperSize="8" scale="28" fitToHeight="0" orientation="landscape" r:id="rId1"/>
    </customSheetView>
    <customSheetView guid="{B8862541-B9EF-4C0A-9660-E37FD3328D7C}" scale="85" showGridLines="0" fitToPage="1" hiddenColumns="1">
      <pane xSplit="32" ySplit="5" topLeftCell="AH38" activePane="bottomRight" state="frozen"/>
      <selection pane="bottomRight" activeCell="BB75" sqref="BB75"/>
      <pageMargins left="1" right="1" top="1" bottom="1" header="0.5" footer="0.5"/>
      <pageSetup paperSize="8" scale="97" fitToHeight="0" orientation="landscape" r:id="rId2"/>
    </customSheetView>
    <customSheetView guid="{E131BE6B-79DB-46DB-B0E9-6B0271F9C8B0}" showPageBreaks="1" showGridLines="0" fitToPage="1" hiddenColumns="1">
      <pane xSplit="2" ySplit="5" topLeftCell="AP319" activePane="bottomRight" state="frozen"/>
      <selection pane="bottomRight" activeCell="AY334" sqref="AY334"/>
      <pageMargins left="1" right="1" top="1" bottom="1" header="0.5" footer="0.5"/>
      <pageSetup paperSize="8" scale="10" fitToHeight="0" orientation="landscape" r:id="rId3"/>
    </customSheetView>
    <customSheetView guid="{72DF6648-21DE-4B04-AC1C-FD8EB9E9ABC3}" showGridLines="0">
      <pane xSplit="2" ySplit="5" topLeftCell="P18" activePane="bottomRight" state="frozen"/>
      <selection pane="bottomRight" activeCell="X44" sqref="X44"/>
      <pageMargins left="0.7" right="0.7" top="0.75" bottom="0.75" header="0.3" footer="0.3"/>
      <pageSetup orientation="portrait" horizontalDpi="90" verticalDpi="90" r:id="rId4"/>
    </customSheetView>
    <customSheetView guid="{FB5A43A4-CF56-4312-A757-8F3AEABE0131}" showPageBreaks="1" showGridLines="0" fitToPage="1" hiddenColumns="1">
      <pane xSplit="31" ySplit="5" topLeftCell="AX29" activePane="bottomRight" state="frozen"/>
      <selection pane="bottomRight" activeCell="AX45" sqref="AX45"/>
      <pageMargins left="1" right="1" top="1" bottom="1" header="0.5" footer="0.5"/>
      <pageSetup paperSize="8" scale="41" fitToHeight="0" orientation="landscape" r:id="rId5"/>
    </customSheetView>
  </customSheetViews>
  <pageMargins left="0.3" right="0.3" top="0.3" bottom="0.3" header="0.3" footer="0.3"/>
  <pageSetup paperSize="9" scale="62" fitToHeight="0" orientation="landscape" r:id="rId6"/>
  <drawing r:id="rId7"/>
  <legacyDrawing r:id="rId8"/>
  <controls>
    <mc:AlternateContent xmlns:mc="http://schemas.openxmlformats.org/markup-compatibility/2006">
      <mc:Choice Requires="x14">
        <control shapeId="36996159" r:id="rId9" name="ComboBox1">
          <controlPr defaultSize="0" autoLine="0" autoPict="0" linkedCell="T2" listFillRange="A1:A3" r:id="rId10">
            <anchor moveWithCells="1">
              <from>
                <xdr:col>1</xdr:col>
                <xdr:colOff>485775</xdr:colOff>
                <xdr:row>0</xdr:row>
                <xdr:rowOff>57150</xdr:rowOff>
              </from>
              <to>
                <xdr:col>1</xdr:col>
                <xdr:colOff>2838450</xdr:colOff>
                <xdr:row>1</xdr:row>
                <xdr:rowOff>152400</xdr:rowOff>
              </to>
            </anchor>
          </controlPr>
        </control>
      </mc:Choice>
      <mc:Fallback>
        <control shapeId="36996159" r:id="rId9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K44"/>
  <sheetViews>
    <sheetView showGridLines="0" zoomScale="90" zoomScaleNormal="90" workbookViewId="0">
      <selection activeCell="I27" sqref="I27"/>
    </sheetView>
  </sheetViews>
  <sheetFormatPr defaultRowHeight="15" outlineLevelCol="1"/>
  <cols>
    <col min="1" max="1" width="9.140625" style="242"/>
    <col min="2" max="2" width="25.7109375" style="39" bestFit="1" customWidth="1"/>
    <col min="3" max="6" width="9.7109375" style="39" hidden="1" customWidth="1" outlineLevel="1"/>
    <col min="7" max="7" width="9.7109375" style="39" customWidth="1" collapsed="1"/>
    <col min="8" max="8" width="9.7109375" style="39" customWidth="1"/>
    <col min="9" max="9" width="10.42578125" style="39" customWidth="1"/>
    <col min="10" max="16" width="9.7109375" style="39" customWidth="1"/>
    <col min="17" max="17" width="11.5703125" style="39" bestFit="1" customWidth="1"/>
    <col min="18" max="18" width="9.28515625" style="39" bestFit="1" customWidth="1"/>
    <col min="19" max="19" width="14" style="39" customWidth="1"/>
    <col min="20" max="20" width="11.5703125" style="39" bestFit="1" customWidth="1"/>
    <col min="21" max="21" width="9.140625" style="39"/>
    <col min="22" max="22" width="9.28515625" style="39" bestFit="1" customWidth="1"/>
    <col min="23" max="25" width="9.140625" style="39"/>
    <col min="26" max="26" width="10.7109375" style="39" customWidth="1"/>
    <col min="27" max="16384" width="9.140625" style="39"/>
  </cols>
  <sheetData>
    <row r="1" spans="1:63">
      <c r="W1" s="613" t="s">
        <v>809</v>
      </c>
      <c r="X1" s="614"/>
      <c r="Y1" s="614"/>
      <c r="Z1" s="614"/>
    </row>
    <row r="2" spans="1:63">
      <c r="F2" s="248" t="s">
        <v>275</v>
      </c>
      <c r="W2" s="615" t="s">
        <v>810</v>
      </c>
      <c r="X2" s="615"/>
      <c r="Y2" s="615"/>
      <c r="Z2" s="616">
        <f>Model!S552/(Model!S552+Model!S562)</f>
        <v>0.31451597563692807</v>
      </c>
      <c r="BK2" s="39" t="s">
        <v>303</v>
      </c>
    </row>
    <row r="3" spans="1:63">
      <c r="F3" s="235" t="s">
        <v>276</v>
      </c>
      <c r="H3" s="139"/>
      <c r="I3" s="139"/>
      <c r="K3" s="235" t="s">
        <v>277</v>
      </c>
      <c r="R3" s="248" t="s">
        <v>278</v>
      </c>
      <c r="T3" s="641">
        <v>46.85</v>
      </c>
      <c r="W3" s="615" t="s">
        <v>811</v>
      </c>
      <c r="X3" s="615"/>
      <c r="Y3" s="615"/>
      <c r="Z3" s="638">
        <v>0.05</v>
      </c>
    </row>
    <row r="4" spans="1:63">
      <c r="K4" s="39" t="s">
        <v>279</v>
      </c>
      <c r="M4" s="236">
        <v>0.12</v>
      </c>
      <c r="R4" s="248" t="s">
        <v>280</v>
      </c>
      <c r="T4" s="440">
        <f ca="1">T19/T3-1</f>
        <v>-6.7031336576033662E-2</v>
      </c>
      <c r="V4" s="303"/>
      <c r="W4" s="631" t="s">
        <v>833</v>
      </c>
      <c r="X4" s="617"/>
      <c r="Y4" s="617"/>
      <c r="Z4" s="637">
        <f>(1-Model!U500)</f>
        <v>0.72</v>
      </c>
    </row>
    <row r="5" spans="1:63">
      <c r="K5" s="39" t="s">
        <v>281</v>
      </c>
      <c r="M5" s="236">
        <v>0.03</v>
      </c>
    </row>
    <row r="6" spans="1:63">
      <c r="V6" s="23"/>
      <c r="W6" s="615" t="s">
        <v>812</v>
      </c>
      <c r="X6" s="615"/>
      <c r="Y6" s="615"/>
      <c r="Z6" s="618">
        <f>1-Z2</f>
        <v>0.68548402436307199</v>
      </c>
    </row>
    <row r="7" spans="1:63">
      <c r="B7" s="642" t="s">
        <v>11</v>
      </c>
      <c r="C7" s="643" t="str">
        <f>+"FY"&amp;RIGHT(YEAR(C8),2)</f>
        <v>FY14</v>
      </c>
      <c r="D7" s="643" t="str">
        <f>+"FY"&amp;RIGHT(YEAR(D8),2)</f>
        <v>FY15</v>
      </c>
      <c r="E7" s="643" t="str">
        <f>+"FY"&amp;RIGHT(YEAR(E8),2)</f>
        <v>FY16</v>
      </c>
      <c r="F7" s="643" t="str">
        <f>+"FY"&amp;RIGHT(YEAR(F8),2)&amp;""</f>
        <v>FY17</v>
      </c>
      <c r="G7" s="643" t="str">
        <f t="shared" ref="G7:P7" si="0">+"FY"&amp;RIGHT(YEAR(G8),2)&amp;"F"</f>
        <v>FY18F</v>
      </c>
      <c r="H7" s="643" t="str">
        <f t="shared" si="0"/>
        <v>FY19F</v>
      </c>
      <c r="I7" s="643" t="str">
        <f t="shared" si="0"/>
        <v>FY20F</v>
      </c>
      <c r="J7" s="643" t="str">
        <f t="shared" si="0"/>
        <v>FY21F</v>
      </c>
      <c r="K7" s="643" t="str">
        <f t="shared" si="0"/>
        <v>FY22F</v>
      </c>
      <c r="L7" s="643" t="str">
        <f t="shared" si="0"/>
        <v>FY23F</v>
      </c>
      <c r="M7" s="643" t="str">
        <f t="shared" si="0"/>
        <v>FY24F</v>
      </c>
      <c r="N7" s="643" t="str">
        <f t="shared" si="0"/>
        <v>FY25F</v>
      </c>
      <c r="O7" s="643" t="str">
        <f t="shared" si="0"/>
        <v>FY26F</v>
      </c>
      <c r="P7" s="643" t="str">
        <f t="shared" si="0"/>
        <v>FY27F</v>
      </c>
      <c r="V7" s="23"/>
      <c r="W7" s="615" t="s">
        <v>813</v>
      </c>
      <c r="X7" s="615"/>
      <c r="Y7" s="615"/>
      <c r="Z7" s="619">
        <v>1.5</v>
      </c>
    </row>
    <row r="8" spans="1:63">
      <c r="B8" s="644"/>
      <c r="C8" s="645">
        <v>42004</v>
      </c>
      <c r="D8" s="645">
        <f>+EOMONTH(C8,12)</f>
        <v>42369</v>
      </c>
      <c r="E8" s="645">
        <f t="shared" ref="E8:P8" si="1">+EOMONTH(D8,12)</f>
        <v>42735</v>
      </c>
      <c r="F8" s="645">
        <f t="shared" si="1"/>
        <v>43100</v>
      </c>
      <c r="G8" s="645">
        <f t="shared" si="1"/>
        <v>43465</v>
      </c>
      <c r="H8" s="645">
        <f t="shared" si="1"/>
        <v>43830</v>
      </c>
      <c r="I8" s="645">
        <f t="shared" si="1"/>
        <v>44196</v>
      </c>
      <c r="J8" s="645">
        <f t="shared" si="1"/>
        <v>44561</v>
      </c>
      <c r="K8" s="645">
        <f t="shared" si="1"/>
        <v>44926</v>
      </c>
      <c r="L8" s="645">
        <f t="shared" si="1"/>
        <v>45291</v>
      </c>
      <c r="M8" s="645">
        <f t="shared" si="1"/>
        <v>45657</v>
      </c>
      <c r="N8" s="645">
        <f t="shared" si="1"/>
        <v>46022</v>
      </c>
      <c r="O8" s="645">
        <f t="shared" si="1"/>
        <v>46387</v>
      </c>
      <c r="P8" s="645">
        <f t="shared" si="1"/>
        <v>46752</v>
      </c>
      <c r="W8" s="615" t="s">
        <v>814</v>
      </c>
      <c r="X8" s="615"/>
      <c r="Y8" s="615"/>
      <c r="Z8" s="620">
        <v>8.7599999999999997E-2</v>
      </c>
    </row>
    <row r="9" spans="1:63">
      <c r="A9" s="242" t="s">
        <v>480</v>
      </c>
      <c r="B9" s="14" t="s">
        <v>329</v>
      </c>
      <c r="C9" s="23">
        <f t="shared" ref="C9:P10" si="2">+VLOOKUP($A9,CTRP,MATCH(C$7,Period_CTRP,FALSE),FALSE)</f>
        <v>918.59634500000175</v>
      </c>
      <c r="D9" s="23">
        <f t="shared" si="2"/>
        <v>3463.5584420000018</v>
      </c>
      <c r="E9" s="23">
        <f t="shared" si="2"/>
        <v>2847.8512309999992</v>
      </c>
      <c r="F9" s="23">
        <f t="shared" si="2"/>
        <v>4877.8841708345653</v>
      </c>
      <c r="G9" s="23">
        <f t="shared" ca="1" si="2"/>
        <v>5301.2012682718014</v>
      </c>
      <c r="H9" s="23">
        <f t="shared" ca="1" si="2"/>
        <v>8233.4320995590042</v>
      </c>
      <c r="I9" s="23">
        <f t="shared" ca="1" si="2"/>
        <v>10743.472065041111</v>
      </c>
      <c r="J9" s="23">
        <f t="shared" ca="1" si="2"/>
        <v>13251.397369988572</v>
      </c>
      <c r="K9" s="23">
        <f t="shared" ca="1" si="2"/>
        <v>16833.715077532441</v>
      </c>
      <c r="L9" s="23">
        <f t="shared" ca="1" si="2"/>
        <v>20207.262660632794</v>
      </c>
      <c r="M9" s="23">
        <f t="shared" ca="1" si="2"/>
        <v>23880.424328802066</v>
      </c>
      <c r="N9" s="23">
        <f t="shared" ca="1" si="2"/>
        <v>27985.211321133142</v>
      </c>
      <c r="O9" s="23">
        <f t="shared" ca="1" si="2"/>
        <v>31623.427753888085</v>
      </c>
      <c r="P9" s="23">
        <f ca="1">+VLOOKUP($A9,CTRP,MATCH(P$7,Period_CTRP,FALSE),FALSE)</f>
        <v>35374.737838671754</v>
      </c>
      <c r="Q9" s="27"/>
      <c r="W9" s="615" t="s">
        <v>815</v>
      </c>
      <c r="X9" s="615"/>
      <c r="Y9" s="615"/>
      <c r="Z9" s="620">
        <v>2.35E-2</v>
      </c>
    </row>
    <row r="10" spans="1:63">
      <c r="A10" s="242" t="s">
        <v>67</v>
      </c>
      <c r="B10" s="13" t="s">
        <v>331</v>
      </c>
      <c r="C10" s="23">
        <f t="shared" si="2"/>
        <v>-130.821156</v>
      </c>
      <c r="D10" s="23">
        <f t="shared" si="2"/>
        <v>-470.188423</v>
      </c>
      <c r="E10" s="23">
        <f t="shared" si="2"/>
        <v>-478.00903299999999</v>
      </c>
      <c r="F10" s="23">
        <f t="shared" si="2"/>
        <v>-1280.52334</v>
      </c>
      <c r="G10" s="23">
        <f t="shared" ca="1" si="2"/>
        <v>-894.01647995286828</v>
      </c>
      <c r="H10" s="23">
        <f t="shared" ca="1" si="2"/>
        <v>-1623.2564395933084</v>
      </c>
      <c r="I10" s="23">
        <f t="shared" ca="1" si="2"/>
        <v>-2252.770384384386</v>
      </c>
      <c r="J10" s="23">
        <f t="shared" ca="1" si="2"/>
        <v>-3006.8815202895184</v>
      </c>
      <c r="K10" s="23">
        <f t="shared" ca="1" si="2"/>
        <v>-3940.2212289758181</v>
      </c>
      <c r="L10" s="23">
        <f t="shared" ca="1" si="2"/>
        <v>-4805.7649238803315</v>
      </c>
      <c r="M10" s="23">
        <f t="shared" ca="1" si="2"/>
        <v>-5747.7085166028237</v>
      </c>
      <c r="N10" s="23">
        <f t="shared" ca="1" si="2"/>
        <v>-6809.2789909395769</v>
      </c>
      <c r="O10" s="23">
        <f t="shared" ca="1" si="2"/>
        <v>-7692.2521259684554</v>
      </c>
      <c r="P10" s="23">
        <f t="shared" ca="1" si="2"/>
        <v>-8599.4285424940335</v>
      </c>
      <c r="W10" s="621" t="s">
        <v>816</v>
      </c>
      <c r="X10" s="615"/>
      <c r="Y10" s="615"/>
      <c r="Z10" s="622"/>
    </row>
    <row r="11" spans="1:63">
      <c r="A11" s="242" t="s">
        <v>271</v>
      </c>
      <c r="B11" s="39" t="s">
        <v>271</v>
      </c>
      <c r="C11" s="23">
        <f>Model!Q616</f>
        <v>-4788.6763709999996</v>
      </c>
      <c r="D11" s="23">
        <f>Model!R616</f>
        <v>-638.13342999999998</v>
      </c>
      <c r="E11" s="23">
        <f>Model!S616</f>
        <v>-682.83131000000003</v>
      </c>
      <c r="F11" s="23">
        <f>Model!T616</f>
        <v>-809.30956391999996</v>
      </c>
      <c r="G11" s="23">
        <f ca="1">Model!U616</f>
        <v>-962.451428597838</v>
      </c>
      <c r="H11" s="23">
        <f ca="1">Model!V616</f>
        <v>-1209.6226265741846</v>
      </c>
      <c r="I11" s="23">
        <f ca="1">Model!W616</f>
        <v>-1478.2492329110178</v>
      </c>
      <c r="J11" s="23">
        <f ca="1">Model!X616</f>
        <v>-1779.8598537669393</v>
      </c>
      <c r="K11" s="23">
        <f ca="1">Model!Y616</f>
        <v>-2124.2920690864048</v>
      </c>
      <c r="L11" s="23">
        <f ca="1">Model!Z616</f>
        <v>-2459.3137303414624</v>
      </c>
      <c r="M11" s="23">
        <f ca="1">Model!AA616</f>
        <v>-2821.88665815797</v>
      </c>
      <c r="N11" s="23">
        <f ca="1">Model!AB616</f>
        <v>-3212.5976256690988</v>
      </c>
      <c r="O11" s="23">
        <f ca="1">Model!AC616</f>
        <v>-3629.1817311078389</v>
      </c>
      <c r="P11" s="23">
        <f ca="1">Model!AD616</f>
        <v>-4057.1848729486974</v>
      </c>
      <c r="W11" s="615" t="s">
        <v>817</v>
      </c>
      <c r="X11" s="615"/>
      <c r="Y11" s="615"/>
      <c r="Z11" s="623">
        <f>Z9+(Z8-Z9)*Z7</f>
        <v>0.11964999999999998</v>
      </c>
    </row>
    <row r="12" spans="1:63">
      <c r="A12" s="242" t="s">
        <v>330</v>
      </c>
      <c r="B12" s="39" t="s">
        <v>307</v>
      </c>
      <c r="C12" s="23">
        <f>Model!Q747</f>
        <v>1423.7532739999997</v>
      </c>
      <c r="D12" s="23">
        <f>Model!R747</f>
        <v>1696.7435359999999</v>
      </c>
      <c r="E12" s="23">
        <f>Model!S747</f>
        <v>3409.586202</v>
      </c>
      <c r="F12" s="23">
        <f>Model!T747</f>
        <v>2950.2474040000006</v>
      </c>
      <c r="G12" s="23">
        <f ca="1">Model!U747</f>
        <v>-2600.9591960407561</v>
      </c>
      <c r="H12" s="23">
        <f ca="1">Model!V747</f>
        <v>1962.9128897828755</v>
      </c>
      <c r="I12" s="23">
        <f ca="1">Model!W747</f>
        <v>1246.258199298087</v>
      </c>
      <c r="J12" s="23">
        <f ca="1">Model!X747</f>
        <v>1950.2365004374942</v>
      </c>
      <c r="K12" s="23">
        <f ca="1">Model!Y747</f>
        <v>2017.7282650021705</v>
      </c>
      <c r="L12" s="23">
        <f ca="1">Model!Z747</f>
        <v>1733.9784824358762</v>
      </c>
      <c r="M12" s="23">
        <f ca="1">Model!AA747</f>
        <v>1991.2167229630736</v>
      </c>
      <c r="N12" s="23">
        <f ca="1">Model!AB747</f>
        <v>1947.5409787865788</v>
      </c>
      <c r="O12" s="23">
        <f ca="1">Model!AC747</f>
        <v>2337.016912538847</v>
      </c>
      <c r="P12" s="23">
        <f ca="1">Model!AD747</f>
        <v>2255.8049221989677</v>
      </c>
      <c r="W12" s="624" t="s">
        <v>818</v>
      </c>
      <c r="X12" s="615"/>
      <c r="Y12" s="615"/>
      <c r="Z12" s="625">
        <f>Z2*Z3*Z4+Z6*Z11</f>
        <v>9.3340738637970946E-2</v>
      </c>
    </row>
    <row r="13" spans="1:63" ht="15.75">
      <c r="A13" s="229"/>
      <c r="B13" s="144" t="s">
        <v>282</v>
      </c>
      <c r="C13" s="20">
        <f t="shared" ref="C13:N13" si="3">SUM(C9:C12)</f>
        <v>-2577.1479079999981</v>
      </c>
      <c r="D13" s="20">
        <f t="shared" si="3"/>
        <v>4051.9801250000019</v>
      </c>
      <c r="E13" s="20">
        <f t="shared" si="3"/>
        <v>5096.5970899999993</v>
      </c>
      <c r="F13" s="20">
        <f t="shared" si="3"/>
        <v>5738.2986709145662</v>
      </c>
      <c r="G13" s="20">
        <f t="shared" ca="1" si="3"/>
        <v>843.77416368033892</v>
      </c>
      <c r="H13" s="20">
        <f t="shared" ca="1" si="3"/>
        <v>7363.4659231743863</v>
      </c>
      <c r="I13" s="20">
        <f t="shared" ca="1" si="3"/>
        <v>8258.7106470437939</v>
      </c>
      <c r="J13" s="20">
        <f t="shared" ca="1" si="3"/>
        <v>10414.892496369608</v>
      </c>
      <c r="K13" s="20">
        <f t="shared" ca="1" si="3"/>
        <v>12786.930044472389</v>
      </c>
      <c r="L13" s="20">
        <f t="shared" ca="1" si="3"/>
        <v>14676.162488846876</v>
      </c>
      <c r="M13" s="20">
        <f t="shared" ca="1" si="3"/>
        <v>17302.045877004348</v>
      </c>
      <c r="N13" s="20">
        <f t="shared" ca="1" si="3"/>
        <v>19910.875683311046</v>
      </c>
      <c r="O13" s="20">
        <f ca="1">SUM(O9:O12)</f>
        <v>22639.010809350639</v>
      </c>
      <c r="P13" s="20">
        <f ca="1">SUM(P9:P12)</f>
        <v>24973.929345427994</v>
      </c>
      <c r="R13" s="248"/>
      <c r="T13" s="304"/>
      <c r="W13" s="626" t="s">
        <v>819</v>
      </c>
      <c r="X13" s="627"/>
      <c r="Y13" s="627"/>
      <c r="Z13" s="627"/>
    </row>
    <row r="14" spans="1:63" ht="15.75">
      <c r="A14" s="229"/>
      <c r="B14" s="39" t="s">
        <v>283</v>
      </c>
      <c r="C14" s="23">
        <f ca="1">+NPV($M$4,D13:$N$13)+C13</f>
        <v>44549.320055393109</v>
      </c>
      <c r="D14" s="23">
        <f ca="1">+NPV($M$4,E13:$N$13)+D13</f>
        <v>52781.644119000302</v>
      </c>
      <c r="E14" s="23">
        <f ca="1">+NPV($M$4,F13:$N$13)+E13</f>
        <v>54577.223673280329</v>
      </c>
      <c r="F14" s="23">
        <f ca="1">+NPV($M$4,G13:$P$13)+F13</f>
        <v>71623.092888526968</v>
      </c>
      <c r="G14" s="23">
        <f ca="1">+NPV($M$4,H13:$P$13)+G13</f>
        <v>73790.9695237259</v>
      </c>
      <c r="H14" s="23">
        <f ca="1">+NPV($M$4,I13:$P$13)+H13</f>
        <v>81700.858803251031</v>
      </c>
      <c r="I14" s="23">
        <f ca="1">+NPV($M$4,J13:$P$13)+I13</f>
        <v>83257.880025685852</v>
      </c>
      <c r="J14" s="23">
        <f ca="1">+NPV($M$4,K13:$P$13)+J13</f>
        <v>83999.069704079113</v>
      </c>
      <c r="K14" s="23">
        <f ca="1">+NPV($M$4,L13:$P$13)+K13</f>
        <v>82414.278472634658</v>
      </c>
      <c r="L14" s="23">
        <f ca="1">+NPV($M$4,M13:$P$13)+L13</f>
        <v>77982.630239541744</v>
      </c>
      <c r="M14" s="23">
        <f ca="1">+NPV($M$4,N13:$P$13)+M13</f>
        <v>70903.24388077826</v>
      </c>
      <c r="N14" s="23">
        <f ca="1">+NPV($M$4,O13:$P$13)+N13</f>
        <v>60033.341764226781</v>
      </c>
      <c r="O14" s="23">
        <f ca="1">+NPV($M$4,P13:$P$13)+O13</f>
        <v>44937.162010625631</v>
      </c>
      <c r="P14" s="23">
        <f ca="1">+NPV($M$4,Q13:$Q$13)+P13</f>
        <v>24973.929345427994</v>
      </c>
      <c r="R14" s="248"/>
      <c r="T14" s="304"/>
      <c r="V14" s="23"/>
      <c r="W14" s="628" t="s">
        <v>820</v>
      </c>
      <c r="X14" s="628"/>
      <c r="Y14" s="628"/>
      <c r="Z14" s="629">
        <v>0.1</v>
      </c>
    </row>
    <row r="15" spans="1:63" ht="15.75">
      <c r="A15" s="229"/>
      <c r="B15" s="39" t="s">
        <v>285</v>
      </c>
      <c r="C15" s="23">
        <f t="shared" ref="C15:M15" ca="1" si="4">D15/(1+$M$4)</f>
        <v>65500.904811783577</v>
      </c>
      <c r="D15" s="23">
        <f t="shared" ca="1" si="4"/>
        <v>73361.013389197615</v>
      </c>
      <c r="E15" s="23">
        <f t="shared" ca="1" si="4"/>
        <v>82164.334995901343</v>
      </c>
      <c r="F15" s="23">
        <f t="shared" ca="1" si="4"/>
        <v>92024.055195409514</v>
      </c>
      <c r="G15" s="23">
        <f t="shared" ca="1" si="4"/>
        <v>103066.94181885866</v>
      </c>
      <c r="H15" s="23">
        <f t="shared" ca="1" si="4"/>
        <v>115434.9748371217</v>
      </c>
      <c r="I15" s="23">
        <f t="shared" ca="1" si="4"/>
        <v>129287.17181757632</v>
      </c>
      <c r="J15" s="23">
        <f t="shared" ca="1" si="4"/>
        <v>144801.63243568549</v>
      </c>
      <c r="K15" s="23">
        <f t="shared" ca="1" si="4"/>
        <v>162177.82832796776</v>
      </c>
      <c r="L15" s="23">
        <f t="shared" ca="1" si="4"/>
        <v>181639.16772732392</v>
      </c>
      <c r="M15" s="23">
        <f t="shared" ca="1" si="4"/>
        <v>203435.86785460281</v>
      </c>
      <c r="N15" s="23">
        <f ca="1">O15/(1+$M$4)</f>
        <v>227848.17199715518</v>
      </c>
      <c r="O15" s="23">
        <f ca="1">P15/(1+$M$4)</f>
        <v>255189.95263681383</v>
      </c>
      <c r="P15" s="23">
        <f ca="1">$P$13*(1+$M$5)/($M$4-$M$5)</f>
        <v>285812.74695323152</v>
      </c>
      <c r="R15" s="248"/>
      <c r="T15" s="305"/>
      <c r="W15" s="628" t="s">
        <v>821</v>
      </c>
      <c r="X15" s="628"/>
      <c r="Y15" s="628"/>
      <c r="Z15" s="629">
        <v>0.11</v>
      </c>
    </row>
    <row r="16" spans="1:63" ht="16.5" thickBot="1">
      <c r="A16" s="229"/>
      <c r="B16" s="306" t="s">
        <v>286</v>
      </c>
      <c r="C16" s="307">
        <f t="shared" ref="C16:N16" ca="1" si="5">+SUM(C14:C15)</f>
        <v>110050.22486717669</v>
      </c>
      <c r="D16" s="307">
        <f t="shared" ca="1" si="5"/>
        <v>126142.65750819791</v>
      </c>
      <c r="E16" s="307">
        <f t="shared" ca="1" si="5"/>
        <v>136741.55866918166</v>
      </c>
      <c r="F16" s="307">
        <f t="shared" ca="1" si="5"/>
        <v>163647.14808393648</v>
      </c>
      <c r="G16" s="307">
        <f t="shared" ca="1" si="5"/>
        <v>176857.91134258456</v>
      </c>
      <c r="H16" s="307">
        <f t="shared" ca="1" si="5"/>
        <v>197135.83364037273</v>
      </c>
      <c r="I16" s="307">
        <f t="shared" ca="1" si="5"/>
        <v>212545.05184326216</v>
      </c>
      <c r="J16" s="307">
        <f t="shared" ca="1" si="5"/>
        <v>228800.70213976462</v>
      </c>
      <c r="K16" s="307">
        <f t="shared" ca="1" si="5"/>
        <v>244592.1068006024</v>
      </c>
      <c r="L16" s="307">
        <f t="shared" ca="1" si="5"/>
        <v>259621.79796686565</v>
      </c>
      <c r="M16" s="307">
        <f t="shared" ca="1" si="5"/>
        <v>274339.11173538107</v>
      </c>
      <c r="N16" s="307">
        <f t="shared" ca="1" si="5"/>
        <v>287881.51376138197</v>
      </c>
      <c r="O16" s="307">
        <f ca="1">+SUM(O14:O15)</f>
        <v>300127.11464743945</v>
      </c>
      <c r="P16" s="307">
        <f ca="1">+SUM(P14:P15)</f>
        <v>310786.67629865953</v>
      </c>
      <c r="R16" s="248"/>
      <c r="T16" s="308"/>
      <c r="W16" s="628" t="s">
        <v>741</v>
      </c>
      <c r="X16" s="628"/>
      <c r="Y16" s="628"/>
      <c r="Z16" s="629">
        <v>0.12</v>
      </c>
    </row>
    <row r="17" spans="1:26" ht="16.5" thickTop="1">
      <c r="A17" s="229" t="s">
        <v>485</v>
      </c>
      <c r="B17" s="13" t="s">
        <v>287</v>
      </c>
      <c r="C17" s="6">
        <f t="shared" ref="C17:P17" si="6">+VLOOKUP($A17,CTRP,MATCH(C$7,Period_CTRP,FALSE),FALSE)</f>
        <v>305.66286400000001</v>
      </c>
      <c r="D17" s="6">
        <f t="shared" si="6"/>
        <v>342.73807199999999</v>
      </c>
      <c r="E17" s="6">
        <f t="shared" si="6"/>
        <v>473.33265599999999</v>
      </c>
      <c r="F17" s="6">
        <f t="shared" si="6"/>
        <v>574.20714399999997</v>
      </c>
      <c r="G17" s="6">
        <f t="shared" si="6"/>
        <v>586.40646400000003</v>
      </c>
      <c r="H17" s="6">
        <f t="shared" si="6"/>
        <v>602.40646400000003</v>
      </c>
      <c r="I17" s="6">
        <f t="shared" si="6"/>
        <v>664</v>
      </c>
      <c r="J17" s="6">
        <f t="shared" si="6"/>
        <v>664</v>
      </c>
      <c r="K17" s="6">
        <f t="shared" si="6"/>
        <v>664</v>
      </c>
      <c r="L17" s="6">
        <f t="shared" si="6"/>
        <v>664</v>
      </c>
      <c r="M17" s="6">
        <f t="shared" si="6"/>
        <v>664</v>
      </c>
      <c r="N17" s="6">
        <f t="shared" si="6"/>
        <v>664</v>
      </c>
      <c r="O17" s="6">
        <f t="shared" si="6"/>
        <v>664</v>
      </c>
      <c r="P17" s="6">
        <f t="shared" si="6"/>
        <v>664</v>
      </c>
      <c r="V17" s="309"/>
      <c r="W17" s="628" t="s">
        <v>822</v>
      </c>
      <c r="X17" s="628"/>
      <c r="Y17" s="628"/>
      <c r="Z17" s="629">
        <v>0.12</v>
      </c>
    </row>
    <row r="18" spans="1:26" ht="15.75">
      <c r="B18" s="116" t="s">
        <v>289</v>
      </c>
      <c r="C18" s="6">
        <f t="shared" ref="C18:N18" ca="1" si="7">C16/C17</f>
        <v>360.03793011367151</v>
      </c>
      <c r="D18" s="6">
        <f t="shared" ca="1" si="7"/>
        <v>368.04390236576319</v>
      </c>
      <c r="E18" s="6">
        <f t="shared" ca="1" si="7"/>
        <v>288.89103030571732</v>
      </c>
      <c r="F18" s="6">
        <f t="shared" ca="1" si="7"/>
        <v>284.99671206448187</v>
      </c>
      <c r="G18" s="6">
        <f t="shared" ca="1" si="7"/>
        <v>301.59611498174849</v>
      </c>
      <c r="H18" s="6">
        <f t="shared" ca="1" si="7"/>
        <v>327.24720835726743</v>
      </c>
      <c r="I18" s="6">
        <f t="shared" ca="1" si="7"/>
        <v>320.09796964346714</v>
      </c>
      <c r="J18" s="6">
        <f t="shared" ca="1" si="7"/>
        <v>344.5793706924166</v>
      </c>
      <c r="K18" s="6">
        <f t="shared" ca="1" si="7"/>
        <v>368.36160662741327</v>
      </c>
      <c r="L18" s="6">
        <f t="shared" ca="1" si="7"/>
        <v>390.99668368503865</v>
      </c>
      <c r="M18" s="6">
        <f t="shared" ca="1" si="7"/>
        <v>413.16131285448955</v>
      </c>
      <c r="N18" s="6">
        <f t="shared" ca="1" si="7"/>
        <v>433.5564966285873</v>
      </c>
      <c r="O18" s="6">
        <f ca="1">O16/O17</f>
        <v>451.99866663771002</v>
      </c>
      <c r="P18" s="6">
        <f ca="1">P16/P17</f>
        <v>468.0522233413547</v>
      </c>
      <c r="R18" s="248" t="s">
        <v>288</v>
      </c>
      <c r="V18" s="27"/>
      <c r="W18" s="628" t="s">
        <v>823</v>
      </c>
      <c r="X18" s="628"/>
      <c r="Y18" s="628"/>
      <c r="Z18" s="629">
        <v>0.14000000000000001</v>
      </c>
    </row>
    <row r="19" spans="1:26">
      <c r="A19" s="229"/>
      <c r="B19" s="13" t="s">
        <v>291</v>
      </c>
      <c r="C19" s="123">
        <v>6.19</v>
      </c>
      <c r="D19" s="123">
        <v>6.9</v>
      </c>
      <c r="E19" s="123">
        <f t="shared" ref="E19:P19" si="8">+D19</f>
        <v>6.9</v>
      </c>
      <c r="F19" s="123">
        <f t="shared" si="8"/>
        <v>6.9</v>
      </c>
      <c r="G19" s="123">
        <f t="shared" si="8"/>
        <v>6.9</v>
      </c>
      <c r="H19" s="123">
        <f t="shared" si="8"/>
        <v>6.9</v>
      </c>
      <c r="I19" s="123">
        <f t="shared" si="8"/>
        <v>6.9</v>
      </c>
      <c r="J19" s="123">
        <f t="shared" si="8"/>
        <v>6.9</v>
      </c>
      <c r="K19" s="123">
        <f t="shared" si="8"/>
        <v>6.9</v>
      </c>
      <c r="L19" s="123">
        <f t="shared" si="8"/>
        <v>6.9</v>
      </c>
      <c r="M19" s="123">
        <f t="shared" si="8"/>
        <v>6.9</v>
      </c>
      <c r="N19" s="123">
        <f t="shared" si="8"/>
        <v>6.9</v>
      </c>
      <c r="O19" s="123">
        <f t="shared" si="8"/>
        <v>6.9</v>
      </c>
      <c r="P19" s="123">
        <f t="shared" si="8"/>
        <v>6.9</v>
      </c>
      <c r="R19" s="248" t="s">
        <v>290</v>
      </c>
      <c r="T19" s="397">
        <f ca="1">G20</f>
        <v>43.709581881412824</v>
      </c>
      <c r="W19" s="39" t="s">
        <v>528</v>
      </c>
      <c r="Z19" s="236">
        <v>0.11</v>
      </c>
    </row>
    <row r="20" spans="1:26" ht="15.75" thickBot="1">
      <c r="A20" s="229"/>
      <c r="B20" s="146" t="s">
        <v>292</v>
      </c>
      <c r="C20" s="147">
        <f t="shared" ref="C20:N20" ca="1" si="9">+C18/C19</f>
        <v>58.164447514324955</v>
      </c>
      <c r="D20" s="147">
        <f t="shared" ca="1" si="9"/>
        <v>53.339695995038142</v>
      </c>
      <c r="E20" s="147">
        <f t="shared" ca="1" si="9"/>
        <v>41.868265261698163</v>
      </c>
      <c r="F20" s="147">
        <f t="shared" ca="1" si="9"/>
        <v>41.303871313693023</v>
      </c>
      <c r="G20" s="612">
        <f t="shared" ca="1" si="9"/>
        <v>43.709581881412824</v>
      </c>
      <c r="H20" s="147">
        <f t="shared" ca="1" si="9"/>
        <v>47.427131645980786</v>
      </c>
      <c r="I20" s="147">
        <f t="shared" ca="1" si="9"/>
        <v>46.391010093256106</v>
      </c>
      <c r="J20" s="147">
        <f t="shared" ca="1" si="9"/>
        <v>49.939039230785014</v>
      </c>
      <c r="K20" s="147">
        <f t="shared" ca="1" si="9"/>
        <v>53.385740090929453</v>
      </c>
      <c r="L20" s="147">
        <f t="shared" ca="1" si="9"/>
        <v>56.666186041309949</v>
      </c>
      <c r="M20" s="147">
        <f t="shared" ca="1" si="9"/>
        <v>59.878451138331819</v>
      </c>
      <c r="N20" s="147">
        <f t="shared" ca="1" si="9"/>
        <v>62.834274873708303</v>
      </c>
      <c r="O20" s="147">
        <f ca="1">+O18/O19</f>
        <v>65.507053135899994</v>
      </c>
      <c r="P20" s="147">
        <f ca="1">+P18/P19</f>
        <v>67.833655556718071</v>
      </c>
      <c r="V20" s="317"/>
      <c r="W20" s="248" t="s">
        <v>832</v>
      </c>
      <c r="X20" s="248"/>
      <c r="Y20" s="248"/>
      <c r="Z20" s="308">
        <f>AVERAGE(Z14:Z19)</f>
        <v>0.11666666666666668</v>
      </c>
    </row>
    <row r="21" spans="1:26">
      <c r="A21" s="229"/>
      <c r="C21" s="178"/>
      <c r="D21" s="178"/>
      <c r="E21" s="178"/>
      <c r="F21" s="27"/>
      <c r="G21" s="27"/>
      <c r="H21" s="27"/>
      <c r="I21" s="27"/>
      <c r="J21" s="27"/>
      <c r="K21" s="27"/>
      <c r="L21" s="27"/>
      <c r="M21" s="27"/>
      <c r="N21" s="27"/>
      <c r="O21" s="322"/>
      <c r="P21" s="322"/>
      <c r="T21" s="23"/>
    </row>
    <row r="22" spans="1:26" ht="15.75">
      <c r="A22" s="229"/>
      <c r="B22" s="310" t="s">
        <v>293</v>
      </c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W22" s="626" t="s">
        <v>824</v>
      </c>
      <c r="X22" s="627"/>
      <c r="Y22" s="627"/>
      <c r="Z22" s="627"/>
    </row>
    <row r="23" spans="1:26" ht="15.75">
      <c r="A23" s="229"/>
      <c r="B23" s="13" t="s">
        <v>294</v>
      </c>
      <c r="C23" s="123">
        <f t="shared" ref="C23:P23" si="10">+VLOOKUP($A24,CTRP,MATCH(C$7,Period_CTRP,FALSE),FALSE)</f>
        <v>0.79414220564262505</v>
      </c>
      <c r="D23" s="123">
        <f t="shared" si="10"/>
        <v>7.3165372885682869</v>
      </c>
      <c r="E23" s="123">
        <f t="shared" si="10"/>
        <v>-3.022616709124756</v>
      </c>
      <c r="F23" s="123">
        <f t="shared" si="10"/>
        <v>3.82</v>
      </c>
      <c r="G23" s="123">
        <f t="shared" ca="1" si="10"/>
        <v>3.749787314552528</v>
      </c>
      <c r="H23" s="123">
        <f t="shared" ca="1" si="10"/>
        <v>7.9178587943902352</v>
      </c>
      <c r="I23" s="123">
        <f t="shared" ca="1" si="10"/>
        <v>10.027577037881262</v>
      </c>
      <c r="J23" s="123">
        <f t="shared" ca="1" si="10"/>
        <v>13.434705663958667</v>
      </c>
      <c r="K23" s="123">
        <f t="shared" ca="1" si="10"/>
        <v>17.651601938143759</v>
      </c>
      <c r="L23" s="123">
        <f t="shared" ca="1" si="10"/>
        <v>21.562190921146076</v>
      </c>
      <c r="M23" s="123">
        <f t="shared" ca="1" si="10"/>
        <v>25.817960165374206</v>
      </c>
      <c r="N23" s="123">
        <f t="shared" ca="1" si="10"/>
        <v>30.614212308461944</v>
      </c>
      <c r="O23" s="123">
        <f t="shared" ca="1" si="10"/>
        <v>34.603548761905671</v>
      </c>
      <c r="P23" s="123">
        <f t="shared" ca="1" si="10"/>
        <v>38.702237390786301</v>
      </c>
      <c r="W23" s="628" t="s">
        <v>820</v>
      </c>
      <c r="X23" s="628"/>
      <c r="Y23" s="628"/>
      <c r="Z23" s="629">
        <v>0.03</v>
      </c>
    </row>
    <row r="24" spans="1:26" ht="15.75">
      <c r="A24" s="229" t="s">
        <v>543</v>
      </c>
      <c r="B24" s="144" t="s">
        <v>295</v>
      </c>
      <c r="C24" s="164">
        <f ca="1">C$18/C23</f>
        <v>453.36707652041548</v>
      </c>
      <c r="D24" s="164">
        <f ca="1">D18/D23</f>
        <v>50.303017376924032</v>
      </c>
      <c r="E24" s="164">
        <f ca="1">E18/E23</f>
        <v>-95.57646837377871</v>
      </c>
      <c r="F24" s="20">
        <f ca="1">$G$18/F23</f>
        <v>78.951862560667152</v>
      </c>
      <c r="G24" s="20">
        <f ca="1">$G$18/G23</f>
        <v>80.430192350186331</v>
      </c>
      <c r="H24" s="20">
        <f t="shared" ref="H24:P24" ca="1" si="11">$G$18/H23</f>
        <v>38.090615507746598</v>
      </c>
      <c r="I24" s="20">
        <f t="shared" ca="1" si="11"/>
        <v>30.076668954265454</v>
      </c>
      <c r="J24" s="20">
        <f t="shared" ca="1" si="11"/>
        <v>22.449030334236607</v>
      </c>
      <c r="K24" s="20">
        <f t="shared" ca="1" si="11"/>
        <v>17.086047829462004</v>
      </c>
      <c r="L24" s="20">
        <f t="shared" ca="1" si="11"/>
        <v>13.987266696816635</v>
      </c>
      <c r="M24" s="20">
        <f t="shared" ca="1" si="11"/>
        <v>11.681639953346684</v>
      </c>
      <c r="N24" s="20">
        <f t="shared" ca="1" si="11"/>
        <v>9.8515066121229449</v>
      </c>
      <c r="O24" s="20">
        <f t="shared" ca="1" si="11"/>
        <v>8.7157567871700312</v>
      </c>
      <c r="P24" s="20">
        <f t="shared" ca="1" si="11"/>
        <v>7.7927307389610592</v>
      </c>
      <c r="W24" s="628" t="s">
        <v>821</v>
      </c>
      <c r="X24" s="628"/>
      <c r="Y24" s="628"/>
      <c r="Z24" s="629">
        <v>0.05</v>
      </c>
    </row>
    <row r="25" spans="1:26" ht="15.75">
      <c r="A25" s="229"/>
      <c r="B25" s="116" t="s">
        <v>296</v>
      </c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W25" s="628" t="s">
        <v>741</v>
      </c>
      <c r="X25" s="628"/>
      <c r="Y25" s="628"/>
      <c r="Z25" s="629">
        <v>0.02</v>
      </c>
    </row>
    <row r="26" spans="1:26" ht="15.75">
      <c r="A26" s="229"/>
      <c r="B26" s="13" t="s">
        <v>294</v>
      </c>
      <c r="C26" s="123">
        <f t="shared" ref="C26:P26" si="12">+VLOOKUP($A27,CTRP,MATCH(C$7,Period_CTRP,FALSE),FALSE)</f>
        <v>2.4189502785003079</v>
      </c>
      <c r="D26" s="123">
        <f t="shared" si="12"/>
        <v>8.8000000000000007</v>
      </c>
      <c r="E26" s="123">
        <f t="shared" si="12"/>
        <v>4.05</v>
      </c>
      <c r="F26" s="123">
        <f t="shared" si="12"/>
        <v>6.9</v>
      </c>
      <c r="G26" s="123">
        <f t="shared" ca="1" si="12"/>
        <v>7.3911934613613539</v>
      </c>
      <c r="H26" s="123">
        <f t="shared" ca="1" si="12"/>
        <v>11.933827077805548</v>
      </c>
      <c r="I26" s="123">
        <f t="shared" ca="1" si="12"/>
        <v>14.480134968336133</v>
      </c>
      <c r="J26" s="123">
        <f t="shared" ca="1" si="12"/>
        <v>18.795729319883183</v>
      </c>
      <c r="K26" s="123">
        <f t="shared" ca="1" si="12"/>
        <v>24.050072025753412</v>
      </c>
      <c r="L26" s="123">
        <f t="shared" ca="1" si="12"/>
        <v>28.969762398078192</v>
      </c>
      <c r="M26" s="123">
        <f t="shared" ca="1" si="12"/>
        <v>34.317618774283751</v>
      </c>
      <c r="N26" s="123">
        <f t="shared" ca="1" si="12"/>
        <v>40.290711180959235</v>
      </c>
      <c r="O26" s="123">
        <f t="shared" ca="1" si="12"/>
        <v>45.534819036326873</v>
      </c>
      <c r="P26" s="123">
        <f t="shared" ca="1" si="12"/>
        <v>50.922673755089612</v>
      </c>
      <c r="W26" s="628" t="s">
        <v>822</v>
      </c>
      <c r="X26" s="628"/>
      <c r="Y26" s="628"/>
      <c r="Z26" s="629">
        <v>0.04</v>
      </c>
    </row>
    <row r="27" spans="1:26" ht="15.75">
      <c r="A27" s="229" t="s">
        <v>549</v>
      </c>
      <c r="B27" s="144" t="s">
        <v>295</v>
      </c>
      <c r="C27" s="164">
        <f ca="1">C$18/C26</f>
        <v>148.84056663491509</v>
      </c>
      <c r="D27" s="164">
        <f ca="1">D$18/D26</f>
        <v>41.823170723382177</v>
      </c>
      <c r="E27" s="164">
        <f ca="1">T19/E26*6.2</f>
        <v>66.913433991298646</v>
      </c>
      <c r="F27" s="20">
        <f t="shared" ref="F27:P27" ca="1" si="13">$G$18/F26</f>
        <v>43.709581881412824</v>
      </c>
      <c r="G27" s="20">
        <f t="shared" ca="1" si="13"/>
        <v>40.804792427419258</v>
      </c>
      <c r="H27" s="20">
        <f t="shared" ca="1" si="13"/>
        <v>25.272371806246039</v>
      </c>
      <c r="I27" s="20">
        <f t="shared" ca="1" si="13"/>
        <v>20.828266838758889</v>
      </c>
      <c r="J27" s="20">
        <f t="shared" ca="1" si="13"/>
        <v>16.045991610589066</v>
      </c>
      <c r="K27" s="20">
        <f t="shared" ca="1" si="13"/>
        <v>12.540341445081408</v>
      </c>
      <c r="L27" s="20">
        <f t="shared" ca="1" si="13"/>
        <v>10.410721042080617</v>
      </c>
      <c r="M27" s="20">
        <f t="shared" ca="1" si="13"/>
        <v>8.7883753521894281</v>
      </c>
      <c r="N27" s="20">
        <f t="shared" ca="1" si="13"/>
        <v>7.4854999115597174</v>
      </c>
      <c r="O27" s="20">
        <f t="shared" ca="1" si="13"/>
        <v>6.6234174498671106</v>
      </c>
      <c r="P27" s="20">
        <f t="shared" ca="1" si="13"/>
        <v>5.9226292089897301</v>
      </c>
      <c r="W27" s="628" t="s">
        <v>823</v>
      </c>
      <c r="X27" s="628"/>
      <c r="Y27" s="628"/>
      <c r="Z27" s="629">
        <v>0.05</v>
      </c>
    </row>
    <row r="28" spans="1:26" ht="15.75">
      <c r="B28" s="39" t="s">
        <v>835</v>
      </c>
      <c r="G28" s="27">
        <f t="shared" ref="G28:P28" ca="1" si="14">G26/F26-1</f>
        <v>7.1187458168312068E-2</v>
      </c>
      <c r="H28" s="27">
        <f t="shared" ca="1" si="14"/>
        <v>0.61460082734832167</v>
      </c>
      <c r="I28" s="27">
        <f t="shared" ca="1" si="14"/>
        <v>0.2133689280001545</v>
      </c>
      <c r="J28" s="27">
        <f t="shared" ca="1" si="14"/>
        <v>0.2980355059523967</v>
      </c>
      <c r="K28" s="27">
        <f t="shared" ca="1" si="14"/>
        <v>0.2795498177509872</v>
      </c>
      <c r="L28" s="27">
        <f t="shared" ca="1" si="14"/>
        <v>0.20456031761803684</v>
      </c>
      <c r="M28" s="27">
        <f t="shared" ca="1" si="14"/>
        <v>0.18460131991142359</v>
      </c>
      <c r="N28" s="27">
        <f t="shared" ca="1" si="14"/>
        <v>0.17405323038180853</v>
      </c>
      <c r="O28" s="322">
        <f t="shared" ca="1" si="14"/>
        <v>0.13015674585178139</v>
      </c>
      <c r="P28" s="322">
        <f t="shared" ca="1" si="14"/>
        <v>0.11832384168397381</v>
      </c>
      <c r="W28" s="626" t="s">
        <v>825</v>
      </c>
      <c r="X28" s="627"/>
      <c r="Y28" s="627"/>
      <c r="Z28" s="627"/>
    </row>
    <row r="29" spans="1:26" ht="15.75">
      <c r="B29" s="13" t="s">
        <v>836</v>
      </c>
      <c r="C29" s="312"/>
      <c r="D29" s="313">
        <f>(F26/C26)^(1/4)-1</f>
        <v>0.29958753543476924</v>
      </c>
      <c r="E29" s="313">
        <f ca="1">(G26/D26)^(1/4)-1</f>
        <v>-4.2678143309349492E-2</v>
      </c>
      <c r="F29" s="313"/>
      <c r="G29" s="313">
        <f ca="1">(I26/F26)^(1/3)-1</f>
        <v>0.28028848585237687</v>
      </c>
      <c r="H29" s="313">
        <f t="shared" ref="H29:M29" ca="1" si="15">(J26/G26)^(1/3)-1</f>
        <v>0.36494411602440802</v>
      </c>
      <c r="I29" s="313">
        <f t="shared" ca="1" si="15"/>
        <v>0.26312271995033965</v>
      </c>
      <c r="J29" s="313">
        <f t="shared" ca="1" si="15"/>
        <v>0.26005869186092867</v>
      </c>
      <c r="K29" s="313">
        <f t="shared" ca="1" si="15"/>
        <v>0.22222919811547603</v>
      </c>
      <c r="L29" s="313">
        <f t="shared" ca="1" si="15"/>
        <v>0.18767108691283263</v>
      </c>
      <c r="M29" s="313">
        <f t="shared" ca="1" si="15"/>
        <v>0.16269613080230449</v>
      </c>
      <c r="W29" s="628" t="s">
        <v>826</v>
      </c>
      <c r="X29" s="628"/>
      <c r="Y29" s="628"/>
      <c r="Z29" s="630">
        <v>1.3560000000000001</v>
      </c>
    </row>
    <row r="30" spans="1:26" ht="15.75">
      <c r="B30" s="13" t="s">
        <v>837</v>
      </c>
      <c r="F30" s="178"/>
      <c r="G30" s="178">
        <f ca="1">G27/G29/100</f>
        <v>1.4558140803868214</v>
      </c>
      <c r="H30" s="178">
        <f t="shared" ref="H30:M30" ca="1" si="16">H27/H29/100</f>
        <v>0.69249977452865097</v>
      </c>
      <c r="I30" s="178">
        <f t="shared" ca="1" si="16"/>
        <v>0.79157994576408697</v>
      </c>
      <c r="J30" s="178">
        <f t="shared" ca="1" si="16"/>
        <v>0.61701423996895155</v>
      </c>
      <c r="K30" s="178">
        <f t="shared" ca="1" si="16"/>
        <v>0.56429765086787209</v>
      </c>
      <c r="L30" s="178">
        <f t="shared" ca="1" si="16"/>
        <v>0.55473228259801532</v>
      </c>
      <c r="M30" s="178">
        <f t="shared" ca="1" si="16"/>
        <v>0.54017113430118191</v>
      </c>
      <c r="W30" s="628" t="s">
        <v>827</v>
      </c>
      <c r="X30" s="628"/>
      <c r="Y30" s="628">
        <v>7</v>
      </c>
      <c r="Z30" s="630">
        <v>1.1499999999999999</v>
      </c>
    </row>
    <row r="31" spans="1:26" ht="15.75">
      <c r="D31" s="249"/>
      <c r="E31" s="242"/>
      <c r="F31" s="242"/>
      <c r="W31" s="628" t="s">
        <v>828</v>
      </c>
      <c r="X31" s="628"/>
      <c r="Y31" s="628">
        <v>10</v>
      </c>
      <c r="Z31" s="630">
        <v>1.0900000000000001</v>
      </c>
    </row>
    <row r="32" spans="1:26" ht="15.75">
      <c r="A32" s="39"/>
      <c r="E32" s="242"/>
      <c r="G32" s="661"/>
      <c r="H32" s="662"/>
      <c r="I32" s="662" t="s">
        <v>764</v>
      </c>
      <c r="J32" s="668" t="s">
        <v>762</v>
      </c>
      <c r="K32" s="669"/>
      <c r="L32" s="669"/>
      <c r="M32" s="670"/>
      <c r="N32" s="663" t="s">
        <v>761</v>
      </c>
      <c r="P32" s="314" t="s">
        <v>538</v>
      </c>
      <c r="W32" s="628" t="s">
        <v>820</v>
      </c>
      <c r="X32" s="628"/>
      <c r="Y32" s="628"/>
      <c r="Z32" s="630">
        <v>1</v>
      </c>
    </row>
    <row r="33" spans="1:26">
      <c r="A33" s="39"/>
      <c r="E33" s="242"/>
      <c r="G33" s="664"/>
      <c r="H33" s="648" t="s">
        <v>535</v>
      </c>
      <c r="I33" s="648" t="s">
        <v>297</v>
      </c>
      <c r="J33" s="646" t="s">
        <v>125</v>
      </c>
      <c r="K33" s="646" t="s">
        <v>84</v>
      </c>
      <c r="L33" s="646" t="s">
        <v>332</v>
      </c>
      <c r="M33" s="647" t="s">
        <v>333</v>
      </c>
      <c r="N33" s="648" t="s">
        <v>536</v>
      </c>
      <c r="P33" s="315" t="s">
        <v>763</v>
      </c>
      <c r="W33" s="631" t="s">
        <v>829</v>
      </c>
      <c r="X33" s="617"/>
      <c r="Y33" s="617"/>
      <c r="Z33" s="632">
        <v>1.0609999999999999</v>
      </c>
    </row>
    <row r="34" spans="1:26" ht="15.75">
      <c r="A34" s="39"/>
      <c r="E34" s="242"/>
      <c r="G34" s="665" t="s">
        <v>288</v>
      </c>
      <c r="H34" s="656">
        <f ca="1">T19</f>
        <v>43.709581881412824</v>
      </c>
      <c r="I34" s="657">
        <f ca="1">T19/P34</f>
        <v>40.804792427419258</v>
      </c>
      <c r="J34" s="391">
        <f ca="1">Model!CG305</f>
        <v>0.40785637999262492</v>
      </c>
      <c r="K34" s="392">
        <f ca="1">Model!CG299</f>
        <v>0.37412422169989279</v>
      </c>
      <c r="L34" s="392">
        <f ca="1">Model!CG300</f>
        <v>0.44674995166039078</v>
      </c>
      <c r="M34" s="658">
        <f ca="1">Model!CG301</f>
        <v>0.30918317059227651</v>
      </c>
      <c r="N34" s="395">
        <f ca="1">Model!U374</f>
        <v>0.16705005404603782</v>
      </c>
      <c r="P34" s="178">
        <f ca="1">G26/G19</f>
        <v>1.0711874581683121</v>
      </c>
      <c r="W34" s="633" t="s">
        <v>830</v>
      </c>
      <c r="X34" s="633"/>
      <c r="Y34" s="633">
        <v>80</v>
      </c>
      <c r="Z34" s="634">
        <v>1.4</v>
      </c>
    </row>
    <row r="35" spans="1:26">
      <c r="A35" s="39"/>
      <c r="E35" s="242"/>
      <c r="G35" s="665" t="s">
        <v>298</v>
      </c>
      <c r="H35" s="656">
        <v>63.92231047424297</v>
      </c>
      <c r="I35" s="657">
        <v>47.659392674743451</v>
      </c>
      <c r="J35" s="391">
        <v>0.47222221533104203</v>
      </c>
      <c r="K35" s="392">
        <v>0.41173625658153679</v>
      </c>
      <c r="L35" s="392">
        <v>0.51680429317732846</v>
      </c>
      <c r="M35" s="658">
        <v>0.44960503550149156</v>
      </c>
      <c r="N35" s="395">
        <v>0.19545340050377841</v>
      </c>
      <c r="P35" s="316">
        <v>1.3412321661437761</v>
      </c>
      <c r="W35" s="631" t="s">
        <v>831</v>
      </c>
      <c r="X35" s="617"/>
      <c r="Y35" s="617"/>
      <c r="Z35" s="632">
        <v>1.1279999999999999</v>
      </c>
    </row>
    <row r="36" spans="1:26">
      <c r="A36" s="39"/>
      <c r="E36" s="242"/>
      <c r="G36" s="666" t="s">
        <v>299</v>
      </c>
      <c r="H36" s="659">
        <v>25.286403113414</v>
      </c>
      <c r="I36" s="659">
        <v>35.320310940275263</v>
      </c>
      <c r="J36" s="393">
        <v>0.36898669958729746</v>
      </c>
      <c r="K36" s="394">
        <v>0.32676572452015074</v>
      </c>
      <c r="L36" s="394">
        <v>0.42887816450974192</v>
      </c>
      <c r="M36" s="660">
        <v>0.15727720362573305</v>
      </c>
      <c r="N36" s="396">
        <v>0.12545340050377835</v>
      </c>
      <c r="P36" s="316">
        <v>0.71591677536961495</v>
      </c>
      <c r="W36" s="39" t="s">
        <v>528</v>
      </c>
      <c r="Z36" s="639">
        <v>1.452</v>
      </c>
    </row>
    <row r="37" spans="1:26">
      <c r="A37" s="39"/>
      <c r="E37" s="242"/>
      <c r="W37" s="39" t="s">
        <v>834</v>
      </c>
      <c r="Z37" s="639">
        <v>1.0740000000000001</v>
      </c>
    </row>
    <row r="38" spans="1:26">
      <c r="A38" s="39"/>
      <c r="E38" s="242"/>
      <c r="G38" s="322"/>
      <c r="W38" s="635" t="s">
        <v>832</v>
      </c>
      <c r="X38" s="617"/>
      <c r="Y38" s="617"/>
      <c r="Z38" s="636">
        <f>AVERAGE(Z29:Z37)</f>
        <v>1.1901111111111111</v>
      </c>
    </row>
    <row r="39" spans="1:26">
      <c r="A39" s="39"/>
      <c r="E39" s="242"/>
      <c r="F39" s="115"/>
      <c r="G39" s="322"/>
      <c r="H39" s="123"/>
      <c r="I39" s="123"/>
      <c r="J39" s="123"/>
      <c r="O39" s="123"/>
    </row>
    <row r="40" spans="1:26">
      <c r="A40" s="39"/>
      <c r="E40" s="242"/>
      <c r="F40" s="115"/>
    </row>
    <row r="41" spans="1:26">
      <c r="A41" s="39"/>
      <c r="E41" s="242"/>
      <c r="F41" s="6"/>
      <c r="G41" s="23"/>
      <c r="H41" s="23"/>
      <c r="I41" s="23"/>
      <c r="J41" s="23"/>
    </row>
    <row r="42" spans="1:26">
      <c r="A42" s="39"/>
      <c r="E42" s="242"/>
    </row>
    <row r="43" spans="1:26">
      <c r="A43" s="39"/>
      <c r="E43" s="242"/>
    </row>
    <row r="44" spans="1:26">
      <c r="A44" s="39"/>
      <c r="E44" s="242"/>
    </row>
  </sheetData>
  <customSheetViews>
    <customSheetView guid="{6ED7E203-3B12-4790-A9AD-D7EF4259F09D}" scale="85" showGridLines="0" fitToPage="1" hiddenColumns="1" topLeftCell="F1">
      <selection activeCell="O13" sqref="O13"/>
      <pageMargins left="0" right="0" top="0" bottom="0" header="0" footer="0"/>
      <pageSetup paperSize="5" scale="30" orientation="landscape" r:id="rId1"/>
    </customSheetView>
    <customSheetView guid="{B8862541-B9EF-4C0A-9660-E37FD3328D7C}" scale="85" showGridLines="0" fitToPage="1" hiddenRows="1">
      <pane xSplit="2" ySplit="8" topLeftCell="C9" activePane="bottomRight" state="frozen"/>
      <selection pane="bottomRight" activeCell="F25" sqref="F25"/>
      <pageMargins left="0" right="0" top="0" bottom="0" header="0" footer="0"/>
      <pageSetup paperSize="5" scale="31" orientation="landscape" r:id="rId2"/>
    </customSheetView>
    <customSheetView guid="{E131BE6B-79DB-46DB-B0E9-6B0271F9C8B0}" scale="85" showGridLines="0" topLeftCell="A4">
      <selection activeCell="B18" sqref="B18"/>
      <pageMargins left="0.7" right="0.7" top="0.75" bottom="0.75" header="0.3" footer="0.3"/>
    </customSheetView>
    <customSheetView guid="{FB5A43A4-CF56-4312-A757-8F3AEABE0131}" scale="70" showPageBreaks="1" showGridLines="0" fitToPage="1">
      <selection activeCell="B7" sqref="B7:T20"/>
      <pageMargins left="0" right="0" top="0" bottom="0" header="0" footer="0"/>
      <pageSetup paperSize="5" scale="29" orientation="landscape" r:id="rId3"/>
    </customSheetView>
  </customSheetViews>
  <pageMargins left="0" right="0" top="0" bottom="0" header="0" footer="0"/>
  <pageSetup paperSize="5" scale="30" orientation="landscape" r:id="rId4"/>
  <drawing r:id="rId5"/>
  <legacyDrawing r:id="rId6"/>
  <controls>
    <mc:AlternateContent xmlns:mc="http://schemas.openxmlformats.org/markup-compatibility/2006">
      <mc:Choice Requires="x14">
        <control shapeId="4905" r:id="rId7" name="ComboBox1">
          <controlPr defaultSize="0" autoLine="0" linkedCell="Model!T2" listFillRange="Model!A1:A3" r:id="rId8">
            <anchor moveWithCells="1">
              <from>
                <xdr:col>0</xdr:col>
                <xdr:colOff>447675</xdr:colOff>
                <xdr:row>0</xdr:row>
                <xdr:rowOff>38100</xdr:rowOff>
              </from>
              <to>
                <xdr:col>1</xdr:col>
                <xdr:colOff>19050</xdr:colOff>
                <xdr:row>0</xdr:row>
                <xdr:rowOff>76200</xdr:rowOff>
              </to>
            </anchor>
          </controlPr>
        </control>
      </mc:Choice>
      <mc:Fallback>
        <control shapeId="4905" r:id="rId7" name="ComboBox1"/>
      </mc:Fallback>
    </mc:AlternateContent>
    <mc:AlternateContent xmlns:mc="http://schemas.openxmlformats.org/markup-compatibility/2006">
      <mc:Choice Requires="x14">
        <control shapeId="30696981" r:id="rId9" name="ComboBox2">
          <controlPr defaultSize="0" autoLine="0" linkedCell="Model!T2" listFillRange="Model!A1:A3" r:id="rId10">
            <anchor moveWithCells="1">
              <from>
                <xdr:col>7</xdr:col>
                <xdr:colOff>76200</xdr:colOff>
                <xdr:row>2</xdr:row>
                <xdr:rowOff>9525</xdr:rowOff>
              </from>
              <to>
                <xdr:col>9</xdr:col>
                <xdr:colOff>295275</xdr:colOff>
                <xdr:row>4</xdr:row>
                <xdr:rowOff>9525</xdr:rowOff>
              </to>
            </anchor>
          </controlPr>
        </control>
      </mc:Choice>
      <mc:Fallback>
        <control shapeId="30696981" r:id="rId9" name="ComboBox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3"/>
  <sheetViews>
    <sheetView workbookViewId="0">
      <selection activeCell="B42" sqref="B42"/>
    </sheetView>
  </sheetViews>
  <sheetFormatPr defaultRowHeight="12.75"/>
  <cols>
    <col min="1" max="1" width="29.5703125" style="1" bestFit="1" customWidth="1"/>
    <col min="2" max="2" width="19.85546875" style="694" customWidth="1"/>
    <col min="3" max="3" width="12" style="1" bestFit="1" customWidth="1"/>
    <col min="4" max="256" width="9.140625" style="1"/>
    <col min="257" max="257" width="29.5703125" style="1" bestFit="1" customWidth="1"/>
    <col min="258" max="258" width="19.85546875" style="1" customWidth="1"/>
    <col min="259" max="259" width="12" style="1" bestFit="1" customWidth="1"/>
    <col min="260" max="512" width="9.140625" style="1"/>
    <col min="513" max="513" width="29.5703125" style="1" bestFit="1" customWidth="1"/>
    <col min="514" max="514" width="19.85546875" style="1" customWidth="1"/>
    <col min="515" max="515" width="12" style="1" bestFit="1" customWidth="1"/>
    <col min="516" max="768" width="9.140625" style="1"/>
    <col min="769" max="769" width="29.5703125" style="1" bestFit="1" customWidth="1"/>
    <col min="770" max="770" width="19.85546875" style="1" customWidth="1"/>
    <col min="771" max="771" width="12" style="1" bestFit="1" customWidth="1"/>
    <col min="772" max="1024" width="9.140625" style="1"/>
    <col min="1025" max="1025" width="29.5703125" style="1" bestFit="1" customWidth="1"/>
    <col min="1026" max="1026" width="19.85546875" style="1" customWidth="1"/>
    <col min="1027" max="1027" width="12" style="1" bestFit="1" customWidth="1"/>
    <col min="1028" max="1280" width="9.140625" style="1"/>
    <col min="1281" max="1281" width="29.5703125" style="1" bestFit="1" customWidth="1"/>
    <col min="1282" max="1282" width="19.85546875" style="1" customWidth="1"/>
    <col min="1283" max="1283" width="12" style="1" bestFit="1" customWidth="1"/>
    <col min="1284" max="1536" width="9.140625" style="1"/>
    <col min="1537" max="1537" width="29.5703125" style="1" bestFit="1" customWidth="1"/>
    <col min="1538" max="1538" width="19.85546875" style="1" customWidth="1"/>
    <col min="1539" max="1539" width="12" style="1" bestFit="1" customWidth="1"/>
    <col min="1540" max="1792" width="9.140625" style="1"/>
    <col min="1793" max="1793" width="29.5703125" style="1" bestFit="1" customWidth="1"/>
    <col min="1794" max="1794" width="19.85546875" style="1" customWidth="1"/>
    <col min="1795" max="1795" width="12" style="1" bestFit="1" customWidth="1"/>
    <col min="1796" max="2048" width="9.140625" style="1"/>
    <col min="2049" max="2049" width="29.5703125" style="1" bestFit="1" customWidth="1"/>
    <col min="2050" max="2050" width="19.85546875" style="1" customWidth="1"/>
    <col min="2051" max="2051" width="12" style="1" bestFit="1" customWidth="1"/>
    <col min="2052" max="2304" width="9.140625" style="1"/>
    <col min="2305" max="2305" width="29.5703125" style="1" bestFit="1" customWidth="1"/>
    <col min="2306" max="2306" width="19.85546875" style="1" customWidth="1"/>
    <col min="2307" max="2307" width="12" style="1" bestFit="1" customWidth="1"/>
    <col min="2308" max="2560" width="9.140625" style="1"/>
    <col min="2561" max="2561" width="29.5703125" style="1" bestFit="1" customWidth="1"/>
    <col min="2562" max="2562" width="19.85546875" style="1" customWidth="1"/>
    <col min="2563" max="2563" width="12" style="1" bestFit="1" customWidth="1"/>
    <col min="2564" max="2816" width="9.140625" style="1"/>
    <col min="2817" max="2817" width="29.5703125" style="1" bestFit="1" customWidth="1"/>
    <col min="2818" max="2818" width="19.85546875" style="1" customWidth="1"/>
    <col min="2819" max="2819" width="12" style="1" bestFit="1" customWidth="1"/>
    <col min="2820" max="3072" width="9.140625" style="1"/>
    <col min="3073" max="3073" width="29.5703125" style="1" bestFit="1" customWidth="1"/>
    <col min="3074" max="3074" width="19.85546875" style="1" customWidth="1"/>
    <col min="3075" max="3075" width="12" style="1" bestFit="1" customWidth="1"/>
    <col min="3076" max="3328" width="9.140625" style="1"/>
    <col min="3329" max="3329" width="29.5703125" style="1" bestFit="1" customWidth="1"/>
    <col min="3330" max="3330" width="19.85546875" style="1" customWidth="1"/>
    <col min="3331" max="3331" width="12" style="1" bestFit="1" customWidth="1"/>
    <col min="3332" max="3584" width="9.140625" style="1"/>
    <col min="3585" max="3585" width="29.5703125" style="1" bestFit="1" customWidth="1"/>
    <col min="3586" max="3586" width="19.85546875" style="1" customWidth="1"/>
    <col min="3587" max="3587" width="12" style="1" bestFit="1" customWidth="1"/>
    <col min="3588" max="3840" width="9.140625" style="1"/>
    <col min="3841" max="3841" width="29.5703125" style="1" bestFit="1" customWidth="1"/>
    <col min="3842" max="3842" width="19.85546875" style="1" customWidth="1"/>
    <col min="3843" max="3843" width="12" style="1" bestFit="1" customWidth="1"/>
    <col min="3844" max="4096" width="9.140625" style="1"/>
    <col min="4097" max="4097" width="29.5703125" style="1" bestFit="1" customWidth="1"/>
    <col min="4098" max="4098" width="19.85546875" style="1" customWidth="1"/>
    <col min="4099" max="4099" width="12" style="1" bestFit="1" customWidth="1"/>
    <col min="4100" max="4352" width="9.140625" style="1"/>
    <col min="4353" max="4353" width="29.5703125" style="1" bestFit="1" customWidth="1"/>
    <col min="4354" max="4354" width="19.85546875" style="1" customWidth="1"/>
    <col min="4355" max="4355" width="12" style="1" bestFit="1" customWidth="1"/>
    <col min="4356" max="4608" width="9.140625" style="1"/>
    <col min="4609" max="4609" width="29.5703125" style="1" bestFit="1" customWidth="1"/>
    <col min="4610" max="4610" width="19.85546875" style="1" customWidth="1"/>
    <col min="4611" max="4611" width="12" style="1" bestFit="1" customWidth="1"/>
    <col min="4612" max="4864" width="9.140625" style="1"/>
    <col min="4865" max="4865" width="29.5703125" style="1" bestFit="1" customWidth="1"/>
    <col min="4866" max="4866" width="19.85546875" style="1" customWidth="1"/>
    <col min="4867" max="4867" width="12" style="1" bestFit="1" customWidth="1"/>
    <col min="4868" max="5120" width="9.140625" style="1"/>
    <col min="5121" max="5121" width="29.5703125" style="1" bestFit="1" customWidth="1"/>
    <col min="5122" max="5122" width="19.85546875" style="1" customWidth="1"/>
    <col min="5123" max="5123" width="12" style="1" bestFit="1" customWidth="1"/>
    <col min="5124" max="5376" width="9.140625" style="1"/>
    <col min="5377" max="5377" width="29.5703125" style="1" bestFit="1" customWidth="1"/>
    <col min="5378" max="5378" width="19.85546875" style="1" customWidth="1"/>
    <col min="5379" max="5379" width="12" style="1" bestFit="1" customWidth="1"/>
    <col min="5380" max="5632" width="9.140625" style="1"/>
    <col min="5633" max="5633" width="29.5703125" style="1" bestFit="1" customWidth="1"/>
    <col min="5634" max="5634" width="19.85546875" style="1" customWidth="1"/>
    <col min="5635" max="5635" width="12" style="1" bestFit="1" customWidth="1"/>
    <col min="5636" max="5888" width="9.140625" style="1"/>
    <col min="5889" max="5889" width="29.5703125" style="1" bestFit="1" customWidth="1"/>
    <col min="5890" max="5890" width="19.85546875" style="1" customWidth="1"/>
    <col min="5891" max="5891" width="12" style="1" bestFit="1" customWidth="1"/>
    <col min="5892" max="6144" width="9.140625" style="1"/>
    <col min="6145" max="6145" width="29.5703125" style="1" bestFit="1" customWidth="1"/>
    <col min="6146" max="6146" width="19.85546875" style="1" customWidth="1"/>
    <col min="6147" max="6147" width="12" style="1" bestFit="1" customWidth="1"/>
    <col min="6148" max="6400" width="9.140625" style="1"/>
    <col min="6401" max="6401" width="29.5703125" style="1" bestFit="1" customWidth="1"/>
    <col min="6402" max="6402" width="19.85546875" style="1" customWidth="1"/>
    <col min="6403" max="6403" width="12" style="1" bestFit="1" customWidth="1"/>
    <col min="6404" max="6656" width="9.140625" style="1"/>
    <col min="6657" max="6657" width="29.5703125" style="1" bestFit="1" customWidth="1"/>
    <col min="6658" max="6658" width="19.85546875" style="1" customWidth="1"/>
    <col min="6659" max="6659" width="12" style="1" bestFit="1" customWidth="1"/>
    <col min="6660" max="6912" width="9.140625" style="1"/>
    <col min="6913" max="6913" width="29.5703125" style="1" bestFit="1" customWidth="1"/>
    <col min="6914" max="6914" width="19.85546875" style="1" customWidth="1"/>
    <col min="6915" max="6915" width="12" style="1" bestFit="1" customWidth="1"/>
    <col min="6916" max="7168" width="9.140625" style="1"/>
    <col min="7169" max="7169" width="29.5703125" style="1" bestFit="1" customWidth="1"/>
    <col min="7170" max="7170" width="19.85546875" style="1" customWidth="1"/>
    <col min="7171" max="7171" width="12" style="1" bestFit="1" customWidth="1"/>
    <col min="7172" max="7424" width="9.140625" style="1"/>
    <col min="7425" max="7425" width="29.5703125" style="1" bestFit="1" customWidth="1"/>
    <col min="7426" max="7426" width="19.85546875" style="1" customWidth="1"/>
    <col min="7427" max="7427" width="12" style="1" bestFit="1" customWidth="1"/>
    <col min="7428" max="7680" width="9.140625" style="1"/>
    <col min="7681" max="7681" width="29.5703125" style="1" bestFit="1" customWidth="1"/>
    <col min="7682" max="7682" width="19.85546875" style="1" customWidth="1"/>
    <col min="7683" max="7683" width="12" style="1" bestFit="1" customWidth="1"/>
    <col min="7684" max="7936" width="9.140625" style="1"/>
    <col min="7937" max="7937" width="29.5703125" style="1" bestFit="1" customWidth="1"/>
    <col min="7938" max="7938" width="19.85546875" style="1" customWidth="1"/>
    <col min="7939" max="7939" width="12" style="1" bestFit="1" customWidth="1"/>
    <col min="7940" max="8192" width="9.140625" style="1"/>
    <col min="8193" max="8193" width="29.5703125" style="1" bestFit="1" customWidth="1"/>
    <col min="8194" max="8194" width="19.85546875" style="1" customWidth="1"/>
    <col min="8195" max="8195" width="12" style="1" bestFit="1" customWidth="1"/>
    <col min="8196" max="8448" width="9.140625" style="1"/>
    <col min="8449" max="8449" width="29.5703125" style="1" bestFit="1" customWidth="1"/>
    <col min="8450" max="8450" width="19.85546875" style="1" customWidth="1"/>
    <col min="8451" max="8451" width="12" style="1" bestFit="1" customWidth="1"/>
    <col min="8452" max="8704" width="9.140625" style="1"/>
    <col min="8705" max="8705" width="29.5703125" style="1" bestFit="1" customWidth="1"/>
    <col min="8706" max="8706" width="19.85546875" style="1" customWidth="1"/>
    <col min="8707" max="8707" width="12" style="1" bestFit="1" customWidth="1"/>
    <col min="8708" max="8960" width="9.140625" style="1"/>
    <col min="8961" max="8961" width="29.5703125" style="1" bestFit="1" customWidth="1"/>
    <col min="8962" max="8962" width="19.85546875" style="1" customWidth="1"/>
    <col min="8963" max="8963" width="12" style="1" bestFit="1" customWidth="1"/>
    <col min="8964" max="9216" width="9.140625" style="1"/>
    <col min="9217" max="9217" width="29.5703125" style="1" bestFit="1" customWidth="1"/>
    <col min="9218" max="9218" width="19.85546875" style="1" customWidth="1"/>
    <col min="9219" max="9219" width="12" style="1" bestFit="1" customWidth="1"/>
    <col min="9220" max="9472" width="9.140625" style="1"/>
    <col min="9473" max="9473" width="29.5703125" style="1" bestFit="1" customWidth="1"/>
    <col min="9474" max="9474" width="19.85546875" style="1" customWidth="1"/>
    <col min="9475" max="9475" width="12" style="1" bestFit="1" customWidth="1"/>
    <col min="9476" max="9728" width="9.140625" style="1"/>
    <col min="9729" max="9729" width="29.5703125" style="1" bestFit="1" customWidth="1"/>
    <col min="9730" max="9730" width="19.85546875" style="1" customWidth="1"/>
    <col min="9731" max="9731" width="12" style="1" bestFit="1" customWidth="1"/>
    <col min="9732" max="9984" width="9.140625" style="1"/>
    <col min="9985" max="9985" width="29.5703125" style="1" bestFit="1" customWidth="1"/>
    <col min="9986" max="9986" width="19.85546875" style="1" customWidth="1"/>
    <col min="9987" max="9987" width="12" style="1" bestFit="1" customWidth="1"/>
    <col min="9988" max="10240" width="9.140625" style="1"/>
    <col min="10241" max="10241" width="29.5703125" style="1" bestFit="1" customWidth="1"/>
    <col min="10242" max="10242" width="19.85546875" style="1" customWidth="1"/>
    <col min="10243" max="10243" width="12" style="1" bestFit="1" customWidth="1"/>
    <col min="10244" max="10496" width="9.140625" style="1"/>
    <col min="10497" max="10497" width="29.5703125" style="1" bestFit="1" customWidth="1"/>
    <col min="10498" max="10498" width="19.85546875" style="1" customWidth="1"/>
    <col min="10499" max="10499" width="12" style="1" bestFit="1" customWidth="1"/>
    <col min="10500" max="10752" width="9.140625" style="1"/>
    <col min="10753" max="10753" width="29.5703125" style="1" bestFit="1" customWidth="1"/>
    <col min="10754" max="10754" width="19.85546875" style="1" customWidth="1"/>
    <col min="10755" max="10755" width="12" style="1" bestFit="1" customWidth="1"/>
    <col min="10756" max="11008" width="9.140625" style="1"/>
    <col min="11009" max="11009" width="29.5703125" style="1" bestFit="1" customWidth="1"/>
    <col min="11010" max="11010" width="19.85546875" style="1" customWidth="1"/>
    <col min="11011" max="11011" width="12" style="1" bestFit="1" customWidth="1"/>
    <col min="11012" max="11264" width="9.140625" style="1"/>
    <col min="11265" max="11265" width="29.5703125" style="1" bestFit="1" customWidth="1"/>
    <col min="11266" max="11266" width="19.85546875" style="1" customWidth="1"/>
    <col min="11267" max="11267" width="12" style="1" bestFit="1" customWidth="1"/>
    <col min="11268" max="11520" width="9.140625" style="1"/>
    <col min="11521" max="11521" width="29.5703125" style="1" bestFit="1" customWidth="1"/>
    <col min="11522" max="11522" width="19.85546875" style="1" customWidth="1"/>
    <col min="11523" max="11523" width="12" style="1" bestFit="1" customWidth="1"/>
    <col min="11524" max="11776" width="9.140625" style="1"/>
    <col min="11777" max="11777" width="29.5703125" style="1" bestFit="1" customWidth="1"/>
    <col min="11778" max="11778" width="19.85546875" style="1" customWidth="1"/>
    <col min="11779" max="11779" width="12" style="1" bestFit="1" customWidth="1"/>
    <col min="11780" max="12032" width="9.140625" style="1"/>
    <col min="12033" max="12033" width="29.5703125" style="1" bestFit="1" customWidth="1"/>
    <col min="12034" max="12034" width="19.85546875" style="1" customWidth="1"/>
    <col min="12035" max="12035" width="12" style="1" bestFit="1" customWidth="1"/>
    <col min="12036" max="12288" width="9.140625" style="1"/>
    <col min="12289" max="12289" width="29.5703125" style="1" bestFit="1" customWidth="1"/>
    <col min="12290" max="12290" width="19.85546875" style="1" customWidth="1"/>
    <col min="12291" max="12291" width="12" style="1" bestFit="1" customWidth="1"/>
    <col min="12292" max="12544" width="9.140625" style="1"/>
    <col min="12545" max="12545" width="29.5703125" style="1" bestFit="1" customWidth="1"/>
    <col min="12546" max="12546" width="19.85546875" style="1" customWidth="1"/>
    <col min="12547" max="12547" width="12" style="1" bestFit="1" customWidth="1"/>
    <col min="12548" max="12800" width="9.140625" style="1"/>
    <col min="12801" max="12801" width="29.5703125" style="1" bestFit="1" customWidth="1"/>
    <col min="12802" max="12802" width="19.85546875" style="1" customWidth="1"/>
    <col min="12803" max="12803" width="12" style="1" bestFit="1" customWidth="1"/>
    <col min="12804" max="13056" width="9.140625" style="1"/>
    <col min="13057" max="13057" width="29.5703125" style="1" bestFit="1" customWidth="1"/>
    <col min="13058" max="13058" width="19.85546875" style="1" customWidth="1"/>
    <col min="13059" max="13059" width="12" style="1" bestFit="1" customWidth="1"/>
    <col min="13060" max="13312" width="9.140625" style="1"/>
    <col min="13313" max="13313" width="29.5703125" style="1" bestFit="1" customWidth="1"/>
    <col min="13314" max="13314" width="19.85546875" style="1" customWidth="1"/>
    <col min="13315" max="13315" width="12" style="1" bestFit="1" customWidth="1"/>
    <col min="13316" max="13568" width="9.140625" style="1"/>
    <col min="13569" max="13569" width="29.5703125" style="1" bestFit="1" customWidth="1"/>
    <col min="13570" max="13570" width="19.85546875" style="1" customWidth="1"/>
    <col min="13571" max="13571" width="12" style="1" bestFit="1" customWidth="1"/>
    <col min="13572" max="13824" width="9.140625" style="1"/>
    <col min="13825" max="13825" width="29.5703125" style="1" bestFit="1" customWidth="1"/>
    <col min="13826" max="13826" width="19.85546875" style="1" customWidth="1"/>
    <col min="13827" max="13827" width="12" style="1" bestFit="1" customWidth="1"/>
    <col min="13828" max="14080" width="9.140625" style="1"/>
    <col min="14081" max="14081" width="29.5703125" style="1" bestFit="1" customWidth="1"/>
    <col min="14082" max="14082" width="19.85546875" style="1" customWidth="1"/>
    <col min="14083" max="14083" width="12" style="1" bestFit="1" customWidth="1"/>
    <col min="14084" max="14336" width="9.140625" style="1"/>
    <col min="14337" max="14337" width="29.5703125" style="1" bestFit="1" customWidth="1"/>
    <col min="14338" max="14338" width="19.85546875" style="1" customWidth="1"/>
    <col min="14339" max="14339" width="12" style="1" bestFit="1" customWidth="1"/>
    <col min="14340" max="14592" width="9.140625" style="1"/>
    <col min="14593" max="14593" width="29.5703125" style="1" bestFit="1" customWidth="1"/>
    <col min="14594" max="14594" width="19.85546875" style="1" customWidth="1"/>
    <col min="14595" max="14595" width="12" style="1" bestFit="1" customWidth="1"/>
    <col min="14596" max="14848" width="9.140625" style="1"/>
    <col min="14849" max="14849" width="29.5703125" style="1" bestFit="1" customWidth="1"/>
    <col min="14850" max="14850" width="19.85546875" style="1" customWidth="1"/>
    <col min="14851" max="14851" width="12" style="1" bestFit="1" customWidth="1"/>
    <col min="14852" max="15104" width="9.140625" style="1"/>
    <col min="15105" max="15105" width="29.5703125" style="1" bestFit="1" customWidth="1"/>
    <col min="15106" max="15106" width="19.85546875" style="1" customWidth="1"/>
    <col min="15107" max="15107" width="12" style="1" bestFit="1" customWidth="1"/>
    <col min="15108" max="15360" width="9.140625" style="1"/>
    <col min="15361" max="15361" width="29.5703125" style="1" bestFit="1" customWidth="1"/>
    <col min="15362" max="15362" width="19.85546875" style="1" customWidth="1"/>
    <col min="15363" max="15363" width="12" style="1" bestFit="1" customWidth="1"/>
    <col min="15364" max="15616" width="9.140625" style="1"/>
    <col min="15617" max="15617" width="29.5703125" style="1" bestFit="1" customWidth="1"/>
    <col min="15618" max="15618" width="19.85546875" style="1" customWidth="1"/>
    <col min="15619" max="15619" width="12" style="1" bestFit="1" customWidth="1"/>
    <col min="15620" max="15872" width="9.140625" style="1"/>
    <col min="15873" max="15873" width="29.5703125" style="1" bestFit="1" customWidth="1"/>
    <col min="15874" max="15874" width="19.85546875" style="1" customWidth="1"/>
    <col min="15875" max="15875" width="12" style="1" bestFit="1" customWidth="1"/>
    <col min="15876" max="16128" width="9.140625" style="1"/>
    <col min="16129" max="16129" width="29.5703125" style="1" bestFit="1" customWidth="1"/>
    <col min="16130" max="16130" width="19.85546875" style="1" customWidth="1"/>
    <col min="16131" max="16131" width="12" style="1" bestFit="1" customWidth="1"/>
    <col min="16132" max="16384" width="9.140625" style="1"/>
  </cols>
  <sheetData>
    <row r="1" spans="1:2">
      <c r="A1" s="1" t="s">
        <v>1173</v>
      </c>
      <c r="B1" s="693">
        <v>6.1</v>
      </c>
    </row>
    <row r="2" spans="1:2">
      <c r="A2" s="1" t="s">
        <v>1174</v>
      </c>
      <c r="B2" s="697">
        <v>43213.758877314816</v>
      </c>
    </row>
    <row r="3" spans="1:2">
      <c r="A3" s="1" t="s">
        <v>1175</v>
      </c>
      <c r="B3" s="694" t="s">
        <v>858</v>
      </c>
    </row>
    <row r="4" spans="1:2">
      <c r="A4" s="1" t="s">
        <v>1176</v>
      </c>
      <c r="B4" s="694" t="s">
        <v>1177</v>
      </c>
    </row>
    <row r="5" spans="1:2">
      <c r="A5" s="1" t="s">
        <v>1178</v>
      </c>
      <c r="B5" s="694" t="s">
        <v>1179</v>
      </c>
    </row>
    <row r="6" spans="1:2">
      <c r="A6" s="1" t="s">
        <v>1180</v>
      </c>
    </row>
    <row r="7" spans="1:2">
      <c r="A7" s="1" t="s">
        <v>1181</v>
      </c>
      <c r="B7" s="694" t="s">
        <v>1225</v>
      </c>
    </row>
    <row r="8" spans="1:2">
      <c r="A8" s="1" t="s">
        <v>1182</v>
      </c>
      <c r="B8" s="694" t="s">
        <v>1183</v>
      </c>
    </row>
    <row r="9" spans="1:2">
      <c r="A9" s="1" t="s">
        <v>1184</v>
      </c>
      <c r="B9" s="694" t="s">
        <v>1221</v>
      </c>
    </row>
    <row r="10" spans="1:2">
      <c r="A10" s="1" t="s">
        <v>1185</v>
      </c>
    </row>
    <row r="11" spans="1:2">
      <c r="A11" s="1" t="s">
        <v>1186</v>
      </c>
    </row>
    <row r="12" spans="1:2">
      <c r="A12" s="1" t="s">
        <v>1187</v>
      </c>
    </row>
    <row r="13" spans="1:2">
      <c r="A13" s="1" t="s">
        <v>1188</v>
      </c>
    </row>
    <row r="14" spans="1:2">
      <c r="A14" s="1" t="s">
        <v>1189</v>
      </c>
    </row>
    <row r="15" spans="1:2">
      <c r="A15" s="1" t="s">
        <v>1190</v>
      </c>
    </row>
    <row r="16" spans="1:2">
      <c r="A16" s="1" t="s">
        <v>1191</v>
      </c>
    </row>
    <row r="17" spans="1:4">
      <c r="A17" s="1" t="s">
        <v>1192</v>
      </c>
      <c r="B17" s="694" t="s">
        <v>1222</v>
      </c>
    </row>
    <row r="18" spans="1:4">
      <c r="A18" s="1" t="s">
        <v>1193</v>
      </c>
      <c r="B18" s="694" t="s">
        <v>1226</v>
      </c>
    </row>
    <row r="19" spans="1:4">
      <c r="A19" s="1" t="s">
        <v>1194</v>
      </c>
      <c r="B19" s="694" t="s">
        <v>341</v>
      </c>
    </row>
    <row r="20" spans="1:4">
      <c r="A20" s="1" t="s">
        <v>1195</v>
      </c>
      <c r="B20" s="695" t="s">
        <v>1227</v>
      </c>
    </row>
    <row r="21" spans="1:4">
      <c r="A21" s="1" t="s">
        <v>1196</v>
      </c>
      <c r="B21" s="694" t="s">
        <v>341</v>
      </c>
    </row>
    <row r="22" spans="1:4">
      <c r="A22" s="1" t="s">
        <v>1197</v>
      </c>
      <c r="B22" s="695">
        <v>2208987</v>
      </c>
    </row>
    <row r="23" spans="1:4">
      <c r="A23" s="1" t="s">
        <v>424</v>
      </c>
      <c r="B23" s="693">
        <v>42.65</v>
      </c>
    </row>
    <row r="24" spans="1:4">
      <c r="A24" s="1" t="s">
        <v>423</v>
      </c>
      <c r="B24" s="694" t="s">
        <v>426</v>
      </c>
      <c r="D24" s="1" t="s">
        <v>1198</v>
      </c>
    </row>
    <row r="25" spans="1:4">
      <c r="A25" s="1" t="s">
        <v>1199</v>
      </c>
      <c r="B25" s="694" t="s">
        <v>1228</v>
      </c>
    </row>
    <row r="26" spans="1:4">
      <c r="A26" s="1" t="s">
        <v>579</v>
      </c>
      <c r="B26" s="694">
        <v>0</v>
      </c>
    </row>
    <row r="27" spans="1:4">
      <c r="A27" s="1" t="s">
        <v>1200</v>
      </c>
      <c r="B27" s="694" t="s">
        <v>1201</v>
      </c>
    </row>
    <row r="28" spans="1:4">
      <c r="A28" s="1" t="s">
        <v>1202</v>
      </c>
      <c r="B28" s="694" t="s">
        <v>1203</v>
      </c>
    </row>
    <row r="29" spans="1:4">
      <c r="A29" s="1" t="s">
        <v>1204</v>
      </c>
    </row>
    <row r="30" spans="1:4">
      <c r="A30" s="1" t="s">
        <v>1205</v>
      </c>
    </row>
    <row r="31" spans="1:4">
      <c r="A31" s="1" t="s">
        <v>1206</v>
      </c>
    </row>
    <row r="32" spans="1:4">
      <c r="A32" s="1" t="s">
        <v>1207</v>
      </c>
      <c r="B32" s="693"/>
    </row>
    <row r="33" spans="1:2">
      <c r="A33" s="1" t="s">
        <v>1208</v>
      </c>
      <c r="B33" s="693"/>
    </row>
    <row r="34" spans="1:2">
      <c r="A34" s="1" t="s">
        <v>1209</v>
      </c>
      <c r="B34" s="693"/>
    </row>
    <row r="35" spans="1:2">
      <c r="A35" s="1" t="s">
        <v>1210</v>
      </c>
      <c r="B35" s="694">
        <v>1000000</v>
      </c>
    </row>
    <row r="36" spans="1:2">
      <c r="A36" s="1" t="s">
        <v>1211</v>
      </c>
      <c r="B36" s="694" t="s">
        <v>1223</v>
      </c>
    </row>
    <row r="37" spans="1:2">
      <c r="A37" s="1" t="s">
        <v>1212</v>
      </c>
      <c r="B37" s="694" t="s">
        <v>1213</v>
      </c>
    </row>
    <row r="38" spans="1:2">
      <c r="A38" s="1" t="s">
        <v>1214</v>
      </c>
      <c r="B38" s="694" t="s">
        <v>1215</v>
      </c>
    </row>
    <row r="39" spans="1:2">
      <c r="A39" s="1" t="s">
        <v>1216</v>
      </c>
      <c r="B39" s="694" t="s">
        <v>1224</v>
      </c>
    </row>
    <row r="40" spans="1:2">
      <c r="A40" s="1" t="s">
        <v>1217</v>
      </c>
      <c r="B40" s="694">
        <v>1900000858</v>
      </c>
    </row>
    <row r="41" spans="1:2">
      <c r="A41" s="1" t="s">
        <v>1218</v>
      </c>
      <c r="B41" s="694">
        <v>5</v>
      </c>
    </row>
    <row r="42" spans="1:2">
      <c r="A42" s="696" t="s">
        <v>1219</v>
      </c>
    </row>
    <row r="43" spans="1:2">
      <c r="A43" s="1" t="s">
        <v>1220</v>
      </c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/>
  <cols>
    <col min="1" max="1" width="28.5703125" style="1" bestFit="1" customWidth="1"/>
    <col min="2" max="256" width="9.140625" style="1"/>
    <col min="257" max="257" width="28.5703125" style="1" bestFit="1" customWidth="1"/>
    <col min="258" max="512" width="9.140625" style="1"/>
    <col min="513" max="513" width="28.5703125" style="1" bestFit="1" customWidth="1"/>
    <col min="514" max="768" width="9.140625" style="1"/>
    <col min="769" max="769" width="28.5703125" style="1" bestFit="1" customWidth="1"/>
    <col min="770" max="1024" width="9.140625" style="1"/>
    <col min="1025" max="1025" width="28.5703125" style="1" bestFit="1" customWidth="1"/>
    <col min="1026" max="1280" width="9.140625" style="1"/>
    <col min="1281" max="1281" width="28.5703125" style="1" bestFit="1" customWidth="1"/>
    <col min="1282" max="1536" width="9.140625" style="1"/>
    <col min="1537" max="1537" width="28.5703125" style="1" bestFit="1" customWidth="1"/>
    <col min="1538" max="1792" width="9.140625" style="1"/>
    <col min="1793" max="1793" width="28.5703125" style="1" bestFit="1" customWidth="1"/>
    <col min="1794" max="2048" width="9.140625" style="1"/>
    <col min="2049" max="2049" width="28.5703125" style="1" bestFit="1" customWidth="1"/>
    <col min="2050" max="2304" width="9.140625" style="1"/>
    <col min="2305" max="2305" width="28.5703125" style="1" bestFit="1" customWidth="1"/>
    <col min="2306" max="2560" width="9.140625" style="1"/>
    <col min="2561" max="2561" width="28.5703125" style="1" bestFit="1" customWidth="1"/>
    <col min="2562" max="2816" width="9.140625" style="1"/>
    <col min="2817" max="2817" width="28.5703125" style="1" bestFit="1" customWidth="1"/>
    <col min="2818" max="3072" width="9.140625" style="1"/>
    <col min="3073" max="3073" width="28.5703125" style="1" bestFit="1" customWidth="1"/>
    <col min="3074" max="3328" width="9.140625" style="1"/>
    <col min="3329" max="3329" width="28.5703125" style="1" bestFit="1" customWidth="1"/>
    <col min="3330" max="3584" width="9.140625" style="1"/>
    <col min="3585" max="3585" width="28.5703125" style="1" bestFit="1" customWidth="1"/>
    <col min="3586" max="3840" width="9.140625" style="1"/>
    <col min="3841" max="3841" width="28.5703125" style="1" bestFit="1" customWidth="1"/>
    <col min="3842" max="4096" width="9.140625" style="1"/>
    <col min="4097" max="4097" width="28.5703125" style="1" bestFit="1" customWidth="1"/>
    <col min="4098" max="4352" width="9.140625" style="1"/>
    <col min="4353" max="4353" width="28.5703125" style="1" bestFit="1" customWidth="1"/>
    <col min="4354" max="4608" width="9.140625" style="1"/>
    <col min="4609" max="4609" width="28.5703125" style="1" bestFit="1" customWidth="1"/>
    <col min="4610" max="4864" width="9.140625" style="1"/>
    <col min="4865" max="4865" width="28.5703125" style="1" bestFit="1" customWidth="1"/>
    <col min="4866" max="5120" width="9.140625" style="1"/>
    <col min="5121" max="5121" width="28.5703125" style="1" bestFit="1" customWidth="1"/>
    <col min="5122" max="5376" width="9.140625" style="1"/>
    <col min="5377" max="5377" width="28.5703125" style="1" bestFit="1" customWidth="1"/>
    <col min="5378" max="5632" width="9.140625" style="1"/>
    <col min="5633" max="5633" width="28.5703125" style="1" bestFit="1" customWidth="1"/>
    <col min="5634" max="5888" width="9.140625" style="1"/>
    <col min="5889" max="5889" width="28.5703125" style="1" bestFit="1" customWidth="1"/>
    <col min="5890" max="6144" width="9.140625" style="1"/>
    <col min="6145" max="6145" width="28.5703125" style="1" bestFit="1" customWidth="1"/>
    <col min="6146" max="6400" width="9.140625" style="1"/>
    <col min="6401" max="6401" width="28.5703125" style="1" bestFit="1" customWidth="1"/>
    <col min="6402" max="6656" width="9.140625" style="1"/>
    <col min="6657" max="6657" width="28.5703125" style="1" bestFit="1" customWidth="1"/>
    <col min="6658" max="6912" width="9.140625" style="1"/>
    <col min="6913" max="6913" width="28.5703125" style="1" bestFit="1" customWidth="1"/>
    <col min="6914" max="7168" width="9.140625" style="1"/>
    <col min="7169" max="7169" width="28.5703125" style="1" bestFit="1" customWidth="1"/>
    <col min="7170" max="7424" width="9.140625" style="1"/>
    <col min="7425" max="7425" width="28.5703125" style="1" bestFit="1" customWidth="1"/>
    <col min="7426" max="7680" width="9.140625" style="1"/>
    <col min="7681" max="7681" width="28.5703125" style="1" bestFit="1" customWidth="1"/>
    <col min="7682" max="7936" width="9.140625" style="1"/>
    <col min="7937" max="7937" width="28.5703125" style="1" bestFit="1" customWidth="1"/>
    <col min="7938" max="8192" width="9.140625" style="1"/>
    <col min="8193" max="8193" width="28.5703125" style="1" bestFit="1" customWidth="1"/>
    <col min="8194" max="8448" width="9.140625" style="1"/>
    <col min="8449" max="8449" width="28.5703125" style="1" bestFit="1" customWidth="1"/>
    <col min="8450" max="8704" width="9.140625" style="1"/>
    <col min="8705" max="8705" width="28.5703125" style="1" bestFit="1" customWidth="1"/>
    <col min="8706" max="8960" width="9.140625" style="1"/>
    <col min="8961" max="8961" width="28.5703125" style="1" bestFit="1" customWidth="1"/>
    <col min="8962" max="9216" width="9.140625" style="1"/>
    <col min="9217" max="9217" width="28.5703125" style="1" bestFit="1" customWidth="1"/>
    <col min="9218" max="9472" width="9.140625" style="1"/>
    <col min="9473" max="9473" width="28.5703125" style="1" bestFit="1" customWidth="1"/>
    <col min="9474" max="9728" width="9.140625" style="1"/>
    <col min="9729" max="9729" width="28.5703125" style="1" bestFit="1" customWidth="1"/>
    <col min="9730" max="9984" width="9.140625" style="1"/>
    <col min="9985" max="9985" width="28.5703125" style="1" bestFit="1" customWidth="1"/>
    <col min="9986" max="10240" width="9.140625" style="1"/>
    <col min="10241" max="10241" width="28.5703125" style="1" bestFit="1" customWidth="1"/>
    <col min="10242" max="10496" width="9.140625" style="1"/>
    <col min="10497" max="10497" width="28.5703125" style="1" bestFit="1" customWidth="1"/>
    <col min="10498" max="10752" width="9.140625" style="1"/>
    <col min="10753" max="10753" width="28.5703125" style="1" bestFit="1" customWidth="1"/>
    <col min="10754" max="11008" width="9.140625" style="1"/>
    <col min="11009" max="11009" width="28.5703125" style="1" bestFit="1" customWidth="1"/>
    <col min="11010" max="11264" width="9.140625" style="1"/>
    <col min="11265" max="11265" width="28.5703125" style="1" bestFit="1" customWidth="1"/>
    <col min="11266" max="11520" width="9.140625" style="1"/>
    <col min="11521" max="11521" width="28.5703125" style="1" bestFit="1" customWidth="1"/>
    <col min="11522" max="11776" width="9.140625" style="1"/>
    <col min="11777" max="11777" width="28.5703125" style="1" bestFit="1" customWidth="1"/>
    <col min="11778" max="12032" width="9.140625" style="1"/>
    <col min="12033" max="12033" width="28.5703125" style="1" bestFit="1" customWidth="1"/>
    <col min="12034" max="12288" width="9.140625" style="1"/>
    <col min="12289" max="12289" width="28.5703125" style="1" bestFit="1" customWidth="1"/>
    <col min="12290" max="12544" width="9.140625" style="1"/>
    <col min="12545" max="12545" width="28.5703125" style="1" bestFit="1" customWidth="1"/>
    <col min="12546" max="12800" width="9.140625" style="1"/>
    <col min="12801" max="12801" width="28.5703125" style="1" bestFit="1" customWidth="1"/>
    <col min="12802" max="13056" width="9.140625" style="1"/>
    <col min="13057" max="13057" width="28.5703125" style="1" bestFit="1" customWidth="1"/>
    <col min="13058" max="13312" width="9.140625" style="1"/>
    <col min="13313" max="13313" width="28.5703125" style="1" bestFit="1" customWidth="1"/>
    <col min="13314" max="13568" width="9.140625" style="1"/>
    <col min="13569" max="13569" width="28.5703125" style="1" bestFit="1" customWidth="1"/>
    <col min="13570" max="13824" width="9.140625" style="1"/>
    <col min="13825" max="13825" width="28.5703125" style="1" bestFit="1" customWidth="1"/>
    <col min="13826" max="14080" width="9.140625" style="1"/>
    <col min="14081" max="14081" width="28.5703125" style="1" bestFit="1" customWidth="1"/>
    <col min="14082" max="14336" width="9.140625" style="1"/>
    <col min="14337" max="14337" width="28.5703125" style="1" bestFit="1" customWidth="1"/>
    <col min="14338" max="14592" width="9.140625" style="1"/>
    <col min="14593" max="14593" width="28.5703125" style="1" bestFit="1" customWidth="1"/>
    <col min="14594" max="14848" width="9.140625" style="1"/>
    <col min="14849" max="14849" width="28.5703125" style="1" bestFit="1" customWidth="1"/>
    <col min="14850" max="15104" width="9.140625" style="1"/>
    <col min="15105" max="15105" width="28.5703125" style="1" bestFit="1" customWidth="1"/>
    <col min="15106" max="15360" width="9.140625" style="1"/>
    <col min="15361" max="15361" width="28.5703125" style="1" bestFit="1" customWidth="1"/>
    <col min="15362" max="15616" width="9.140625" style="1"/>
    <col min="15617" max="15617" width="28.5703125" style="1" bestFit="1" customWidth="1"/>
    <col min="15618" max="15872" width="9.140625" style="1"/>
    <col min="15873" max="15873" width="28.5703125" style="1" bestFit="1" customWidth="1"/>
    <col min="15874" max="16128" width="9.140625" style="1"/>
    <col min="16129" max="16129" width="28.5703125" style="1" bestFit="1" customWidth="1"/>
    <col min="16130" max="16384" width="9.140625" style="1"/>
  </cols>
  <sheetData>
    <row r="1" spans="1:1">
      <c r="A1" s="698" t="s">
        <v>1229</v>
      </c>
    </row>
    <row r="2" spans="1:1">
      <c r="A2" s="698" t="s">
        <v>1234</v>
      </c>
    </row>
    <row r="3" spans="1:1">
      <c r="A3" s="698" t="s">
        <v>1235</v>
      </c>
    </row>
    <row r="4" spans="1:1">
      <c r="A4" s="698" t="s">
        <v>1236</v>
      </c>
    </row>
    <row r="5" spans="1:1">
      <c r="A5" s="698" t="s">
        <v>1237</v>
      </c>
    </row>
    <row r="6" spans="1:1">
      <c r="A6" s="698" t="s">
        <v>1230</v>
      </c>
    </row>
    <row r="7" spans="1:1">
      <c r="A7" s="698" t="s">
        <v>1238</v>
      </c>
    </row>
    <row r="8" spans="1:1">
      <c r="A8" s="698" t="s">
        <v>1239</v>
      </c>
    </row>
    <row r="9" spans="1:1">
      <c r="A9" s="698" t="s">
        <v>1240</v>
      </c>
    </row>
    <row r="10" spans="1:1">
      <c r="A10" s="698" t="s">
        <v>1231</v>
      </c>
    </row>
    <row r="11" spans="1:1">
      <c r="A11" s="698" t="s">
        <v>1241</v>
      </c>
    </row>
    <row r="12" spans="1:1">
      <c r="A12" s="698" t="s">
        <v>1232</v>
      </c>
    </row>
    <row r="13" spans="1:1">
      <c r="A13" s="698" t="s">
        <v>1233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181</vt:i4>
      </vt:variant>
    </vt:vector>
  </HeadingPairs>
  <TitlesOfParts>
    <vt:vector size="187" baseType="lpstr">
      <vt:lpstr>ImportantDisclosures</vt:lpstr>
      <vt:lpstr>Scenario</vt:lpstr>
      <vt:lpstr>Model</vt:lpstr>
      <vt:lpstr>Valuation</vt:lpstr>
      <vt:lpstr>IndexInformation</vt:lpstr>
      <vt:lpstr>ModPubIndex</vt:lpstr>
      <vt:lpstr>AdditionalInstructions</vt:lpstr>
      <vt:lpstr>ImportantDisclosures!Address</vt:lpstr>
      <vt:lpstr>ADS_Dil</vt:lpstr>
      <vt:lpstr>Amort_Int</vt:lpstr>
      <vt:lpstr>Amort_Land</vt:lpstr>
      <vt:lpstr>Amort_Total</vt:lpstr>
      <vt:lpstr>ModPubIndex!ANA</vt:lpstr>
      <vt:lpstr>Assets_Cash</vt:lpstr>
      <vt:lpstr>Assets_Cur</vt:lpstr>
      <vt:lpstr>Assets_ShortInv</vt:lpstr>
      <vt:lpstr>ImportantDisclosures!Authors</vt:lpstr>
      <vt:lpstr>IndexInformation!Authors</vt:lpstr>
      <vt:lpstr>Base_Case</vt:lpstr>
      <vt:lpstr>Bear_Case</vt:lpstr>
      <vt:lpstr>ModPubIndex!BRO</vt:lpstr>
      <vt:lpstr>Bull_Case</vt:lpstr>
      <vt:lpstr>CAPEX</vt:lpstr>
      <vt:lpstr>Cash_BOY</vt:lpstr>
      <vt:lpstr>Cash_EOY</vt:lpstr>
      <vt:lpstr>Cash_Rest</vt:lpstr>
      <vt:lpstr>CF_OP</vt:lpstr>
      <vt:lpstr>Change_Cash</vt:lpstr>
      <vt:lpstr>Change_WC</vt:lpstr>
      <vt:lpstr>COGS_to_Rev</vt:lpstr>
      <vt:lpstr>Com_Hotel</vt:lpstr>
      <vt:lpstr>Com_Ticket</vt:lpstr>
      <vt:lpstr>Com_Ticket_YoY</vt:lpstr>
      <vt:lpstr>CopyrightStamp</vt:lpstr>
      <vt:lpstr>COS</vt:lpstr>
      <vt:lpstr>ModPubIndex!COU</vt:lpstr>
      <vt:lpstr>IndexInformation!CQEnd</vt:lpstr>
      <vt:lpstr>CTRP</vt:lpstr>
      <vt:lpstr>CTRP_Assump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Dep_Expenses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EBITDA</vt:lpstr>
      <vt:lpstr>EBITDAM</vt:lpstr>
      <vt:lpstr>EBITDAM_NONGP</vt:lpstr>
      <vt:lpstr>ModPubIndex!EMAIL_ALERT</vt:lpstr>
      <vt:lpstr>IndexInformation!EmailAlert</vt:lpstr>
      <vt:lpstr>EPADS</vt:lpstr>
      <vt:lpstr>EPADS_Dil</vt:lpstr>
      <vt:lpstr>EPADS_DIL_NONGP</vt:lpstr>
      <vt:lpstr>EPADS_NONGP</vt:lpstr>
      <vt:lpstr>EPS</vt:lpstr>
      <vt:lpstr>EPS_Dil</vt:lpstr>
      <vt:lpstr>EPS_DIL_NONGP</vt:lpstr>
      <vt:lpstr>EPS_NONGP</vt:lpstr>
      <vt:lpstr>Equ_Aff</vt:lpstr>
      <vt:lpstr>Equity</vt:lpstr>
      <vt:lpstr>Exp_GA</vt:lpstr>
      <vt:lpstr>Exp_RD</vt:lpstr>
      <vt:lpstr>Exp_SM</vt:lpstr>
      <vt:lpstr>Exp_ToT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FX</vt:lpstr>
      <vt:lpstr>GMV_Air</vt:lpstr>
      <vt:lpstr>GMV_hotel</vt:lpstr>
      <vt:lpstr>GMV_Package</vt:lpstr>
      <vt:lpstr>GMV_SS</vt:lpstr>
      <vt:lpstr>GMV_Ticket</vt:lpstr>
      <vt:lpstr>GMV_Total</vt:lpstr>
      <vt:lpstr>GP</vt:lpstr>
      <vt:lpstr>GPM</vt:lpstr>
      <vt:lpstr>GW</vt:lpstr>
      <vt:lpstr>HC_Total</vt:lpstr>
      <vt:lpstr>ModPubIndex!HL</vt:lpstr>
      <vt:lpstr>ModPubIndex!IND</vt:lpstr>
      <vt:lpstr>ImportantDisclosures!Industry</vt:lpstr>
      <vt:lpstr>IndustryId</vt:lpstr>
      <vt:lpstr>ImportantDisclosures!IndustryRating</vt:lpstr>
      <vt:lpstr>Int_Air_GMV</vt:lpstr>
      <vt:lpstr>Int_Assets</vt:lpstr>
      <vt:lpstr>Int_Exp</vt:lpstr>
      <vt:lpstr>Int_hotel_GMV</vt:lpstr>
      <vt:lpstr>Int_Inc</vt:lpstr>
      <vt:lpstr>Int_overall_GMV</vt:lpstr>
      <vt:lpstr>Int_package_GMV</vt:lpstr>
      <vt:lpstr>IndexInformation!KeepVersions</vt:lpstr>
      <vt:lpstr>Land</vt:lpstr>
      <vt:lpstr>LanguageCode</vt:lpstr>
      <vt:lpstr>ImportantDisclosures!LastCell</vt:lpstr>
      <vt:lpstr>Liab_Cur</vt:lpstr>
      <vt:lpstr>Liab_Long_Debt</vt:lpstr>
      <vt:lpstr>Linking_18</vt:lpstr>
      <vt:lpstr>Linking_23</vt:lpstr>
      <vt:lpstr>Linking_5</vt:lpstr>
      <vt:lpstr>Linking_9</vt:lpstr>
      <vt:lpstr>IndexInformation!MacroVersion</vt:lpstr>
      <vt:lpstr>Min_Int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NGAAP_EBITDA</vt:lpstr>
      <vt:lpstr>NP</vt:lpstr>
      <vt:lpstr>NP_NONGP</vt:lpstr>
      <vt:lpstr>NPM</vt:lpstr>
      <vt:lpstr>NPM_NONGP</vt:lpstr>
      <vt:lpstr>ObjectType</vt:lpstr>
      <vt:lpstr>OP</vt:lpstr>
      <vt:lpstr>OP_NONGP</vt:lpstr>
      <vt:lpstr>OPEX_to_Rev</vt:lpstr>
      <vt:lpstr>OPM</vt:lpstr>
      <vt:lpstr>OPM_NONGP</vt:lpstr>
      <vt:lpstr>Oth_Inc</vt:lpstr>
      <vt:lpstr>ModPubIndex!PANA</vt:lpstr>
      <vt:lpstr>IndexInformation!PathName</vt:lpstr>
      <vt:lpstr>Period_A_CTRP</vt:lpstr>
      <vt:lpstr>Period_CTRP</vt:lpstr>
      <vt:lpstr>PPE</vt:lpstr>
      <vt:lpstr>Price_hotel</vt:lpstr>
      <vt:lpstr>Price_Ticket</vt:lpstr>
      <vt:lpstr>Model!Print_Area</vt:lpstr>
      <vt:lpstr>ModPubIndex!PRODUCT</vt:lpstr>
      <vt:lpstr>Profit_Pre_Min_Interest</vt:lpstr>
      <vt:lpstr>ModPubIndex!PSYM</vt:lpstr>
      <vt:lpstr>PTP</vt:lpstr>
      <vt:lpstr>IndexInformation!PublishDate</vt:lpstr>
      <vt:lpstr>Purchase_intangible</vt:lpstr>
      <vt:lpstr>IndexInformation!Rating</vt:lpstr>
      <vt:lpstr>ImportantDisclosures!RatingsDefined</vt:lpstr>
      <vt:lpstr>IndexInformation!ResearchTopic</vt:lpstr>
      <vt:lpstr>Rev_Air</vt:lpstr>
      <vt:lpstr>Rev_Corp</vt:lpstr>
      <vt:lpstr>Rev_GMV_Gross</vt:lpstr>
      <vt:lpstr>Rev_Gross</vt:lpstr>
      <vt:lpstr>Rev_Headcount</vt:lpstr>
      <vt:lpstr>Rev_Hotel</vt:lpstr>
      <vt:lpstr>Rev_Net</vt:lpstr>
      <vt:lpstr>Rev_Others</vt:lpstr>
      <vt:lpstr>Rev_Package</vt:lpstr>
      <vt:lpstr>Rev_SS</vt:lpstr>
      <vt:lpstr>Rev_Ticket</vt:lpstr>
      <vt:lpstr>IndexInformation!RIC</vt:lpstr>
      <vt:lpstr>SBC</vt:lpstr>
      <vt:lpstr>SBC_GA</vt:lpstr>
      <vt:lpstr>SBC_RD</vt:lpstr>
      <vt:lpstr>SBC_SM</vt:lpstr>
      <vt:lpstr>IndexInformation!SEDOL</vt:lpstr>
      <vt:lpstr>Shares_Abasic</vt:lpstr>
      <vt:lpstr>Shares_Adiluted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Tax</vt:lpstr>
      <vt:lpstr>Tax_Sur</vt:lpstr>
      <vt:lpstr>TemplateRegion</vt:lpstr>
      <vt:lpstr>ImportantDisclosures!Ticker</vt:lpstr>
      <vt:lpstr>TickerRegion</vt:lpstr>
      <vt:lpstr>IndexInformation!Tickers</vt:lpstr>
      <vt:lpstr>TR_Hotel</vt:lpstr>
      <vt:lpstr>TR_Ticket</vt:lpstr>
      <vt:lpstr>IndexInformation!UpdateReason</vt:lpstr>
      <vt:lpstr>Volume_Air</vt:lpstr>
      <vt:lpstr>Volume_hotel</vt:lpstr>
      <vt:lpstr>Volume_tickets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2015-06-05T02:25:53Z</dcterms:created>
  <dc:creator>Elaine Zhang</dc:creator>
  <cp:lastModifiedBy>O'Donnell, Patricia A (Research)</cp:lastModifiedBy>
  <cp:lastPrinted>2018-03-15T10:30:53Z</cp:lastPrinted>
  <dcterms:modified xsi:type="dcterms:W3CDTF">2018-04-23T13:49:29Z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DMCEIC_autoRefresh" pid="2">
    <vt:lpwstr>False</vt:lpwstr>
  </property>
  <property fmtid="{D5CDD505-2E9C-101B-9397-08002B2CF9AE}" name="CDMCEIC_description" pid="3">
    <vt:lpwstr/>
  </property>
  <property fmtid="{D5CDD505-2E9C-101B-9397-08002B2CF9AE}" name="CDMCEIC_readOnly" pid="4">
    <vt:lpwstr>True</vt:lpwstr>
  </property>
  <property fmtid="{D5CDD505-2E9C-101B-9397-08002B2CF9AE}" name="CDMCEIC_owner" pid="5">
    <vt:lpwstr>hk-ms-cdm43</vt:lpwstr>
  </property>
  <property fmtid="{D5CDD505-2E9C-101B-9397-08002B2CF9AE}" name="CDMCEIC_ownerFullName" pid="6">
    <vt:lpwstr>Amanda Chen</vt:lpwstr>
  </property>
  <property fmtid="{D5CDD505-2E9C-101B-9397-08002B2CF9AE}" name="ERModPubTicket" pid="7">
    <vt:lpwstr>NA</vt:lpwstr>
  </property>
  <property fmtid="{D5CDD505-2E9C-101B-9397-08002B2CF9AE}" name="ERCompanyUploadState" pid="8">
    <vt:lpwstr>P</vt:lpwstr>
  </property>
  <property fmtid="{D5CDD505-2E9C-101B-9397-08002B2CF9AE}" name="ModelId" pid="9">
    <vt:lpwstr>763274</vt:lpwstr>
  </property>
  <property fmtid="{D5CDD505-2E9C-101B-9397-08002B2CF9AE}" name="ERModPubCompanyName" pid="10">
    <vt:lpwstr>Ctrip.Com International Ltd</vt:lpwstr>
  </property>
  <property fmtid="{D5CDD505-2E9C-101B-9397-08002B2CF9AE}" name="MSDH34TAG" pid="11">
    <vt:lpwstr>.TEZUF76X5TAHATHESADREYAK-00-INB160+*94600-06=e764725a/-46de/-11e8/-adef/-6a0a1ce82510,MD=20180423095458/-0400,ZZ=000Z-2658.</vt:lpwstr>
  </property>
</Properties>
</file>